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312" windowWidth="21936" windowHeight="9960" activeTab="9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NageU18" sheetId="10" r:id="rId7"/>
    <sheet name="8 Integration1" sheetId="11" r:id="rId8"/>
    <sheet name="9 Integration2" sheetId="12" r:id="rId9"/>
    <sheet name="Configuration" sheetId="4" r:id="rId10"/>
  </sheets>
  <functionGroups builtInGroupCount="17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 localSheetId="7">Configuration!#REF!</definedName>
    <definedName name="JudgeGiven" localSheetId="8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 localSheetId="7">Configuration!#REF!</definedName>
    <definedName name="JudgeName" localSheetId="8">Configuration!#REF!</definedName>
    <definedName name="JudgeName">Configuration!#REF!</definedName>
    <definedName name="JudgeNameN" localSheetId="6">Configuration!#REF!</definedName>
    <definedName name="JudgeNameN" localSheetId="7">Configuration!#REF!</definedName>
    <definedName name="JudgeNameN" localSheetId="8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NageU18'!$A:$H</definedName>
    <definedName name="_xlnm.Print_Area" localSheetId="7">'8 Integration1'!$A:$H</definedName>
    <definedName name="_xlnm.Print_Area" localSheetId="8">'9 Integration2'!$A:$H</definedName>
    <definedName name="_xlnm.Print_Area" localSheetId="9">Configuration!$M:$M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 localSheetId="7">Configuration!#REF!</definedName>
    <definedName name="SureName" localSheetId="8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 localSheetId="7">Configuration!#REF!</definedName>
    <definedName name="ToriClub" localSheetId="8">Configuration!#REF!</definedName>
    <definedName name="ToriClub">Configuration!#REF!</definedName>
    <definedName name="ToriGiven" localSheetId="6">Configuration!#REF!</definedName>
    <definedName name="ToriGiven" localSheetId="7">Configuration!#REF!</definedName>
    <definedName name="ToriGiven" localSheetId="8">Configuration!#REF!</definedName>
    <definedName name="ToriGiven">Configuration!#REF!</definedName>
    <definedName name="ToriName" localSheetId="6">Configuration!#REF!</definedName>
    <definedName name="ToriName" localSheetId="7">Configuration!#REF!</definedName>
    <definedName name="ToriName" localSheetId="8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 localSheetId="7">Configuration!#REF!</definedName>
    <definedName name="UkeClub" localSheetId="8">Configuration!#REF!</definedName>
    <definedName name="UkeClub">Configuration!#REF!</definedName>
    <definedName name="UkeGiven" localSheetId="6">Configuration!#REF!</definedName>
    <definedName name="UkeGiven" localSheetId="7">Configuration!#REF!</definedName>
    <definedName name="UkeGiven" localSheetId="8">Configuration!#REF!</definedName>
    <definedName name="UkeGiven">Configuration!#REF!</definedName>
    <definedName name="UkeName" localSheetId="6">Configuration!#REF!</definedName>
    <definedName name="UkeName" localSheetId="7">Configuration!#REF!</definedName>
    <definedName name="UkeName" localSheetId="8">Configuration!#REF!</definedName>
    <definedName name="UkeName">Configuration!#REF!</definedName>
  </definedNames>
  <calcPr calcId="145621"/>
</workbook>
</file>

<file path=xl/calcChain.xml><?xml version="1.0" encoding="utf-8"?>
<calcChain xmlns="http://schemas.openxmlformats.org/spreadsheetml/2006/main">
  <c r="A4" i="12" l="1"/>
  <c r="J11" i="12"/>
  <c r="J10" i="12"/>
  <c r="H8" i="12"/>
  <c r="J9" i="12"/>
  <c r="J8" i="12"/>
  <c r="J7" i="12"/>
  <c r="J6" i="12"/>
  <c r="J5" i="12"/>
  <c r="M4" i="12"/>
  <c r="L4" i="12"/>
  <c r="K4" i="12"/>
  <c r="J4" i="12"/>
  <c r="H4" i="12"/>
  <c r="G4" i="12"/>
  <c r="F4" i="12"/>
  <c r="E4" i="12"/>
  <c r="D4" i="12"/>
  <c r="C4" i="12"/>
  <c r="B4" i="12"/>
  <c r="H10" i="11"/>
  <c r="J11" i="11"/>
  <c r="J10" i="11"/>
  <c r="J9" i="11"/>
  <c r="J8" i="11"/>
  <c r="J7" i="11"/>
  <c r="J6" i="11"/>
  <c r="J5" i="11"/>
  <c r="M4" i="11"/>
  <c r="L4" i="11"/>
  <c r="K4" i="11"/>
  <c r="J4" i="11"/>
  <c r="H4" i="11"/>
  <c r="G4" i="11"/>
  <c r="F4" i="11"/>
  <c r="E4" i="11"/>
  <c r="D4" i="11"/>
  <c r="C4" i="11"/>
  <c r="B4" i="11"/>
  <c r="A4" i="11"/>
  <c r="K4" i="10"/>
  <c r="H16" i="10"/>
  <c r="J11" i="10"/>
  <c r="J10" i="10"/>
  <c r="J9" i="10"/>
  <c r="J8" i="10"/>
  <c r="J7" i="10"/>
  <c r="J6" i="10"/>
  <c r="J5" i="10"/>
  <c r="M4" i="10"/>
  <c r="L4" i="10"/>
  <c r="J4" i="10"/>
  <c r="H4" i="10"/>
  <c r="G4" i="10"/>
  <c r="F4" i="10"/>
  <c r="E4" i="10"/>
  <c r="D4" i="10"/>
  <c r="C4" i="10"/>
  <c r="B4" i="10"/>
  <c r="A4" i="10"/>
  <c r="A3" i="10"/>
  <c r="A2" i="10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H10" i="9"/>
  <c r="H13" i="8"/>
  <c r="A3" i="8"/>
  <c r="A2" i="8"/>
  <c r="H11" i="7"/>
  <c r="A2" i="7"/>
  <c r="H20" i="6"/>
  <c r="A3" i="6"/>
  <c r="A2" i="6"/>
  <c r="A2" i="5"/>
  <c r="A3" i="5"/>
  <c r="H23" i="5"/>
  <c r="J10" i="9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H21" i="1"/>
  <c r="A3" i="1"/>
  <c r="A2" i="1"/>
</calcChain>
</file>

<file path=xl/sharedStrings.xml><?xml version="1.0" encoding="utf-8"?>
<sst xmlns="http://schemas.openxmlformats.org/spreadsheetml/2006/main" count="949" uniqueCount="525">
  <si>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</si>
  <si>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</si>
  <si>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</si>
  <si>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</si>
  <si>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</si>
  <si>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</si>
  <si>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</si>
  <si>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</si>
  <si>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</si>
  <si>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</si>
  <si>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</si>
  <si>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</si>
  <si>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</si>
  <si>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</si>
  <si>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</si>
  <si>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</si>
  <si>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</si>
  <si>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</si>
  <si>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</si>
  <si>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</si>
  <si>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</si>
  <si>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</si>
  <si>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</si>
  <si>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</si>
  <si>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</si>
  <si>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</si>
  <si>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</si>
  <si>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</si>
  <si>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</si>
  <si>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</si>
  <si>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</si>
  <si>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</si>
  <si>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</si>
  <si>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</si>
  <si>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</si>
  <si>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</si>
  <si>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</si>
  <si>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</si>
  <si>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</si>
  <si>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</si>
  <si>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</si>
  <si>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</si>
  <si>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</si>
  <si>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</si>
  <si>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</si>
  <si>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</si>
  <si>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</si>
  <si>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</si>
  <si>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</si>
  <si>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</si>
  <si>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</si>
  <si>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</si>
  <si>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</si>
  <si>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</si>
  <si>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</si>
  <si>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</si>
  <si>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</si>
  <si>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</si>
  <si>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</si>
  <si>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</si>
  <si>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</si>
  <si>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</si>
  <si>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</si>
  <si>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</si>
  <si>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</si>
  <si>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</si>
  <si>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</si>
  <si>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</si>
  <si>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</si>
  <si>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</si>
  <si>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</si>
  <si>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</si>
  <si>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</si>
  <si>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</si>
  <si>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</si>
  <si>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</si>
  <si>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</si>
  <si>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</si>
  <si>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</si>
  <si>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</si>
  <si>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</si>
  <si>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</si>
  <si>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</si>
  <si>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</si>
  <si>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Gangl</t>
  </si>
  <si>
    <t>Alina</t>
  </si>
  <si>
    <t>Marlies</t>
  </si>
  <si>
    <t>Schmidt</t>
  </si>
  <si>
    <t>Immo</t>
  </si>
  <si>
    <t>HE</t>
  </si>
  <si>
    <t>Hendrik</t>
  </si>
  <si>
    <t>Eddy</t>
  </si>
  <si>
    <t>Covijn</t>
  </si>
  <si>
    <t>Gedig</t>
  </si>
  <si>
    <t>Matthias</t>
  </si>
  <si>
    <t>Hartmann</t>
  </si>
  <si>
    <t>Felix</t>
  </si>
  <si>
    <t>Nietner</t>
  </si>
  <si>
    <t>Marcus</t>
  </si>
  <si>
    <t>Möhner</t>
  </si>
  <si>
    <t>Marina</t>
  </si>
  <si>
    <t>Völkel</t>
  </si>
  <si>
    <t>Nina</t>
  </si>
  <si>
    <t>Kübler</t>
  </si>
  <si>
    <t>Denis</t>
  </si>
  <si>
    <t>WÜ</t>
  </si>
  <si>
    <t>Knopki</t>
  </si>
  <si>
    <t>Wolfgang</t>
  </si>
  <si>
    <t>Birk</t>
  </si>
  <si>
    <t>Florian</t>
  </si>
  <si>
    <t>Meffert</t>
  </si>
  <si>
    <t>Frederik</t>
  </si>
  <si>
    <t>Ruschitzka</t>
  </si>
  <si>
    <t>Christina</t>
  </si>
  <si>
    <t>Louvel</t>
  </si>
  <si>
    <t>Aurelia</t>
  </si>
  <si>
    <t>Arslan</t>
  </si>
  <si>
    <t>Yusuf</t>
  </si>
  <si>
    <t>Bergmann</t>
  </si>
  <si>
    <t>Sebastian</t>
  </si>
  <si>
    <t>Fuhrmanneck</t>
  </si>
  <si>
    <t>Hannah</t>
  </si>
  <si>
    <t>Lieber</t>
  </si>
  <si>
    <t>Andreas</t>
  </si>
  <si>
    <t>Schleicher</t>
  </si>
  <si>
    <t>Alexander</t>
  </si>
  <si>
    <t>Smeikal</t>
  </si>
  <si>
    <t>Tim Hendrick</t>
  </si>
  <si>
    <t>Rüber</t>
  </si>
  <si>
    <t>Nils</t>
  </si>
  <si>
    <t>RL</t>
  </si>
  <si>
    <t>Scheidt</t>
  </si>
  <si>
    <t>Gordon</t>
  </si>
  <si>
    <t>Kraft</t>
  </si>
  <si>
    <t>Maja</t>
  </si>
  <si>
    <t>Samp</t>
  </si>
  <si>
    <t>Gehl</t>
  </si>
  <si>
    <t>Adrian</t>
  </si>
  <si>
    <t>Koch</t>
  </si>
  <si>
    <t>Björn</t>
  </si>
  <si>
    <t>Ber</t>
  </si>
  <si>
    <t>SH</t>
  </si>
  <si>
    <t>Eidinger</t>
  </si>
  <si>
    <t>Johannes</t>
  </si>
  <si>
    <t>Wenisch</t>
  </si>
  <si>
    <t>Roland</t>
  </si>
  <si>
    <t>Neisius</t>
  </si>
  <si>
    <t>Hans-Theo</t>
  </si>
  <si>
    <t>Andruhn</t>
  </si>
  <si>
    <t>Mielich</t>
  </si>
  <si>
    <t>Jaufmann</t>
  </si>
  <si>
    <t>Pereira-Rodriguez</t>
  </si>
  <si>
    <t>Milzer</t>
  </si>
  <si>
    <t>Wawrzinek</t>
  </si>
  <si>
    <t>Teofanovic</t>
  </si>
  <si>
    <t>Machulik</t>
  </si>
  <si>
    <t>Heyde</t>
  </si>
  <si>
    <t>Boris</t>
  </si>
  <si>
    <t>Jutta</t>
  </si>
  <si>
    <t>Birgit</t>
  </si>
  <si>
    <t>Thomas</t>
  </si>
  <si>
    <t>Jose</t>
  </si>
  <si>
    <t>Stephan</t>
  </si>
  <si>
    <t>Edith</t>
  </si>
  <si>
    <t>Klaus-Dieter</t>
  </si>
  <si>
    <t>Plattfaut</t>
  </si>
  <si>
    <t>Marie</t>
  </si>
  <si>
    <t>Gedanitz</t>
  </si>
  <si>
    <t>Lisa Marie</t>
  </si>
  <si>
    <t>Thurow</t>
  </si>
  <si>
    <t>Jan</t>
  </si>
  <si>
    <t>MV</t>
  </si>
  <si>
    <t>Seibt</t>
  </si>
  <si>
    <t>Konrad</t>
  </si>
  <si>
    <t>Lauenstein</t>
  </si>
  <si>
    <t>Charlise</t>
  </si>
  <si>
    <t>Zapuskalov</t>
  </si>
  <si>
    <t>Leon</t>
  </si>
  <si>
    <t>Schacht</t>
  </si>
  <si>
    <t>Sonja</t>
  </si>
  <si>
    <t>Brandes</t>
  </si>
  <si>
    <t>Bennett</t>
  </si>
  <si>
    <t>Bernhard</t>
  </si>
  <si>
    <t>Annika</t>
  </si>
  <si>
    <t>Paulus</t>
  </si>
  <si>
    <t>Kathrin</t>
  </si>
  <si>
    <t>Jahn</t>
  </si>
  <si>
    <t>Martin</t>
  </si>
  <si>
    <t>SN</t>
  </si>
  <si>
    <t>David</t>
  </si>
  <si>
    <t>Vainauskas</t>
  </si>
  <si>
    <t>Odine</t>
  </si>
  <si>
    <t>Post</t>
  </si>
  <si>
    <t>Talea</t>
  </si>
  <si>
    <t>den Ridder</t>
  </si>
  <si>
    <t>Tia</t>
  </si>
  <si>
    <t>Klappert</t>
  </si>
  <si>
    <t>Tobias</t>
  </si>
  <si>
    <t>Wittkuhn</t>
  </si>
  <si>
    <t>Lucas</t>
  </si>
  <si>
    <t>Lechmann</t>
  </si>
  <si>
    <t>Greta</t>
  </si>
  <si>
    <t>Hustert</t>
  </si>
  <si>
    <t>Alessandra</t>
  </si>
  <si>
    <t>Jäger</t>
  </si>
  <si>
    <t xml:space="preserve">Jana Maria </t>
  </si>
  <si>
    <t>Eichler</t>
  </si>
  <si>
    <t>Lukas</t>
  </si>
  <si>
    <t>TH</t>
  </si>
  <si>
    <t>Menger</t>
  </si>
  <si>
    <t>Anthony</t>
  </si>
  <si>
    <t>ST</t>
  </si>
  <si>
    <t>Michael</t>
  </si>
  <si>
    <t>Hecker</t>
  </si>
  <si>
    <t>Frank</t>
  </si>
  <si>
    <t>Moritz</t>
  </si>
  <si>
    <t>Thies</t>
  </si>
  <si>
    <t>Cosson</t>
  </si>
  <si>
    <t>Jacques</t>
  </si>
  <si>
    <t>Weberpals</t>
  </si>
  <si>
    <t>Volker</t>
  </si>
  <si>
    <t>Katluhn</t>
  </si>
  <si>
    <t>Eckhard</t>
  </si>
  <si>
    <t>Frey</t>
  </si>
  <si>
    <t>Urban</t>
  </si>
  <si>
    <t>Steffen</t>
  </si>
  <si>
    <t>Nage no kata U18</t>
  </si>
  <si>
    <t>Scharf</t>
  </si>
  <si>
    <t>Christopher</t>
  </si>
  <si>
    <t>Büchler</t>
  </si>
  <si>
    <t>Sandra</t>
  </si>
  <si>
    <t>Thiemann</t>
  </si>
  <si>
    <t>Godula</t>
  </si>
  <si>
    <t>Goldschmidt</t>
  </si>
  <si>
    <t>Jenny</t>
  </si>
  <si>
    <t>Köhler</t>
  </si>
  <si>
    <t>Reinhard</t>
  </si>
  <si>
    <t>PF</t>
  </si>
  <si>
    <t>Mohr</t>
  </si>
  <si>
    <t>Jürgen</t>
  </si>
  <si>
    <t>Maultzsch</t>
  </si>
  <si>
    <t>Pfannschmidt</t>
  </si>
  <si>
    <t>Andre</t>
  </si>
  <si>
    <t>Schumann</t>
  </si>
  <si>
    <t>Imke</t>
  </si>
  <si>
    <t>Neumann</t>
  </si>
  <si>
    <t>Tietz</t>
  </si>
  <si>
    <t>Udo</t>
  </si>
  <si>
    <t>Strosche</t>
  </si>
  <si>
    <t>Olaf</t>
  </si>
  <si>
    <t>Kipper</t>
  </si>
  <si>
    <t>Rene</t>
  </si>
  <si>
    <t>Ahlring</t>
  </si>
  <si>
    <t>Marius</t>
  </si>
  <si>
    <t>Esser</t>
  </si>
  <si>
    <t>Langhorst</t>
  </si>
  <si>
    <t>Dieter</t>
  </si>
  <si>
    <t>Lenz</t>
  </si>
  <si>
    <t>Wendt</t>
  </si>
  <si>
    <t>Bauhofer</t>
  </si>
  <si>
    <t>Wank</t>
  </si>
  <si>
    <t>Leonhard</t>
  </si>
  <si>
    <t>Rekittke</t>
  </si>
  <si>
    <t>Bianca</t>
  </si>
  <si>
    <t>Jelinsky</t>
  </si>
  <si>
    <t>Julian</t>
  </si>
  <si>
    <t>Hufschmidt</t>
  </si>
  <si>
    <t>Hanna</t>
  </si>
  <si>
    <t>Öhler</t>
  </si>
  <si>
    <t>Achim</t>
  </si>
  <si>
    <t>Orth</t>
  </si>
  <si>
    <t>Hubertus</t>
  </si>
  <si>
    <t>Frost</t>
  </si>
  <si>
    <t>Maria</t>
  </si>
  <si>
    <t>Faulstich</t>
  </si>
  <si>
    <t>Schwob</t>
  </si>
  <si>
    <t>Gaßmann</t>
  </si>
  <si>
    <t>Sikora</t>
  </si>
  <si>
    <t>Miriam</t>
  </si>
  <si>
    <t>Steinert</t>
  </si>
  <si>
    <t>Christian</t>
  </si>
  <si>
    <t>Sessini</t>
  </si>
  <si>
    <t>Sergio</t>
  </si>
  <si>
    <t>Dax-Romswinkel</t>
  </si>
  <si>
    <t>Loosen</t>
  </si>
  <si>
    <t>Ulla</t>
  </si>
  <si>
    <t>Grigat</t>
  </si>
  <si>
    <t>Heidi</t>
  </si>
  <si>
    <t>Jeddeloh</t>
  </si>
  <si>
    <t xml:space="preserve">Stiller </t>
  </si>
  <si>
    <t>Carsten</t>
  </si>
  <si>
    <t>Genrich</t>
  </si>
  <si>
    <t>André</t>
  </si>
  <si>
    <t>Fanderl</t>
  </si>
  <si>
    <t>Betz</t>
  </si>
  <si>
    <t>Heike</t>
  </si>
  <si>
    <t xml:space="preserve">Koliander </t>
  </si>
  <si>
    <t>Berensdorff</t>
  </si>
  <si>
    <t>Mirjam</t>
  </si>
  <si>
    <t>Linn</t>
  </si>
  <si>
    <t>Bernd</t>
  </si>
  <si>
    <t>SA</t>
  </si>
  <si>
    <t>Britta</t>
  </si>
  <si>
    <t>Stefanie-Irina</t>
  </si>
  <si>
    <t>Hoettgen</t>
  </si>
  <si>
    <t>Franz-Georg</t>
  </si>
  <si>
    <t xml:space="preserve">Müller </t>
  </si>
  <si>
    <t>Olav</t>
  </si>
  <si>
    <t>Kröh</t>
  </si>
  <si>
    <t>Christine</t>
  </si>
  <si>
    <t>Prescher</t>
  </si>
  <si>
    <t>Georgine</t>
  </si>
  <si>
    <t>Bröckel</t>
  </si>
  <si>
    <t>Ulrich</t>
  </si>
  <si>
    <t>Elke</t>
  </si>
  <si>
    <t>Mittmann</t>
  </si>
  <si>
    <t>Janina</t>
  </si>
  <si>
    <t>Glenewinkel</t>
  </si>
  <si>
    <t>Linda</t>
  </si>
  <si>
    <t>Preuß</t>
  </si>
  <si>
    <t>Sigi</t>
  </si>
  <si>
    <t>Anita</t>
  </si>
  <si>
    <t>Faget-Prokopec</t>
  </si>
  <si>
    <t>Helga</t>
  </si>
  <si>
    <t>Weinmann</t>
  </si>
  <si>
    <t>Kubitzke</t>
  </si>
  <si>
    <t>Marion</t>
  </si>
  <si>
    <t>Hüser</t>
  </si>
  <si>
    <t>Joachim</t>
  </si>
  <si>
    <t>Straßburger</t>
  </si>
  <si>
    <t>Jonathan</t>
  </si>
  <si>
    <t>Gramit</t>
  </si>
  <si>
    <t>Ole</t>
  </si>
  <si>
    <t>Stermann-Sinsilewski</t>
  </si>
  <si>
    <t>Jörn</t>
  </si>
  <si>
    <t>Degenhart</t>
  </si>
  <si>
    <t>Müller</t>
  </si>
  <si>
    <t>Sarina</t>
  </si>
  <si>
    <t>Jochen</t>
  </si>
  <si>
    <t>Gilbert</t>
  </si>
  <si>
    <t>d`Heureuse</t>
  </si>
  <si>
    <t>Nico</t>
  </si>
  <si>
    <t>Grösch</t>
  </si>
  <si>
    <t>Perthen</t>
  </si>
  <si>
    <t>Astrid</t>
  </si>
  <si>
    <t>Hofmann</t>
  </si>
  <si>
    <t>Koliander</t>
  </si>
  <si>
    <t>Altmann</t>
  </si>
  <si>
    <t>Jörg</t>
  </si>
  <si>
    <t>Sehl</t>
  </si>
  <si>
    <t>Erik</t>
  </si>
  <si>
    <t>Schulz-Krupp</t>
  </si>
  <si>
    <t>Stephanie</t>
  </si>
  <si>
    <t>Plewe</t>
  </si>
  <si>
    <t>Dominique</t>
  </si>
  <si>
    <t>Freimuth</t>
  </si>
  <si>
    <t>Eike</t>
  </si>
  <si>
    <t>Hoffmann</t>
  </si>
  <si>
    <t>Herbert</t>
  </si>
  <si>
    <t>Secci</t>
  </si>
  <si>
    <t>Ponce</t>
  </si>
  <si>
    <t>José</t>
  </si>
  <si>
    <t>Wibberg</t>
  </si>
  <si>
    <t>Peter</t>
  </si>
  <si>
    <t>Niehaus</t>
  </si>
  <si>
    <t>Nage No Kata</t>
  </si>
  <si>
    <t>Inklusive Deutsche Kata-Meisterschaft G-Judo 2017</t>
  </si>
  <si>
    <t>Deutsche Kata-Meisterschaften 2017</t>
  </si>
  <si>
    <t>Wagner</t>
  </si>
  <si>
    <t>Elisa</t>
  </si>
  <si>
    <t>Teichmann</t>
  </si>
  <si>
    <t>Ronny</t>
  </si>
  <si>
    <t xml:space="preserve">Ludwig </t>
  </si>
  <si>
    <t>Kevin</t>
  </si>
  <si>
    <t>Jasmin</t>
  </si>
  <si>
    <t>Gramsch</t>
  </si>
  <si>
    <t>Klare</t>
  </si>
  <si>
    <t>Robin</t>
  </si>
  <si>
    <t>Lieshoff</t>
  </si>
  <si>
    <t>Antonia</t>
  </si>
  <si>
    <t>WK II/III</t>
  </si>
  <si>
    <t>WK I</t>
  </si>
  <si>
    <t>Cichos</t>
  </si>
  <si>
    <t>Marcel</t>
  </si>
  <si>
    <t>Neuber</t>
  </si>
  <si>
    <t>Sven</t>
  </si>
  <si>
    <t>Klutz</t>
  </si>
  <si>
    <t>Rico-Alexandro</t>
  </si>
  <si>
    <t>Neuman</t>
  </si>
  <si>
    <t>Fasel</t>
  </si>
  <si>
    <t>Bognar</t>
  </si>
  <si>
    <t>Edian</t>
  </si>
  <si>
    <t>Teller</t>
  </si>
  <si>
    <t>Krüger</t>
  </si>
  <si>
    <t>Wolfgank</t>
  </si>
  <si>
    <t>Kurt</t>
  </si>
  <si>
    <t>Dirk</t>
  </si>
  <si>
    <t>MW</t>
  </si>
  <si>
    <t>Jung</t>
  </si>
  <si>
    <t>Rainer</t>
  </si>
  <si>
    <t>Ingo</t>
  </si>
  <si>
    <t>Werner</t>
  </si>
  <si>
    <t>Diester</t>
  </si>
  <si>
    <t>Tiedecke</t>
  </si>
  <si>
    <t>Roman</t>
  </si>
  <si>
    <t>Wolfram</t>
  </si>
  <si>
    <t>Hospitant 1</t>
  </si>
  <si>
    <t>Hospitant 2</t>
  </si>
  <si>
    <t>HH</t>
  </si>
  <si>
    <t>Bartsch</t>
  </si>
  <si>
    <t>Karl-Heinz</t>
  </si>
  <si>
    <t>Kappes</t>
  </si>
  <si>
    <t>Richter</t>
  </si>
  <si>
    <t>Klaus</t>
  </si>
  <si>
    <t>Schillig</t>
  </si>
  <si>
    <t>Sönke</t>
  </si>
  <si>
    <t>Kathlun</t>
  </si>
  <si>
    <t>Perreira-Rodriguez</t>
  </si>
  <si>
    <t>-</t>
  </si>
  <si>
    <t>SC Charis 02 e.V.</t>
  </si>
  <si>
    <t>TSV Eintracht Karlsfeld</t>
  </si>
  <si>
    <t>TSV Wachendorf</t>
  </si>
  <si>
    <t>TV Michelbach</t>
  </si>
  <si>
    <t>JC Wiesbaden</t>
  </si>
  <si>
    <t>BSC Taunusstein</t>
  </si>
  <si>
    <t>SG Misburg</t>
  </si>
  <si>
    <t>Welfen SC</t>
  </si>
  <si>
    <t>PSV Oberhausen</t>
  </si>
  <si>
    <t>Post SV Düsseldorf</t>
  </si>
  <si>
    <t>Werler TV</t>
  </si>
  <si>
    <t>TV Wickede</t>
  </si>
  <si>
    <t>TV Verl</t>
  </si>
  <si>
    <t>Brander TV</t>
  </si>
  <si>
    <t>Bushido Club Mayen</t>
  </si>
  <si>
    <t>ETSV Weiche Flensburg</t>
  </si>
  <si>
    <t>TSB Flensburg</t>
  </si>
  <si>
    <t>Judo Ju-Jutsu Verein Friedrichshafen e.V.</t>
  </si>
  <si>
    <t>TSV Etlingen</t>
  </si>
  <si>
    <t>SV Motor Babelsberg</t>
  </si>
  <si>
    <t>AC Berlin</t>
  </si>
  <si>
    <t>Judoverein Ammerland-Münsing</t>
  </si>
  <si>
    <t>DJK Waldram</t>
  </si>
  <si>
    <t>Turnverein 1848 Erlangen</t>
  </si>
  <si>
    <t>HTG Bad Homburg</t>
  </si>
  <si>
    <t>MTV Kronberg</t>
  </si>
  <si>
    <t>JC Grünberg</t>
  </si>
  <si>
    <t>SV Fun Ball Dorteweil</t>
  </si>
  <si>
    <t>Bovender SV</t>
  </si>
  <si>
    <t>TuS Bothfeld e.V. von 1904</t>
  </si>
  <si>
    <t>Judo-Club Peine</t>
  </si>
  <si>
    <t>Judo-Team Hannover</t>
  </si>
  <si>
    <t>VfL Germania Leer</t>
  </si>
  <si>
    <t>TB Osterfeld</t>
  </si>
  <si>
    <t>TV Rommerskirchen</t>
  </si>
  <si>
    <t>Pulheimer SC</t>
  </si>
  <si>
    <t>Wermelskirchner TV</t>
  </si>
  <si>
    <t>Bushido Köln</t>
  </si>
  <si>
    <t>1.BC Zeiskam</t>
  </si>
  <si>
    <t>JSV Speyer</t>
  </si>
  <si>
    <t>TSV Westerland</t>
  </si>
  <si>
    <t>FSV GTH</t>
  </si>
  <si>
    <t>Beuler JC</t>
  </si>
  <si>
    <t>VfL Edewecht</t>
  </si>
  <si>
    <t>TUS Senne</t>
  </si>
  <si>
    <t>TuS Traunreut</t>
  </si>
  <si>
    <t>JC Oberthal</t>
  </si>
  <si>
    <t>1.JC Eschweiler</t>
  </si>
  <si>
    <t>TSV Benediktbeuern/Bichl</t>
  </si>
  <si>
    <t>Dürkheimer Judovereinigung</t>
  </si>
  <si>
    <t>SG Monheim</t>
  </si>
  <si>
    <t>TSV Wacker 50 Neutraubling</t>
  </si>
  <si>
    <t>JC Hünfelden</t>
  </si>
  <si>
    <t>TV Meppen</t>
  </si>
  <si>
    <t>Judo Klub Hagen</t>
  </si>
  <si>
    <t>Budotomo Tübingen</t>
  </si>
  <si>
    <t>Judokan Landau</t>
  </si>
  <si>
    <t>TG Kochel</t>
  </si>
  <si>
    <t>TSV Abensberg</t>
  </si>
  <si>
    <t>TV 1878 Groß Umstadt</t>
  </si>
  <si>
    <t>1.Mannheimer JC</t>
  </si>
  <si>
    <t>MTV 1846 e.V. Ludwigsburg</t>
  </si>
  <si>
    <t>1.Mannheimer</t>
  </si>
  <si>
    <t>Sportvereinigung Besigheim e. V.</t>
  </si>
  <si>
    <t>SC Berlin e.V.</t>
  </si>
  <si>
    <t>TSG Oberursel</t>
  </si>
  <si>
    <t>TuS Borkum</t>
  </si>
  <si>
    <t>TG Winkel</t>
  </si>
  <si>
    <t>JSV Lippstadt</t>
  </si>
  <si>
    <t>JC Marl</t>
  </si>
  <si>
    <t>JSV Lippstadt* / NRW</t>
  </si>
  <si>
    <t>Ueckermünder Judoclub e.V.</t>
  </si>
  <si>
    <t>TUS Oeventrop</t>
  </si>
  <si>
    <t>PSV Plauen</t>
  </si>
  <si>
    <t xml:space="preserve">Hansa-Sportverein Stöckte e.V. </t>
  </si>
  <si>
    <t>JC DJK Essen</t>
  </si>
  <si>
    <t>JC Weingarten</t>
  </si>
  <si>
    <t>1.Budokan Hünxe</t>
  </si>
  <si>
    <t>TSV Spandau 1860 e.V.</t>
  </si>
  <si>
    <t>AC-Berlin e.V.</t>
  </si>
  <si>
    <t>Sport Dojo Berlin e.V.</t>
  </si>
  <si>
    <t xml:space="preserve">Sport-Hasen-Spandau e.V. 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</si>
  <si>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</si>
  <si>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</si>
  <si>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</si>
  <si>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</si>
  <si>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</si>
  <si>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</si>
  <si>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NRW</t>
  </si>
  <si>
    <t>Hauptrunde</t>
  </si>
  <si>
    <t>17./18.06.2017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</si>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</sst>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5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9" fillId="0" borderId="1" xfId="0" applyFont="1" applyFill="1" applyBorder="1"/>
    <xf numFmtId="0" fontId="8" fillId="0" borderId="1" xfId="0" applyFont="1" applyBorder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3" borderId="0" xfId="0" applyFont="1" applyFill="1"/>
    <xf numFmtId="0" fontId="8" fillId="0" borderId="0" xfId="0" applyFont="1" applyAlignment="1">
      <alignment horizontal="center"/>
    </xf>
    <xf numFmtId="0" fontId="9" fillId="3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9" fillId="0" borderId="0" xfId="0" applyFont="1"/>
    <xf numFmtId="0" fontId="9" fillId="0" borderId="1" xfId="0" applyFont="1" applyBorder="1"/>
    <xf numFmtId="0" fontId="12" fillId="0" borderId="0" xfId="0" applyFont="1" applyBorder="1"/>
    <xf numFmtId="0" fontId="9" fillId="0" borderId="0" xfId="0" applyFont="1" applyBorder="1"/>
    <xf numFmtId="0" fontId="12" fillId="2" borderId="0" xfId="0" applyFont="1" applyFill="1" applyBorder="1"/>
    <xf numFmtId="0" fontId="9" fillId="2" borderId="0" xfId="0" applyFont="1" applyFill="1" applyBorder="1"/>
    <xf numFmtId="0" fontId="12" fillId="0" borderId="1" xfId="0" applyFont="1" applyBorder="1"/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0" fontId="8" fillId="0" borderId="1" xfId="0" applyFont="1" applyFill="1" applyBorder="1" applyAlignment="1">
      <alignment horizontal="center"/>
    </xf>
    <xf numFmtId="14" fontId="0" fillId="0" borderId="0" xfId="0" applyNumberFormat="1" applyAlignment="1">
      <alignment horizontal="right"/>
    </xf>
    <xf numFmtId="0" fontId="8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0" fontId="3" fillId="0" borderId="0" xfId="4" applyFont="1" applyFill="1" applyBorder="1"/>
    <xf numFmtId="0" fontId="9" fillId="0" borderId="0" xfId="0" quotePrefix="1" applyFont="1" applyFill="1"/>
    <xf numFmtId="0" fontId="15" fillId="0" borderId="0" xfId="0" applyFont="1" applyAlignment="1">
      <alignment horizontal="left"/>
    </xf>
    <xf numFmtId="14" fontId="15" fillId="0" borderId="0" xfId="0" applyNumberFormat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5">
    <cellStyle name="Normal" xfId="0" builtinId="0"/>
    <cellStyle name="Normal 2" xfId="2"/>
    <cellStyle name="Normal 2 2" xfId="3"/>
    <cellStyle name="Normal 3" xfId="4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2131" y="0"/>
          <a:ext cx="824431" cy="10800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</xdr:row>
          <xdr:rowOff>251460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989294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53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259080</xdr:rowOff>
        </xdr:from>
        <xdr:to>
          <xdr:col>10</xdr:col>
          <xdr:colOff>403860</xdr:colOff>
          <xdr:row>3</xdr:row>
          <xdr:rowOff>7620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1545977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957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251460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974937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941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251460</xdr:rowOff>
        </xdr:from>
        <xdr:to>
          <xdr:col>10</xdr:col>
          <xdr:colOff>426720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663456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081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426720</xdr:colOff>
          <xdr:row>3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418583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943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259080</xdr:rowOff>
        </xdr:from>
        <xdr:to>
          <xdr:col>10</xdr:col>
          <xdr:colOff>449580</xdr:colOff>
          <xdr:row>3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4906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</xdr:row>
          <xdr:rowOff>251460</xdr:rowOff>
        </xdr:from>
        <xdr:to>
          <xdr:col>10</xdr:col>
          <xdr:colOff>419100</xdr:colOff>
          <xdr:row>2</xdr:row>
          <xdr:rowOff>502920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NageU18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4906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</xdr:row>
          <xdr:rowOff>251460</xdr:rowOff>
        </xdr:from>
        <xdr:to>
          <xdr:col>10</xdr:col>
          <xdr:colOff>723900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Integration1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4906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</xdr:row>
          <xdr:rowOff>251460</xdr:rowOff>
        </xdr:from>
        <xdr:to>
          <xdr:col>11</xdr:col>
          <xdr:colOff>182880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Integration2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784860</xdr:colOff>
          <xdr:row>5</xdr:row>
          <xdr:rowOff>45720</xdr:rowOff>
        </xdr:from>
        <xdr:to>
          <xdr:col>5</xdr:col>
          <xdr:colOff>419100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All!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T64"/>
  <sheetViews>
    <sheetView zoomScaleNormal="100" zoomScalePageLayoutView="70" workbookViewId="0">
      <selection activeCell="A2" sqref="A2:H2"/>
    </sheetView>
  </sheetViews>
  <sheetFormatPr defaultColWidth="11.5546875" defaultRowHeight="14.4" x14ac:dyDescent="0.3"/>
  <cols>
    <col min="1" max="1" width="14.109375" bestFit="1" customWidth="1"/>
    <col min="2" max="3" width="18.6640625" customWidth="1"/>
    <col min="4" max="4" width="25.6640625" customWidth="1"/>
    <col min="5" max="6" width="18.6640625" customWidth="1"/>
    <col min="7" max="7" width="25.6640625" customWidth="1"/>
    <col min="8" max="8" width="10.109375" bestFit="1" customWidth="1"/>
    <col min="9" max="9" width="3.6640625" customWidth="1"/>
  </cols>
  <sheetData>
    <row r="1" spans="1:18" s="3" customFormat="1" ht="84.9" customHeight="1" x14ac:dyDescent="0.7">
      <c r="A1" s="47" t="s">
        <v>16</v>
      </c>
      <c r="B1" s="47"/>
      <c r="C1" s="47"/>
      <c r="D1" s="47"/>
      <c r="E1" s="47"/>
      <c r="F1" s="47"/>
      <c r="G1" s="47"/>
      <c r="H1" s="47"/>
      <c r="I1" s="6"/>
      <c r="J1" s="6"/>
    </row>
    <row r="2" spans="1:18" s="3" customFormat="1" ht="24.6" customHeight="1" x14ac:dyDescent="0.4">
      <c r="A2" s="48" t="str">
        <f>ChampionshipName</f>
        <v>Deutsche Kata-Meisterschaften 2017</v>
      </c>
      <c r="B2" s="48"/>
      <c r="C2" s="48"/>
      <c r="D2" s="48"/>
      <c r="E2" s="48"/>
      <c r="F2" s="48"/>
      <c r="G2" s="48"/>
      <c r="H2" s="48"/>
      <c r="I2" s="7"/>
      <c r="J2" s="7"/>
    </row>
    <row r="3" spans="1:18" s="10" customFormat="1" ht="40.200000000000003" customHeight="1" x14ac:dyDescent="0.3">
      <c r="A3" s="49" t="str">
        <f>ChampionshipType</f>
        <v>Vorrunde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" customHeight="1" x14ac:dyDescent="0.3">
      <c r="A5" s="21">
        <v>1</v>
      </c>
      <c r="B5" s="11" t="s">
        <v>84</v>
      </c>
      <c r="C5" s="11" t="s">
        <v>85</v>
      </c>
      <c r="D5" s="11" t="s">
        <v>420</v>
      </c>
      <c r="E5" s="11" t="s">
        <v>84</v>
      </c>
      <c r="F5" s="11" t="s">
        <v>86</v>
      </c>
      <c r="G5" s="11" t="s">
        <v>420</v>
      </c>
      <c r="H5" s="11" t="s">
        <v>2</v>
      </c>
      <c r="J5" s="1" t="str">
        <f>Judge1</f>
        <v>Wertung 1</v>
      </c>
      <c r="K5" s="38" t="s">
        <v>149</v>
      </c>
      <c r="L5" s="38" t="s">
        <v>164</v>
      </c>
      <c r="M5" s="38" t="s">
        <v>1</v>
      </c>
    </row>
    <row r="6" spans="1:18" ht="15.9" customHeight="1" x14ac:dyDescent="0.3">
      <c r="A6" s="22">
        <v>2</v>
      </c>
      <c r="B6" s="12" t="s">
        <v>87</v>
      </c>
      <c r="C6" s="12" t="s">
        <v>88</v>
      </c>
      <c r="D6" s="12" t="s">
        <v>424</v>
      </c>
      <c r="E6" s="12" t="s">
        <v>87</v>
      </c>
      <c r="F6" s="12" t="s">
        <v>90</v>
      </c>
      <c r="G6" s="12" t="s">
        <v>424</v>
      </c>
      <c r="H6" s="12" t="s">
        <v>89</v>
      </c>
      <c r="J6" s="1" t="str">
        <f>Judge2</f>
        <v>Wertung 2</v>
      </c>
      <c r="K6" s="38" t="s">
        <v>150</v>
      </c>
      <c r="L6" s="38" t="s">
        <v>160</v>
      </c>
      <c r="M6" s="38" t="s">
        <v>105</v>
      </c>
      <c r="O6" s="3"/>
      <c r="P6" s="3"/>
      <c r="Q6" s="3"/>
    </row>
    <row r="7" spans="1:18" ht="15.9" customHeight="1" x14ac:dyDescent="0.3">
      <c r="A7" s="21">
        <v>3</v>
      </c>
      <c r="B7" s="11" t="s">
        <v>92</v>
      </c>
      <c r="C7" s="11" t="s">
        <v>91</v>
      </c>
      <c r="D7" s="11" t="s">
        <v>429</v>
      </c>
      <c r="E7" s="11" t="s">
        <v>93</v>
      </c>
      <c r="F7" s="11" t="s">
        <v>94</v>
      </c>
      <c r="G7" s="11" t="s">
        <v>430</v>
      </c>
      <c r="H7" s="11" t="s">
        <v>0</v>
      </c>
      <c r="J7" s="1" t="str">
        <f>JudgeHead</f>
        <v>Wertung 3 (H)</v>
      </c>
      <c r="K7" s="38" t="s">
        <v>151</v>
      </c>
      <c r="L7" s="38" t="s">
        <v>161</v>
      </c>
      <c r="M7" s="38" t="s">
        <v>0</v>
      </c>
      <c r="N7" s="3"/>
      <c r="O7" s="3"/>
      <c r="P7" s="3"/>
      <c r="Q7" s="3"/>
      <c r="R7" s="38"/>
    </row>
    <row r="8" spans="1:18" ht="15.9" customHeight="1" x14ac:dyDescent="0.3">
      <c r="A8" s="22">
        <v>4</v>
      </c>
      <c r="B8" s="12" t="s">
        <v>95</v>
      </c>
      <c r="C8" s="12" t="s">
        <v>96</v>
      </c>
      <c r="D8" s="12" t="s">
        <v>419</v>
      </c>
      <c r="E8" s="12" t="s">
        <v>97</v>
      </c>
      <c r="F8" s="12" t="s">
        <v>98</v>
      </c>
      <c r="G8" s="12" t="s">
        <v>419</v>
      </c>
      <c r="H8" s="12" t="s">
        <v>3</v>
      </c>
      <c r="J8" s="1" t="str">
        <f>Judge4</f>
        <v>Wertung 4</v>
      </c>
      <c r="K8" s="38" t="s">
        <v>152</v>
      </c>
      <c r="L8" s="38" t="s">
        <v>158</v>
      </c>
      <c r="M8" s="38" t="s">
        <v>4</v>
      </c>
      <c r="N8" s="3"/>
      <c r="O8" s="3"/>
      <c r="P8" s="3"/>
      <c r="Q8" s="3"/>
      <c r="R8" s="38"/>
    </row>
    <row r="9" spans="1:18" ht="15.9" customHeight="1" x14ac:dyDescent="0.3">
      <c r="A9" s="21">
        <v>5</v>
      </c>
      <c r="B9" s="11" t="s">
        <v>99</v>
      </c>
      <c r="C9" s="11" t="s">
        <v>100</v>
      </c>
      <c r="D9" s="11" t="s">
        <v>427</v>
      </c>
      <c r="E9" s="11" t="s">
        <v>101</v>
      </c>
      <c r="F9" s="11" t="s">
        <v>102</v>
      </c>
      <c r="G9" s="11" t="s">
        <v>427</v>
      </c>
      <c r="H9" s="11" t="s">
        <v>0</v>
      </c>
      <c r="J9" s="1" t="str">
        <f>Judge5</f>
        <v>Wertung 5</v>
      </c>
      <c r="K9" s="38" t="s">
        <v>153</v>
      </c>
      <c r="L9" s="38" t="s">
        <v>160</v>
      </c>
      <c r="M9" s="38" t="s">
        <v>3</v>
      </c>
      <c r="N9" s="3"/>
      <c r="O9" s="3"/>
      <c r="P9" s="3"/>
      <c r="Q9" s="3"/>
      <c r="R9" s="38"/>
    </row>
    <row r="10" spans="1:18" ht="15.9" customHeight="1" x14ac:dyDescent="0.3">
      <c r="A10" s="22">
        <v>6</v>
      </c>
      <c r="B10" s="12" t="s">
        <v>103</v>
      </c>
      <c r="C10" s="12" t="s">
        <v>104</v>
      </c>
      <c r="D10" s="12" t="s">
        <v>437</v>
      </c>
      <c r="E10" s="12" t="s">
        <v>106</v>
      </c>
      <c r="F10" s="12" t="s">
        <v>107</v>
      </c>
      <c r="G10" s="12" t="s">
        <v>437</v>
      </c>
      <c r="H10" s="12" t="s">
        <v>105</v>
      </c>
      <c r="J10" s="1" t="str">
        <f>JudgeStandin</f>
        <v>Springer</v>
      </c>
      <c r="K10" s="38" t="s">
        <v>154</v>
      </c>
      <c r="L10" s="38" t="s">
        <v>157</v>
      </c>
      <c r="M10" s="38" t="s">
        <v>130</v>
      </c>
      <c r="N10" s="3"/>
      <c r="O10" s="3"/>
      <c r="P10" s="3"/>
      <c r="Q10" s="3"/>
      <c r="R10" s="38"/>
    </row>
    <row r="11" spans="1:18" ht="15.9" customHeight="1" x14ac:dyDescent="0.3">
      <c r="A11" s="21">
        <v>7</v>
      </c>
      <c r="B11" s="11" t="s">
        <v>108</v>
      </c>
      <c r="C11" s="11" t="s">
        <v>109</v>
      </c>
      <c r="D11" s="11" t="s">
        <v>422</v>
      </c>
      <c r="E11" s="11" t="s">
        <v>110</v>
      </c>
      <c r="F11" s="11" t="s">
        <v>111</v>
      </c>
      <c r="G11" s="11" t="s">
        <v>423</v>
      </c>
      <c r="H11" s="11" t="s">
        <v>89</v>
      </c>
      <c r="I11" s="4"/>
      <c r="J11" s="1" t="str">
        <f>JudgeSupervisor</f>
        <v>Beobachter</v>
      </c>
      <c r="K11" s="38" t="s">
        <v>148</v>
      </c>
      <c r="L11" s="38" t="s">
        <v>159</v>
      </c>
      <c r="M11" s="38" t="s">
        <v>0</v>
      </c>
      <c r="N11" s="3"/>
      <c r="O11" s="3"/>
      <c r="P11" s="3"/>
      <c r="Q11" s="3"/>
      <c r="R11" s="38"/>
    </row>
    <row r="12" spans="1:18" ht="15.9" customHeight="1" x14ac:dyDescent="0.3">
      <c r="A12" s="22">
        <v>8</v>
      </c>
      <c r="B12" s="12" t="s">
        <v>112</v>
      </c>
      <c r="C12" s="12" t="s">
        <v>113</v>
      </c>
      <c r="D12" s="12" t="s">
        <v>432</v>
      </c>
      <c r="E12" s="12" t="s">
        <v>114</v>
      </c>
      <c r="F12" s="12" t="s">
        <v>115</v>
      </c>
      <c r="G12" s="12" t="s">
        <v>432</v>
      </c>
      <c r="H12" s="12" t="s">
        <v>0</v>
      </c>
      <c r="J12" s="1" t="s">
        <v>406</v>
      </c>
      <c r="K12" s="38" t="s">
        <v>155</v>
      </c>
      <c r="L12" s="38" t="s">
        <v>162</v>
      </c>
      <c r="M12" s="38" t="s">
        <v>3</v>
      </c>
      <c r="N12" s="3"/>
      <c r="O12" s="3"/>
      <c r="P12" s="3"/>
      <c r="Q12" s="3"/>
      <c r="R12" s="38"/>
    </row>
    <row r="13" spans="1:18" ht="15.9" customHeight="1" x14ac:dyDescent="0.3">
      <c r="A13" s="21">
        <v>9</v>
      </c>
      <c r="B13" s="11" t="s">
        <v>116</v>
      </c>
      <c r="C13" s="11" t="s">
        <v>117</v>
      </c>
      <c r="D13" s="11" t="s">
        <v>427</v>
      </c>
      <c r="E13" s="11" t="s">
        <v>118</v>
      </c>
      <c r="F13" s="11" t="s">
        <v>119</v>
      </c>
      <c r="G13" s="11" t="s">
        <v>428</v>
      </c>
      <c r="H13" s="11" t="s">
        <v>0</v>
      </c>
      <c r="J13" s="1" t="s">
        <v>407</v>
      </c>
      <c r="K13" s="38" t="s">
        <v>156</v>
      </c>
      <c r="L13" s="38" t="s">
        <v>163</v>
      </c>
      <c r="M13" s="38" t="s">
        <v>19</v>
      </c>
      <c r="N13" s="3"/>
      <c r="O13" s="3"/>
      <c r="P13" s="3"/>
      <c r="Q13" s="3"/>
      <c r="R13" s="38"/>
    </row>
    <row r="14" spans="1:18" ht="15.9" customHeight="1" x14ac:dyDescent="0.3">
      <c r="A14" s="22">
        <v>10</v>
      </c>
      <c r="B14" s="12" t="s">
        <v>120</v>
      </c>
      <c r="C14" s="12" t="s">
        <v>121</v>
      </c>
      <c r="D14" s="12" t="s">
        <v>436</v>
      </c>
      <c r="E14" s="12" t="s">
        <v>122</v>
      </c>
      <c r="F14" s="12" t="s">
        <v>123</v>
      </c>
      <c r="G14" s="12" t="s">
        <v>436</v>
      </c>
      <c r="H14" s="12" t="s">
        <v>105</v>
      </c>
      <c r="J14" s="1"/>
      <c r="L14" s="38"/>
      <c r="M14" s="38"/>
      <c r="N14" s="3"/>
      <c r="O14" s="3"/>
      <c r="P14" s="3"/>
      <c r="Q14" s="3"/>
      <c r="R14" s="38"/>
    </row>
    <row r="15" spans="1:18" ht="15.9" customHeight="1" x14ac:dyDescent="0.3">
      <c r="A15" s="21">
        <v>11</v>
      </c>
      <c r="B15" s="11" t="s">
        <v>124</v>
      </c>
      <c r="C15" s="11" t="s">
        <v>125</v>
      </c>
      <c r="D15" s="11" t="s">
        <v>426</v>
      </c>
      <c r="E15" s="11" t="s">
        <v>126</v>
      </c>
      <c r="F15" s="11" t="s">
        <v>127</v>
      </c>
      <c r="G15" s="11" t="s">
        <v>426</v>
      </c>
      <c r="H15" s="11" t="s">
        <v>4</v>
      </c>
      <c r="N15" s="3"/>
      <c r="O15" s="3"/>
      <c r="P15" s="3"/>
      <c r="Q15" s="3"/>
      <c r="R15" s="38"/>
    </row>
    <row r="16" spans="1:18" ht="15.9" customHeight="1" x14ac:dyDescent="0.3">
      <c r="A16" s="22">
        <v>12</v>
      </c>
      <c r="B16" s="12" t="s">
        <v>128</v>
      </c>
      <c r="C16" s="12" t="s">
        <v>129</v>
      </c>
      <c r="D16" s="12" t="s">
        <v>433</v>
      </c>
      <c r="E16" s="12" t="s">
        <v>131</v>
      </c>
      <c r="F16" s="12" t="s">
        <v>132</v>
      </c>
      <c r="G16" s="12" t="s">
        <v>433</v>
      </c>
      <c r="H16" s="12" t="s">
        <v>130</v>
      </c>
      <c r="J16" s="1"/>
      <c r="K16" s="3"/>
      <c r="L16" s="3"/>
      <c r="M16" s="3"/>
      <c r="N16" s="3"/>
      <c r="O16" s="3"/>
      <c r="P16" s="3"/>
      <c r="Q16" s="3"/>
    </row>
    <row r="17" spans="1:17" ht="15.9" customHeight="1" x14ac:dyDescent="0.3">
      <c r="A17" s="21">
        <v>13</v>
      </c>
      <c r="B17" s="11" t="s">
        <v>133</v>
      </c>
      <c r="C17" s="11" t="s">
        <v>134</v>
      </c>
      <c r="D17" s="11" t="s">
        <v>431</v>
      </c>
      <c r="E17" s="11" t="s">
        <v>135</v>
      </c>
      <c r="F17" s="11" t="s">
        <v>123</v>
      </c>
      <c r="G17" s="11" t="s">
        <v>431</v>
      </c>
      <c r="H17" s="11" t="s">
        <v>0</v>
      </c>
      <c r="J17" s="3"/>
      <c r="K17" s="3"/>
      <c r="L17" s="3"/>
      <c r="M17" s="3"/>
      <c r="N17" s="3"/>
      <c r="O17" s="3"/>
      <c r="P17" s="3"/>
      <c r="Q17" s="3"/>
    </row>
    <row r="18" spans="1:17" ht="15.9" customHeight="1" x14ac:dyDescent="0.3">
      <c r="A18" s="22">
        <v>14</v>
      </c>
      <c r="B18" s="12" t="s">
        <v>136</v>
      </c>
      <c r="C18" s="12" t="s">
        <v>137</v>
      </c>
      <c r="D18" s="12" t="s">
        <v>425</v>
      </c>
      <c r="E18" s="12" t="s">
        <v>138</v>
      </c>
      <c r="F18" s="12" t="s">
        <v>139</v>
      </c>
      <c r="G18" s="12" t="s">
        <v>425</v>
      </c>
      <c r="H18" s="12" t="s">
        <v>4</v>
      </c>
      <c r="I18" s="3"/>
      <c r="N18" s="3"/>
      <c r="O18" s="3"/>
      <c r="P18" s="3"/>
      <c r="Q18" s="3"/>
    </row>
    <row r="19" spans="1:17" ht="15.6" x14ac:dyDescent="0.3">
      <c r="A19" s="21">
        <v>15</v>
      </c>
      <c r="B19" s="11" t="s">
        <v>140</v>
      </c>
      <c r="C19" s="11" t="s">
        <v>123</v>
      </c>
      <c r="D19" s="11" t="s">
        <v>434</v>
      </c>
      <c r="E19" s="11" t="s">
        <v>142</v>
      </c>
      <c r="F19" s="11" t="s">
        <v>143</v>
      </c>
      <c r="G19" s="11" t="s">
        <v>435</v>
      </c>
      <c r="H19" s="11" t="s">
        <v>141</v>
      </c>
      <c r="N19" s="3"/>
      <c r="O19" s="3"/>
      <c r="P19" s="3"/>
      <c r="Q19" s="3"/>
    </row>
    <row r="20" spans="1:17" ht="15.6" x14ac:dyDescent="0.3">
      <c r="A20" s="36">
        <v>16</v>
      </c>
      <c r="B20" s="37" t="s">
        <v>144</v>
      </c>
      <c r="C20" s="37" t="s">
        <v>145</v>
      </c>
      <c r="D20" s="37" t="s">
        <v>421</v>
      </c>
      <c r="E20" s="37" t="s">
        <v>146</v>
      </c>
      <c r="F20" s="37" t="s">
        <v>147</v>
      </c>
      <c r="G20" s="37" t="s">
        <v>421</v>
      </c>
      <c r="H20" s="37" t="s">
        <v>2</v>
      </c>
    </row>
    <row r="21" spans="1:17" x14ac:dyDescent="0.3">
      <c r="H21" s="40" t="str">
        <f>ChampionshipDate</f>
        <v>17./18.06.2017</v>
      </c>
    </row>
    <row r="23" spans="1:17" x14ac:dyDescent="0.3">
      <c r="E23" s="8"/>
      <c r="F23" s="9"/>
      <c r="G23" s="8"/>
      <c r="H23" s="9"/>
      <c r="I23" s="9"/>
      <c r="J23" s="8"/>
    </row>
    <row r="24" spans="1:17" x14ac:dyDescent="0.3">
      <c r="E24" s="8"/>
      <c r="F24" s="9"/>
      <c r="G24" s="8"/>
      <c r="H24" s="9"/>
      <c r="I24" s="9"/>
      <c r="J24" s="8"/>
    </row>
    <row r="25" spans="1:17" x14ac:dyDescent="0.3">
      <c r="E25" s="8"/>
      <c r="F25" s="9"/>
      <c r="G25" s="8"/>
      <c r="H25" s="9"/>
      <c r="I25" s="9"/>
      <c r="J25" s="8"/>
    </row>
    <row r="26" spans="1:17" x14ac:dyDescent="0.3">
      <c r="I26" s="9"/>
      <c r="J26" s="8"/>
    </row>
    <row r="27" spans="1:17" x14ac:dyDescent="0.3">
      <c r="E27" s="8"/>
      <c r="F27" s="9"/>
      <c r="G27" s="8"/>
      <c r="H27" s="9"/>
      <c r="I27" s="9"/>
      <c r="J27" s="8"/>
    </row>
    <row r="28" spans="1:17" x14ac:dyDescent="0.3">
      <c r="E28" s="8"/>
      <c r="F28" s="9"/>
      <c r="G28" s="8"/>
      <c r="H28" s="9"/>
      <c r="I28" s="9"/>
      <c r="J28" s="8"/>
    </row>
    <row r="29" spans="1:17" x14ac:dyDescent="0.3">
      <c r="E29" s="8"/>
      <c r="F29" s="9"/>
      <c r="G29" s="8"/>
      <c r="H29" s="9"/>
      <c r="I29" s="9"/>
      <c r="J29" s="8"/>
    </row>
    <row r="30" spans="1:17" x14ac:dyDescent="0.3">
      <c r="E30" s="8"/>
      <c r="F30" s="9"/>
      <c r="G30" s="8"/>
      <c r="H30" s="9"/>
      <c r="I30" s="9"/>
      <c r="J30" s="8"/>
    </row>
    <row r="31" spans="1:17" x14ac:dyDescent="0.3">
      <c r="E31" s="8"/>
      <c r="F31" s="9"/>
      <c r="G31" s="8"/>
      <c r="H31" s="9"/>
      <c r="I31" s="9"/>
      <c r="J31" s="8"/>
    </row>
    <row r="32" spans="1:17" x14ac:dyDescent="0.3">
      <c r="E32" s="8"/>
      <c r="F32" s="9"/>
      <c r="G32" s="8"/>
      <c r="H32" s="9"/>
      <c r="I32" s="9"/>
      <c r="J32" s="8"/>
    </row>
    <row r="34" spans="5:10" x14ac:dyDescent="0.3">
      <c r="E34" s="8"/>
      <c r="F34" s="9"/>
      <c r="G34" s="8"/>
      <c r="H34" s="9"/>
      <c r="I34" s="9"/>
      <c r="J34" s="8"/>
    </row>
    <row r="36" spans="5:10" x14ac:dyDescent="0.3">
      <c r="E36" s="8"/>
      <c r="F36" s="9"/>
      <c r="G36" s="8"/>
      <c r="H36" s="9"/>
      <c r="I36" s="9"/>
      <c r="J36" s="8"/>
    </row>
    <row r="51" spans="7:20" x14ac:dyDescent="0.3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3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3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3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3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3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3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3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3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3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3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3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3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3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7620</xdr:colOff>
                    <xdr:row>2</xdr:row>
                    <xdr:rowOff>251460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Q65"/>
  <sheetViews>
    <sheetView zoomScaleNormal="100" zoomScalePageLayoutView="70"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4" ht="84.9" customHeight="1" x14ac:dyDescent="0.7">
      <c r="A1" s="47" t="s">
        <v>21</v>
      </c>
      <c r="B1" s="47"/>
      <c r="C1" s="47"/>
      <c r="D1" s="47"/>
      <c r="E1" s="47"/>
      <c r="F1" s="47"/>
      <c r="G1" s="47"/>
      <c r="H1" s="47"/>
      <c r="I1" s="6"/>
      <c r="J1" s="6"/>
    </row>
    <row r="2" spans="1:14" ht="24.6" customHeight="1" x14ac:dyDescent="0.4">
      <c r="A2" s="48" t="str">
        <f>ChampionshipName</f>
        <v>Deutsche Kata-Meisterschaften 2017</v>
      </c>
      <c r="B2" s="48"/>
      <c r="C2" s="48"/>
      <c r="D2" s="48"/>
      <c r="E2" s="48"/>
      <c r="F2" s="48"/>
      <c r="G2" s="48"/>
      <c r="H2" s="48"/>
      <c r="I2" s="7"/>
      <c r="J2" s="7"/>
    </row>
    <row r="3" spans="1:14" s="10" customFormat="1" ht="40.200000000000003" customHeight="1" x14ac:dyDescent="0.3">
      <c r="A3" s="49" t="str">
        <f>ChampionshipType</f>
        <v>Vorrunde</v>
      </c>
      <c r="B3" s="49"/>
      <c r="C3" s="49"/>
      <c r="D3" s="49"/>
      <c r="E3" s="49"/>
      <c r="F3" s="49"/>
      <c r="G3" s="49"/>
      <c r="H3" s="49"/>
    </row>
    <row r="4" spans="1:14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" customHeight="1" x14ac:dyDescent="0.3">
      <c r="A5" s="21">
        <v>1</v>
      </c>
      <c r="B5" s="11" t="s">
        <v>227</v>
      </c>
      <c r="C5" s="11" t="s">
        <v>228</v>
      </c>
      <c r="D5" s="11" t="s">
        <v>459</v>
      </c>
      <c r="E5" s="11" t="s">
        <v>229</v>
      </c>
      <c r="F5" s="11" t="s">
        <v>230</v>
      </c>
      <c r="G5" s="11" t="s">
        <v>434</v>
      </c>
      <c r="H5" s="11" t="s">
        <v>141</v>
      </c>
      <c r="J5" s="1" t="str">
        <f>Judge1</f>
        <v>Wertung 1</v>
      </c>
      <c r="K5" s="3" t="s">
        <v>219</v>
      </c>
      <c r="L5" s="3" t="s">
        <v>220</v>
      </c>
      <c r="M5" s="3" t="s">
        <v>2</v>
      </c>
    </row>
    <row r="6" spans="1:14" ht="15.9" customHeight="1" x14ac:dyDescent="0.3">
      <c r="A6" s="22">
        <v>2</v>
      </c>
      <c r="B6" s="12" t="s">
        <v>231</v>
      </c>
      <c r="C6" s="12" t="s">
        <v>232</v>
      </c>
      <c r="D6" s="12" t="s">
        <v>455</v>
      </c>
      <c r="E6" s="12" t="s">
        <v>233</v>
      </c>
      <c r="F6" s="12" t="s">
        <v>234</v>
      </c>
      <c r="G6" s="12" t="s">
        <v>456</v>
      </c>
      <c r="H6" s="12" t="s">
        <v>0</v>
      </c>
      <c r="J6" s="1" t="str">
        <f>Judge2</f>
        <v>Wertung 2</v>
      </c>
      <c r="K6" s="3" t="s">
        <v>216</v>
      </c>
      <c r="L6" s="3" t="s">
        <v>394</v>
      </c>
      <c r="M6" s="3" t="s">
        <v>0</v>
      </c>
    </row>
    <row r="7" spans="1:14" ht="15.9" customHeight="1" x14ac:dyDescent="0.3">
      <c r="A7" s="21">
        <v>3</v>
      </c>
      <c r="B7" s="11" t="s">
        <v>235</v>
      </c>
      <c r="C7" s="11" t="s">
        <v>236</v>
      </c>
      <c r="D7" s="11" t="s">
        <v>457</v>
      </c>
      <c r="E7" s="11" t="s">
        <v>238</v>
      </c>
      <c r="F7" s="11" t="s">
        <v>239</v>
      </c>
      <c r="G7" s="11" t="s">
        <v>458</v>
      </c>
      <c r="H7" s="11" t="s">
        <v>237</v>
      </c>
      <c r="J7" s="1" t="str">
        <f>JudgeHead</f>
        <v>Wertung 3 (H)</v>
      </c>
      <c r="K7" s="3" t="s">
        <v>392</v>
      </c>
      <c r="L7" s="3" t="s">
        <v>395</v>
      </c>
      <c r="M7" s="3" t="s">
        <v>4</v>
      </c>
    </row>
    <row r="8" spans="1:14" ht="15.9" customHeight="1" x14ac:dyDescent="0.3">
      <c r="A8" s="22">
        <v>4</v>
      </c>
      <c r="B8" s="12" t="s">
        <v>110</v>
      </c>
      <c r="C8" s="12" t="s">
        <v>111</v>
      </c>
      <c r="D8" s="12" t="s">
        <v>423</v>
      </c>
      <c r="E8" s="12" t="s">
        <v>108</v>
      </c>
      <c r="F8" s="12" t="s">
        <v>109</v>
      </c>
      <c r="G8" s="12" t="s">
        <v>422</v>
      </c>
      <c r="H8" s="12" t="s">
        <v>89</v>
      </c>
      <c r="J8" s="1" t="str">
        <f>Judge4</f>
        <v>Wertung 4</v>
      </c>
      <c r="K8" s="3" t="s">
        <v>213</v>
      </c>
      <c r="L8" s="3" t="s">
        <v>212</v>
      </c>
      <c r="M8" s="3" t="s">
        <v>19</v>
      </c>
    </row>
    <row r="9" spans="1:14" ht="15.9" customHeight="1" x14ac:dyDescent="0.3">
      <c r="A9" s="21">
        <v>5</v>
      </c>
      <c r="B9" s="11" t="s">
        <v>240</v>
      </c>
      <c r="C9" s="11" t="s">
        <v>197</v>
      </c>
      <c r="D9" s="11" t="s">
        <v>460</v>
      </c>
      <c r="E9" s="11" t="s">
        <v>241</v>
      </c>
      <c r="F9" s="11" t="s">
        <v>242</v>
      </c>
      <c r="G9" s="11" t="s">
        <v>460</v>
      </c>
      <c r="H9" s="11" t="s">
        <v>208</v>
      </c>
      <c r="J9" s="1" t="str">
        <f>Judge5</f>
        <v>Wertung 5</v>
      </c>
      <c r="K9" s="3" t="s">
        <v>221</v>
      </c>
      <c r="L9" s="3" t="s">
        <v>222</v>
      </c>
      <c r="M9" s="3" t="s">
        <v>130</v>
      </c>
    </row>
    <row r="10" spans="1:14" ht="15.9" customHeight="1" x14ac:dyDescent="0.3">
      <c r="A10" s="22">
        <v>6</v>
      </c>
      <c r="B10" s="12" t="s">
        <v>243</v>
      </c>
      <c r="C10" s="12" t="s">
        <v>244</v>
      </c>
      <c r="D10" s="12" t="s">
        <v>450</v>
      </c>
      <c r="E10" s="12" t="s">
        <v>245</v>
      </c>
      <c r="F10" s="12" t="s">
        <v>157</v>
      </c>
      <c r="G10" s="12" t="s">
        <v>451</v>
      </c>
      <c r="H10" s="12" t="s">
        <v>4</v>
      </c>
      <c r="J10" s="1" t="str">
        <f>JudgeStandin</f>
        <v>Springer</v>
      </c>
      <c r="K10" s="3" t="s">
        <v>393</v>
      </c>
      <c r="L10" s="3" t="s">
        <v>396</v>
      </c>
      <c r="M10" s="3" t="s">
        <v>1</v>
      </c>
    </row>
    <row r="11" spans="1:14" ht="15.9" customHeight="1" x14ac:dyDescent="0.3">
      <c r="A11" s="21">
        <v>7</v>
      </c>
      <c r="B11" s="11" t="s">
        <v>246</v>
      </c>
      <c r="C11" s="11" t="s">
        <v>247</v>
      </c>
      <c r="D11" s="11" t="s">
        <v>419</v>
      </c>
      <c r="E11" s="11" t="s">
        <v>248</v>
      </c>
      <c r="F11" s="11" t="s">
        <v>249</v>
      </c>
      <c r="G11" s="11" t="s">
        <v>439</v>
      </c>
      <c r="H11" s="11" t="s">
        <v>3</v>
      </c>
      <c r="I11" s="4"/>
      <c r="J11" s="1" t="str">
        <f>JudgeSupervisor</f>
        <v>Beobachter</v>
      </c>
      <c r="K11" s="3" t="s">
        <v>223</v>
      </c>
      <c r="L11" s="3" t="s">
        <v>119</v>
      </c>
      <c r="M11" s="3" t="s">
        <v>4</v>
      </c>
    </row>
    <row r="12" spans="1:14" ht="15.9" customHeight="1" x14ac:dyDescent="0.3">
      <c r="A12" s="22">
        <v>8</v>
      </c>
      <c r="B12" s="12" t="s">
        <v>250</v>
      </c>
      <c r="C12" s="12" t="s">
        <v>251</v>
      </c>
      <c r="D12" s="12" t="s">
        <v>444</v>
      </c>
      <c r="E12" s="12" t="s">
        <v>252</v>
      </c>
      <c r="F12" s="12" t="s">
        <v>253</v>
      </c>
      <c r="G12" s="12" t="s">
        <v>444</v>
      </c>
      <c r="H12" s="12" t="s">
        <v>89</v>
      </c>
      <c r="J12" s="1" t="s">
        <v>406</v>
      </c>
      <c r="K12" s="3" t="s">
        <v>224</v>
      </c>
      <c r="L12" s="3" t="s">
        <v>225</v>
      </c>
      <c r="M12" s="3" t="s">
        <v>171</v>
      </c>
    </row>
    <row r="13" spans="1:14" ht="15.9" customHeight="1" x14ac:dyDescent="0.3">
      <c r="A13" s="21">
        <v>9</v>
      </c>
      <c r="B13" s="11" t="s">
        <v>254</v>
      </c>
      <c r="C13" s="11" t="s">
        <v>119</v>
      </c>
      <c r="D13" s="11" t="s">
        <v>447</v>
      </c>
      <c r="E13" s="11" t="s">
        <v>255</v>
      </c>
      <c r="F13" s="11" t="s">
        <v>256</v>
      </c>
      <c r="G13" s="11" t="s">
        <v>448</v>
      </c>
      <c r="H13" s="11" t="s">
        <v>4</v>
      </c>
      <c r="J13" s="1" t="s">
        <v>407</v>
      </c>
      <c r="K13" s="3" t="s">
        <v>215</v>
      </c>
      <c r="L13" s="3" t="s">
        <v>214</v>
      </c>
      <c r="M13" s="3" t="s">
        <v>211</v>
      </c>
    </row>
    <row r="14" spans="1:14" ht="15.9" customHeight="1" x14ac:dyDescent="0.3">
      <c r="A14" s="22">
        <v>10</v>
      </c>
      <c r="B14" s="12" t="s">
        <v>257</v>
      </c>
      <c r="C14" s="12" t="s">
        <v>212</v>
      </c>
      <c r="D14" s="12" t="s">
        <v>438</v>
      </c>
      <c r="E14" s="12" t="s">
        <v>258</v>
      </c>
      <c r="F14" s="12" t="s">
        <v>160</v>
      </c>
      <c r="G14" s="12" t="s">
        <v>438</v>
      </c>
      <c r="H14" s="12" t="s">
        <v>1</v>
      </c>
      <c r="J14" s="1"/>
    </row>
    <row r="15" spans="1:14" ht="15.9" customHeight="1" x14ac:dyDescent="0.3">
      <c r="A15" s="21">
        <v>11</v>
      </c>
      <c r="B15" s="11" t="s">
        <v>259</v>
      </c>
      <c r="C15" s="11" t="s">
        <v>123</v>
      </c>
      <c r="D15" s="11" t="s">
        <v>440</v>
      </c>
      <c r="E15" s="11" t="s">
        <v>260</v>
      </c>
      <c r="F15" s="11" t="s">
        <v>261</v>
      </c>
      <c r="G15" s="11" t="s">
        <v>441</v>
      </c>
      <c r="H15" s="11" t="s">
        <v>2</v>
      </c>
    </row>
    <row r="16" spans="1:14" ht="15.9" customHeight="1" x14ac:dyDescent="0.3">
      <c r="A16" s="22">
        <v>12</v>
      </c>
      <c r="B16" s="12" t="s">
        <v>262</v>
      </c>
      <c r="C16" s="12" t="s">
        <v>263</v>
      </c>
      <c r="D16" s="12" t="s">
        <v>449</v>
      </c>
      <c r="E16" s="12" t="s">
        <v>264</v>
      </c>
      <c r="F16" s="12" t="s">
        <v>265</v>
      </c>
      <c r="G16" s="12" t="s">
        <v>449</v>
      </c>
      <c r="H16" s="12" t="s">
        <v>4</v>
      </c>
      <c r="J16" s="1"/>
    </row>
    <row r="17" spans="1:10" ht="15.9" customHeight="1" x14ac:dyDescent="0.3">
      <c r="A17" s="21">
        <v>13</v>
      </c>
      <c r="B17" s="11" t="s">
        <v>266</v>
      </c>
      <c r="C17" s="11" t="s">
        <v>267</v>
      </c>
      <c r="D17" s="11" t="s">
        <v>453</v>
      </c>
      <c r="E17" s="11" t="s">
        <v>118</v>
      </c>
      <c r="F17" s="11" t="s">
        <v>119</v>
      </c>
      <c r="G17" s="11" t="s">
        <v>428</v>
      </c>
      <c r="H17" s="11" t="s">
        <v>0</v>
      </c>
      <c r="J17" s="1"/>
    </row>
    <row r="18" spans="1:10" ht="15.9" customHeight="1" x14ac:dyDescent="0.3">
      <c r="A18" s="22">
        <v>14</v>
      </c>
      <c r="B18" s="12" t="s">
        <v>268</v>
      </c>
      <c r="C18" s="12" t="s">
        <v>269</v>
      </c>
      <c r="D18" s="12" t="s">
        <v>445</v>
      </c>
      <c r="E18" s="12" t="s">
        <v>270</v>
      </c>
      <c r="F18" s="12" t="s">
        <v>271</v>
      </c>
      <c r="G18" s="12" t="s">
        <v>446</v>
      </c>
      <c r="H18" s="12" t="s">
        <v>89</v>
      </c>
    </row>
    <row r="19" spans="1:10" ht="15.9" customHeight="1" x14ac:dyDescent="0.3">
      <c r="A19" s="21">
        <v>15</v>
      </c>
      <c r="B19" s="11" t="s">
        <v>272</v>
      </c>
      <c r="C19" s="11" t="s">
        <v>273</v>
      </c>
      <c r="D19" s="11" t="s">
        <v>443</v>
      </c>
      <c r="E19" s="11" t="s">
        <v>274</v>
      </c>
      <c r="F19" s="11" t="s">
        <v>189</v>
      </c>
      <c r="G19" s="11" t="s">
        <v>443</v>
      </c>
      <c r="H19" s="11" t="s">
        <v>89</v>
      </c>
    </row>
    <row r="20" spans="1:10" ht="15.9" customHeight="1" x14ac:dyDescent="0.3">
      <c r="A20" s="22">
        <v>16</v>
      </c>
      <c r="B20" s="12" t="s">
        <v>275</v>
      </c>
      <c r="C20" s="12" t="s">
        <v>215</v>
      </c>
      <c r="D20" s="12" t="s">
        <v>442</v>
      </c>
      <c r="E20" s="12" t="s">
        <v>276</v>
      </c>
      <c r="F20" s="12" t="s">
        <v>90</v>
      </c>
      <c r="G20" s="12" t="s">
        <v>442</v>
      </c>
      <c r="H20" s="12" t="s">
        <v>2</v>
      </c>
    </row>
    <row r="21" spans="1:10" ht="15.9" customHeight="1" x14ac:dyDescent="0.3">
      <c r="A21" s="21">
        <v>17</v>
      </c>
      <c r="B21" s="11" t="s">
        <v>277</v>
      </c>
      <c r="C21" s="11" t="s">
        <v>278</v>
      </c>
      <c r="D21" s="11" t="s">
        <v>454</v>
      </c>
      <c r="E21" s="11" t="s">
        <v>279</v>
      </c>
      <c r="F21" s="11" t="s">
        <v>280</v>
      </c>
      <c r="G21" s="11" t="s">
        <v>454</v>
      </c>
      <c r="H21" s="11" t="s">
        <v>0</v>
      </c>
    </row>
    <row r="22" spans="1:10" ht="15.6" x14ac:dyDescent="0.3">
      <c r="A22" s="36">
        <v>18</v>
      </c>
      <c r="B22" s="37" t="s">
        <v>116</v>
      </c>
      <c r="C22" s="37" t="s">
        <v>117</v>
      </c>
      <c r="D22" s="37" t="s">
        <v>427</v>
      </c>
      <c r="E22" s="37" t="s">
        <v>281</v>
      </c>
      <c r="F22" s="37" t="s">
        <v>282</v>
      </c>
      <c r="G22" s="37" t="s">
        <v>452</v>
      </c>
      <c r="H22" s="37" t="s">
        <v>0</v>
      </c>
    </row>
    <row r="23" spans="1:10" x14ac:dyDescent="0.3">
      <c r="H23" s="40" t="str">
        <f>ChampionshipDate</f>
        <v>17./18.06.2017</v>
      </c>
    </row>
    <row r="29" spans="1:10" x14ac:dyDescent="0.3">
      <c r="E29" s="8"/>
      <c r="F29" s="9"/>
      <c r="G29" s="8"/>
      <c r="H29" s="9"/>
      <c r="I29" s="9"/>
      <c r="J29" s="8"/>
    </row>
    <row r="30" spans="1:10" x14ac:dyDescent="0.3">
      <c r="E30" s="8"/>
      <c r="F30" s="9"/>
      <c r="G30" s="8"/>
      <c r="H30" s="9"/>
      <c r="I30" s="9"/>
      <c r="J30" s="8"/>
    </row>
    <row r="31" spans="1:10" x14ac:dyDescent="0.3">
      <c r="E31" s="8"/>
      <c r="F31" s="9"/>
      <c r="G31" s="8"/>
      <c r="H31" s="9"/>
      <c r="I31" s="9"/>
      <c r="J31" s="8"/>
    </row>
    <row r="32" spans="1:10" x14ac:dyDescent="0.3">
      <c r="E32" s="8"/>
      <c r="F32" s="9"/>
      <c r="G32" s="8"/>
      <c r="H32" s="9"/>
      <c r="I32" s="9"/>
      <c r="J32" s="8"/>
    </row>
    <row r="33" spans="5:10" x14ac:dyDescent="0.3">
      <c r="E33" s="8"/>
      <c r="F33" s="9"/>
      <c r="G33" s="8"/>
      <c r="H33" s="9"/>
      <c r="I33" s="9"/>
      <c r="J33" s="8"/>
    </row>
    <row r="34" spans="5:10" x14ac:dyDescent="0.3">
      <c r="E34" s="8"/>
      <c r="F34" s="9"/>
      <c r="G34" s="8"/>
      <c r="H34" s="9"/>
      <c r="I34" s="9"/>
      <c r="J34" s="8"/>
    </row>
    <row r="35" spans="5:10" x14ac:dyDescent="0.3">
      <c r="E35" s="8"/>
      <c r="F35" s="9"/>
      <c r="G35" s="8"/>
      <c r="H35" s="9"/>
      <c r="I35" s="9"/>
      <c r="J35" s="8"/>
    </row>
    <row r="36" spans="5:10" x14ac:dyDescent="0.3">
      <c r="E36" s="8"/>
      <c r="F36" s="9"/>
      <c r="G36" s="8"/>
      <c r="H36" s="9"/>
      <c r="I36" s="9"/>
      <c r="J36" s="8"/>
    </row>
    <row r="37" spans="5:10" x14ac:dyDescent="0.3">
      <c r="E37" s="8"/>
      <c r="F37" s="9"/>
      <c r="G37" s="8"/>
      <c r="H37" s="9"/>
      <c r="I37" s="9"/>
      <c r="J37" s="8"/>
    </row>
    <row r="38" spans="5:10" x14ac:dyDescent="0.3">
      <c r="E38" s="8"/>
      <c r="F38" s="9"/>
      <c r="G38" s="8"/>
      <c r="H38" s="9"/>
      <c r="I38" s="9"/>
      <c r="J38" s="8"/>
    </row>
    <row r="39" spans="5:10" x14ac:dyDescent="0.3">
      <c r="E39" s="8"/>
      <c r="F39" s="9"/>
      <c r="G39" s="8"/>
      <c r="H39" s="9"/>
      <c r="I39" s="9"/>
      <c r="J39" s="8"/>
    </row>
    <row r="40" spans="5:10" x14ac:dyDescent="0.3">
      <c r="E40" s="8"/>
      <c r="F40" s="9"/>
      <c r="G40" s="8"/>
      <c r="H40" s="9"/>
      <c r="I40" s="9"/>
      <c r="J40" s="8"/>
    </row>
    <row r="41" spans="5:10" x14ac:dyDescent="0.3">
      <c r="E41" s="8"/>
      <c r="F41" s="9"/>
      <c r="G41" s="8"/>
      <c r="H41" s="9"/>
      <c r="I41" s="9"/>
      <c r="J41" s="8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  <row r="63" spans="11:17" x14ac:dyDescent="0.3">
      <c r="K63" s="4"/>
      <c r="Q63" s="4"/>
    </row>
    <row r="64" spans="11:17" x14ac:dyDescent="0.3">
      <c r="K64" s="4"/>
      <c r="Q64" s="4"/>
    </row>
    <row r="65" spans="11:17" x14ac:dyDescent="0.3">
      <c r="K65" s="4"/>
      <c r="Q65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259080</xdr:rowOff>
                  </from>
                  <to>
                    <xdr:col>10</xdr:col>
                    <xdr:colOff>403860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pageSetUpPr fitToPage="1"/>
  </sheetPr>
  <dimension ref="A1:R58"/>
  <sheetViews>
    <sheetView zoomScaleNormal="100"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8" ht="84.9" customHeight="1" x14ac:dyDescent="0.7">
      <c r="A1" s="47" t="s">
        <v>22</v>
      </c>
      <c r="B1" s="47"/>
      <c r="C1" s="47"/>
      <c r="D1" s="47"/>
      <c r="E1" s="47"/>
      <c r="F1" s="47"/>
      <c r="G1" s="47"/>
      <c r="H1" s="47"/>
      <c r="I1" s="6"/>
      <c r="J1" s="6"/>
    </row>
    <row r="2" spans="1:18" ht="24.6" customHeight="1" x14ac:dyDescent="0.4">
      <c r="A2" s="48" t="str">
        <f>ChampionshipName</f>
        <v>Deutsche Kata-Meisterschaften 2017</v>
      </c>
      <c r="B2" s="48"/>
      <c r="C2" s="48"/>
      <c r="D2" s="48"/>
      <c r="E2" s="48"/>
      <c r="F2" s="48"/>
      <c r="G2" s="48"/>
      <c r="H2" s="48"/>
      <c r="I2" s="7"/>
      <c r="J2" s="7"/>
    </row>
    <row r="3" spans="1:18" ht="40.35" customHeight="1" x14ac:dyDescent="0.3">
      <c r="A3" s="49" t="str">
        <f>ChampionshipType</f>
        <v>Vorrunde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" customHeight="1" x14ac:dyDescent="0.3">
      <c r="A5" s="15">
        <v>1</v>
      </c>
      <c r="B5" s="16" t="s">
        <v>283</v>
      </c>
      <c r="C5" s="16" t="s">
        <v>107</v>
      </c>
      <c r="D5" s="16" t="s">
        <v>461</v>
      </c>
      <c r="E5" s="16" t="s">
        <v>284</v>
      </c>
      <c r="F5" s="16" t="s">
        <v>285</v>
      </c>
      <c r="G5" s="16" t="s">
        <v>473</v>
      </c>
      <c r="H5" s="16" t="s">
        <v>0</v>
      </c>
      <c r="J5" s="1" t="str">
        <f>Judge1</f>
        <v>Wertung 1</v>
      </c>
      <c r="K5" s="3" t="s">
        <v>217</v>
      </c>
      <c r="L5" s="3" t="s">
        <v>218</v>
      </c>
      <c r="M5" s="3" t="s">
        <v>105</v>
      </c>
      <c r="R5" s="4"/>
    </row>
    <row r="6" spans="1:18" ht="15.9" customHeight="1" x14ac:dyDescent="0.3">
      <c r="A6" s="17">
        <v>2</v>
      </c>
      <c r="B6" s="18" t="s">
        <v>286</v>
      </c>
      <c r="C6" s="18" t="s">
        <v>287</v>
      </c>
      <c r="D6" s="18" t="s">
        <v>462</v>
      </c>
      <c r="E6" s="18" t="s">
        <v>288</v>
      </c>
      <c r="F6" s="18" t="s">
        <v>287</v>
      </c>
      <c r="G6" s="18" t="s">
        <v>462</v>
      </c>
      <c r="H6" s="18" t="s">
        <v>4</v>
      </c>
      <c r="J6" s="1" t="str">
        <f>Judge2</f>
        <v>Wertung 2</v>
      </c>
      <c r="K6" s="3" t="s">
        <v>152</v>
      </c>
      <c r="L6" s="3" t="s">
        <v>158</v>
      </c>
      <c r="M6" s="3" t="s">
        <v>4</v>
      </c>
      <c r="R6" s="4"/>
    </row>
    <row r="7" spans="1:18" ht="15.9" customHeight="1" x14ac:dyDescent="0.3">
      <c r="A7" s="15">
        <v>3</v>
      </c>
      <c r="B7" s="16" t="s">
        <v>289</v>
      </c>
      <c r="C7" s="16" t="s">
        <v>290</v>
      </c>
      <c r="D7" s="16" t="s">
        <v>463</v>
      </c>
      <c r="E7" s="16" t="s">
        <v>291</v>
      </c>
      <c r="F7" s="16" t="s">
        <v>292</v>
      </c>
      <c r="G7" s="16" t="s">
        <v>463</v>
      </c>
      <c r="H7" s="16" t="s">
        <v>0</v>
      </c>
      <c r="J7" s="1" t="str">
        <f>JudgeHead</f>
        <v>Wertung 3 (H)</v>
      </c>
      <c r="K7" s="3" t="s">
        <v>148</v>
      </c>
      <c r="L7" s="3" t="s">
        <v>399</v>
      </c>
      <c r="M7" s="3" t="s">
        <v>0</v>
      </c>
      <c r="R7" s="4"/>
    </row>
    <row r="8" spans="1:18" ht="15.9" customHeight="1" x14ac:dyDescent="0.3">
      <c r="A8" s="17">
        <v>4</v>
      </c>
      <c r="B8" s="18" t="s">
        <v>293</v>
      </c>
      <c r="C8" s="18" t="s">
        <v>107</v>
      </c>
      <c r="D8" s="18" t="s">
        <v>464</v>
      </c>
      <c r="E8" s="18" t="s">
        <v>294</v>
      </c>
      <c r="F8" s="18" t="s">
        <v>295</v>
      </c>
      <c r="G8" s="18" t="s">
        <v>474</v>
      </c>
      <c r="H8" s="18" t="s">
        <v>2</v>
      </c>
      <c r="J8" s="1" t="str">
        <f>Judge4</f>
        <v>Wertung 4</v>
      </c>
      <c r="K8" s="3" t="s">
        <v>235</v>
      </c>
      <c r="L8" s="3" t="s">
        <v>400</v>
      </c>
      <c r="M8" s="3" t="s">
        <v>3</v>
      </c>
      <c r="R8" s="4"/>
    </row>
    <row r="9" spans="1:18" ht="15.9" customHeight="1" x14ac:dyDescent="0.3">
      <c r="A9" s="15">
        <v>5</v>
      </c>
      <c r="B9" s="16" t="s">
        <v>296</v>
      </c>
      <c r="C9" s="16" t="s">
        <v>18</v>
      </c>
      <c r="D9" s="16" t="s">
        <v>458</v>
      </c>
      <c r="E9" s="16" t="s">
        <v>297</v>
      </c>
      <c r="F9" s="16" t="s">
        <v>298</v>
      </c>
      <c r="G9" s="16" t="s">
        <v>475</v>
      </c>
      <c r="H9" s="16" t="s">
        <v>237</v>
      </c>
      <c r="J9" s="1" t="str">
        <f>Judge5</f>
        <v>Wertung 5</v>
      </c>
      <c r="K9" s="3" t="s">
        <v>154</v>
      </c>
      <c r="L9" s="3" t="s">
        <v>157</v>
      </c>
      <c r="M9" s="3" t="s">
        <v>130</v>
      </c>
      <c r="R9" s="4"/>
    </row>
    <row r="10" spans="1:18" ht="15.9" customHeight="1" x14ac:dyDescent="0.3">
      <c r="A10" s="17">
        <v>6</v>
      </c>
      <c r="B10" s="18" t="s">
        <v>299</v>
      </c>
      <c r="C10" s="18" t="s">
        <v>300</v>
      </c>
      <c r="D10" s="18" t="s">
        <v>465</v>
      </c>
      <c r="E10" s="18" t="s">
        <v>299</v>
      </c>
      <c r="F10" s="18" t="s">
        <v>302</v>
      </c>
      <c r="G10" s="18" t="s">
        <v>465</v>
      </c>
      <c r="H10" s="18" t="s">
        <v>301</v>
      </c>
      <c r="J10" s="1" t="str">
        <f>JudgeStandin</f>
        <v>Springer</v>
      </c>
      <c r="K10" s="3" t="s">
        <v>336</v>
      </c>
      <c r="L10" s="3" t="s">
        <v>401</v>
      </c>
      <c r="M10" s="3" t="s">
        <v>89</v>
      </c>
      <c r="R10" s="4"/>
    </row>
    <row r="11" spans="1:18" ht="15.9" customHeight="1" x14ac:dyDescent="0.3">
      <c r="A11" s="15">
        <v>7</v>
      </c>
      <c r="B11" s="16" t="s">
        <v>126</v>
      </c>
      <c r="C11" s="16" t="s">
        <v>170</v>
      </c>
      <c r="D11" s="16" t="s">
        <v>426</v>
      </c>
      <c r="E11" s="16" t="s">
        <v>126</v>
      </c>
      <c r="F11" s="16" t="s">
        <v>303</v>
      </c>
      <c r="G11" s="16" t="s">
        <v>426</v>
      </c>
      <c r="H11" s="16" t="s">
        <v>4</v>
      </c>
      <c r="I11" s="4"/>
      <c r="J11" s="1" t="str">
        <f>JudgeSupervisor</f>
        <v>Beobachter</v>
      </c>
      <c r="K11" s="3" t="s">
        <v>148</v>
      </c>
      <c r="L11" s="3" t="s">
        <v>159</v>
      </c>
      <c r="M11" s="3" t="s">
        <v>397</v>
      </c>
      <c r="R11" s="4"/>
    </row>
    <row r="12" spans="1:18" ht="15.9" customHeight="1" x14ac:dyDescent="0.3">
      <c r="A12" s="17">
        <v>8</v>
      </c>
      <c r="B12" s="18" t="s">
        <v>304</v>
      </c>
      <c r="C12" s="18" t="s">
        <v>305</v>
      </c>
      <c r="D12" s="18" t="s">
        <v>466</v>
      </c>
      <c r="E12" s="18" t="s">
        <v>306</v>
      </c>
      <c r="F12" s="18" t="s">
        <v>307</v>
      </c>
      <c r="G12" s="18" t="s">
        <v>466</v>
      </c>
      <c r="H12" s="18" t="s">
        <v>0</v>
      </c>
      <c r="J12" s="1" t="s">
        <v>406</v>
      </c>
      <c r="K12" s="3" t="s">
        <v>398</v>
      </c>
      <c r="L12" s="3" t="s">
        <v>187</v>
      </c>
      <c r="M12" s="3" t="s">
        <v>2</v>
      </c>
      <c r="R12" s="4"/>
    </row>
    <row r="13" spans="1:18" ht="15.9" customHeight="1" x14ac:dyDescent="0.3">
      <c r="A13" s="15">
        <v>9</v>
      </c>
      <c r="B13" s="16" t="s">
        <v>308</v>
      </c>
      <c r="C13" s="16" t="s">
        <v>309</v>
      </c>
      <c r="D13" s="16" t="s">
        <v>467</v>
      </c>
      <c r="E13" s="16" t="s">
        <v>310</v>
      </c>
      <c r="F13" s="16" t="s">
        <v>311</v>
      </c>
      <c r="G13" s="16" t="s">
        <v>476</v>
      </c>
      <c r="H13" s="16" t="s">
        <v>2</v>
      </c>
      <c r="J13" s="1" t="s">
        <v>407</v>
      </c>
      <c r="K13" s="3" t="s">
        <v>156</v>
      </c>
      <c r="L13" s="3" t="s">
        <v>163</v>
      </c>
      <c r="M13" s="3" t="s">
        <v>19</v>
      </c>
      <c r="R13" s="4"/>
    </row>
    <row r="14" spans="1:18" ht="15.9" customHeight="1" x14ac:dyDescent="0.3">
      <c r="A14" s="17">
        <v>10</v>
      </c>
      <c r="B14" s="18" t="s">
        <v>312</v>
      </c>
      <c r="C14" s="18" t="s">
        <v>313</v>
      </c>
      <c r="D14" s="18" t="s">
        <v>468</v>
      </c>
      <c r="E14" s="18" t="s">
        <v>312</v>
      </c>
      <c r="F14" s="18" t="s">
        <v>314</v>
      </c>
      <c r="G14" s="18" t="s">
        <v>468</v>
      </c>
      <c r="H14" s="18" t="s">
        <v>237</v>
      </c>
      <c r="J14" s="1"/>
      <c r="R14" s="4"/>
    </row>
    <row r="15" spans="1:18" ht="15.9" customHeight="1" x14ac:dyDescent="0.3">
      <c r="A15" s="15">
        <v>11</v>
      </c>
      <c r="B15" s="16" t="s">
        <v>315</v>
      </c>
      <c r="C15" s="16" t="s">
        <v>316</v>
      </c>
      <c r="D15" s="16" t="s">
        <v>433</v>
      </c>
      <c r="E15" s="16" t="s">
        <v>317</v>
      </c>
      <c r="F15" s="16" t="s">
        <v>318</v>
      </c>
      <c r="G15" s="16" t="s">
        <v>433</v>
      </c>
      <c r="H15" s="16" t="s">
        <v>130</v>
      </c>
      <c r="L15" s="4"/>
      <c r="R15" s="4"/>
    </row>
    <row r="16" spans="1:18" ht="15.9" customHeight="1" x14ac:dyDescent="0.3">
      <c r="A16" s="17">
        <v>12</v>
      </c>
      <c r="B16" s="18" t="s">
        <v>319</v>
      </c>
      <c r="C16" s="18" t="s">
        <v>320</v>
      </c>
      <c r="D16" s="18" t="s">
        <v>469</v>
      </c>
      <c r="E16" s="18" t="s">
        <v>319</v>
      </c>
      <c r="F16" s="18" t="s">
        <v>321</v>
      </c>
      <c r="G16" s="18" t="s">
        <v>469</v>
      </c>
      <c r="H16" s="18" t="s">
        <v>0</v>
      </c>
      <c r="L16" s="4"/>
      <c r="R16" s="4"/>
    </row>
    <row r="17" spans="1:18" ht="15.9" customHeight="1" x14ac:dyDescent="0.3">
      <c r="A17" s="15">
        <v>13</v>
      </c>
      <c r="B17" s="16" t="s">
        <v>322</v>
      </c>
      <c r="C17" s="16" t="s">
        <v>323</v>
      </c>
      <c r="D17" s="16" t="s">
        <v>470</v>
      </c>
      <c r="E17" s="16" t="s">
        <v>324</v>
      </c>
      <c r="F17" s="16" t="s">
        <v>159</v>
      </c>
      <c r="G17" s="16" t="s">
        <v>477</v>
      </c>
      <c r="H17" s="16" t="s">
        <v>2</v>
      </c>
      <c r="L17" s="4"/>
      <c r="R17" s="4"/>
    </row>
    <row r="18" spans="1:18" ht="15.9" customHeight="1" x14ac:dyDescent="0.3">
      <c r="A18" s="17">
        <v>14</v>
      </c>
      <c r="B18" s="18" t="s">
        <v>187</v>
      </c>
      <c r="C18" s="18" t="s">
        <v>96</v>
      </c>
      <c r="D18" s="18" t="s">
        <v>471</v>
      </c>
      <c r="E18" s="18" t="s">
        <v>187</v>
      </c>
      <c r="F18" s="18" t="s">
        <v>159</v>
      </c>
      <c r="G18" s="18" t="s">
        <v>471</v>
      </c>
      <c r="H18" s="18" t="s">
        <v>89</v>
      </c>
    </row>
    <row r="19" spans="1:18" ht="15.6" x14ac:dyDescent="0.3">
      <c r="A19" s="19">
        <v>15</v>
      </c>
      <c r="B19" s="20" t="s">
        <v>325</v>
      </c>
      <c r="C19" s="20" t="s">
        <v>326</v>
      </c>
      <c r="D19" s="20" t="s">
        <v>472</v>
      </c>
      <c r="E19" s="20" t="s">
        <v>327</v>
      </c>
      <c r="F19" s="20" t="s">
        <v>328</v>
      </c>
      <c r="G19" s="20" t="s">
        <v>472</v>
      </c>
      <c r="H19" s="20" t="s">
        <v>4</v>
      </c>
    </row>
    <row r="20" spans="1:18" x14ac:dyDescent="0.3">
      <c r="H20" s="40" t="str">
        <f>ChampionshipDate</f>
        <v>17./18.06.2017</v>
      </c>
    </row>
    <row r="22" spans="1:18" x14ac:dyDescent="0.3">
      <c r="E22" s="8"/>
      <c r="F22" s="9"/>
      <c r="G22" s="8"/>
      <c r="H22" s="9"/>
      <c r="I22" s="9"/>
      <c r="J22" s="8"/>
    </row>
    <row r="23" spans="1:18" x14ac:dyDescent="0.3">
      <c r="E23" s="8"/>
      <c r="F23" s="9"/>
      <c r="G23" s="8"/>
      <c r="H23" s="9"/>
      <c r="I23" s="9"/>
      <c r="J23" s="8"/>
    </row>
    <row r="26" spans="1:18" x14ac:dyDescent="0.3">
      <c r="D26" s="4"/>
      <c r="I26" s="4"/>
    </row>
    <row r="27" spans="1:18" x14ac:dyDescent="0.3">
      <c r="D27" s="4"/>
      <c r="I27" s="4"/>
    </row>
    <row r="28" spans="1:18" x14ac:dyDescent="0.3">
      <c r="D28" s="4"/>
      <c r="I28" s="4"/>
    </row>
    <row r="29" spans="1:18" x14ac:dyDescent="0.3">
      <c r="D29" s="4"/>
      <c r="I29" s="4"/>
    </row>
    <row r="30" spans="1:18" x14ac:dyDescent="0.3">
      <c r="D30" s="4"/>
      <c r="I30" s="4"/>
    </row>
    <row r="31" spans="1:18" x14ac:dyDescent="0.3">
      <c r="D31" s="4"/>
      <c r="I31" s="4"/>
    </row>
    <row r="32" spans="1:18" x14ac:dyDescent="0.3">
      <c r="D32" s="4"/>
      <c r="I32" s="4"/>
    </row>
    <row r="33" spans="4:17" x14ac:dyDescent="0.3">
      <c r="D33" s="4"/>
      <c r="I33" s="4"/>
    </row>
    <row r="34" spans="4:17" x14ac:dyDescent="0.3">
      <c r="D34" s="4"/>
      <c r="I34" s="4"/>
    </row>
    <row r="35" spans="4:17" x14ac:dyDescent="0.3">
      <c r="D35" s="4"/>
      <c r="I35" s="4"/>
    </row>
    <row r="36" spans="4:17" x14ac:dyDescent="0.3">
      <c r="D36" s="4"/>
      <c r="I36" s="4"/>
    </row>
    <row r="37" spans="4:17" x14ac:dyDescent="0.3">
      <c r="D37" s="4"/>
      <c r="I37" s="4"/>
    </row>
    <row r="38" spans="4:17" x14ac:dyDescent="0.3">
      <c r="D38" s="4"/>
      <c r="I38" s="4"/>
    </row>
    <row r="39" spans="4:17" x14ac:dyDescent="0.3">
      <c r="D39" s="4"/>
      <c r="I39" s="4"/>
    </row>
    <row r="40" spans="4:17" x14ac:dyDescent="0.3">
      <c r="D40" s="4"/>
      <c r="I40" s="4"/>
    </row>
    <row r="41" spans="4:17" x14ac:dyDescent="0.3">
      <c r="D41" s="4"/>
      <c r="I41" s="4"/>
    </row>
    <row r="42" spans="4:17" x14ac:dyDescent="0.3">
      <c r="D42" s="4"/>
      <c r="I42" s="4"/>
    </row>
    <row r="43" spans="4:17" x14ac:dyDescent="0.3">
      <c r="D43" s="4"/>
      <c r="I43" s="4"/>
    </row>
    <row r="44" spans="4:17" x14ac:dyDescent="0.3">
      <c r="D44" s="4"/>
      <c r="I44" s="4"/>
    </row>
    <row r="45" spans="4:17" x14ac:dyDescent="0.3">
      <c r="K45" s="4"/>
      <c r="Q45" s="4"/>
    </row>
    <row r="46" spans="4:17" x14ac:dyDescent="0.3">
      <c r="K46" s="4"/>
      <c r="Q46" s="4"/>
    </row>
    <row r="47" spans="4:17" x14ac:dyDescent="0.3">
      <c r="K47" s="4"/>
      <c r="Q47" s="4"/>
    </row>
    <row r="48" spans="4:17" x14ac:dyDescent="0.3">
      <c r="K48" s="4"/>
      <c r="Q48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251460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R55"/>
  <sheetViews>
    <sheetView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8" ht="84.9" customHeight="1" x14ac:dyDescent="0.7">
      <c r="A1" s="47" t="s">
        <v>23</v>
      </c>
      <c r="B1" s="47"/>
      <c r="C1" s="47"/>
      <c r="D1" s="47"/>
      <c r="E1" s="47"/>
      <c r="F1" s="47"/>
      <c r="G1" s="47"/>
      <c r="H1" s="47"/>
      <c r="I1" s="6"/>
      <c r="J1" s="6"/>
    </row>
    <row r="2" spans="1:18" ht="24.6" customHeight="1" x14ac:dyDescent="0.4">
      <c r="A2" s="50" t="str">
        <f>ChampionshipName</f>
        <v>Deutsche Kata-Meisterschaften 2017</v>
      </c>
      <c r="B2" s="50"/>
      <c r="C2" s="50"/>
      <c r="D2" s="50"/>
      <c r="E2" s="50"/>
      <c r="F2" s="50"/>
      <c r="G2" s="50"/>
      <c r="H2" s="50"/>
      <c r="I2" s="7"/>
      <c r="J2" s="7"/>
    </row>
    <row r="3" spans="1:18" ht="40.35" customHeight="1" x14ac:dyDescent="0.3">
      <c r="A3" s="49" t="s">
        <v>508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" customHeight="1" x14ac:dyDescent="0.3">
      <c r="A5" s="24">
        <v>1</v>
      </c>
      <c r="B5" s="23" t="s">
        <v>241</v>
      </c>
      <c r="C5" s="23" t="s">
        <v>242</v>
      </c>
      <c r="D5" s="23" t="s">
        <v>460</v>
      </c>
      <c r="E5" s="23" t="s">
        <v>240</v>
      </c>
      <c r="F5" s="23" t="s">
        <v>197</v>
      </c>
      <c r="G5" s="23" t="s">
        <v>460</v>
      </c>
      <c r="H5" s="25" t="s">
        <v>208</v>
      </c>
      <c r="J5" s="1" t="str">
        <f>Judge1</f>
        <v>Wertung 1</v>
      </c>
      <c r="K5" s="43" t="s">
        <v>148</v>
      </c>
      <c r="L5" s="43" t="s">
        <v>399</v>
      </c>
      <c r="M5" s="43" t="s">
        <v>0</v>
      </c>
      <c r="R5" s="4"/>
    </row>
    <row r="6" spans="1:18" ht="15.9" customHeight="1" x14ac:dyDescent="0.3">
      <c r="A6" s="22">
        <v>2</v>
      </c>
      <c r="B6" s="12" t="s">
        <v>329</v>
      </c>
      <c r="C6" s="12" t="s">
        <v>330</v>
      </c>
      <c r="D6" s="12" t="s">
        <v>463</v>
      </c>
      <c r="E6" s="12" t="s">
        <v>331</v>
      </c>
      <c r="F6" s="12" t="s">
        <v>332</v>
      </c>
      <c r="G6" s="12" t="s">
        <v>463</v>
      </c>
      <c r="H6" s="26" t="s">
        <v>0</v>
      </c>
      <c r="J6" s="1" t="str">
        <f>Judge2</f>
        <v>Wertung 2</v>
      </c>
      <c r="K6" s="43" t="s">
        <v>204</v>
      </c>
      <c r="L6" s="43" t="s">
        <v>404</v>
      </c>
      <c r="M6" s="43" t="s">
        <v>130</v>
      </c>
      <c r="R6" s="4"/>
    </row>
    <row r="7" spans="1:18" ht="15.9" customHeight="1" x14ac:dyDescent="0.3">
      <c r="A7" s="24">
        <v>3</v>
      </c>
      <c r="B7" s="23" t="s">
        <v>333</v>
      </c>
      <c r="C7" s="23" t="s">
        <v>334</v>
      </c>
      <c r="D7" s="23" t="s">
        <v>466</v>
      </c>
      <c r="E7" s="23" t="s">
        <v>335</v>
      </c>
      <c r="F7" s="23" t="s">
        <v>220</v>
      </c>
      <c r="G7" s="23" t="s">
        <v>466</v>
      </c>
      <c r="H7" s="25" t="s">
        <v>0</v>
      </c>
      <c r="J7" s="1" t="str">
        <f>JudgeHead</f>
        <v>Wertung 3 (H)</v>
      </c>
      <c r="K7" s="43" t="s">
        <v>402</v>
      </c>
      <c r="L7" s="43" t="s">
        <v>405</v>
      </c>
      <c r="M7" s="43" t="s">
        <v>4</v>
      </c>
      <c r="R7" s="4"/>
    </row>
    <row r="8" spans="1:18" ht="15.9" customHeight="1" x14ac:dyDescent="0.3">
      <c r="A8" s="22">
        <v>4</v>
      </c>
      <c r="B8" s="12" t="s">
        <v>336</v>
      </c>
      <c r="C8" s="12" t="s">
        <v>337</v>
      </c>
      <c r="D8" s="12" t="s">
        <v>478</v>
      </c>
      <c r="E8" s="12" t="s">
        <v>336</v>
      </c>
      <c r="F8" s="12" t="s">
        <v>338</v>
      </c>
      <c r="G8" s="12" t="s">
        <v>478</v>
      </c>
      <c r="H8" s="26" t="s">
        <v>89</v>
      </c>
      <c r="J8" s="1" t="str">
        <f>Judge4</f>
        <v>Wertung 4</v>
      </c>
      <c r="K8" s="43" t="s">
        <v>336</v>
      </c>
      <c r="L8" s="43" t="s">
        <v>401</v>
      </c>
      <c r="M8" s="43" t="s">
        <v>89</v>
      </c>
      <c r="R8" s="4"/>
    </row>
    <row r="9" spans="1:18" ht="15.9" customHeight="1" x14ac:dyDescent="0.3">
      <c r="A9" s="24">
        <v>5</v>
      </c>
      <c r="B9" s="23" t="s">
        <v>339</v>
      </c>
      <c r="C9" s="23" t="s">
        <v>214</v>
      </c>
      <c r="D9" s="23" t="s">
        <v>479</v>
      </c>
      <c r="E9" s="23" t="s">
        <v>340</v>
      </c>
      <c r="F9" s="23" t="s">
        <v>341</v>
      </c>
      <c r="G9" s="23" t="s">
        <v>481</v>
      </c>
      <c r="H9" s="25" t="s">
        <v>19</v>
      </c>
      <c r="J9" s="1" t="str">
        <f>Judge5</f>
        <v>Wertung 5</v>
      </c>
      <c r="K9" s="43" t="s">
        <v>403</v>
      </c>
      <c r="L9" s="43" t="s">
        <v>164</v>
      </c>
      <c r="M9" s="43" t="s">
        <v>208</v>
      </c>
      <c r="R9" s="4"/>
    </row>
    <row r="10" spans="1:18" ht="15.9" customHeight="1" x14ac:dyDescent="0.3">
      <c r="A10" s="36">
        <v>6</v>
      </c>
      <c r="B10" s="37" t="s">
        <v>342</v>
      </c>
      <c r="C10" s="37" t="s">
        <v>107</v>
      </c>
      <c r="D10" s="37" t="s">
        <v>480</v>
      </c>
      <c r="E10" s="37" t="s">
        <v>343</v>
      </c>
      <c r="F10" s="37" t="s">
        <v>123</v>
      </c>
      <c r="G10" s="37" t="s">
        <v>482</v>
      </c>
      <c r="H10" s="42" t="s">
        <v>105</v>
      </c>
      <c r="J10" s="1" t="str">
        <f>JudgeStandin</f>
        <v>Springer</v>
      </c>
      <c r="K10" s="43" t="s">
        <v>213</v>
      </c>
      <c r="L10" s="43" t="s">
        <v>212</v>
      </c>
      <c r="M10" s="43" t="s">
        <v>19</v>
      </c>
      <c r="R10" s="4"/>
    </row>
    <row r="11" spans="1:18" ht="15.9" customHeight="1" x14ac:dyDescent="0.3">
      <c r="A11" s="40"/>
      <c r="B11" s="40"/>
      <c r="C11" s="40"/>
      <c r="D11" s="40"/>
      <c r="E11" s="40"/>
      <c r="F11" s="40"/>
      <c r="G11" s="40"/>
      <c r="H11" s="40" t="str">
        <f>ChampionshipDate</f>
        <v>17./18.06.2017</v>
      </c>
      <c r="I11" s="4"/>
      <c r="J11" s="1" t="str">
        <f>JudgeSupervisor</f>
        <v>Beobachter</v>
      </c>
      <c r="K11" s="3" t="s">
        <v>223</v>
      </c>
      <c r="L11" s="3" t="s">
        <v>119</v>
      </c>
      <c r="M11" s="3" t="s">
        <v>4</v>
      </c>
      <c r="R11" s="4"/>
    </row>
    <row r="12" spans="1:18" ht="15.9" customHeight="1" x14ac:dyDescent="0.3">
      <c r="A12" s="40"/>
      <c r="B12" s="40"/>
      <c r="C12" s="40"/>
      <c r="D12" s="40"/>
      <c r="E12" s="40"/>
      <c r="F12" s="40"/>
      <c r="G12" s="40"/>
      <c r="H12" s="40"/>
      <c r="J12" s="1" t="s">
        <v>17</v>
      </c>
      <c r="K12" s="3" t="s">
        <v>108</v>
      </c>
      <c r="L12" s="3" t="s">
        <v>94</v>
      </c>
      <c r="M12" s="3" t="s">
        <v>89</v>
      </c>
      <c r="R12" s="4"/>
    </row>
    <row r="13" spans="1:18" ht="15.9" customHeight="1" x14ac:dyDescent="0.3">
      <c r="A13" s="40"/>
      <c r="B13" s="40"/>
      <c r="C13" s="40"/>
      <c r="D13" s="40"/>
      <c r="E13" s="40"/>
      <c r="F13" s="40"/>
      <c r="G13" s="40"/>
      <c r="H13" s="40"/>
      <c r="J13" s="1"/>
      <c r="R13" s="4"/>
    </row>
    <row r="14" spans="1:18" ht="15.9" customHeight="1" x14ac:dyDescent="0.3">
      <c r="A14" s="40"/>
      <c r="B14" s="40"/>
      <c r="C14" s="40"/>
      <c r="D14" s="40"/>
      <c r="E14" s="40"/>
      <c r="F14" s="40"/>
      <c r="G14" s="40"/>
      <c r="H14" s="40"/>
      <c r="J14" s="1"/>
      <c r="R14" s="4"/>
    </row>
    <row r="15" spans="1:18" ht="15.9" customHeight="1" x14ac:dyDescent="0.3">
      <c r="A15" s="40"/>
      <c r="B15" s="40"/>
      <c r="C15" s="40"/>
      <c r="D15" s="40"/>
      <c r="E15" s="40"/>
      <c r="F15" s="40"/>
      <c r="G15" s="40"/>
      <c r="H15" s="40"/>
      <c r="R15" s="4"/>
    </row>
    <row r="16" spans="1:18" x14ac:dyDescent="0.3">
      <c r="A16" s="40"/>
      <c r="B16" s="40"/>
      <c r="C16" s="40"/>
      <c r="D16" s="40"/>
      <c r="E16" s="40"/>
      <c r="F16" s="40"/>
      <c r="G16" s="40"/>
      <c r="H16" s="40"/>
      <c r="R16" s="4"/>
    </row>
    <row r="19" spans="4:10" x14ac:dyDescent="0.3">
      <c r="E19" s="8"/>
      <c r="F19" s="9"/>
      <c r="G19" s="8"/>
      <c r="H19" s="9"/>
      <c r="I19" s="9"/>
      <c r="J19" s="8"/>
    </row>
    <row r="20" spans="4:10" x14ac:dyDescent="0.3">
      <c r="E20" s="8"/>
      <c r="F20" s="9"/>
      <c r="G20" s="8"/>
      <c r="H20" s="9"/>
      <c r="I20" s="9"/>
      <c r="J20" s="8"/>
    </row>
    <row r="24" spans="4:10" x14ac:dyDescent="0.3">
      <c r="D24" s="4"/>
    </row>
    <row r="26" spans="4:10" x14ac:dyDescent="0.3">
      <c r="D26" s="4"/>
      <c r="I26" s="4"/>
    </row>
    <row r="27" spans="4:10" x14ac:dyDescent="0.3">
      <c r="D27" s="4"/>
      <c r="I27" s="4"/>
    </row>
    <row r="28" spans="4:10" x14ac:dyDescent="0.3">
      <c r="D28" s="4"/>
      <c r="I28" s="4"/>
    </row>
    <row r="29" spans="4:10" x14ac:dyDescent="0.3">
      <c r="D29" s="4"/>
      <c r="I29" s="4"/>
    </row>
    <row r="30" spans="4:10" x14ac:dyDescent="0.3">
      <c r="D30" s="4"/>
      <c r="I30" s="4"/>
    </row>
    <row r="31" spans="4:10" x14ac:dyDescent="0.3">
      <c r="D31" s="4"/>
      <c r="I31" s="4"/>
    </row>
    <row r="32" spans="4:10" x14ac:dyDescent="0.3">
      <c r="D32" s="4"/>
      <c r="I32" s="4"/>
    </row>
    <row r="33" spans="4:17" x14ac:dyDescent="0.3">
      <c r="D33" s="4"/>
      <c r="I33" s="4"/>
    </row>
    <row r="42" spans="4:17" x14ac:dyDescent="0.3">
      <c r="K42" s="4"/>
      <c r="Q42" s="4"/>
    </row>
    <row r="43" spans="4:17" x14ac:dyDescent="0.3">
      <c r="K43" s="4"/>
      <c r="Q43" s="4"/>
    </row>
    <row r="44" spans="4:17" x14ac:dyDescent="0.3">
      <c r="K44" s="4"/>
      <c r="Q44" s="4"/>
    </row>
    <row r="45" spans="4:17" x14ac:dyDescent="0.3">
      <c r="K45" s="4"/>
      <c r="Q45" s="4"/>
    </row>
    <row r="46" spans="4:17" x14ac:dyDescent="0.3">
      <c r="K46" s="4"/>
      <c r="Q46" s="4"/>
    </row>
    <row r="47" spans="4:17" x14ac:dyDescent="0.3">
      <c r="K47" s="4"/>
      <c r="Q47" s="4"/>
    </row>
    <row r="48" spans="4:17" x14ac:dyDescent="0.3">
      <c r="K48" s="4"/>
      <c r="Q48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251460</xdr:rowOff>
                  </from>
                  <to>
                    <xdr:col>10</xdr:col>
                    <xdr:colOff>426720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pageSetUpPr fitToPage="1"/>
  </sheetPr>
  <dimension ref="A1:R62"/>
  <sheetViews>
    <sheetView workbookViewId="0">
      <selection activeCell="C14" sqref="C14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8" ht="84.9" customHeight="1" x14ac:dyDescent="0.7">
      <c r="A1" s="47" t="s">
        <v>24</v>
      </c>
      <c r="B1" s="47"/>
      <c r="C1" s="47"/>
      <c r="D1" s="47"/>
      <c r="E1" s="47"/>
      <c r="F1" s="47"/>
      <c r="G1" s="47"/>
      <c r="H1" s="47"/>
      <c r="I1" s="6"/>
      <c r="J1" s="6"/>
    </row>
    <row r="2" spans="1:18" ht="24.6" customHeight="1" x14ac:dyDescent="0.4">
      <c r="A2" s="48" t="str">
        <f>ChampionshipName</f>
        <v>Deutsche Kata-Meisterschaften 2017</v>
      </c>
      <c r="B2" s="48"/>
      <c r="C2" s="48"/>
      <c r="D2" s="48"/>
      <c r="E2" s="48"/>
      <c r="F2" s="48"/>
      <c r="G2" s="48"/>
      <c r="H2" s="48"/>
      <c r="I2" s="7"/>
      <c r="J2" s="7"/>
    </row>
    <row r="3" spans="1:18" ht="40.35" customHeight="1" x14ac:dyDescent="0.3">
      <c r="A3" s="49" t="str">
        <f>ChampionshipType</f>
        <v>Vorrunde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" customHeight="1" x14ac:dyDescent="0.3">
      <c r="A5" s="24">
        <v>1</v>
      </c>
      <c r="B5" s="27" t="s">
        <v>155</v>
      </c>
      <c r="C5" s="27" t="s">
        <v>344</v>
      </c>
      <c r="D5" s="27" t="s">
        <v>483</v>
      </c>
      <c r="E5" s="27" t="s">
        <v>97</v>
      </c>
      <c r="F5" s="27" t="s">
        <v>98</v>
      </c>
      <c r="G5" s="27" t="s">
        <v>419</v>
      </c>
      <c r="H5" s="27" t="s">
        <v>3</v>
      </c>
      <c r="J5" s="1" t="str">
        <f>Judge1</f>
        <v>Wertung 1</v>
      </c>
      <c r="K5" s="3" t="s">
        <v>411</v>
      </c>
      <c r="L5" s="3" t="s">
        <v>395</v>
      </c>
      <c r="M5" s="3" t="s">
        <v>19</v>
      </c>
      <c r="R5" s="4"/>
    </row>
    <row r="6" spans="1:18" ht="15.9" customHeight="1" x14ac:dyDescent="0.3">
      <c r="A6" s="22">
        <v>2</v>
      </c>
      <c r="B6" s="12" t="s">
        <v>345</v>
      </c>
      <c r="C6" s="12" t="s">
        <v>160</v>
      </c>
      <c r="D6" s="12" t="s">
        <v>458</v>
      </c>
      <c r="E6" s="12" t="s">
        <v>346</v>
      </c>
      <c r="F6" s="12" t="s">
        <v>18</v>
      </c>
      <c r="G6" s="12" t="s">
        <v>458</v>
      </c>
      <c r="H6" s="12" t="s">
        <v>237</v>
      </c>
      <c r="J6" s="1" t="str">
        <f>Judge2</f>
        <v>Wertung 2</v>
      </c>
      <c r="K6" s="3" t="s">
        <v>392</v>
      </c>
      <c r="L6" s="3" t="s">
        <v>395</v>
      </c>
      <c r="M6" s="3" t="s">
        <v>4</v>
      </c>
      <c r="R6" s="4"/>
    </row>
    <row r="7" spans="1:18" ht="15.9" customHeight="1" x14ac:dyDescent="0.3">
      <c r="A7" s="24">
        <v>3</v>
      </c>
      <c r="B7" s="27" t="s">
        <v>347</v>
      </c>
      <c r="C7" s="27" t="s">
        <v>348</v>
      </c>
      <c r="D7" s="27" t="s">
        <v>484</v>
      </c>
      <c r="E7" s="27" t="s">
        <v>349</v>
      </c>
      <c r="F7" s="27" t="s">
        <v>350</v>
      </c>
      <c r="G7" s="27" t="s">
        <v>484</v>
      </c>
      <c r="H7" s="27" t="s">
        <v>89</v>
      </c>
      <c r="J7" s="1" t="str">
        <f>JudgeHead</f>
        <v>Wertung 3 (H)</v>
      </c>
      <c r="K7" s="3" t="s">
        <v>412</v>
      </c>
      <c r="L7" s="3" t="s">
        <v>413</v>
      </c>
      <c r="M7" s="3" t="s">
        <v>2</v>
      </c>
      <c r="R7" s="4"/>
    </row>
    <row r="8" spans="1:18" ht="15.9" customHeight="1" x14ac:dyDescent="0.3">
      <c r="A8" s="22">
        <v>4</v>
      </c>
      <c r="B8" s="12" t="s">
        <v>335</v>
      </c>
      <c r="C8" s="12" t="s">
        <v>220</v>
      </c>
      <c r="D8" s="12" t="s">
        <v>466</v>
      </c>
      <c r="E8" s="12" t="s">
        <v>333</v>
      </c>
      <c r="F8" s="12" t="s">
        <v>334</v>
      </c>
      <c r="G8" s="12" t="s">
        <v>466</v>
      </c>
      <c r="H8" s="12" t="s">
        <v>0</v>
      </c>
      <c r="J8" s="1" t="str">
        <f>Judge4</f>
        <v>Wertung 4</v>
      </c>
      <c r="K8" s="3" t="s">
        <v>414</v>
      </c>
      <c r="L8" s="3" t="s">
        <v>415</v>
      </c>
      <c r="M8" s="3" t="s">
        <v>408</v>
      </c>
      <c r="R8" s="4"/>
    </row>
    <row r="9" spans="1:18" ht="15.9" customHeight="1" x14ac:dyDescent="0.3">
      <c r="A9" s="24">
        <v>5</v>
      </c>
      <c r="B9" s="27" t="s">
        <v>351</v>
      </c>
      <c r="C9" s="27" t="s">
        <v>352</v>
      </c>
      <c r="D9" s="27" t="s">
        <v>485</v>
      </c>
      <c r="E9" s="27" t="s">
        <v>353</v>
      </c>
      <c r="F9" s="27" t="s">
        <v>354</v>
      </c>
      <c r="G9" s="27" t="s">
        <v>485</v>
      </c>
      <c r="H9" s="27" t="s">
        <v>4</v>
      </c>
      <c r="J9" s="1" t="str">
        <f>Judge5</f>
        <v>Wertung 5</v>
      </c>
      <c r="K9" s="3" t="s">
        <v>235</v>
      </c>
      <c r="L9" s="3" t="s">
        <v>400</v>
      </c>
      <c r="M9" s="3" t="s">
        <v>3</v>
      </c>
      <c r="R9" s="4"/>
    </row>
    <row r="10" spans="1:18" ht="15.9" customHeight="1" x14ac:dyDescent="0.3">
      <c r="A10" s="22">
        <v>6</v>
      </c>
      <c r="B10" s="12" t="s">
        <v>299</v>
      </c>
      <c r="C10" s="12" t="s">
        <v>300</v>
      </c>
      <c r="D10" s="12" t="s">
        <v>465</v>
      </c>
      <c r="E10" s="12" t="s">
        <v>299</v>
      </c>
      <c r="F10" s="12" t="s">
        <v>302</v>
      </c>
      <c r="G10" s="12" t="s">
        <v>465</v>
      </c>
      <c r="H10" s="12" t="s">
        <v>301</v>
      </c>
      <c r="J10" s="1" t="str">
        <f>JudgeStandin</f>
        <v>Springer</v>
      </c>
      <c r="K10" s="3" t="s">
        <v>393</v>
      </c>
      <c r="L10" s="3" t="s">
        <v>396</v>
      </c>
      <c r="M10" s="3" t="s">
        <v>1</v>
      </c>
      <c r="R10" s="4"/>
    </row>
    <row r="11" spans="1:18" ht="15.9" customHeight="1" x14ac:dyDescent="0.3">
      <c r="A11" s="24">
        <v>7</v>
      </c>
      <c r="B11" s="27" t="s">
        <v>355</v>
      </c>
      <c r="C11" s="27" t="s">
        <v>123</v>
      </c>
      <c r="D11" s="27" t="s">
        <v>486</v>
      </c>
      <c r="E11" s="27" t="s">
        <v>87</v>
      </c>
      <c r="F11" s="27" t="s">
        <v>356</v>
      </c>
      <c r="G11" s="27" t="s">
        <v>424</v>
      </c>
      <c r="H11" s="27" t="s">
        <v>89</v>
      </c>
      <c r="I11" s="4"/>
      <c r="J11" s="1" t="str">
        <f>JudgeSupervisor</f>
        <v>Beobachter</v>
      </c>
      <c r="K11" s="3" t="s">
        <v>409</v>
      </c>
      <c r="L11" s="3" t="s">
        <v>410</v>
      </c>
      <c r="M11" s="3" t="s">
        <v>0</v>
      </c>
      <c r="R11" s="4"/>
    </row>
    <row r="12" spans="1:18" ht="15.9" customHeight="1" x14ac:dyDescent="0.3">
      <c r="A12" s="36">
        <v>8</v>
      </c>
      <c r="B12" s="37" t="s">
        <v>233</v>
      </c>
      <c r="C12" s="37" t="s">
        <v>234</v>
      </c>
      <c r="D12" s="37" t="s">
        <v>456</v>
      </c>
      <c r="E12" s="37" t="s">
        <v>231</v>
      </c>
      <c r="F12" s="37" t="s">
        <v>232</v>
      </c>
      <c r="G12" s="37" t="s">
        <v>455</v>
      </c>
      <c r="H12" s="37" t="s">
        <v>0</v>
      </c>
      <c r="J12" s="1"/>
      <c r="R12" s="4"/>
    </row>
    <row r="13" spans="1:18" ht="15.9" customHeight="1" x14ac:dyDescent="0.3">
      <c r="A13" s="40"/>
      <c r="B13" s="40"/>
      <c r="C13" s="40"/>
      <c r="D13" s="40"/>
      <c r="E13" s="40"/>
      <c r="F13" s="40"/>
      <c r="G13" s="40"/>
      <c r="H13" s="40" t="str">
        <f>ChampionshipDate</f>
        <v>17./18.06.2017</v>
      </c>
      <c r="I13" s="40"/>
      <c r="J13" s="1"/>
      <c r="R13" s="4"/>
    </row>
    <row r="14" spans="1:18" ht="15.9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1"/>
      <c r="R14" s="4"/>
    </row>
    <row r="15" spans="1:18" x14ac:dyDescent="0.3">
      <c r="A15" s="40"/>
      <c r="B15" s="40"/>
      <c r="C15" s="40"/>
      <c r="D15" s="40"/>
      <c r="E15" s="40"/>
      <c r="F15" s="40"/>
      <c r="G15" s="40"/>
      <c r="H15" s="40"/>
      <c r="I15" s="40"/>
      <c r="R15" s="4"/>
    </row>
    <row r="16" spans="1:18" x14ac:dyDescent="0.3">
      <c r="A16" s="40"/>
      <c r="B16" s="40"/>
      <c r="C16" s="40"/>
      <c r="D16" s="40"/>
      <c r="E16" s="40"/>
      <c r="F16" s="40"/>
      <c r="G16" s="40"/>
      <c r="H16" s="40"/>
      <c r="I16" s="40"/>
      <c r="R16" s="4"/>
    </row>
    <row r="17" spans="1:18" x14ac:dyDescent="0.3">
      <c r="A17" s="40"/>
      <c r="B17" s="40"/>
      <c r="C17" s="40"/>
      <c r="D17" s="40"/>
      <c r="E17" s="40"/>
      <c r="F17" s="40"/>
      <c r="G17" s="40"/>
      <c r="H17" s="40"/>
      <c r="I17" s="40"/>
      <c r="R17" s="4"/>
    </row>
    <row r="18" spans="1:18" x14ac:dyDescent="0.3">
      <c r="A18" s="40"/>
      <c r="B18" s="40"/>
      <c r="C18" s="40"/>
      <c r="D18" s="40"/>
      <c r="E18" s="40"/>
      <c r="F18" s="40"/>
      <c r="G18" s="40"/>
      <c r="I18" s="40"/>
      <c r="R18" s="4"/>
    </row>
    <row r="19" spans="1:18" x14ac:dyDescent="0.3">
      <c r="A19" s="40"/>
      <c r="B19" s="40"/>
      <c r="C19" s="40"/>
      <c r="D19" s="40"/>
      <c r="E19" s="40"/>
      <c r="F19" s="40"/>
      <c r="G19" s="40"/>
      <c r="H19" s="40"/>
      <c r="I19" s="40"/>
    </row>
    <row r="20" spans="1:18" x14ac:dyDescent="0.3">
      <c r="A20" s="40"/>
      <c r="B20" s="40"/>
      <c r="C20" s="40"/>
      <c r="D20" s="40"/>
      <c r="E20" s="40"/>
      <c r="F20" s="40"/>
      <c r="G20" s="40"/>
      <c r="H20" s="40"/>
      <c r="I20" s="40"/>
    </row>
    <row r="21" spans="1:18" x14ac:dyDescent="0.3">
      <c r="A21" s="40"/>
      <c r="B21" s="40"/>
      <c r="C21" s="40"/>
      <c r="D21" s="40"/>
      <c r="E21" s="40"/>
      <c r="F21" s="40"/>
      <c r="G21" s="40"/>
      <c r="H21" s="40"/>
      <c r="I21" s="40"/>
    </row>
    <row r="22" spans="1:18" x14ac:dyDescent="0.3">
      <c r="A22" s="40"/>
      <c r="B22" s="40"/>
      <c r="C22" s="40"/>
      <c r="D22" s="40"/>
      <c r="E22" s="40"/>
      <c r="F22" s="40"/>
      <c r="G22" s="40"/>
      <c r="H22" s="40"/>
      <c r="I22" s="40"/>
    </row>
    <row r="23" spans="1:18" x14ac:dyDescent="0.3">
      <c r="A23" s="40"/>
      <c r="B23" s="40"/>
      <c r="C23" s="40"/>
      <c r="D23" s="40"/>
      <c r="E23" s="40"/>
      <c r="F23" s="40"/>
      <c r="G23" s="40"/>
      <c r="H23" s="40"/>
      <c r="I23" s="40"/>
    </row>
    <row r="24" spans="1:18" x14ac:dyDescent="0.3">
      <c r="A24" s="40"/>
      <c r="B24" s="40"/>
      <c r="C24" s="40"/>
      <c r="D24" s="40"/>
      <c r="E24" s="40"/>
      <c r="F24" s="40"/>
      <c r="G24" s="40"/>
      <c r="H24" s="40"/>
      <c r="I24" s="40"/>
    </row>
    <row r="25" spans="1:18" x14ac:dyDescent="0.3">
      <c r="A25" s="40"/>
      <c r="B25" s="40"/>
      <c r="C25" s="40"/>
      <c r="D25" s="40"/>
      <c r="E25" s="40"/>
      <c r="F25" s="40"/>
      <c r="G25" s="40"/>
      <c r="H25" s="40"/>
      <c r="I25" s="40"/>
    </row>
    <row r="26" spans="1:18" x14ac:dyDescent="0.3">
      <c r="A26" s="40"/>
      <c r="B26" s="40"/>
      <c r="C26" s="40"/>
      <c r="D26" s="40"/>
      <c r="E26" s="40"/>
      <c r="F26" s="40"/>
      <c r="G26" s="40"/>
      <c r="H26" s="40"/>
      <c r="I26" s="40"/>
    </row>
    <row r="33" spans="4:9" x14ac:dyDescent="0.3">
      <c r="D33" s="4"/>
      <c r="I33" s="4"/>
    </row>
    <row r="34" spans="4:9" x14ac:dyDescent="0.3">
      <c r="D34" s="4"/>
      <c r="I34" s="4"/>
    </row>
    <row r="35" spans="4:9" x14ac:dyDescent="0.3">
      <c r="D35" s="4"/>
      <c r="I35" s="4"/>
    </row>
    <row r="36" spans="4:9" x14ac:dyDescent="0.3">
      <c r="D36" s="4"/>
      <c r="I36" s="4"/>
    </row>
    <row r="37" spans="4:9" x14ac:dyDescent="0.3">
      <c r="D37" s="4"/>
      <c r="I37" s="4"/>
    </row>
    <row r="38" spans="4:9" x14ac:dyDescent="0.3">
      <c r="D38" s="4"/>
      <c r="I38" s="4"/>
    </row>
    <row r="39" spans="4:9" x14ac:dyDescent="0.3">
      <c r="D39" s="4"/>
      <c r="I39" s="4"/>
    </row>
    <row r="40" spans="4:9" x14ac:dyDescent="0.3">
      <c r="D40" s="4"/>
      <c r="I40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R49"/>
  <sheetViews>
    <sheetView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8" ht="84.9" customHeight="1" x14ac:dyDescent="0.7">
      <c r="A1" s="47" t="s">
        <v>25</v>
      </c>
      <c r="B1" s="47"/>
      <c r="C1" s="47"/>
      <c r="D1" s="47"/>
      <c r="E1" s="47"/>
      <c r="F1" s="47"/>
      <c r="G1" s="47"/>
      <c r="H1" s="47"/>
      <c r="I1" s="6"/>
      <c r="J1" s="6"/>
    </row>
    <row r="2" spans="1:18" ht="24.6" customHeight="1" x14ac:dyDescent="0.4">
      <c r="A2" s="48" t="str">
        <f>ChampionshipName</f>
        <v>Deutsche Kata-Meisterschaften 2017</v>
      </c>
      <c r="B2" s="48"/>
      <c r="C2" s="48"/>
      <c r="D2" s="48"/>
      <c r="E2" s="48"/>
      <c r="F2" s="48"/>
      <c r="G2" s="48"/>
      <c r="H2" s="48"/>
      <c r="I2" s="7"/>
      <c r="J2" s="7"/>
    </row>
    <row r="3" spans="1:18" ht="40.35" customHeight="1" x14ac:dyDescent="0.3">
      <c r="A3" s="49" t="s">
        <v>508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" customHeight="1" x14ac:dyDescent="0.3">
      <c r="A5" s="24">
        <v>1</v>
      </c>
      <c r="B5" s="29" t="s">
        <v>284</v>
      </c>
      <c r="C5" s="30" t="s">
        <v>285</v>
      </c>
      <c r="D5" s="27" t="s">
        <v>473</v>
      </c>
      <c r="E5" s="27" t="s">
        <v>283</v>
      </c>
      <c r="F5" s="27" t="s">
        <v>107</v>
      </c>
      <c r="G5" s="27" t="s">
        <v>461</v>
      </c>
      <c r="H5" s="27" t="s">
        <v>0</v>
      </c>
      <c r="J5" s="1" t="str">
        <f>Judge1</f>
        <v>Wertung 1</v>
      </c>
      <c r="K5" s="3" t="s">
        <v>336</v>
      </c>
      <c r="L5" s="3" t="s">
        <v>401</v>
      </c>
      <c r="M5" s="3" t="s">
        <v>89</v>
      </c>
      <c r="R5" s="4"/>
    </row>
    <row r="6" spans="1:18" ht="15.9" customHeight="1" x14ac:dyDescent="0.3">
      <c r="A6" s="22">
        <v>2</v>
      </c>
      <c r="B6" s="31" t="s">
        <v>345</v>
      </c>
      <c r="C6" s="32" t="s">
        <v>160</v>
      </c>
      <c r="D6" s="12" t="s">
        <v>458</v>
      </c>
      <c r="E6" s="12" t="s">
        <v>357</v>
      </c>
      <c r="F6" s="12" t="s">
        <v>212</v>
      </c>
      <c r="G6" s="12" t="s">
        <v>488</v>
      </c>
      <c r="H6" s="12" t="s">
        <v>237</v>
      </c>
      <c r="J6" s="1" t="str">
        <f>Judge2</f>
        <v>Wertung 2</v>
      </c>
      <c r="K6" s="3" t="s">
        <v>414</v>
      </c>
      <c r="L6" s="3" t="s">
        <v>415</v>
      </c>
      <c r="M6" s="3" t="s">
        <v>408</v>
      </c>
      <c r="R6" s="4"/>
    </row>
    <row r="7" spans="1:18" ht="15.9" customHeight="1" x14ac:dyDescent="0.3">
      <c r="A7" s="24">
        <v>3</v>
      </c>
      <c r="B7" s="29" t="s">
        <v>255</v>
      </c>
      <c r="C7" s="30" t="s">
        <v>256</v>
      </c>
      <c r="D7" s="27" t="s">
        <v>448</v>
      </c>
      <c r="E7" s="27" t="s">
        <v>336</v>
      </c>
      <c r="F7" s="27" t="s">
        <v>358</v>
      </c>
      <c r="G7" s="27" t="s">
        <v>489</v>
      </c>
      <c r="H7" s="27" t="s">
        <v>4</v>
      </c>
      <c r="J7" s="1" t="str">
        <f>JudgeHead</f>
        <v>Wertung 3 (H)</v>
      </c>
      <c r="K7" s="3" t="s">
        <v>151</v>
      </c>
      <c r="L7" s="3" t="s">
        <v>161</v>
      </c>
      <c r="M7" s="3" t="s">
        <v>507</v>
      </c>
      <c r="R7" s="4"/>
    </row>
    <row r="8" spans="1:18" ht="15.9" customHeight="1" x14ac:dyDescent="0.3">
      <c r="A8" s="22">
        <v>4</v>
      </c>
      <c r="B8" s="31" t="s">
        <v>359</v>
      </c>
      <c r="C8" s="32" t="s">
        <v>107</v>
      </c>
      <c r="D8" s="12" t="s">
        <v>487</v>
      </c>
      <c r="E8" s="12" t="s">
        <v>360</v>
      </c>
      <c r="F8" s="12" t="s">
        <v>361</v>
      </c>
      <c r="G8" s="12" t="s">
        <v>487</v>
      </c>
      <c r="H8" s="12" t="s">
        <v>0</v>
      </c>
      <c r="J8" s="1" t="str">
        <f>Judge4</f>
        <v>Wertung 4</v>
      </c>
      <c r="K8" s="3" t="s">
        <v>402</v>
      </c>
      <c r="L8" s="3" t="s">
        <v>405</v>
      </c>
      <c r="M8" s="3" t="s">
        <v>4</v>
      </c>
      <c r="R8" s="4"/>
    </row>
    <row r="9" spans="1:18" ht="15.9" customHeight="1" x14ac:dyDescent="0.3">
      <c r="A9" s="41">
        <v>5</v>
      </c>
      <c r="B9" s="33" t="s">
        <v>362</v>
      </c>
      <c r="C9" s="28" t="s">
        <v>363</v>
      </c>
      <c r="D9" s="28" t="s">
        <v>487</v>
      </c>
      <c r="E9" s="28" t="s">
        <v>364</v>
      </c>
      <c r="F9" s="28" t="s">
        <v>119</v>
      </c>
      <c r="G9" s="28" t="s">
        <v>487</v>
      </c>
      <c r="H9" s="28" t="s">
        <v>0</v>
      </c>
      <c r="J9" s="1" t="str">
        <f>Judge5</f>
        <v>Wertung 5</v>
      </c>
      <c r="K9" s="3" t="s">
        <v>204</v>
      </c>
      <c r="L9" s="3" t="s">
        <v>404</v>
      </c>
      <c r="M9" s="3" t="s">
        <v>130</v>
      </c>
      <c r="R9" s="4"/>
    </row>
    <row r="10" spans="1:18" ht="15.9" customHeight="1" x14ac:dyDescent="0.3">
      <c r="A10" s="40"/>
      <c r="B10" s="40"/>
      <c r="C10" s="40"/>
      <c r="D10" s="40"/>
      <c r="E10" s="40"/>
      <c r="F10" s="40"/>
      <c r="G10" s="40"/>
      <c r="H10" s="40" t="str">
        <f>ChampionshipDate</f>
        <v>17./18.06.2017</v>
      </c>
      <c r="J10" s="1" t="str">
        <f>JudgeSupervisor</f>
        <v>Beobachter</v>
      </c>
      <c r="K10" s="3" t="s">
        <v>409</v>
      </c>
      <c r="L10" s="3" t="s">
        <v>410</v>
      </c>
      <c r="M10" s="3" t="s">
        <v>507</v>
      </c>
      <c r="R10" s="4"/>
    </row>
    <row r="11" spans="1:18" ht="15.9" customHeight="1" x14ac:dyDescent="0.3">
      <c r="A11" s="40"/>
      <c r="B11" s="40"/>
      <c r="C11" s="40"/>
      <c r="D11" s="40"/>
      <c r="E11" s="40"/>
      <c r="F11" s="40"/>
      <c r="G11" s="40"/>
      <c r="H11" s="40"/>
      <c r="I11" s="4"/>
      <c r="J11" s="1" t="s">
        <v>406</v>
      </c>
      <c r="K11" s="3" t="s">
        <v>108</v>
      </c>
      <c r="L11" s="3" t="s">
        <v>94</v>
      </c>
      <c r="M11" s="3" t="s">
        <v>89</v>
      </c>
      <c r="R11" s="4"/>
    </row>
    <row r="12" spans="1:18" ht="15.9" customHeight="1" x14ac:dyDescent="0.3">
      <c r="A12" s="40"/>
      <c r="B12" s="40"/>
      <c r="C12" s="40"/>
      <c r="D12" s="40"/>
      <c r="E12" s="40"/>
      <c r="F12" s="40"/>
      <c r="G12" s="40"/>
      <c r="H12" s="40"/>
      <c r="J12" s="1" t="s">
        <v>407</v>
      </c>
      <c r="K12" s="3" t="s">
        <v>411</v>
      </c>
      <c r="L12" s="3" t="s">
        <v>395</v>
      </c>
      <c r="M12" s="3" t="s">
        <v>19</v>
      </c>
      <c r="R12" s="4"/>
    </row>
    <row r="13" spans="1:18" x14ac:dyDescent="0.3">
      <c r="A13" s="40"/>
      <c r="B13" s="40"/>
      <c r="C13" s="40"/>
      <c r="D13" s="40"/>
      <c r="E13" s="40"/>
      <c r="F13" s="40"/>
      <c r="G13" s="40"/>
      <c r="H13" s="40"/>
      <c r="R13" s="4"/>
    </row>
    <row r="14" spans="1:18" x14ac:dyDescent="0.3">
      <c r="A14" s="40"/>
      <c r="B14" s="40"/>
      <c r="C14" s="40"/>
      <c r="D14" s="40"/>
      <c r="E14" s="40"/>
      <c r="F14" s="40"/>
      <c r="G14" s="40"/>
      <c r="H14" s="40"/>
      <c r="J14" s="1"/>
      <c r="R14" s="4"/>
    </row>
    <row r="15" spans="1:18" x14ac:dyDescent="0.3">
      <c r="A15" s="40"/>
      <c r="B15" s="40"/>
      <c r="C15" s="40"/>
      <c r="D15" s="40"/>
      <c r="E15" s="40"/>
      <c r="F15" s="40"/>
      <c r="G15" s="40"/>
      <c r="H15" s="40"/>
      <c r="R15" s="4"/>
    </row>
    <row r="21" spans="4:9" x14ac:dyDescent="0.3">
      <c r="D21" s="4"/>
      <c r="I21" s="4"/>
    </row>
    <row r="22" spans="4:9" x14ac:dyDescent="0.3">
      <c r="D22" s="4"/>
      <c r="I22" s="4"/>
    </row>
    <row r="23" spans="4:9" x14ac:dyDescent="0.3">
      <c r="D23" s="4"/>
      <c r="I23" s="4"/>
    </row>
    <row r="24" spans="4:9" x14ac:dyDescent="0.3">
      <c r="D24" s="4"/>
      <c r="I24" s="4"/>
    </row>
    <row r="25" spans="4:9" x14ac:dyDescent="0.3">
      <c r="D25" s="4"/>
      <c r="I25" s="4"/>
    </row>
    <row r="26" spans="4:9" x14ac:dyDescent="0.3">
      <c r="D26" s="4"/>
      <c r="I26" s="4"/>
    </row>
    <row r="27" spans="4:9" x14ac:dyDescent="0.3">
      <c r="D27" s="4"/>
      <c r="I27" s="4"/>
    </row>
    <row r="36" spans="11:17" x14ac:dyDescent="0.3">
      <c r="K36" s="4"/>
      <c r="Q36" s="4"/>
    </row>
    <row r="37" spans="11:17" x14ac:dyDescent="0.3">
      <c r="K37" s="4"/>
      <c r="Q37" s="4"/>
    </row>
    <row r="38" spans="11:17" x14ac:dyDescent="0.3">
      <c r="K38" s="4"/>
      <c r="Q38" s="4"/>
    </row>
    <row r="39" spans="11:17" x14ac:dyDescent="0.3">
      <c r="K39" s="4"/>
      <c r="Q39" s="4"/>
    </row>
    <row r="40" spans="11:17" x14ac:dyDescent="0.3">
      <c r="K40" s="4"/>
      <c r="Q40" s="4"/>
    </row>
    <row r="41" spans="11:17" x14ac:dyDescent="0.3">
      <c r="K41" s="4"/>
      <c r="Q41" s="4"/>
    </row>
    <row r="42" spans="11:17" x14ac:dyDescent="0.3">
      <c r="K42" s="4"/>
      <c r="Q42" s="4"/>
    </row>
    <row r="43" spans="11:17" x14ac:dyDescent="0.3">
      <c r="K43" s="4"/>
      <c r="Q43" s="4"/>
    </row>
    <row r="44" spans="11:17" x14ac:dyDescent="0.3">
      <c r="K44" s="4"/>
      <c r="Q44" s="4"/>
    </row>
    <row r="45" spans="11:17" x14ac:dyDescent="0.3">
      <c r="K45" s="4"/>
      <c r="Q45" s="4"/>
    </row>
    <row r="46" spans="11:17" x14ac:dyDescent="0.3">
      <c r="K46" s="4"/>
      <c r="Q46" s="4"/>
    </row>
    <row r="47" spans="11:17" x14ac:dyDescent="0.3">
      <c r="K47" s="4"/>
      <c r="Q47" s="4"/>
    </row>
    <row r="48" spans="11:17" x14ac:dyDescent="0.3">
      <c r="K48" s="4"/>
      <c r="Q48" s="4"/>
    </row>
    <row r="49" spans="11:17" x14ac:dyDescent="0.3">
      <c r="K49" s="4"/>
      <c r="Q49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22860</xdr:colOff>
                    <xdr:row>2</xdr:row>
                    <xdr:rowOff>259080</xdr:rowOff>
                  </from>
                  <to>
                    <xdr:col>10</xdr:col>
                    <xdr:colOff>449580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Q59"/>
  <sheetViews>
    <sheetView zoomScaleNormal="100" zoomScalePageLayoutView="70"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6" ht="84.9" customHeight="1" x14ac:dyDescent="0.7">
      <c r="A1" s="47" t="s">
        <v>226</v>
      </c>
      <c r="B1" s="47"/>
      <c r="C1" s="47"/>
      <c r="D1" s="47"/>
      <c r="E1" s="47"/>
      <c r="F1" s="47"/>
      <c r="G1" s="47"/>
      <c r="H1" s="47"/>
      <c r="I1" s="6"/>
      <c r="J1" s="6"/>
    </row>
    <row r="2" spans="1:16" ht="24.6" customHeight="1" x14ac:dyDescent="0.4">
      <c r="A2" s="48" t="str">
        <f>ChampionshipName</f>
        <v>Deutsche Kata-Meisterschaften 2017</v>
      </c>
      <c r="B2" s="48"/>
      <c r="C2" s="48"/>
      <c r="D2" s="48"/>
      <c r="E2" s="48"/>
      <c r="F2" s="48"/>
      <c r="G2" s="48"/>
      <c r="H2" s="48"/>
      <c r="I2" s="7"/>
      <c r="J2" s="7"/>
    </row>
    <row r="3" spans="1:16" s="10" customFormat="1" ht="40.200000000000003" customHeight="1" x14ac:dyDescent="0.3">
      <c r="A3" s="49" t="str">
        <f>ChampionshipType</f>
        <v>Vorrunde</v>
      </c>
      <c r="B3" s="49"/>
      <c r="C3" s="49"/>
      <c r="D3" s="49"/>
      <c r="E3" s="49"/>
      <c r="F3" s="49"/>
      <c r="G3" s="49"/>
      <c r="H3" s="49"/>
    </row>
    <row r="4" spans="1:16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6" ht="15.9" customHeight="1" x14ac:dyDescent="0.3">
      <c r="A5" s="21">
        <v>1</v>
      </c>
      <c r="B5" s="11" t="s">
        <v>165</v>
      </c>
      <c r="C5" s="11" t="s">
        <v>166</v>
      </c>
      <c r="D5" s="11" t="s">
        <v>429</v>
      </c>
      <c r="E5" s="11" t="s">
        <v>167</v>
      </c>
      <c r="F5" s="11" t="s">
        <v>168</v>
      </c>
      <c r="G5" s="11" t="s">
        <v>429</v>
      </c>
      <c r="H5" s="11" t="s">
        <v>0</v>
      </c>
      <c r="J5" s="1" t="str">
        <f>Judge1</f>
        <v>Wertung 1</v>
      </c>
      <c r="K5" s="3" t="s">
        <v>213</v>
      </c>
      <c r="L5" s="3" t="s">
        <v>212</v>
      </c>
      <c r="M5" s="3" t="s">
        <v>19</v>
      </c>
    </row>
    <row r="6" spans="1:16" ht="15.9" customHeight="1" x14ac:dyDescent="0.3">
      <c r="A6" s="22">
        <v>2</v>
      </c>
      <c r="B6" s="12" t="s">
        <v>169</v>
      </c>
      <c r="C6" s="12" t="s">
        <v>170</v>
      </c>
      <c r="D6" s="12" t="s">
        <v>490</v>
      </c>
      <c r="E6" s="12" t="s">
        <v>172</v>
      </c>
      <c r="F6" s="12" t="s">
        <v>173</v>
      </c>
      <c r="G6" s="12" t="s">
        <v>490</v>
      </c>
      <c r="H6" s="12" t="s">
        <v>171</v>
      </c>
      <c r="J6" s="1" t="str">
        <f>Judge2</f>
        <v>Wertung 2</v>
      </c>
      <c r="K6" s="3" t="s">
        <v>215</v>
      </c>
      <c r="L6" s="3" t="s">
        <v>214</v>
      </c>
      <c r="M6" s="3" t="s">
        <v>211</v>
      </c>
    </row>
    <row r="7" spans="1:16" ht="15.9" customHeight="1" x14ac:dyDescent="0.3">
      <c r="A7" s="21">
        <v>3</v>
      </c>
      <c r="B7" s="11" t="s">
        <v>174</v>
      </c>
      <c r="C7" s="11" t="s">
        <v>175</v>
      </c>
      <c r="D7" s="11" t="s">
        <v>491</v>
      </c>
      <c r="E7" s="11" t="s">
        <v>176</v>
      </c>
      <c r="F7" s="11" t="s">
        <v>177</v>
      </c>
      <c r="G7" s="11" t="s">
        <v>429</v>
      </c>
      <c r="H7" s="11" t="s">
        <v>0</v>
      </c>
      <c r="J7" s="1" t="str">
        <f>JudgeHead</f>
        <v>Wertung 3 (H)</v>
      </c>
      <c r="K7" s="3" t="s">
        <v>216</v>
      </c>
      <c r="L7" s="3" t="s">
        <v>107</v>
      </c>
      <c r="M7" s="3" t="s">
        <v>0</v>
      </c>
    </row>
    <row r="8" spans="1:16" ht="15.9" customHeight="1" x14ac:dyDescent="0.3">
      <c r="A8" s="22">
        <v>4</v>
      </c>
      <c r="B8" s="12" t="s">
        <v>178</v>
      </c>
      <c r="C8" s="12" t="s">
        <v>179</v>
      </c>
      <c r="D8" s="12" t="s">
        <v>449</v>
      </c>
      <c r="E8" s="12" t="s">
        <v>180</v>
      </c>
      <c r="F8" s="12" t="s">
        <v>181</v>
      </c>
      <c r="G8" s="12" t="s">
        <v>449</v>
      </c>
      <c r="H8" s="12" t="s">
        <v>4</v>
      </c>
      <c r="J8" s="1" t="str">
        <f>Judge4</f>
        <v>Wertung 4</v>
      </c>
      <c r="K8" s="3" t="s">
        <v>217</v>
      </c>
      <c r="L8" s="3" t="s">
        <v>218</v>
      </c>
      <c r="M8" s="3" t="s">
        <v>105</v>
      </c>
    </row>
    <row r="9" spans="1:16" ht="15.9" customHeight="1" x14ac:dyDescent="0.3">
      <c r="A9" s="21">
        <v>5</v>
      </c>
      <c r="B9" s="11" t="s">
        <v>182</v>
      </c>
      <c r="C9" s="11" t="s">
        <v>183</v>
      </c>
      <c r="D9" s="11" t="s">
        <v>471</v>
      </c>
      <c r="E9" s="11" t="s">
        <v>184</v>
      </c>
      <c r="F9" s="11" t="s">
        <v>185</v>
      </c>
      <c r="G9" s="11" t="s">
        <v>471</v>
      </c>
      <c r="H9" s="11" t="s">
        <v>89</v>
      </c>
      <c r="J9" s="1" t="str">
        <f>Judge5</f>
        <v>Wertung 5</v>
      </c>
      <c r="K9" s="3" t="s">
        <v>219</v>
      </c>
      <c r="L9" s="3" t="s">
        <v>220</v>
      </c>
      <c r="M9" s="3" t="s">
        <v>2</v>
      </c>
      <c r="O9" s="38"/>
      <c r="P9" s="38"/>
    </row>
    <row r="10" spans="1:16" ht="15.9" customHeight="1" x14ac:dyDescent="0.3">
      <c r="A10" s="22">
        <v>6</v>
      </c>
      <c r="B10" s="12" t="s">
        <v>186</v>
      </c>
      <c r="C10" s="12" t="s">
        <v>187</v>
      </c>
      <c r="D10" s="12" t="s">
        <v>492</v>
      </c>
      <c r="E10" s="12" t="s">
        <v>186</v>
      </c>
      <c r="F10" s="12" t="s">
        <v>189</v>
      </c>
      <c r="G10" s="12" t="s">
        <v>492</v>
      </c>
      <c r="H10" s="12" t="s">
        <v>188</v>
      </c>
      <c r="J10" s="1" t="str">
        <f>JudgeStandin</f>
        <v>Springer</v>
      </c>
      <c r="K10" s="3" t="s">
        <v>221</v>
      </c>
      <c r="L10" s="3" t="s">
        <v>222</v>
      </c>
      <c r="M10" s="3" t="s">
        <v>130</v>
      </c>
      <c r="O10" s="38"/>
      <c r="P10" s="38"/>
    </row>
    <row r="11" spans="1:16" ht="15.9" customHeight="1" x14ac:dyDescent="0.3">
      <c r="A11" s="21">
        <v>7</v>
      </c>
      <c r="B11" s="11" t="s">
        <v>190</v>
      </c>
      <c r="C11" s="11" t="s">
        <v>191</v>
      </c>
      <c r="D11" s="11" t="s">
        <v>493</v>
      </c>
      <c r="E11" s="11" t="s">
        <v>192</v>
      </c>
      <c r="F11" s="11" t="s">
        <v>193</v>
      </c>
      <c r="G11" s="11" t="s">
        <v>493</v>
      </c>
      <c r="H11" s="11" t="s">
        <v>4</v>
      </c>
      <c r="I11" s="4"/>
      <c r="J11" s="1" t="str">
        <f>JudgeSupervisor</f>
        <v>Beobachter</v>
      </c>
      <c r="K11" s="3" t="s">
        <v>223</v>
      </c>
      <c r="L11" s="3" t="s">
        <v>119</v>
      </c>
      <c r="M11" s="3" t="s">
        <v>4</v>
      </c>
    </row>
    <row r="12" spans="1:16" ht="15.9" customHeight="1" x14ac:dyDescent="0.3">
      <c r="A12" s="22">
        <v>8</v>
      </c>
      <c r="B12" s="12" t="s">
        <v>194</v>
      </c>
      <c r="C12" s="12" t="s">
        <v>195</v>
      </c>
      <c r="D12" s="12" t="s">
        <v>429</v>
      </c>
      <c r="E12" s="12" t="s">
        <v>196</v>
      </c>
      <c r="F12" s="12" t="s">
        <v>197</v>
      </c>
      <c r="G12" s="12" t="s">
        <v>429</v>
      </c>
      <c r="H12" s="12" t="s">
        <v>0</v>
      </c>
      <c r="J12" s="1" t="s">
        <v>406</v>
      </c>
      <c r="K12" s="3" t="s">
        <v>108</v>
      </c>
      <c r="L12" s="3" t="s">
        <v>94</v>
      </c>
      <c r="M12" s="3" t="s">
        <v>89</v>
      </c>
      <c r="O12" s="38"/>
      <c r="P12" s="38"/>
    </row>
    <row r="13" spans="1:16" ht="15.9" customHeight="1" x14ac:dyDescent="0.3">
      <c r="A13" s="21">
        <v>9</v>
      </c>
      <c r="B13" s="11" t="s">
        <v>198</v>
      </c>
      <c r="C13" s="11" t="s">
        <v>199</v>
      </c>
      <c r="D13" s="11" t="s">
        <v>494</v>
      </c>
      <c r="E13" s="11" t="s">
        <v>200</v>
      </c>
      <c r="F13" s="11" t="s">
        <v>201</v>
      </c>
      <c r="G13" s="11" t="s">
        <v>494</v>
      </c>
      <c r="H13" s="11" t="s">
        <v>0</v>
      </c>
      <c r="J13" s="1" t="s">
        <v>407</v>
      </c>
      <c r="K13" s="3" t="s">
        <v>224</v>
      </c>
      <c r="L13" s="3" t="s">
        <v>225</v>
      </c>
      <c r="M13" s="3" t="s">
        <v>171</v>
      </c>
      <c r="O13" s="38"/>
      <c r="P13" s="38"/>
    </row>
    <row r="14" spans="1:16" ht="15.9" customHeight="1" x14ac:dyDescent="0.3">
      <c r="A14" s="22">
        <v>10</v>
      </c>
      <c r="B14" s="12" t="s">
        <v>202</v>
      </c>
      <c r="C14" s="12" t="s">
        <v>203</v>
      </c>
      <c r="D14" s="12" t="s">
        <v>495</v>
      </c>
      <c r="E14" s="12" t="s">
        <v>204</v>
      </c>
      <c r="F14" s="12" t="s">
        <v>205</v>
      </c>
      <c r="G14" s="12" t="s">
        <v>495</v>
      </c>
      <c r="H14" s="12" t="s">
        <v>105</v>
      </c>
      <c r="J14" s="1"/>
      <c r="O14" s="38"/>
      <c r="P14" s="38"/>
    </row>
    <row r="15" spans="1:16" ht="15.9" customHeight="1" x14ac:dyDescent="0.3">
      <c r="A15" s="39">
        <v>11</v>
      </c>
      <c r="B15" s="13" t="s">
        <v>206</v>
      </c>
      <c r="C15" s="13" t="s">
        <v>207</v>
      </c>
      <c r="D15" s="13" t="s">
        <v>460</v>
      </c>
      <c r="E15" s="13" t="s">
        <v>209</v>
      </c>
      <c r="F15" s="13" t="s">
        <v>210</v>
      </c>
      <c r="G15" s="13" t="s">
        <v>460</v>
      </c>
      <c r="H15" s="13" t="s">
        <v>208</v>
      </c>
      <c r="I15" s="38"/>
      <c r="J15" s="38"/>
      <c r="K15" s="38"/>
      <c r="L15" s="38"/>
      <c r="M15" s="38"/>
      <c r="N15" s="38"/>
      <c r="O15" s="38"/>
      <c r="P15" s="38"/>
    </row>
    <row r="16" spans="1:16" x14ac:dyDescent="0.3">
      <c r="H16" s="40" t="str">
        <f>ChampionshipDate</f>
        <v>17./18.06.2017</v>
      </c>
      <c r="I16" s="38"/>
      <c r="J16" s="38"/>
      <c r="K16" s="38"/>
      <c r="L16" s="38"/>
      <c r="M16" s="38"/>
      <c r="N16" s="38"/>
    </row>
    <row r="17" spans="5:14" x14ac:dyDescent="0.3">
      <c r="I17" s="38"/>
      <c r="J17" s="38"/>
      <c r="K17" s="38"/>
      <c r="L17" s="38"/>
      <c r="M17" s="38"/>
      <c r="N17" s="38"/>
    </row>
    <row r="18" spans="5:14" x14ac:dyDescent="0.3">
      <c r="I18" s="38"/>
      <c r="J18" s="38"/>
      <c r="K18" s="38"/>
      <c r="L18" s="38"/>
      <c r="M18" s="38"/>
      <c r="N18" s="38"/>
    </row>
    <row r="19" spans="5:14" x14ac:dyDescent="0.3">
      <c r="I19" s="38"/>
      <c r="J19" s="38"/>
      <c r="K19" s="38"/>
      <c r="L19" s="38"/>
      <c r="M19" s="38"/>
      <c r="N19" s="38"/>
    </row>
    <row r="20" spans="5:14" x14ac:dyDescent="0.3">
      <c r="I20" s="38"/>
      <c r="J20" s="38"/>
      <c r="K20" s="38"/>
      <c r="L20" s="38"/>
      <c r="M20" s="38"/>
      <c r="N20" s="38"/>
    </row>
    <row r="21" spans="5:14" x14ac:dyDescent="0.3">
      <c r="I21" s="38"/>
      <c r="J21" s="38"/>
      <c r="K21" s="38"/>
      <c r="L21" s="38"/>
      <c r="M21" s="38"/>
      <c r="N21" s="38"/>
    </row>
    <row r="22" spans="5:14" x14ac:dyDescent="0.3">
      <c r="I22" s="38"/>
      <c r="J22" s="38"/>
      <c r="K22" s="38"/>
      <c r="L22" s="38"/>
      <c r="M22" s="38"/>
      <c r="N22" s="38"/>
    </row>
    <row r="23" spans="5:14" x14ac:dyDescent="0.3">
      <c r="E23" s="8"/>
      <c r="F23" s="9"/>
      <c r="G23" s="8"/>
      <c r="H23" s="9"/>
      <c r="I23" s="38"/>
      <c r="J23" s="38"/>
      <c r="K23" s="38"/>
      <c r="L23" s="38"/>
      <c r="M23" s="38"/>
      <c r="N23" s="38"/>
    </row>
    <row r="24" spans="5:14" x14ac:dyDescent="0.3">
      <c r="E24" s="8"/>
      <c r="F24" s="9"/>
      <c r="G24" s="8"/>
      <c r="H24" s="9"/>
      <c r="I24" s="38"/>
      <c r="J24" s="38"/>
      <c r="K24" s="38"/>
      <c r="L24" s="38"/>
      <c r="M24" s="38"/>
      <c r="N24" s="38"/>
    </row>
    <row r="25" spans="5:14" x14ac:dyDescent="0.3">
      <c r="E25" s="8"/>
      <c r="F25" s="9"/>
      <c r="G25" s="8"/>
      <c r="H25" s="9"/>
      <c r="I25" s="38"/>
      <c r="J25" s="38"/>
      <c r="K25" s="38"/>
      <c r="L25" s="38"/>
      <c r="M25" s="38"/>
      <c r="N25" s="38"/>
    </row>
    <row r="26" spans="5:14" x14ac:dyDescent="0.3">
      <c r="E26" s="8"/>
      <c r="F26" s="9"/>
      <c r="G26" s="8"/>
      <c r="H26" s="9"/>
      <c r="I26" s="38"/>
      <c r="J26" s="38"/>
      <c r="K26" s="38"/>
      <c r="L26" s="38"/>
      <c r="M26" s="38"/>
      <c r="N26" s="38"/>
    </row>
    <row r="27" spans="5:14" x14ac:dyDescent="0.3">
      <c r="E27" s="8"/>
      <c r="F27" s="9"/>
      <c r="G27" s="8"/>
      <c r="H27" s="9"/>
      <c r="I27" s="38"/>
      <c r="J27" s="38"/>
      <c r="K27" s="38"/>
      <c r="L27" s="38"/>
      <c r="M27" s="38"/>
      <c r="N27" s="38"/>
    </row>
    <row r="28" spans="5:14" x14ac:dyDescent="0.3">
      <c r="E28" s="8"/>
      <c r="F28" s="9"/>
      <c r="G28" s="8"/>
      <c r="H28" s="9"/>
      <c r="I28" s="38"/>
      <c r="J28" s="38"/>
      <c r="K28" s="38"/>
      <c r="L28" s="38"/>
      <c r="M28" s="38"/>
      <c r="N28" s="38"/>
    </row>
    <row r="29" spans="5:14" x14ac:dyDescent="0.3">
      <c r="E29" s="8"/>
      <c r="F29" s="9"/>
      <c r="G29" s="8"/>
      <c r="H29" s="9"/>
      <c r="I29" s="38"/>
      <c r="J29" s="38"/>
      <c r="K29" s="38"/>
      <c r="L29" s="38"/>
      <c r="M29" s="38"/>
      <c r="N29" s="38"/>
    </row>
    <row r="30" spans="5:14" x14ac:dyDescent="0.3">
      <c r="E30" s="8"/>
      <c r="F30" s="9"/>
      <c r="G30" s="8"/>
      <c r="H30" s="9"/>
      <c r="I30" s="38"/>
      <c r="J30" s="38"/>
      <c r="K30" s="38"/>
      <c r="L30" s="38"/>
      <c r="M30" s="38"/>
      <c r="N30" s="38"/>
    </row>
    <row r="31" spans="5:14" x14ac:dyDescent="0.3">
      <c r="E31" s="8"/>
      <c r="F31" s="9"/>
      <c r="G31" s="8"/>
      <c r="H31" s="9"/>
      <c r="I31" s="38"/>
      <c r="J31" s="38"/>
      <c r="K31" s="38"/>
      <c r="L31" s="38"/>
      <c r="M31" s="38"/>
      <c r="N31" s="38"/>
    </row>
    <row r="32" spans="5:14" x14ac:dyDescent="0.3">
      <c r="E32" s="8"/>
      <c r="F32" s="9"/>
      <c r="G32" s="8"/>
      <c r="H32" s="9"/>
      <c r="I32" s="38"/>
      <c r="J32" s="38"/>
      <c r="K32" s="38"/>
      <c r="L32" s="38"/>
      <c r="M32" s="38"/>
      <c r="N32" s="38"/>
    </row>
    <row r="33" spans="5:17" x14ac:dyDescent="0.3">
      <c r="E33" s="8"/>
      <c r="F33" s="9"/>
      <c r="G33" s="8"/>
      <c r="H33" s="9"/>
      <c r="I33" s="9"/>
      <c r="J33" s="8"/>
    </row>
    <row r="34" spans="5:17" x14ac:dyDescent="0.3">
      <c r="E34" s="8"/>
      <c r="F34" s="9"/>
      <c r="G34" s="8"/>
      <c r="H34" s="9"/>
      <c r="I34" s="9"/>
      <c r="J34" s="8"/>
    </row>
    <row r="35" spans="5:17" x14ac:dyDescent="0.3">
      <c r="E35" s="8"/>
      <c r="F35" s="9"/>
      <c r="G35" s="8"/>
      <c r="H35" s="9"/>
      <c r="I35" s="9"/>
      <c r="J35" s="8"/>
    </row>
    <row r="46" spans="5:17" x14ac:dyDescent="0.3">
      <c r="K46" s="4"/>
      <c r="Q46" s="4"/>
    </row>
    <row r="47" spans="5:17" x14ac:dyDescent="0.3">
      <c r="K47" s="4"/>
      <c r="Q47" s="4"/>
    </row>
    <row r="48" spans="5:17" x14ac:dyDescent="0.3">
      <c r="K48" s="4"/>
      <c r="Q48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7620</xdr:colOff>
                    <xdr:row>2</xdr:row>
                    <xdr:rowOff>251460</xdr:rowOff>
                  </from>
                  <to>
                    <xdr:col>10</xdr:col>
                    <xdr:colOff>419100</xdr:colOff>
                    <xdr:row>2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R64"/>
  <sheetViews>
    <sheetView zoomScaleNormal="100" zoomScalePageLayoutView="70"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8" ht="84.9" customHeight="1" x14ac:dyDescent="0.7">
      <c r="A1" s="47" t="s">
        <v>365</v>
      </c>
      <c r="B1" s="47"/>
      <c r="C1" s="47"/>
      <c r="D1" s="47"/>
      <c r="E1" s="47"/>
      <c r="F1" s="47"/>
      <c r="G1" s="47"/>
      <c r="H1" s="47"/>
      <c r="I1" s="6"/>
      <c r="J1" s="6"/>
    </row>
    <row r="2" spans="1:18" ht="24.6" customHeight="1" x14ac:dyDescent="0.4">
      <c r="A2" s="48" t="s">
        <v>366</v>
      </c>
      <c r="B2" s="48"/>
      <c r="C2" s="48"/>
      <c r="D2" s="48"/>
      <c r="E2" s="48"/>
      <c r="F2" s="48"/>
      <c r="G2" s="48"/>
      <c r="H2" s="48"/>
      <c r="I2" s="7"/>
      <c r="J2" s="7"/>
    </row>
    <row r="3" spans="1:18" s="10" customFormat="1" ht="40.200000000000003" customHeight="1" x14ac:dyDescent="0.3">
      <c r="A3" s="49" t="s">
        <v>381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" customHeight="1" x14ac:dyDescent="0.3">
      <c r="A5" s="21">
        <v>1</v>
      </c>
      <c r="B5" s="11" t="s">
        <v>368</v>
      </c>
      <c r="C5" s="11" t="s">
        <v>369</v>
      </c>
      <c r="D5" s="11" t="s">
        <v>499</v>
      </c>
      <c r="E5" s="11" t="s">
        <v>370</v>
      </c>
      <c r="F5" s="11" t="s">
        <v>371</v>
      </c>
      <c r="G5" s="11" t="s">
        <v>499</v>
      </c>
      <c r="H5" s="11" t="s">
        <v>3</v>
      </c>
      <c r="J5" s="1" t="str">
        <f>Judge1</f>
        <v>Wertung 1</v>
      </c>
      <c r="K5" s="38" t="s">
        <v>412</v>
      </c>
      <c r="L5" s="38" t="s">
        <v>413</v>
      </c>
      <c r="M5" s="38" t="s">
        <v>2</v>
      </c>
    </row>
    <row r="6" spans="1:18" ht="15.9" customHeight="1" x14ac:dyDescent="0.3">
      <c r="A6" s="22">
        <v>2</v>
      </c>
      <c r="B6" s="12" t="s">
        <v>372</v>
      </c>
      <c r="C6" s="12" t="s">
        <v>373</v>
      </c>
      <c r="D6" s="12" t="s">
        <v>498</v>
      </c>
      <c r="E6" s="12" t="s">
        <v>248</v>
      </c>
      <c r="F6" s="12" t="s">
        <v>249</v>
      </c>
      <c r="G6" s="12" t="s">
        <v>498</v>
      </c>
      <c r="H6" s="12" t="s">
        <v>3</v>
      </c>
      <c r="J6" s="1" t="str">
        <f>Judge2</f>
        <v>Wertung 2</v>
      </c>
      <c r="K6" s="38" t="s">
        <v>216</v>
      </c>
      <c r="L6" s="38" t="s">
        <v>107</v>
      </c>
      <c r="M6" s="38" t="s">
        <v>0</v>
      </c>
    </row>
    <row r="7" spans="1:18" ht="15.9" customHeight="1" x14ac:dyDescent="0.3">
      <c r="A7" s="21">
        <v>3</v>
      </c>
      <c r="B7" s="44" t="s">
        <v>418</v>
      </c>
      <c r="C7" s="44" t="s">
        <v>418</v>
      </c>
      <c r="D7" s="44" t="s">
        <v>418</v>
      </c>
      <c r="E7" s="44" t="s">
        <v>418</v>
      </c>
      <c r="F7" s="44" t="s">
        <v>418</v>
      </c>
      <c r="G7" s="44" t="s">
        <v>418</v>
      </c>
      <c r="H7" s="44" t="s">
        <v>418</v>
      </c>
      <c r="J7" s="1" t="str">
        <f>JudgeHead</f>
        <v>Wertung 3 (H)</v>
      </c>
      <c r="K7" s="38" t="s">
        <v>156</v>
      </c>
      <c r="L7" s="38" t="s">
        <v>413</v>
      </c>
      <c r="M7" s="38" t="s">
        <v>19</v>
      </c>
      <c r="R7" s="38"/>
    </row>
    <row r="8" spans="1:18" ht="15.9" customHeight="1" x14ac:dyDescent="0.3">
      <c r="A8" s="22">
        <v>4</v>
      </c>
      <c r="B8" s="12" t="s">
        <v>375</v>
      </c>
      <c r="C8" s="12" t="s">
        <v>123</v>
      </c>
      <c r="D8" s="12" t="s">
        <v>496</v>
      </c>
      <c r="E8" s="12" t="s">
        <v>101</v>
      </c>
      <c r="F8" s="12" t="s">
        <v>102</v>
      </c>
      <c r="G8" s="12" t="s">
        <v>427</v>
      </c>
      <c r="H8" s="12" t="s">
        <v>0</v>
      </c>
      <c r="J8" s="1" t="str">
        <f>Judge4</f>
        <v>Wertung 4</v>
      </c>
      <c r="K8" s="38" t="s">
        <v>416</v>
      </c>
      <c r="L8" s="38" t="s">
        <v>222</v>
      </c>
      <c r="M8" s="38" t="s">
        <v>130</v>
      </c>
      <c r="R8" s="38"/>
    </row>
    <row r="9" spans="1:18" ht="15.9" customHeight="1" x14ac:dyDescent="0.3">
      <c r="A9" s="39">
        <v>5</v>
      </c>
      <c r="B9" s="13" t="s">
        <v>376</v>
      </c>
      <c r="C9" s="13" t="s">
        <v>377</v>
      </c>
      <c r="D9" s="13" t="s">
        <v>497</v>
      </c>
      <c r="E9" s="13" t="s">
        <v>378</v>
      </c>
      <c r="F9" s="13" t="s">
        <v>379</v>
      </c>
      <c r="G9" s="13" t="s">
        <v>500</v>
      </c>
      <c r="H9" s="13" t="s">
        <v>3</v>
      </c>
      <c r="J9" s="1" t="str">
        <f>Judge5</f>
        <v>Wertung 5</v>
      </c>
      <c r="K9" s="38" t="s">
        <v>217</v>
      </c>
      <c r="L9" s="38" t="s">
        <v>218</v>
      </c>
      <c r="M9" s="38" t="s">
        <v>105</v>
      </c>
      <c r="R9" s="38"/>
    </row>
    <row r="10" spans="1:18" ht="15.9" customHeight="1" x14ac:dyDescent="0.3">
      <c r="A10" s="40"/>
      <c r="B10" s="40"/>
      <c r="C10" s="40"/>
      <c r="D10" s="40"/>
      <c r="E10" s="40"/>
      <c r="F10" s="40"/>
      <c r="G10" s="40"/>
      <c r="H10" s="40" t="str">
        <f>ChampionshipDate</f>
        <v>17./18.06.2017</v>
      </c>
      <c r="I10" s="40"/>
      <c r="J10" s="1" t="str">
        <f>JudgeStandin</f>
        <v>Springer</v>
      </c>
      <c r="K10" s="38" t="s">
        <v>224</v>
      </c>
      <c r="L10" s="38" t="s">
        <v>225</v>
      </c>
      <c r="M10" s="38" t="s">
        <v>171</v>
      </c>
      <c r="R10" s="38"/>
    </row>
    <row r="11" spans="1:18" ht="15.9" customHeigh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1" t="str">
        <f>JudgeSupervisor</f>
        <v>Beobachter</v>
      </c>
      <c r="K11" s="38" t="s">
        <v>417</v>
      </c>
      <c r="L11" s="38" t="s">
        <v>161</v>
      </c>
      <c r="M11" s="38" t="s">
        <v>0</v>
      </c>
      <c r="R11" s="38"/>
    </row>
    <row r="12" spans="1:18" ht="15.9" customHeigh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1"/>
      <c r="K12" s="38"/>
      <c r="L12" s="38"/>
      <c r="M12" s="38"/>
      <c r="R12" s="38"/>
    </row>
    <row r="13" spans="1:18" ht="15.9" customHeight="1" x14ac:dyDescent="0.3">
      <c r="A13" s="40"/>
      <c r="B13" s="40"/>
      <c r="C13" s="40"/>
      <c r="D13" s="40"/>
      <c r="E13" s="40"/>
      <c r="F13" s="40"/>
      <c r="G13" s="40"/>
      <c r="H13" s="35"/>
      <c r="I13" s="35"/>
      <c r="J13" s="1"/>
      <c r="K13" s="38"/>
      <c r="L13" s="38"/>
      <c r="M13" s="38"/>
      <c r="R13" s="38"/>
    </row>
    <row r="14" spans="1:18" ht="15.9" customHeight="1" x14ac:dyDescent="0.3">
      <c r="A14" s="40"/>
      <c r="B14" s="40"/>
      <c r="C14" s="40"/>
      <c r="D14" s="40"/>
      <c r="E14" s="40"/>
      <c r="F14" s="40"/>
      <c r="G14" s="40"/>
      <c r="H14" s="35"/>
      <c r="I14" s="35"/>
      <c r="J14" s="1"/>
      <c r="L14" s="38"/>
      <c r="M14" s="38"/>
      <c r="R14" s="38"/>
    </row>
    <row r="15" spans="1:18" ht="15.9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R15" s="38"/>
    </row>
    <row r="16" spans="1:18" ht="15.9" customHeigh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1"/>
    </row>
    <row r="17" spans="1:15" ht="15.9" customHeight="1" x14ac:dyDescent="0.3">
      <c r="A17" s="40"/>
      <c r="B17" s="40"/>
      <c r="C17" s="40"/>
      <c r="D17" s="40"/>
      <c r="E17" s="40"/>
      <c r="F17" s="40"/>
      <c r="G17" s="40"/>
      <c r="H17" s="35"/>
      <c r="I17" s="35"/>
      <c r="L17" s="35"/>
      <c r="M17" s="35"/>
      <c r="N17" s="35"/>
      <c r="O17" s="35"/>
    </row>
    <row r="18" spans="1:15" ht="15.9" customHeight="1" x14ac:dyDescent="0.3">
      <c r="A18" s="40"/>
      <c r="B18" s="40"/>
      <c r="C18" s="40"/>
      <c r="D18" s="40"/>
      <c r="E18" s="40"/>
      <c r="F18" s="40"/>
      <c r="G18" s="40"/>
      <c r="H18" s="35"/>
      <c r="I18" s="35"/>
      <c r="L18" s="35"/>
      <c r="M18" s="35"/>
      <c r="N18" s="35"/>
      <c r="O18" s="35"/>
    </row>
    <row r="19" spans="1:15" x14ac:dyDescent="0.3">
      <c r="A19" s="40"/>
      <c r="B19" s="40"/>
      <c r="C19" s="40"/>
      <c r="D19" s="40"/>
      <c r="L19" s="35"/>
      <c r="M19" s="35"/>
      <c r="N19" s="35"/>
      <c r="O19" s="35"/>
    </row>
    <row r="20" spans="1:15" x14ac:dyDescent="0.3">
      <c r="A20" s="40"/>
      <c r="B20" s="40"/>
      <c r="C20" s="40"/>
      <c r="D20" s="40"/>
      <c r="L20" s="35"/>
      <c r="M20" s="35"/>
      <c r="N20" s="35"/>
      <c r="O20" s="35"/>
    </row>
    <row r="21" spans="1:15" x14ac:dyDescent="0.3">
      <c r="J21" s="35"/>
      <c r="K21" s="35"/>
      <c r="L21" s="35"/>
      <c r="M21" s="35"/>
      <c r="N21" s="35"/>
      <c r="O21" s="35"/>
    </row>
    <row r="22" spans="1:15" x14ac:dyDescent="0.3">
      <c r="J22" s="35"/>
      <c r="K22" s="35"/>
      <c r="L22" s="35"/>
      <c r="M22" s="35"/>
      <c r="N22" s="35"/>
      <c r="O22" s="35"/>
    </row>
    <row r="23" spans="1:15" x14ac:dyDescent="0.3">
      <c r="J23" s="35"/>
      <c r="K23" s="35"/>
      <c r="L23" s="35"/>
      <c r="M23" s="35"/>
      <c r="N23" s="35"/>
      <c r="O23" s="35"/>
    </row>
    <row r="24" spans="1:15" x14ac:dyDescent="0.3">
      <c r="J24" s="35"/>
      <c r="K24" s="35"/>
      <c r="L24" s="35"/>
      <c r="M24" s="35"/>
      <c r="N24" s="35"/>
      <c r="O24" s="35"/>
    </row>
    <row r="25" spans="1:15" x14ac:dyDescent="0.3">
      <c r="J25" s="35"/>
      <c r="K25" s="35"/>
      <c r="L25" s="35"/>
      <c r="M25" s="35"/>
      <c r="N25" s="35"/>
      <c r="O25" s="35"/>
    </row>
    <row r="26" spans="1:15" x14ac:dyDescent="0.3">
      <c r="J26" s="35"/>
      <c r="K26" s="35"/>
      <c r="L26" s="35"/>
      <c r="M26" s="35"/>
      <c r="N26" s="35"/>
      <c r="O26" s="35"/>
    </row>
    <row r="27" spans="1:15" x14ac:dyDescent="0.3">
      <c r="J27" s="35"/>
      <c r="K27" s="35"/>
      <c r="L27" s="35"/>
      <c r="M27" s="35"/>
      <c r="N27" s="35"/>
      <c r="O27" s="35"/>
    </row>
    <row r="28" spans="1:15" x14ac:dyDescent="0.3">
      <c r="E28" s="8"/>
      <c r="F28" s="9"/>
      <c r="G28" s="8"/>
      <c r="H28" s="9"/>
      <c r="I28" s="9"/>
      <c r="J28" s="35"/>
      <c r="K28" s="35"/>
      <c r="L28" s="35"/>
      <c r="M28" s="35"/>
      <c r="N28" s="35"/>
      <c r="O28" s="35"/>
    </row>
    <row r="29" spans="1:15" x14ac:dyDescent="0.3">
      <c r="E29" s="8"/>
      <c r="F29" s="9"/>
      <c r="G29" s="8"/>
      <c r="H29" s="9"/>
      <c r="I29" s="9"/>
      <c r="J29" s="35"/>
      <c r="K29" s="35"/>
      <c r="L29" s="35"/>
      <c r="M29" s="35"/>
      <c r="N29" s="35"/>
      <c r="O29" s="35"/>
    </row>
    <row r="30" spans="1:15" x14ac:dyDescent="0.3">
      <c r="E30" s="8"/>
      <c r="F30" s="9"/>
      <c r="G30" s="8"/>
      <c r="H30" s="9"/>
      <c r="I30" s="9"/>
      <c r="J30" s="35"/>
      <c r="K30" s="35"/>
      <c r="L30" s="35"/>
      <c r="M30" s="35"/>
      <c r="N30" s="35"/>
      <c r="O30" s="35"/>
    </row>
    <row r="31" spans="1:15" x14ac:dyDescent="0.3">
      <c r="E31" s="8"/>
      <c r="F31" s="9"/>
      <c r="G31" s="8"/>
      <c r="H31" s="9"/>
      <c r="I31" s="9"/>
      <c r="J31" s="35"/>
      <c r="K31" s="35"/>
      <c r="L31" s="35"/>
      <c r="M31" s="35"/>
      <c r="N31" s="35"/>
      <c r="O31" s="35"/>
    </row>
    <row r="32" spans="1:15" x14ac:dyDescent="0.3">
      <c r="E32" s="8"/>
      <c r="F32" s="9"/>
      <c r="G32" s="8"/>
      <c r="H32" s="9"/>
      <c r="I32" s="9"/>
      <c r="J32" s="35"/>
      <c r="K32" s="35"/>
      <c r="L32" s="35"/>
      <c r="M32" s="35"/>
      <c r="N32" s="35"/>
      <c r="O32" s="35"/>
    </row>
    <row r="33" spans="5:15" x14ac:dyDescent="0.3">
      <c r="E33" s="8"/>
      <c r="F33" s="9"/>
      <c r="G33" s="8"/>
      <c r="H33" s="9"/>
      <c r="I33" s="9"/>
      <c r="J33" s="35"/>
      <c r="K33" s="35"/>
      <c r="L33" s="35"/>
      <c r="M33" s="35"/>
      <c r="N33" s="35"/>
      <c r="O33" s="35"/>
    </row>
    <row r="34" spans="5:15" x14ac:dyDescent="0.3">
      <c r="E34" s="8"/>
      <c r="F34" s="9"/>
      <c r="G34" s="8"/>
      <c r="H34" s="9"/>
      <c r="I34" s="9"/>
      <c r="J34" s="8"/>
    </row>
    <row r="35" spans="5:15" x14ac:dyDescent="0.3">
      <c r="E35" s="8"/>
      <c r="F35" s="9"/>
      <c r="G35" s="8"/>
      <c r="H35" s="9"/>
      <c r="I35" s="9"/>
      <c r="J35" s="8"/>
    </row>
    <row r="36" spans="5:15" x14ac:dyDescent="0.3">
      <c r="E36" s="8"/>
      <c r="F36" s="9"/>
      <c r="G36" s="8"/>
      <c r="H36" s="9"/>
      <c r="I36" s="9"/>
      <c r="J36" s="8"/>
    </row>
    <row r="37" spans="5:15" x14ac:dyDescent="0.3">
      <c r="E37" s="8"/>
      <c r="F37" s="9"/>
      <c r="G37" s="8"/>
      <c r="H37" s="9"/>
      <c r="I37" s="9"/>
      <c r="J37" s="8"/>
    </row>
    <row r="38" spans="5:15" x14ac:dyDescent="0.3">
      <c r="E38" s="8"/>
      <c r="F38" s="9"/>
      <c r="G38" s="8"/>
      <c r="H38" s="9"/>
      <c r="I38" s="9"/>
      <c r="J38" s="8"/>
    </row>
    <row r="39" spans="5:15" x14ac:dyDescent="0.3">
      <c r="E39" s="8"/>
      <c r="F39" s="9"/>
      <c r="G39" s="8"/>
      <c r="H39" s="9"/>
      <c r="I39" s="9"/>
      <c r="J39" s="8"/>
    </row>
    <row r="40" spans="5:15" x14ac:dyDescent="0.3">
      <c r="E40" s="8"/>
      <c r="F40" s="9"/>
      <c r="G40" s="8"/>
      <c r="H40" s="9"/>
      <c r="I40" s="9"/>
      <c r="J40" s="8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  <row r="63" spans="11:17" x14ac:dyDescent="0.3">
      <c r="K63" s="4"/>
      <c r="Q63" s="4"/>
    </row>
    <row r="64" spans="11:17" x14ac:dyDescent="0.3">
      <c r="K64" s="4"/>
      <c r="Q64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7620</xdr:colOff>
                    <xdr:row>2</xdr:row>
                    <xdr:rowOff>251460</xdr:rowOff>
                  </from>
                  <to>
                    <xdr:col>10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pageSetUpPr fitToPage="1"/>
  </sheetPr>
  <dimension ref="A1:R64"/>
  <sheetViews>
    <sheetView zoomScaleNormal="100" zoomScalePageLayoutView="70"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9" width="3.6640625" style="3" customWidth="1"/>
    <col min="10" max="16384" width="11.5546875" style="3"/>
  </cols>
  <sheetData>
    <row r="1" spans="1:18" ht="84.9" customHeight="1" x14ac:dyDescent="0.7">
      <c r="A1" s="47" t="s">
        <v>365</v>
      </c>
      <c r="B1" s="47"/>
      <c r="C1" s="47"/>
      <c r="D1" s="47"/>
      <c r="E1" s="47"/>
      <c r="F1" s="47"/>
      <c r="G1" s="47"/>
      <c r="H1" s="47"/>
      <c r="I1" s="6"/>
      <c r="J1" s="6"/>
    </row>
    <row r="2" spans="1:18" ht="24.6" customHeight="1" x14ac:dyDescent="0.4">
      <c r="A2" s="48" t="s">
        <v>366</v>
      </c>
      <c r="B2" s="48"/>
      <c r="C2" s="48"/>
      <c r="D2" s="48"/>
      <c r="E2" s="48"/>
      <c r="F2" s="48"/>
      <c r="G2" s="48"/>
      <c r="H2" s="48"/>
      <c r="I2" s="7"/>
      <c r="J2" s="7"/>
    </row>
    <row r="3" spans="1:18" s="10" customFormat="1" ht="40.200000000000003" customHeight="1" x14ac:dyDescent="0.3">
      <c r="A3" s="49" t="s">
        <v>380</v>
      </c>
      <c r="B3" s="49"/>
      <c r="C3" s="49"/>
      <c r="D3" s="49"/>
      <c r="E3" s="49"/>
      <c r="F3" s="49"/>
      <c r="G3" s="49"/>
      <c r="H3" s="49"/>
    </row>
    <row r="4" spans="1:18" ht="15.9" customHeight="1" x14ac:dyDescent="0.3">
      <c r="A4" s="14" t="str">
        <f>StartNo</f>
        <v>Startnummer</v>
      </c>
      <c r="B4" s="14" t="str">
        <f>"Tori " &amp; NameTitle</f>
        <v>Tori Name</v>
      </c>
      <c r="C4" s="14" t="str">
        <f>"Tori " &amp; GivenNameTitle</f>
        <v>Tori Vorname</v>
      </c>
      <c r="D4" s="14" t="str">
        <f>"Tori " &amp; Club</f>
        <v>Tori Verein</v>
      </c>
      <c r="E4" s="14" t="str">
        <f>"Uke " &amp; NameTitle</f>
        <v>Uke Name</v>
      </c>
      <c r="F4" s="14" t="str">
        <f>"Uke " &amp; GivenNameTitle</f>
        <v>Uke Vorname</v>
      </c>
      <c r="G4" s="14" t="str">
        <f>"Uke " &amp; Club</f>
        <v>Uke Verein</v>
      </c>
      <c r="H4" s="14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" customHeight="1" x14ac:dyDescent="0.3">
      <c r="A5" s="21">
        <v>1</v>
      </c>
      <c r="B5" s="11" t="s">
        <v>382</v>
      </c>
      <c r="C5" s="11" t="s">
        <v>383</v>
      </c>
      <c r="D5" s="11" t="s">
        <v>497</v>
      </c>
      <c r="E5" s="11" t="s">
        <v>384</v>
      </c>
      <c r="F5" s="11" t="s">
        <v>385</v>
      </c>
      <c r="G5" s="11" t="s">
        <v>497</v>
      </c>
      <c r="H5" s="11" t="s">
        <v>3</v>
      </c>
      <c r="J5" s="1" t="str">
        <f>Judge1</f>
        <v>Wertung 1</v>
      </c>
      <c r="K5" s="38" t="s">
        <v>412</v>
      </c>
      <c r="L5" s="38" t="s">
        <v>413</v>
      </c>
      <c r="M5" s="38" t="s">
        <v>2</v>
      </c>
    </row>
    <row r="6" spans="1:18" ht="15.9" customHeight="1" x14ac:dyDescent="0.3">
      <c r="A6" s="22">
        <v>2</v>
      </c>
      <c r="B6" s="12" t="s">
        <v>386</v>
      </c>
      <c r="C6" s="12" t="s">
        <v>387</v>
      </c>
      <c r="D6" s="12" t="s">
        <v>497</v>
      </c>
      <c r="E6" s="12" t="s">
        <v>388</v>
      </c>
      <c r="F6" s="12" t="s">
        <v>374</v>
      </c>
      <c r="G6" s="12" t="s">
        <v>500</v>
      </c>
      <c r="H6" s="12" t="s">
        <v>3</v>
      </c>
      <c r="J6" s="1" t="str">
        <f>Judge2</f>
        <v>Wertung 2</v>
      </c>
      <c r="K6" s="38" t="s">
        <v>216</v>
      </c>
      <c r="L6" s="38" t="s">
        <v>107</v>
      </c>
      <c r="M6" s="38" t="s">
        <v>0</v>
      </c>
    </row>
    <row r="7" spans="1:18" ht="15.9" customHeight="1" x14ac:dyDescent="0.3">
      <c r="A7" s="39">
        <v>3</v>
      </c>
      <c r="B7" s="13" t="s">
        <v>389</v>
      </c>
      <c r="C7" s="13" t="s">
        <v>119</v>
      </c>
      <c r="D7" s="13" t="s">
        <v>497</v>
      </c>
      <c r="E7" s="13" t="s">
        <v>390</v>
      </c>
      <c r="F7" s="13" t="s">
        <v>391</v>
      </c>
      <c r="G7" s="13" t="s">
        <v>497</v>
      </c>
      <c r="H7" s="13" t="s">
        <v>3</v>
      </c>
      <c r="J7" s="1" t="str">
        <f>JudgeHead</f>
        <v>Wertung 3 (H)</v>
      </c>
      <c r="K7" s="38" t="s">
        <v>156</v>
      </c>
      <c r="L7" s="38" t="s">
        <v>413</v>
      </c>
      <c r="M7" s="38" t="s">
        <v>19</v>
      </c>
      <c r="R7" s="38"/>
    </row>
    <row r="8" spans="1:18" ht="15.9" customHeight="1" x14ac:dyDescent="0.3">
      <c r="A8" s="40"/>
      <c r="B8" s="40"/>
      <c r="C8" s="40"/>
      <c r="D8" s="40"/>
      <c r="E8" s="40"/>
      <c r="F8" s="40"/>
      <c r="G8" s="40"/>
      <c r="H8" s="40" t="str">
        <f>ChampionshipDate</f>
        <v>17./18.06.2017</v>
      </c>
      <c r="J8" s="1" t="str">
        <f>Judge4</f>
        <v>Wertung 4</v>
      </c>
      <c r="K8" s="38" t="s">
        <v>416</v>
      </c>
      <c r="L8" s="38" t="s">
        <v>222</v>
      </c>
      <c r="M8" s="38" t="s">
        <v>130</v>
      </c>
      <c r="R8" s="38"/>
    </row>
    <row r="9" spans="1:18" ht="15.9" customHeight="1" x14ac:dyDescent="0.3">
      <c r="A9" s="40"/>
      <c r="B9" s="40"/>
      <c r="C9" s="40"/>
      <c r="D9" s="40"/>
      <c r="E9" s="40"/>
      <c r="F9" s="40"/>
      <c r="G9" s="40"/>
      <c r="H9" s="40"/>
      <c r="J9" s="1" t="str">
        <f>Judge5</f>
        <v>Wertung 5</v>
      </c>
      <c r="K9" s="38" t="s">
        <v>217</v>
      </c>
      <c r="L9" s="38" t="s">
        <v>218</v>
      </c>
      <c r="M9" s="38" t="s">
        <v>105</v>
      </c>
      <c r="R9" s="38"/>
    </row>
    <row r="10" spans="1:18" ht="15.9" customHeight="1" x14ac:dyDescent="0.3">
      <c r="A10" s="40"/>
      <c r="B10" s="40"/>
      <c r="C10" s="40"/>
      <c r="D10" s="40"/>
      <c r="E10" s="40"/>
      <c r="F10" s="40"/>
      <c r="G10" s="40"/>
      <c r="I10" s="40"/>
      <c r="J10" s="1" t="str">
        <f>JudgeStandin</f>
        <v>Springer</v>
      </c>
      <c r="K10" s="38" t="s">
        <v>224</v>
      </c>
      <c r="L10" s="38" t="s">
        <v>225</v>
      </c>
      <c r="M10" s="38" t="s">
        <v>171</v>
      </c>
      <c r="R10" s="38"/>
    </row>
    <row r="11" spans="1:18" ht="15.9" customHeigh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1" t="str">
        <f>JudgeSupervisor</f>
        <v>Beobachter</v>
      </c>
      <c r="K11" s="38" t="s">
        <v>417</v>
      </c>
      <c r="L11" s="38" t="s">
        <v>161</v>
      </c>
      <c r="M11" s="38" t="s">
        <v>0</v>
      </c>
      <c r="R11" s="38"/>
    </row>
    <row r="12" spans="1:18" ht="15.9" customHeigh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1"/>
      <c r="K12" s="38"/>
      <c r="L12" s="38"/>
      <c r="M12" s="38"/>
      <c r="R12" s="38"/>
    </row>
    <row r="13" spans="1:18" ht="15.9" customHeight="1" x14ac:dyDescent="0.3">
      <c r="A13" s="40"/>
      <c r="B13" s="40"/>
      <c r="C13" s="40"/>
      <c r="D13" s="40"/>
      <c r="E13" s="40"/>
      <c r="F13" s="40"/>
      <c r="G13" s="40"/>
      <c r="H13" s="40"/>
      <c r="I13" s="40"/>
      <c r="J13" s="1"/>
      <c r="K13" s="38"/>
      <c r="L13" s="38"/>
      <c r="M13" s="38"/>
      <c r="R13" s="38"/>
    </row>
    <row r="14" spans="1:18" ht="15.9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1"/>
      <c r="L14" s="38"/>
      <c r="M14" s="38"/>
      <c r="R14" s="38"/>
    </row>
    <row r="15" spans="1:18" ht="15.9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R15" s="38"/>
    </row>
    <row r="16" spans="1:18" ht="15.9" customHeigh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1"/>
    </row>
    <row r="17" spans="1:10" ht="15.9" customHeight="1" x14ac:dyDescent="0.3">
      <c r="A17" s="40"/>
      <c r="B17" s="40"/>
      <c r="C17" s="40"/>
      <c r="D17" s="40"/>
      <c r="E17" s="40"/>
      <c r="F17" s="40"/>
      <c r="G17" s="40"/>
      <c r="H17" s="40"/>
      <c r="I17" s="40"/>
    </row>
    <row r="18" spans="1:10" ht="15.9" customHeight="1" x14ac:dyDescent="0.3">
      <c r="A18" s="40"/>
      <c r="B18" s="40"/>
      <c r="C18" s="40"/>
      <c r="D18" s="40"/>
      <c r="E18" s="40"/>
      <c r="F18" s="40"/>
      <c r="G18" s="40"/>
      <c r="H18" s="40"/>
      <c r="I18" s="40"/>
    </row>
    <row r="19" spans="1:10" x14ac:dyDescent="0.3">
      <c r="A19" s="40"/>
      <c r="B19" s="40"/>
      <c r="C19" s="40"/>
      <c r="D19" s="40"/>
      <c r="E19" s="40"/>
      <c r="F19" s="40"/>
      <c r="G19" s="40"/>
      <c r="H19" s="40"/>
      <c r="I19" s="40"/>
    </row>
    <row r="20" spans="1:10" x14ac:dyDescent="0.3">
      <c r="A20" s="40"/>
      <c r="B20" s="40"/>
      <c r="C20" s="40"/>
      <c r="D20" s="40"/>
      <c r="E20" s="40"/>
      <c r="F20" s="40"/>
      <c r="G20" s="40"/>
      <c r="H20" s="40"/>
      <c r="I20" s="40"/>
    </row>
    <row r="28" spans="1:10" x14ac:dyDescent="0.3">
      <c r="E28" s="8"/>
      <c r="F28" s="9"/>
      <c r="G28" s="8"/>
      <c r="H28" s="9"/>
      <c r="I28" s="9"/>
      <c r="J28" s="8"/>
    </row>
    <row r="29" spans="1:10" x14ac:dyDescent="0.3">
      <c r="E29" s="8"/>
      <c r="F29" s="9"/>
      <c r="G29" s="8"/>
      <c r="H29" s="9"/>
      <c r="I29" s="9"/>
      <c r="J29" s="8"/>
    </row>
    <row r="30" spans="1:10" x14ac:dyDescent="0.3">
      <c r="E30" s="8"/>
      <c r="F30" s="9"/>
      <c r="G30" s="8"/>
      <c r="H30" s="9"/>
      <c r="I30" s="9"/>
      <c r="J30" s="8"/>
    </row>
    <row r="31" spans="1:10" x14ac:dyDescent="0.3">
      <c r="E31" s="8"/>
      <c r="F31" s="9"/>
      <c r="G31" s="8"/>
      <c r="H31" s="9"/>
      <c r="I31" s="9"/>
      <c r="J31" s="8"/>
    </row>
    <row r="32" spans="1:10" x14ac:dyDescent="0.3">
      <c r="E32" s="8"/>
      <c r="F32" s="9"/>
      <c r="G32" s="8"/>
      <c r="H32" s="9"/>
      <c r="I32" s="9"/>
      <c r="J32" s="8"/>
    </row>
    <row r="33" spans="5:10" x14ac:dyDescent="0.3">
      <c r="E33" s="8"/>
      <c r="F33" s="9"/>
      <c r="G33" s="8"/>
      <c r="H33" s="9"/>
      <c r="I33" s="9"/>
      <c r="J33" s="8"/>
    </row>
    <row r="34" spans="5:10" x14ac:dyDescent="0.3">
      <c r="E34" s="8"/>
      <c r="F34" s="9"/>
      <c r="G34" s="8"/>
      <c r="H34" s="9"/>
      <c r="I34" s="9"/>
      <c r="J34" s="8"/>
    </row>
    <row r="35" spans="5:10" x14ac:dyDescent="0.3">
      <c r="E35" s="8"/>
      <c r="F35" s="9"/>
      <c r="G35" s="8"/>
      <c r="H35" s="9"/>
      <c r="I35" s="9"/>
      <c r="J35" s="8"/>
    </row>
    <row r="36" spans="5:10" x14ac:dyDescent="0.3">
      <c r="E36" s="8"/>
      <c r="F36" s="9"/>
      <c r="G36" s="8"/>
      <c r="H36" s="9"/>
      <c r="I36" s="9"/>
      <c r="J36" s="8"/>
    </row>
    <row r="37" spans="5:10" x14ac:dyDescent="0.3">
      <c r="E37" s="8"/>
      <c r="F37" s="9"/>
      <c r="G37" s="8"/>
      <c r="H37" s="9"/>
      <c r="I37" s="9"/>
      <c r="J37" s="8"/>
    </row>
    <row r="38" spans="5:10" x14ac:dyDescent="0.3">
      <c r="E38" s="8"/>
      <c r="F38" s="9"/>
      <c r="G38" s="8"/>
      <c r="H38" s="9"/>
      <c r="I38" s="9"/>
      <c r="J38" s="8"/>
    </row>
    <row r="39" spans="5:10" x14ac:dyDescent="0.3">
      <c r="E39" s="8"/>
      <c r="F39" s="9"/>
      <c r="G39" s="8"/>
      <c r="H39" s="9"/>
      <c r="I39" s="9"/>
      <c r="J39" s="8"/>
    </row>
    <row r="40" spans="5:10" x14ac:dyDescent="0.3">
      <c r="E40" s="8"/>
      <c r="F40" s="9"/>
      <c r="G40" s="8"/>
      <c r="H40" s="9"/>
      <c r="I40" s="9"/>
      <c r="J40" s="8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  <row r="63" spans="11:17" x14ac:dyDescent="0.3">
      <c r="K63" s="4"/>
      <c r="Q63" s="4"/>
    </row>
    <row r="64" spans="11:17" x14ac:dyDescent="0.3">
      <c r="K64" s="4"/>
      <c r="Q64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7620</xdr:colOff>
                    <xdr:row>2</xdr:row>
                    <xdr:rowOff>251460</xdr:rowOff>
                  </from>
                  <to>
                    <xdr:col>11</xdr:col>
                    <xdr:colOff>182880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L203"/>
  <sheetViews>
    <sheetView tabSelected="1" topLeftCell="A15" workbookViewId="0">
      <selection activeCell="C47" sqref="C47"/>
    </sheetView>
  </sheetViews>
  <sheetFormatPr defaultColWidth="11.5546875" defaultRowHeight="14.4" x14ac:dyDescent="0.3"/>
  <cols>
    <col min="1" max="1" width="23.109375" bestFit="1" customWidth="1"/>
    <col min="2" max="2" width="36.109375" style="5" bestFit="1" customWidth="1"/>
  </cols>
  <sheetData>
    <row r="1" spans="1:12" x14ac:dyDescent="0.3">
      <c r="A1" s="1" t="s">
        <v>43</v>
      </c>
      <c r="B1" s="5" t="s">
        <v>501</v>
      </c>
      <c r="L1" t="s">
        <v>30</v>
      </c>
    </row>
    <row r="2" spans="1:12" x14ac:dyDescent="0.3">
      <c r="L2" t="s">
        <v>510</v>
      </c>
    </row>
    <row r="3" spans="1:12" ht="15.6" x14ac:dyDescent="0.3">
      <c r="A3" t="s">
        <v>45</v>
      </c>
      <c r="B3" s="45" t="s">
        <v>367</v>
      </c>
      <c r="C3">
        <v>1</v>
      </c>
    </row>
    <row r="4" spans="1:12" ht="15.6" x14ac:dyDescent="0.3">
      <c r="A4" s="3" t="s">
        <v>46</v>
      </c>
      <c r="B4" s="45" t="s">
        <v>20</v>
      </c>
      <c r="C4">
        <v>2</v>
      </c>
    </row>
    <row r="5" spans="1:12" ht="15.6" x14ac:dyDescent="0.3">
      <c r="A5" t="s">
        <v>73</v>
      </c>
      <c r="B5" s="45" t="s">
        <v>47</v>
      </c>
      <c r="C5" s="3">
        <v>3</v>
      </c>
    </row>
    <row r="6" spans="1:12" ht="15.6" x14ac:dyDescent="0.3">
      <c r="A6" t="s">
        <v>44</v>
      </c>
      <c r="B6" s="46" t="s">
        <v>509</v>
      </c>
      <c r="C6" s="3">
        <v>4</v>
      </c>
    </row>
    <row r="7" spans="1:12" x14ac:dyDescent="0.3">
      <c r="A7" t="s">
        <v>74</v>
      </c>
      <c r="B7" s="5" t="s">
        <v>48</v>
      </c>
      <c r="C7" s="3">
        <v>5</v>
      </c>
    </row>
    <row r="8" spans="1:12" x14ac:dyDescent="0.3">
      <c r="A8" t="s">
        <v>31</v>
      </c>
      <c r="B8" s="5" t="s">
        <v>10</v>
      </c>
      <c r="C8" s="3">
        <v>6</v>
      </c>
    </row>
    <row r="9" spans="1:12" x14ac:dyDescent="0.3">
      <c r="A9" t="s">
        <v>32</v>
      </c>
      <c r="B9" s="5" t="s">
        <v>11</v>
      </c>
      <c r="C9" s="3">
        <v>7</v>
      </c>
    </row>
    <row r="10" spans="1:12" x14ac:dyDescent="0.3">
      <c r="A10" t="s">
        <v>34</v>
      </c>
      <c r="B10" s="5" t="s">
        <v>14</v>
      </c>
      <c r="C10" s="3">
        <v>8</v>
      </c>
    </row>
    <row r="11" spans="1:12" x14ac:dyDescent="0.3">
      <c r="A11" t="s">
        <v>33</v>
      </c>
      <c r="B11" s="5" t="s">
        <v>12</v>
      </c>
      <c r="C11" s="3">
        <v>9</v>
      </c>
    </row>
    <row r="12" spans="1:12" x14ac:dyDescent="0.3">
      <c r="A12" t="s">
        <v>35</v>
      </c>
      <c r="B12" s="5" t="s">
        <v>13</v>
      </c>
      <c r="C12" s="3">
        <v>10</v>
      </c>
    </row>
    <row r="13" spans="1:12" x14ac:dyDescent="0.3">
      <c r="A13" t="s">
        <v>36</v>
      </c>
      <c r="B13" s="5" t="s">
        <v>15</v>
      </c>
      <c r="C13" s="3">
        <v>11</v>
      </c>
    </row>
    <row r="14" spans="1:12" x14ac:dyDescent="0.3">
      <c r="A14" t="s">
        <v>37</v>
      </c>
      <c r="B14" s="5" t="s">
        <v>7</v>
      </c>
      <c r="C14" s="3">
        <v>12</v>
      </c>
    </row>
    <row r="15" spans="1:12" x14ac:dyDescent="0.3">
      <c r="A15" t="s">
        <v>38</v>
      </c>
      <c r="B15" s="5" t="s">
        <v>17</v>
      </c>
      <c r="C15" s="3">
        <v>13</v>
      </c>
    </row>
    <row r="16" spans="1:12" x14ac:dyDescent="0.3">
      <c r="A16" t="s">
        <v>39</v>
      </c>
      <c r="B16" s="5" t="s">
        <v>27</v>
      </c>
      <c r="C16" s="3">
        <v>14</v>
      </c>
    </row>
    <row r="17" spans="1:8" x14ac:dyDescent="0.3">
      <c r="A17" s="3" t="s">
        <v>40</v>
      </c>
      <c r="B17" s="5" t="s">
        <v>28</v>
      </c>
      <c r="C17" s="3">
        <v>15</v>
      </c>
    </row>
    <row r="18" spans="1:8" x14ac:dyDescent="0.3">
      <c r="A18" t="s">
        <v>42</v>
      </c>
      <c r="B18" s="5" t="s">
        <v>8</v>
      </c>
      <c r="C18" s="3">
        <v>16</v>
      </c>
    </row>
    <row r="19" spans="1:8" x14ac:dyDescent="0.3">
      <c r="A19" t="s">
        <v>5</v>
      </c>
      <c r="B19" t="s">
        <v>5</v>
      </c>
      <c r="C19" s="3">
        <v>17</v>
      </c>
    </row>
    <row r="20" spans="1:8" x14ac:dyDescent="0.3">
      <c r="A20" s="3" t="s">
        <v>77</v>
      </c>
      <c r="B20" t="s">
        <v>6</v>
      </c>
      <c r="C20" s="3">
        <v>18</v>
      </c>
    </row>
    <row r="21" spans="1:8" x14ac:dyDescent="0.3">
      <c r="A21" s="3" t="s">
        <v>41</v>
      </c>
      <c r="B21" s="5" t="s">
        <v>9</v>
      </c>
      <c r="C21" s="3">
        <v>19</v>
      </c>
    </row>
    <row r="22" spans="1:8" x14ac:dyDescent="0.3">
      <c r="A22" t="s">
        <v>75</v>
      </c>
      <c r="B22" s="5" t="s">
        <v>76</v>
      </c>
      <c r="C22" s="3">
        <v>20</v>
      </c>
    </row>
    <row r="23" spans="1:8" x14ac:dyDescent="0.3">
      <c r="A23" t="s">
        <v>49</v>
      </c>
      <c r="B23" s="5" t="s">
        <v>50</v>
      </c>
      <c r="C23" s="3">
        <v>21</v>
      </c>
    </row>
    <row r="24" spans="1:8" x14ac:dyDescent="0.3">
      <c r="A24" t="s">
        <v>26</v>
      </c>
      <c r="B24" s="5" t="s">
        <v>29</v>
      </c>
      <c r="C24" s="3">
        <v>22</v>
      </c>
    </row>
    <row r="25" spans="1:8" x14ac:dyDescent="0.3">
      <c r="A25" s="34" t="s">
        <v>51</v>
      </c>
      <c r="B25" s="34" t="s">
        <v>52</v>
      </c>
      <c r="C25" s="3">
        <v>23</v>
      </c>
    </row>
    <row r="26" spans="1:8" x14ac:dyDescent="0.3">
      <c r="A26" s="35" t="s">
        <v>78</v>
      </c>
      <c r="B26" s="34" t="s">
        <v>53</v>
      </c>
      <c r="C26" s="3">
        <v>24</v>
      </c>
    </row>
    <row r="27" spans="1:8" x14ac:dyDescent="0.3">
      <c r="A27" s="35" t="s">
        <v>79</v>
      </c>
      <c r="B27" s="34" t="s">
        <v>54</v>
      </c>
      <c r="C27" s="3">
        <v>25</v>
      </c>
    </row>
    <row r="28" spans="1:8" x14ac:dyDescent="0.3">
      <c r="A28" s="35" t="s">
        <v>80</v>
      </c>
      <c r="B28" s="34" t="s">
        <v>55</v>
      </c>
      <c r="C28" s="3">
        <v>26</v>
      </c>
    </row>
    <row r="29" spans="1:8" x14ac:dyDescent="0.3">
      <c r="A29" s="35" t="s">
        <v>81</v>
      </c>
      <c r="B29" s="34" t="s">
        <v>56</v>
      </c>
      <c r="C29" s="3">
        <v>27</v>
      </c>
    </row>
    <row r="30" spans="1:8" x14ac:dyDescent="0.3">
      <c r="A30" s="35" t="s">
        <v>82</v>
      </c>
      <c r="B30" s="34" t="s">
        <v>57</v>
      </c>
      <c r="C30" s="3">
        <v>28</v>
      </c>
      <c r="G30" s="34"/>
      <c r="H30" s="34"/>
    </row>
    <row r="31" spans="1:8" x14ac:dyDescent="0.3">
      <c r="A31" s="35" t="s">
        <v>83</v>
      </c>
      <c r="B31" s="34" t="s">
        <v>58</v>
      </c>
      <c r="C31" s="3">
        <v>29</v>
      </c>
      <c r="G31" s="34"/>
      <c r="H31" s="34"/>
    </row>
    <row r="32" spans="1:8" x14ac:dyDescent="0.3">
      <c r="A32" s="34" t="s">
        <v>59</v>
      </c>
      <c r="B32" s="34" t="s">
        <v>60</v>
      </c>
      <c r="C32" s="3">
        <v>30</v>
      </c>
      <c r="G32" s="34"/>
      <c r="H32" s="34"/>
    </row>
    <row r="33" spans="1:8" x14ac:dyDescent="0.3">
      <c r="A33" s="35" t="s">
        <v>61</v>
      </c>
      <c r="B33" s="5" t="s">
        <v>62</v>
      </c>
      <c r="C33" s="3">
        <v>31</v>
      </c>
      <c r="D33" s="34"/>
      <c r="E33" s="34"/>
      <c r="G33" s="34"/>
      <c r="H33" s="34"/>
    </row>
    <row r="34" spans="1:8" x14ac:dyDescent="0.3">
      <c r="A34" s="34" t="s">
        <v>63</v>
      </c>
      <c r="B34" s="34" t="s">
        <v>64</v>
      </c>
      <c r="C34" s="3">
        <v>32</v>
      </c>
    </row>
    <row r="35" spans="1:8" x14ac:dyDescent="0.3">
      <c r="A35" s="34" t="s">
        <v>65</v>
      </c>
      <c r="B35" s="34" t="s">
        <v>66</v>
      </c>
      <c r="C35" s="3">
        <v>33</v>
      </c>
      <c r="D35" s="34"/>
      <c r="E35" s="34"/>
    </row>
    <row r="36" spans="1:8" x14ac:dyDescent="0.3">
      <c r="A36" s="34" t="s">
        <v>67</v>
      </c>
      <c r="B36" s="34" t="s">
        <v>68</v>
      </c>
      <c r="C36" s="3">
        <v>34</v>
      </c>
    </row>
    <row r="37" spans="1:8" x14ac:dyDescent="0.3">
      <c r="A37" s="34" t="s">
        <v>69</v>
      </c>
      <c r="B37" s="34" t="s">
        <v>70</v>
      </c>
      <c r="C37" s="3">
        <v>35</v>
      </c>
    </row>
    <row r="38" spans="1:8" x14ac:dyDescent="0.3">
      <c r="A38" s="34" t="s">
        <v>71</v>
      </c>
      <c r="B38" s="34" t="s">
        <v>72</v>
      </c>
      <c r="C38" s="3">
        <v>36</v>
      </c>
    </row>
    <row r="39" spans="1:8" x14ac:dyDescent="0.3">
      <c r="A39" s="35" t="s">
        <v>504</v>
      </c>
      <c r="B39" s="5" t="s">
        <v>502</v>
      </c>
      <c r="C39">
        <v>37</v>
      </c>
      <c r="D39" s="34"/>
      <c r="E39" s="34"/>
    </row>
    <row r="40" spans="1:8" x14ac:dyDescent="0.3">
      <c r="A40" s="35" t="s">
        <v>505</v>
      </c>
      <c r="B40" s="5" t="s">
        <v>503</v>
      </c>
      <c r="C40">
        <v>38</v>
      </c>
    </row>
    <row r="41" spans="1:8" x14ac:dyDescent="0.3">
      <c r="A41" s="35" t="s">
        <v>511</v>
      </c>
      <c r="B41" s="5" t="s">
        <v>512</v>
      </c>
      <c r="C41" s="3">
        <v>39</v>
      </c>
    </row>
    <row r="42" spans="1:8" x14ac:dyDescent="0.3">
      <c r="A42" s="35" t="s">
        <v>513</v>
      </c>
      <c r="B42" s="5" t="s">
        <v>514</v>
      </c>
      <c r="C42" s="3">
        <v>40</v>
      </c>
    </row>
    <row r="43" spans="1:8" x14ac:dyDescent="0.3">
      <c r="A43" s="35" t="s">
        <v>515</v>
      </c>
      <c r="B43" s="5" t="s">
        <v>516</v>
      </c>
      <c r="C43" s="3">
        <v>41</v>
      </c>
    </row>
    <row r="44" spans="1:8" x14ac:dyDescent="0.3">
      <c r="A44" s="35" t="s">
        <v>517</v>
      </c>
      <c r="B44" s="5" t="s">
        <v>518</v>
      </c>
      <c r="C44" s="3">
        <v>42</v>
      </c>
    </row>
    <row r="45" spans="1:8" x14ac:dyDescent="0.3">
      <c r="A45" s="35" t="s">
        <v>519</v>
      </c>
      <c r="B45" s="5" t="s">
        <v>520</v>
      </c>
      <c r="C45" s="3">
        <v>43</v>
      </c>
    </row>
    <row r="46" spans="1:8" x14ac:dyDescent="0.3">
      <c r="A46" s="35" t="s">
        <v>521</v>
      </c>
      <c r="B46" s="5" t="s">
        <v>522</v>
      </c>
      <c r="C46" s="3">
        <v>44</v>
      </c>
    </row>
    <row r="47" spans="1:8" x14ac:dyDescent="0.3">
      <c r="A47" s="35" t="s">
        <v>523</v>
      </c>
      <c r="B47" s="5" t="s">
        <v>524</v>
      </c>
      <c r="C47" s="3">
        <v>45</v>
      </c>
    </row>
    <row r="48" spans="1:8" x14ac:dyDescent="0.3">
      <c r="C48" s="3">
        <v>46</v>
      </c>
    </row>
    <row r="49" spans="3:3" customFormat="1" x14ac:dyDescent="0.3">
      <c r="C49" s="3">
        <v>47</v>
      </c>
    </row>
    <row r="50" spans="3:3" customFormat="1" x14ac:dyDescent="0.3">
      <c r="C50" s="3">
        <v>48</v>
      </c>
    </row>
    <row r="51" spans="3:3" customFormat="1" x14ac:dyDescent="0.3">
      <c r="C51" s="3">
        <v>49</v>
      </c>
    </row>
    <row r="52" spans="3:3" customFormat="1" x14ac:dyDescent="0.3">
      <c r="C52" s="3">
        <v>50</v>
      </c>
    </row>
    <row r="53" spans="3:3" customFormat="1" x14ac:dyDescent="0.3">
      <c r="C53" s="3">
        <v>51</v>
      </c>
    </row>
    <row r="54" spans="3:3" customFormat="1" x14ac:dyDescent="0.3">
      <c r="C54" s="3">
        <v>52</v>
      </c>
    </row>
    <row r="55" spans="3:3" customFormat="1" x14ac:dyDescent="0.3">
      <c r="C55" s="3">
        <v>53</v>
      </c>
    </row>
    <row r="56" spans="3:3" customFormat="1" x14ac:dyDescent="0.3">
      <c r="C56" s="3">
        <v>54</v>
      </c>
    </row>
    <row r="57" spans="3:3" customFormat="1" x14ac:dyDescent="0.3">
      <c r="C57" s="3">
        <v>55</v>
      </c>
    </row>
    <row r="58" spans="3:3" customFormat="1" x14ac:dyDescent="0.3">
      <c r="C58" s="3">
        <v>56</v>
      </c>
    </row>
    <row r="59" spans="3:3" customFormat="1" x14ac:dyDescent="0.3">
      <c r="C59" s="3">
        <v>57</v>
      </c>
    </row>
    <row r="60" spans="3:3" customFormat="1" x14ac:dyDescent="0.3">
      <c r="C60" s="3">
        <v>58</v>
      </c>
    </row>
    <row r="61" spans="3:3" customFormat="1" x14ac:dyDescent="0.3">
      <c r="C61" s="3">
        <v>59</v>
      </c>
    </row>
    <row r="62" spans="3:3" customFormat="1" x14ac:dyDescent="0.3">
      <c r="C62" s="3">
        <v>60</v>
      </c>
    </row>
    <row r="63" spans="3:3" customFormat="1" x14ac:dyDescent="0.3">
      <c r="C63" s="3">
        <v>61</v>
      </c>
    </row>
    <row r="64" spans="3:3" customFormat="1" x14ac:dyDescent="0.3">
      <c r="C64" s="3">
        <v>62</v>
      </c>
    </row>
    <row r="65" spans="3:3" customFormat="1" x14ac:dyDescent="0.3">
      <c r="C65" s="3">
        <v>63</v>
      </c>
    </row>
    <row r="66" spans="3:3" customFormat="1" x14ac:dyDescent="0.3">
      <c r="C66" s="3">
        <v>64</v>
      </c>
    </row>
    <row r="67" spans="3:3" customFormat="1" x14ac:dyDescent="0.3">
      <c r="C67" s="3">
        <v>65</v>
      </c>
    </row>
    <row r="68" spans="3:3" customFormat="1" x14ac:dyDescent="0.3">
      <c r="C68" s="3">
        <v>66</v>
      </c>
    </row>
    <row r="69" spans="3:3" customFormat="1" x14ac:dyDescent="0.3">
      <c r="C69" s="3">
        <v>67</v>
      </c>
    </row>
    <row r="70" spans="3:3" customFormat="1" x14ac:dyDescent="0.3">
      <c r="C70" s="3">
        <v>68</v>
      </c>
    </row>
    <row r="71" spans="3:3" customFormat="1" x14ac:dyDescent="0.3">
      <c r="C71" s="3">
        <v>69</v>
      </c>
    </row>
    <row r="72" spans="3:3" customFormat="1" x14ac:dyDescent="0.3">
      <c r="C72" s="3">
        <v>70</v>
      </c>
    </row>
    <row r="73" spans="3:3" customFormat="1" x14ac:dyDescent="0.3">
      <c r="C73" s="3">
        <v>71</v>
      </c>
    </row>
    <row r="74" spans="3:3" customFormat="1" x14ac:dyDescent="0.3">
      <c r="C74" s="3">
        <v>72</v>
      </c>
    </row>
    <row r="75" spans="3:3" customFormat="1" x14ac:dyDescent="0.3">
      <c r="C75" s="3">
        <v>73</v>
      </c>
    </row>
    <row r="76" spans="3:3" customFormat="1" x14ac:dyDescent="0.3">
      <c r="C76" s="3">
        <v>74</v>
      </c>
    </row>
    <row r="77" spans="3:3" customFormat="1" x14ac:dyDescent="0.3">
      <c r="C77" s="3">
        <v>75</v>
      </c>
    </row>
    <row r="78" spans="3:3" customFormat="1" x14ac:dyDescent="0.3">
      <c r="C78" s="3">
        <v>76</v>
      </c>
    </row>
    <row r="79" spans="3:3" customFormat="1" x14ac:dyDescent="0.3">
      <c r="C79" s="3">
        <v>77</v>
      </c>
    </row>
    <row r="80" spans="3:3" customFormat="1" x14ac:dyDescent="0.3">
      <c r="C80" s="3">
        <v>78</v>
      </c>
    </row>
    <row r="81" spans="3:3" customFormat="1" x14ac:dyDescent="0.3">
      <c r="C81" s="3">
        <v>79</v>
      </c>
    </row>
    <row r="82" spans="3:3" customFormat="1" x14ac:dyDescent="0.3">
      <c r="C82" s="3">
        <v>80</v>
      </c>
    </row>
    <row r="83" spans="3:3" customFormat="1" x14ac:dyDescent="0.3">
      <c r="C83" s="3">
        <v>81</v>
      </c>
    </row>
    <row r="84" spans="3:3" customFormat="1" x14ac:dyDescent="0.3">
      <c r="C84" s="3">
        <v>82</v>
      </c>
    </row>
    <row r="85" spans="3:3" customFormat="1" x14ac:dyDescent="0.3">
      <c r="C85" s="3">
        <v>83</v>
      </c>
    </row>
    <row r="86" spans="3:3" customFormat="1" x14ac:dyDescent="0.3">
      <c r="C86" s="3">
        <v>84</v>
      </c>
    </row>
    <row r="87" spans="3:3" customFormat="1" x14ac:dyDescent="0.3">
      <c r="C87" s="3">
        <v>85</v>
      </c>
    </row>
    <row r="88" spans="3:3" customFormat="1" x14ac:dyDescent="0.3">
      <c r="C88" s="3">
        <v>86</v>
      </c>
    </row>
    <row r="89" spans="3:3" customFormat="1" x14ac:dyDescent="0.3">
      <c r="C89" s="3">
        <v>87</v>
      </c>
    </row>
    <row r="90" spans="3:3" customFormat="1" x14ac:dyDescent="0.3">
      <c r="C90" s="3">
        <v>88</v>
      </c>
    </row>
    <row r="91" spans="3:3" customFormat="1" x14ac:dyDescent="0.3">
      <c r="C91" s="3">
        <v>89</v>
      </c>
    </row>
    <row r="92" spans="3:3" customFormat="1" x14ac:dyDescent="0.3">
      <c r="C92" s="3">
        <v>90</v>
      </c>
    </row>
    <row r="93" spans="3:3" customFormat="1" x14ac:dyDescent="0.3">
      <c r="C93" s="3">
        <v>91</v>
      </c>
    </row>
    <row r="94" spans="3:3" customFormat="1" x14ac:dyDescent="0.3">
      <c r="C94" s="3">
        <v>92</v>
      </c>
    </row>
    <row r="95" spans="3:3" customFormat="1" x14ac:dyDescent="0.3">
      <c r="C95" s="3">
        <v>93</v>
      </c>
    </row>
    <row r="96" spans="3:3" customFormat="1" x14ac:dyDescent="0.3">
      <c r="C96" s="3">
        <v>94</v>
      </c>
    </row>
    <row r="97" spans="3:3" customFormat="1" x14ac:dyDescent="0.3">
      <c r="C97" s="3">
        <v>95</v>
      </c>
    </row>
    <row r="98" spans="3:3" customFormat="1" x14ac:dyDescent="0.3">
      <c r="C98" s="3">
        <v>96</v>
      </c>
    </row>
    <row r="99" spans="3:3" customFormat="1" x14ac:dyDescent="0.3">
      <c r="C99" s="3">
        <v>97</v>
      </c>
    </row>
    <row r="100" spans="3:3" customFormat="1" x14ac:dyDescent="0.3">
      <c r="C100" s="3">
        <v>98</v>
      </c>
    </row>
    <row r="101" spans="3:3" customFormat="1" x14ac:dyDescent="0.3">
      <c r="C101" s="3">
        <v>99</v>
      </c>
    </row>
    <row r="102" spans="3:3" customFormat="1" x14ac:dyDescent="0.3">
      <c r="C102" s="3">
        <v>100</v>
      </c>
    </row>
    <row r="103" spans="3:3" customFormat="1" x14ac:dyDescent="0.3">
      <c r="C103" s="3">
        <v>101</v>
      </c>
    </row>
    <row r="104" spans="3:3" customFormat="1" x14ac:dyDescent="0.3">
      <c r="C104" s="3">
        <v>102</v>
      </c>
    </row>
    <row r="105" spans="3:3" customFormat="1" x14ac:dyDescent="0.3">
      <c r="C105" s="3">
        <v>103</v>
      </c>
    </row>
    <row r="106" spans="3:3" customFormat="1" x14ac:dyDescent="0.3">
      <c r="C106" s="3">
        <v>104</v>
      </c>
    </row>
    <row r="107" spans="3:3" customFormat="1" x14ac:dyDescent="0.3">
      <c r="C107" s="3">
        <v>105</v>
      </c>
    </row>
    <row r="108" spans="3:3" customFormat="1" x14ac:dyDescent="0.3">
      <c r="C108" s="3">
        <v>106</v>
      </c>
    </row>
    <row r="109" spans="3:3" customFormat="1" x14ac:dyDescent="0.3">
      <c r="C109" s="3">
        <v>107</v>
      </c>
    </row>
    <row r="110" spans="3:3" customFormat="1" x14ac:dyDescent="0.3">
      <c r="C110" s="3">
        <v>108</v>
      </c>
    </row>
    <row r="111" spans="3:3" customFormat="1" x14ac:dyDescent="0.3">
      <c r="C111" s="3">
        <v>109</v>
      </c>
    </row>
    <row r="112" spans="3:3" customFormat="1" x14ac:dyDescent="0.3">
      <c r="C112" s="3">
        <v>110</v>
      </c>
    </row>
    <row r="113" spans="3:3" customFormat="1" x14ac:dyDescent="0.3">
      <c r="C113" s="3">
        <v>111</v>
      </c>
    </row>
    <row r="114" spans="3:3" customFormat="1" x14ac:dyDescent="0.3">
      <c r="C114" s="3">
        <v>112</v>
      </c>
    </row>
    <row r="115" spans="3:3" customFormat="1" x14ac:dyDescent="0.3">
      <c r="C115" s="3">
        <v>113</v>
      </c>
    </row>
    <row r="116" spans="3:3" customFormat="1" x14ac:dyDescent="0.3">
      <c r="C116" s="3">
        <v>114</v>
      </c>
    </row>
    <row r="117" spans="3:3" customFormat="1" x14ac:dyDescent="0.3">
      <c r="C117" s="3">
        <v>115</v>
      </c>
    </row>
    <row r="118" spans="3:3" customFormat="1" x14ac:dyDescent="0.3">
      <c r="C118" s="3">
        <v>116</v>
      </c>
    </row>
    <row r="119" spans="3:3" customFormat="1" x14ac:dyDescent="0.3">
      <c r="C119" s="3">
        <v>117</v>
      </c>
    </row>
    <row r="120" spans="3:3" customFormat="1" x14ac:dyDescent="0.3">
      <c r="C120" s="3">
        <v>118</v>
      </c>
    </row>
    <row r="121" spans="3:3" customFormat="1" x14ac:dyDescent="0.3">
      <c r="C121" s="3">
        <v>119</v>
      </c>
    </row>
    <row r="122" spans="3:3" customFormat="1" x14ac:dyDescent="0.3">
      <c r="C122" s="3">
        <v>120</v>
      </c>
    </row>
    <row r="123" spans="3:3" customFormat="1" x14ac:dyDescent="0.3">
      <c r="C123" s="3">
        <v>121</v>
      </c>
    </row>
    <row r="124" spans="3:3" customFormat="1" x14ac:dyDescent="0.3">
      <c r="C124" s="3">
        <v>122</v>
      </c>
    </row>
    <row r="125" spans="3:3" customFormat="1" x14ac:dyDescent="0.3">
      <c r="C125" s="3">
        <v>123</v>
      </c>
    </row>
    <row r="126" spans="3:3" customFormat="1" x14ac:dyDescent="0.3">
      <c r="C126" s="3">
        <v>124</v>
      </c>
    </row>
    <row r="127" spans="3:3" customFormat="1" x14ac:dyDescent="0.3">
      <c r="C127" s="3">
        <v>125</v>
      </c>
    </row>
    <row r="128" spans="3:3" customFormat="1" x14ac:dyDescent="0.3">
      <c r="C128" s="3">
        <v>126</v>
      </c>
    </row>
    <row r="129" spans="3:3" customFormat="1" x14ac:dyDescent="0.3">
      <c r="C129" s="3">
        <v>127</v>
      </c>
    </row>
    <row r="130" spans="3:3" customFormat="1" x14ac:dyDescent="0.3">
      <c r="C130" s="3">
        <v>128</v>
      </c>
    </row>
    <row r="131" spans="3:3" customFormat="1" x14ac:dyDescent="0.3">
      <c r="C131" s="3">
        <v>129</v>
      </c>
    </row>
    <row r="132" spans="3:3" customFormat="1" x14ac:dyDescent="0.3">
      <c r="C132" s="3">
        <v>130</v>
      </c>
    </row>
    <row r="133" spans="3:3" customFormat="1" x14ac:dyDescent="0.3">
      <c r="C133" s="3">
        <v>131</v>
      </c>
    </row>
    <row r="134" spans="3:3" customFormat="1" x14ac:dyDescent="0.3">
      <c r="C134" s="3">
        <v>132</v>
      </c>
    </row>
    <row r="135" spans="3:3" customFormat="1" x14ac:dyDescent="0.3">
      <c r="C135" s="3">
        <v>133</v>
      </c>
    </row>
    <row r="136" spans="3:3" customFormat="1" x14ac:dyDescent="0.3">
      <c r="C136" s="3">
        <v>134</v>
      </c>
    </row>
    <row r="137" spans="3:3" customFormat="1" x14ac:dyDescent="0.3">
      <c r="C137" s="3">
        <v>135</v>
      </c>
    </row>
    <row r="138" spans="3:3" customFormat="1" x14ac:dyDescent="0.3">
      <c r="C138" s="3">
        <v>136</v>
      </c>
    </row>
    <row r="139" spans="3:3" customFormat="1" x14ac:dyDescent="0.3">
      <c r="C139" s="3">
        <v>137</v>
      </c>
    </row>
    <row r="140" spans="3:3" customFormat="1" x14ac:dyDescent="0.3">
      <c r="C140" s="3">
        <v>138</v>
      </c>
    </row>
    <row r="141" spans="3:3" customFormat="1" x14ac:dyDescent="0.3">
      <c r="C141" s="3">
        <v>139</v>
      </c>
    </row>
    <row r="142" spans="3:3" customFormat="1" x14ac:dyDescent="0.3">
      <c r="C142" s="3">
        <v>140</v>
      </c>
    </row>
    <row r="143" spans="3:3" customFormat="1" x14ac:dyDescent="0.3">
      <c r="C143" s="3">
        <v>141</v>
      </c>
    </row>
    <row r="144" spans="3:3" customFormat="1" x14ac:dyDescent="0.3">
      <c r="C144" s="3">
        <v>142</v>
      </c>
    </row>
    <row r="145" spans="3:3" customFormat="1" x14ac:dyDescent="0.3">
      <c r="C145" s="3">
        <v>143</v>
      </c>
    </row>
    <row r="146" spans="3:3" customFormat="1" x14ac:dyDescent="0.3">
      <c r="C146" s="3">
        <v>144</v>
      </c>
    </row>
    <row r="147" spans="3:3" customFormat="1" x14ac:dyDescent="0.3">
      <c r="C147" s="3">
        <v>145</v>
      </c>
    </row>
    <row r="148" spans="3:3" customFormat="1" x14ac:dyDescent="0.3">
      <c r="C148" s="3">
        <v>146</v>
      </c>
    </row>
    <row r="149" spans="3:3" customFormat="1" x14ac:dyDescent="0.3">
      <c r="C149" s="3">
        <v>147</v>
      </c>
    </row>
    <row r="150" spans="3:3" customFormat="1" x14ac:dyDescent="0.3">
      <c r="C150" s="3">
        <v>148</v>
      </c>
    </row>
    <row r="151" spans="3:3" customFormat="1" x14ac:dyDescent="0.3">
      <c r="C151" s="3">
        <v>149</v>
      </c>
    </row>
    <row r="152" spans="3:3" customFormat="1" x14ac:dyDescent="0.3">
      <c r="C152" s="3">
        <v>150</v>
      </c>
    </row>
    <row r="153" spans="3:3" customFormat="1" x14ac:dyDescent="0.3">
      <c r="C153" s="3">
        <v>151</v>
      </c>
    </row>
    <row r="154" spans="3:3" customFormat="1" x14ac:dyDescent="0.3">
      <c r="C154" s="3">
        <v>152</v>
      </c>
    </row>
    <row r="155" spans="3:3" customFormat="1" x14ac:dyDescent="0.3">
      <c r="C155" s="3">
        <v>153</v>
      </c>
    </row>
    <row r="156" spans="3:3" customFormat="1" x14ac:dyDescent="0.3">
      <c r="C156" s="3">
        <v>154</v>
      </c>
    </row>
    <row r="157" spans="3:3" customFormat="1" x14ac:dyDescent="0.3">
      <c r="C157" s="3">
        <v>155</v>
      </c>
    </row>
    <row r="158" spans="3:3" customFormat="1" x14ac:dyDescent="0.3">
      <c r="C158" s="3">
        <v>156</v>
      </c>
    </row>
    <row r="159" spans="3:3" customFormat="1" x14ac:dyDescent="0.3">
      <c r="C159" s="3">
        <v>157</v>
      </c>
    </row>
    <row r="160" spans="3:3" customFormat="1" x14ac:dyDescent="0.3">
      <c r="C160" s="3">
        <v>158</v>
      </c>
    </row>
    <row r="161" spans="3:3" customFormat="1" x14ac:dyDescent="0.3">
      <c r="C161" s="3">
        <v>159</v>
      </c>
    </row>
    <row r="162" spans="3:3" customFormat="1" x14ac:dyDescent="0.3">
      <c r="C162" s="3">
        <v>160</v>
      </c>
    </row>
    <row r="163" spans="3:3" customFormat="1" x14ac:dyDescent="0.3">
      <c r="C163" s="3">
        <v>161</v>
      </c>
    </row>
    <row r="164" spans="3:3" customFormat="1" x14ac:dyDescent="0.3">
      <c r="C164" s="3">
        <v>162</v>
      </c>
    </row>
    <row r="165" spans="3:3" customFormat="1" x14ac:dyDescent="0.3">
      <c r="C165" s="3">
        <v>163</v>
      </c>
    </row>
    <row r="166" spans="3:3" customFormat="1" x14ac:dyDescent="0.3">
      <c r="C166" s="3">
        <v>164</v>
      </c>
    </row>
    <row r="167" spans="3:3" customFormat="1" x14ac:dyDescent="0.3">
      <c r="C167" s="3">
        <v>165</v>
      </c>
    </row>
    <row r="168" spans="3:3" customFormat="1" x14ac:dyDescent="0.3">
      <c r="C168" s="3">
        <v>166</v>
      </c>
    </row>
    <row r="169" spans="3:3" customFormat="1" x14ac:dyDescent="0.3">
      <c r="C169" s="3">
        <v>167</v>
      </c>
    </row>
    <row r="170" spans="3:3" customFormat="1" x14ac:dyDescent="0.3">
      <c r="C170" s="3">
        <v>168</v>
      </c>
    </row>
    <row r="171" spans="3:3" customFormat="1" x14ac:dyDescent="0.3">
      <c r="C171" s="3">
        <v>169</v>
      </c>
    </row>
    <row r="172" spans="3:3" customFormat="1" x14ac:dyDescent="0.3">
      <c r="C172" s="3">
        <v>170</v>
      </c>
    </row>
    <row r="173" spans="3:3" customFormat="1" x14ac:dyDescent="0.3">
      <c r="C173" s="3">
        <v>171</v>
      </c>
    </row>
    <row r="174" spans="3:3" customFormat="1" x14ac:dyDescent="0.3">
      <c r="C174" s="3">
        <v>172</v>
      </c>
    </row>
    <row r="175" spans="3:3" customFormat="1" x14ac:dyDescent="0.3">
      <c r="C175" s="3">
        <v>173</v>
      </c>
    </row>
    <row r="176" spans="3:3" customFormat="1" x14ac:dyDescent="0.3">
      <c r="C176" s="3">
        <v>174</v>
      </c>
    </row>
    <row r="177" spans="3:3" customFormat="1" x14ac:dyDescent="0.3">
      <c r="C177" s="3">
        <v>175</v>
      </c>
    </row>
    <row r="178" spans="3:3" customFormat="1" x14ac:dyDescent="0.3">
      <c r="C178" s="3">
        <v>176</v>
      </c>
    </row>
    <row r="179" spans="3:3" customFormat="1" x14ac:dyDescent="0.3">
      <c r="C179" s="3">
        <v>177</v>
      </c>
    </row>
    <row r="180" spans="3:3" customFormat="1" x14ac:dyDescent="0.3">
      <c r="C180" s="3">
        <v>178</v>
      </c>
    </row>
    <row r="181" spans="3:3" customFormat="1" x14ac:dyDescent="0.3">
      <c r="C181" s="3">
        <v>179</v>
      </c>
    </row>
    <row r="182" spans="3:3" customFormat="1" x14ac:dyDescent="0.3">
      <c r="C182" s="3">
        <v>180</v>
      </c>
    </row>
    <row r="183" spans="3:3" customFormat="1" x14ac:dyDescent="0.3">
      <c r="C183" s="3">
        <v>181</v>
      </c>
    </row>
    <row r="184" spans="3:3" customFormat="1" x14ac:dyDescent="0.3">
      <c r="C184" s="3">
        <v>182</v>
      </c>
    </row>
    <row r="185" spans="3:3" customFormat="1" x14ac:dyDescent="0.3">
      <c r="C185" s="3">
        <v>183</v>
      </c>
    </row>
    <row r="186" spans="3:3" customFormat="1" x14ac:dyDescent="0.3">
      <c r="C186" s="3">
        <v>184</v>
      </c>
    </row>
    <row r="187" spans="3:3" customFormat="1" x14ac:dyDescent="0.3">
      <c r="C187" s="3">
        <v>185</v>
      </c>
    </row>
    <row r="188" spans="3:3" customFormat="1" x14ac:dyDescent="0.3">
      <c r="C188" s="3">
        <v>186</v>
      </c>
    </row>
    <row r="189" spans="3:3" customFormat="1" x14ac:dyDescent="0.3">
      <c r="C189" s="3">
        <v>187</v>
      </c>
    </row>
    <row r="190" spans="3:3" customFormat="1" x14ac:dyDescent="0.3">
      <c r="C190" s="3">
        <v>188</v>
      </c>
    </row>
    <row r="191" spans="3:3" customFormat="1" x14ac:dyDescent="0.3">
      <c r="C191" s="3">
        <v>189</v>
      </c>
    </row>
    <row r="192" spans="3:3" customFormat="1" x14ac:dyDescent="0.3">
      <c r="C192" s="3">
        <v>190</v>
      </c>
    </row>
    <row r="193" spans="3:3" customFormat="1" x14ac:dyDescent="0.3">
      <c r="C193" s="3">
        <v>191</v>
      </c>
    </row>
    <row r="194" spans="3:3" customFormat="1" x14ac:dyDescent="0.3">
      <c r="C194" s="3">
        <v>192</v>
      </c>
    </row>
    <row r="195" spans="3:3" customFormat="1" x14ac:dyDescent="0.3">
      <c r="C195" s="3">
        <v>193</v>
      </c>
    </row>
    <row r="196" spans="3:3" customFormat="1" x14ac:dyDescent="0.3">
      <c r="C196" s="3">
        <v>194</v>
      </c>
    </row>
    <row r="197" spans="3:3" customFormat="1" x14ac:dyDescent="0.3">
      <c r="C197" s="3">
        <v>195</v>
      </c>
    </row>
    <row r="198" spans="3:3" customFormat="1" x14ac:dyDescent="0.3">
      <c r="C198" s="3">
        <v>196</v>
      </c>
    </row>
    <row r="199" spans="3:3" customFormat="1" x14ac:dyDescent="0.3">
      <c r="C199" s="3">
        <v>197</v>
      </c>
    </row>
    <row r="200" spans="3:3" customFormat="1" x14ac:dyDescent="0.3">
      <c r="C200" s="3">
        <v>198</v>
      </c>
    </row>
    <row r="201" spans="3:3" customFormat="1" x14ac:dyDescent="0.3">
      <c r="C201" s="3">
        <v>199</v>
      </c>
    </row>
    <row r="202" spans="3:3" customFormat="1" x14ac:dyDescent="0.3">
      <c r="C202" s="3">
        <v>200</v>
      </c>
    </row>
    <row r="203" spans="3:3" customFormat="1" x14ac:dyDescent="0.3">
      <c r="C203" t="s">
        <v>506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AllKata">
                <anchor moveWithCells="1" sizeWithCells="1">
                  <from>
                    <xdr:col>3</xdr:col>
                    <xdr:colOff>784860</xdr:colOff>
                    <xdr:row>5</xdr:row>
                    <xdr:rowOff>45720</xdr:rowOff>
                  </from>
                  <to>
                    <xdr:col>5</xdr:col>
                    <xdr:colOff>419100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54</vt:i4>
      </vt:variant>
    </vt:vector>
  </HeadingPairs>
  <TitlesOfParts>
    <vt:vector size="64" baseType="lpstr">
      <vt:lpstr>1 Nage</vt:lpstr>
      <vt:lpstr>2 Katame</vt:lpstr>
      <vt:lpstr>3 Ju</vt:lpstr>
      <vt:lpstr>4 Kime</vt:lpstr>
      <vt:lpstr>5 Goshin</vt:lpstr>
      <vt:lpstr>6 Koshiki</vt:lpstr>
      <vt:lpstr>7 NageU18</vt:lpstr>
      <vt:lpstr>8 Integration1</vt:lpstr>
      <vt:lpstr>9 Integration2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'1 Nage'!Print_Area</vt:lpstr>
      <vt:lpstr>'2 Katame'!Print_Area</vt:lpstr>
      <vt:lpstr>'3 Ju'!Print_Area</vt:lpstr>
      <vt:lpstr>'4 Kime'!Print_Area</vt:lpstr>
      <vt:lpstr>'5 Goshin'!Print_Area</vt:lpstr>
      <vt:lpstr>'6 Koshiki'!Print_Area</vt:lpstr>
      <vt:lpstr>'7 NageU18'!Print_Area</vt:lpstr>
      <vt:lpstr>'8 Integration1'!Print_Area</vt:lpstr>
      <vt:lpstr>'9 Integration2'!Print_Area</vt:lpstr>
      <vt:lpstr>Configuration!Print_Area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2017-06-16T17:19:41Z</dcterms:modified>
</cp:coreProperties>
</file>