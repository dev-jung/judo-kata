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9188" yWindow="-12" windowWidth="19236" windowHeight="13176" tabRatio="686"/>
  </bookViews>
  <sheets>
    <sheet name="1 Nage" sheetId="1" r:id="rId1"/>
    <sheet name="2 Katame" sheetId="4" r:id="rId2"/>
    <sheet name="3 Ju" sheetId="6" r:id="rId3"/>
    <sheet name="4 Kime" sheetId="8" r:id="rId4"/>
    <sheet name="5 Goshin" sheetId="10" r:id="rId5"/>
    <sheet name="6 Koshiki" sheetId="12" r:id="rId6"/>
    <sheet name="1 Nage A" sheetId="2" r:id="rId7"/>
    <sheet name="2 Katame A" sheetId="5" r:id="rId8"/>
    <sheet name="3 Ju A" sheetId="7" r:id="rId9"/>
    <sheet name="3 Kime A" sheetId="9" r:id="rId10"/>
    <sheet name="5 Goshin A" sheetId="11" r:id="rId11"/>
    <sheet name="6 Koshiki A" sheetId="13" r:id="rId12"/>
    <sheet name="Doku" sheetId="3" r:id="rId13"/>
  </sheets>
  <definedNames>
    <definedName name="_xlnm.Print_Area" localSheetId="0">'1 Nage'!$A$1:$K$37</definedName>
    <definedName name="_xlnm.Print_Area" localSheetId="6">'1 Nage A'!$A$1:$AD$15</definedName>
    <definedName name="_xlnm.Print_Area" localSheetId="1">'2 Katame'!$A$1:$K$37</definedName>
    <definedName name="_xlnm.Print_Area" localSheetId="7">'2 Katame A'!$A$1:$AD$15</definedName>
    <definedName name="_xlnm.Print_Area" localSheetId="2">'3 Ju'!$A$1:$K$37</definedName>
    <definedName name="_xlnm.Print_Area" localSheetId="8">'3 Ju A'!$A$1:$AD$15</definedName>
    <definedName name="_xlnm.Print_Area" localSheetId="9">'3 Kime A'!$A$1:$AD$15</definedName>
    <definedName name="_xlnm.Print_Area" localSheetId="3">'4 Kime'!$A$1:$K$37</definedName>
    <definedName name="_xlnm.Print_Area" localSheetId="4">'5 Goshin'!$A$1:$K$37</definedName>
    <definedName name="_xlnm.Print_Area" localSheetId="10">'5 Goshin A'!$A$1:$AD$15</definedName>
    <definedName name="_xlnm.Print_Area" localSheetId="5">'6 Koshiki'!$A$1:$K$37</definedName>
    <definedName name="_xlnm.Print_Area" localSheetId="11">'6 Koshiki A'!$A$1:$AD$15</definedName>
  </definedNames>
  <calcPr calcId="145621"/>
</workbook>
</file>

<file path=xl/calcChain.xml><?xml version="1.0" encoding="utf-8"?>
<calcChain xmlns="http://schemas.openxmlformats.org/spreadsheetml/2006/main">
  <c r="K36" i="12" l="1"/>
  <c r="J36" i="12"/>
  <c r="I36" i="12"/>
  <c r="H36" i="12"/>
  <c r="G36" i="12"/>
  <c r="F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AD15" i="13"/>
  <c r="V15" i="13"/>
  <c r="N15" i="13"/>
  <c r="F15" i="13"/>
  <c r="Z14" i="13"/>
  <c r="R14" i="13"/>
  <c r="J14" i="13"/>
  <c r="AD13" i="13"/>
  <c r="V13" i="13"/>
  <c r="N13" i="13"/>
  <c r="F13" i="13"/>
  <c r="Z12" i="13"/>
  <c r="R12" i="13"/>
  <c r="J12" i="13"/>
  <c r="AD11" i="13"/>
  <c r="V11" i="13"/>
  <c r="N11" i="13"/>
  <c r="F11" i="13"/>
  <c r="Z10" i="13"/>
  <c r="R10" i="13"/>
  <c r="J10" i="13"/>
  <c r="AD9" i="13"/>
  <c r="V9" i="13"/>
  <c r="N9" i="13"/>
  <c r="F9" i="13"/>
  <c r="Z8" i="13"/>
  <c r="R8" i="13"/>
  <c r="J8" i="13"/>
  <c r="AD7" i="13"/>
  <c r="V7" i="13"/>
  <c r="N7" i="13"/>
  <c r="F7" i="13"/>
  <c r="U7" i="13"/>
  <c r="E7" i="13"/>
  <c r="AB15" i="13"/>
  <c r="X14" i="13"/>
  <c r="H14" i="13"/>
  <c r="T13" i="13"/>
  <c r="D13" i="13"/>
  <c r="P12" i="13"/>
  <c r="AB11" i="13"/>
  <c r="L11" i="13"/>
  <c r="X10" i="13"/>
  <c r="AB9" i="13"/>
  <c r="D9" i="13"/>
  <c r="AB7" i="13"/>
  <c r="S15" i="13"/>
  <c r="W14" i="13"/>
  <c r="O14" i="13"/>
  <c r="AA13" i="13"/>
  <c r="W12" i="13"/>
  <c r="AA11" i="13"/>
  <c r="W10" i="13"/>
  <c r="S9" i="13"/>
  <c r="G8" i="13"/>
  <c r="C7" i="13"/>
  <c r="AD14" i="13"/>
  <c r="Z13" i="13"/>
  <c r="V12" i="13"/>
  <c r="J11" i="13"/>
  <c r="F10" i="13"/>
  <c r="AD8" i="13"/>
  <c r="Z7" i="13"/>
  <c r="AC15" i="13"/>
  <c r="U15" i="13"/>
  <c r="M15" i="13"/>
  <c r="E15" i="13"/>
  <c r="Y14" i="13"/>
  <c r="Q14" i="13"/>
  <c r="I14" i="13"/>
  <c r="AC13" i="13"/>
  <c r="U13" i="13"/>
  <c r="M13" i="13"/>
  <c r="E13" i="13"/>
  <c r="Y12" i="13"/>
  <c r="Q12" i="13"/>
  <c r="I12" i="13"/>
  <c r="AC11" i="13"/>
  <c r="U11" i="13"/>
  <c r="M11" i="13"/>
  <c r="E11" i="13"/>
  <c r="Y10" i="13"/>
  <c r="Q10" i="13"/>
  <c r="I10" i="13"/>
  <c r="AC9" i="13"/>
  <c r="U9" i="13"/>
  <c r="M9" i="13"/>
  <c r="E9" i="13"/>
  <c r="Y8" i="13"/>
  <c r="Q8" i="13"/>
  <c r="I8" i="13"/>
  <c r="AC7" i="13"/>
  <c r="M7" i="13"/>
  <c r="T15" i="13"/>
  <c r="L15" i="13"/>
  <c r="D15" i="13"/>
  <c r="P14" i="13"/>
  <c r="AB13" i="13"/>
  <c r="L13" i="13"/>
  <c r="X12" i="13"/>
  <c r="H12" i="13"/>
  <c r="T11" i="13"/>
  <c r="D11" i="13"/>
  <c r="P10" i="13"/>
  <c r="L9" i="13"/>
  <c r="P8" i="13"/>
  <c r="L7" i="13"/>
  <c r="K15" i="13"/>
  <c r="G14" i="13"/>
  <c r="K13" i="13"/>
  <c r="G12" i="13"/>
  <c r="C11" i="13"/>
  <c r="AA9" i="13"/>
  <c r="W8" i="13"/>
  <c r="S7" i="13"/>
  <c r="R15" i="13"/>
  <c r="J13" i="13"/>
  <c r="F12" i="13"/>
  <c r="R11" i="13"/>
  <c r="N10" i="13"/>
  <c r="J9" i="13"/>
  <c r="N8" i="13"/>
  <c r="J7" i="13"/>
  <c r="Y15" i="13"/>
  <c r="Q15" i="13"/>
  <c r="I15" i="13"/>
  <c r="AC14" i="13"/>
  <c r="U14" i="13"/>
  <c r="M14" i="13"/>
  <c r="E14" i="13"/>
  <c r="Y13" i="13"/>
  <c r="Q13" i="13"/>
  <c r="I13" i="13"/>
  <c r="AC12" i="13"/>
  <c r="U12" i="13"/>
  <c r="M12" i="13"/>
  <c r="E12" i="13"/>
  <c r="Y11" i="13"/>
  <c r="Q11" i="13"/>
  <c r="I11" i="13"/>
  <c r="AC10" i="13"/>
  <c r="U10" i="13"/>
  <c r="M10" i="13"/>
  <c r="E10" i="13"/>
  <c r="Y9" i="13"/>
  <c r="Q9" i="13"/>
  <c r="I9" i="13"/>
  <c r="AC8" i="13"/>
  <c r="U8" i="13"/>
  <c r="M8" i="13"/>
  <c r="E8" i="13"/>
  <c r="Y7" i="13"/>
  <c r="Q7" i="13"/>
  <c r="I7" i="13"/>
  <c r="AB12" i="13"/>
  <c r="P11" i="13"/>
  <c r="T10" i="13"/>
  <c r="X9" i="13"/>
  <c r="H9" i="13"/>
  <c r="AB8" i="13"/>
  <c r="L8" i="13"/>
  <c r="X7" i="13"/>
  <c r="H7" i="13"/>
  <c r="W15" i="13"/>
  <c r="G15" i="13"/>
  <c r="AA14" i="13"/>
  <c r="K14" i="13"/>
  <c r="O13" i="13"/>
  <c r="AA12" i="13"/>
  <c r="K12" i="13"/>
  <c r="W11" i="13"/>
  <c r="AA10" i="13"/>
  <c r="K10" i="13"/>
  <c r="W9" i="13"/>
  <c r="G9" i="13"/>
  <c r="AA8" i="13"/>
  <c r="K8" i="13"/>
  <c r="W7" i="13"/>
  <c r="G7" i="13"/>
  <c r="T9" i="13"/>
  <c r="H8" i="13"/>
  <c r="D7" i="13"/>
  <c r="C15" i="13"/>
  <c r="C13" i="13"/>
  <c r="S11" i="13"/>
  <c r="O10" i="13"/>
  <c r="K9" i="13"/>
  <c r="O8" i="13"/>
  <c r="AA7" i="13"/>
  <c r="Z15" i="13"/>
  <c r="V14" i="13"/>
  <c r="N14" i="13"/>
  <c r="F14" i="13"/>
  <c r="R13" i="13"/>
  <c r="N12" i="13"/>
  <c r="Z11" i="13"/>
  <c r="V10" i="13"/>
  <c r="Z9" i="13"/>
  <c r="V8" i="13"/>
  <c r="R7" i="13"/>
  <c r="X15" i="13"/>
  <c r="P15" i="13"/>
  <c r="H15" i="13"/>
  <c r="AB14" i="13"/>
  <c r="T14" i="13"/>
  <c r="L14" i="13"/>
  <c r="D14" i="13"/>
  <c r="X13" i="13"/>
  <c r="P13" i="13"/>
  <c r="H13" i="13"/>
  <c r="T12" i="13"/>
  <c r="L12" i="13"/>
  <c r="D12" i="13"/>
  <c r="X11" i="13"/>
  <c r="H11" i="13"/>
  <c r="AB10" i="13"/>
  <c r="L10" i="13"/>
  <c r="D10" i="13"/>
  <c r="P9" i="13"/>
  <c r="T8" i="13"/>
  <c r="D8" i="13"/>
  <c r="P7" i="13"/>
  <c r="O15" i="13"/>
  <c r="S14" i="13"/>
  <c r="C14" i="13"/>
  <c r="W13" i="13"/>
  <c r="G13" i="13"/>
  <c r="S12" i="13"/>
  <c r="C12" i="13"/>
  <c r="O11" i="13"/>
  <c r="G11" i="13"/>
  <c r="S10" i="13"/>
  <c r="C10" i="13"/>
  <c r="O9" i="13"/>
  <c r="S8" i="13"/>
  <c r="C8" i="13"/>
  <c r="O7" i="13"/>
  <c r="H10" i="13"/>
  <c r="X8" i="13"/>
  <c r="T7" i="13"/>
  <c r="AA15" i="13"/>
  <c r="S13" i="13"/>
  <c r="O12" i="13"/>
  <c r="K11" i="13"/>
  <c r="G10" i="13"/>
  <c r="C9" i="13"/>
  <c r="K7" i="13"/>
  <c r="J15" i="13"/>
  <c r="AD12" i="13"/>
  <c r="AD10" i="13"/>
  <c r="R9" i="13"/>
  <c r="F8" i="13"/>
  <c r="AC15" i="11"/>
  <c r="AC13" i="11"/>
  <c r="AC11" i="11"/>
  <c r="AC9" i="11"/>
  <c r="AC7" i="11"/>
  <c r="AB15" i="11"/>
  <c r="AB13" i="11"/>
  <c r="AB11" i="11"/>
  <c r="AB9" i="11"/>
  <c r="AB7" i="11"/>
  <c r="AA15" i="11"/>
  <c r="AA13" i="11"/>
  <c r="AA11" i="11"/>
  <c r="AA9" i="11"/>
  <c r="AA7" i="11"/>
  <c r="AD14" i="11"/>
  <c r="AD12" i="11"/>
  <c r="AD10" i="11"/>
  <c r="AD8" i="11"/>
  <c r="AD13" i="11"/>
  <c r="AD7" i="11"/>
  <c r="AC14" i="11"/>
  <c r="AC12" i="11"/>
  <c r="AC10" i="11"/>
  <c r="AC8" i="11"/>
  <c r="AB12" i="11"/>
  <c r="AB10" i="11"/>
  <c r="AB8" i="11"/>
  <c r="AA14" i="11"/>
  <c r="AA12" i="11"/>
  <c r="AA10" i="11"/>
  <c r="AD15" i="11"/>
  <c r="AD9" i="11"/>
  <c r="AB14" i="11"/>
  <c r="AA8" i="11"/>
  <c r="AD11" i="11"/>
  <c r="Z8" i="11"/>
  <c r="Z9" i="11"/>
  <c r="Z11" i="11"/>
  <c r="Z13" i="11"/>
  <c r="Z10" i="11"/>
  <c r="Z14" i="11"/>
  <c r="Z15" i="11"/>
  <c r="Z12" i="11"/>
  <c r="Z7" i="11"/>
  <c r="Y15" i="11"/>
  <c r="Q15" i="11"/>
  <c r="I15" i="11"/>
  <c r="X14" i="11"/>
  <c r="P14" i="11"/>
  <c r="H14" i="11"/>
  <c r="W13" i="11"/>
  <c r="O13" i="11"/>
  <c r="G13" i="11"/>
  <c r="V12" i="11"/>
  <c r="N12" i="11"/>
  <c r="F12" i="11"/>
  <c r="U11" i="11"/>
  <c r="M11" i="11"/>
  <c r="E11" i="11"/>
  <c r="T10" i="11"/>
  <c r="L10" i="11"/>
  <c r="D10" i="11"/>
  <c r="S9" i="11"/>
  <c r="K9" i="11"/>
  <c r="C9" i="11"/>
  <c r="R8" i="11"/>
  <c r="J8" i="11"/>
  <c r="Y7" i="11"/>
  <c r="Q7" i="11"/>
  <c r="I7" i="11"/>
  <c r="J9" i="11"/>
  <c r="I8" i="11"/>
  <c r="H7" i="11"/>
  <c r="F15" i="11"/>
  <c r="K12" i="11"/>
  <c r="I10" i="11"/>
  <c r="O8" i="11"/>
  <c r="F7" i="11"/>
  <c r="T14" i="11"/>
  <c r="Y11" i="11"/>
  <c r="H10" i="11"/>
  <c r="V8" i="11"/>
  <c r="L15" i="11"/>
  <c r="K14" i="11"/>
  <c r="C14" i="11"/>
  <c r="R13" i="11"/>
  <c r="Y12" i="11"/>
  <c r="X11" i="11"/>
  <c r="G10" i="11"/>
  <c r="E8" i="11"/>
  <c r="X15" i="11"/>
  <c r="P15" i="11"/>
  <c r="H15" i="11"/>
  <c r="W14" i="11"/>
  <c r="O14" i="11"/>
  <c r="G14" i="11"/>
  <c r="V13" i="11"/>
  <c r="N13" i="11"/>
  <c r="F13" i="11"/>
  <c r="U12" i="11"/>
  <c r="M12" i="11"/>
  <c r="E12" i="11"/>
  <c r="T11" i="11"/>
  <c r="L11" i="11"/>
  <c r="D11" i="11"/>
  <c r="S10" i="11"/>
  <c r="K10" i="11"/>
  <c r="C10" i="11"/>
  <c r="R9" i="11"/>
  <c r="Y8" i="11"/>
  <c r="Q8" i="11"/>
  <c r="P7" i="11"/>
  <c r="U14" i="11"/>
  <c r="S12" i="11"/>
  <c r="Y10" i="11"/>
  <c r="P9" i="11"/>
  <c r="N7" i="11"/>
  <c r="E15" i="11"/>
  <c r="C13" i="11"/>
  <c r="I11" i="11"/>
  <c r="W9" i="11"/>
  <c r="F8" i="11"/>
  <c r="E7" i="11"/>
  <c r="S14" i="11"/>
  <c r="Q12" i="11"/>
  <c r="W10" i="11"/>
  <c r="F9" i="11"/>
  <c r="T7" i="11"/>
  <c r="W15" i="11"/>
  <c r="O15" i="11"/>
  <c r="G15" i="11"/>
  <c r="V14" i="11"/>
  <c r="N14" i="11"/>
  <c r="F14" i="11"/>
  <c r="U13" i="11"/>
  <c r="M13" i="11"/>
  <c r="E13" i="11"/>
  <c r="T12" i="11"/>
  <c r="L12" i="11"/>
  <c r="D12" i="11"/>
  <c r="S11" i="11"/>
  <c r="K11" i="11"/>
  <c r="C11" i="11"/>
  <c r="R10" i="11"/>
  <c r="J10" i="11"/>
  <c r="Y9" i="11"/>
  <c r="Q9" i="11"/>
  <c r="I9" i="11"/>
  <c r="X8" i="11"/>
  <c r="P8" i="11"/>
  <c r="H8" i="11"/>
  <c r="W7" i="11"/>
  <c r="O7" i="11"/>
  <c r="G7" i="11"/>
  <c r="V15" i="11"/>
  <c r="L13" i="11"/>
  <c r="R11" i="11"/>
  <c r="Q10" i="11"/>
  <c r="H9" i="11"/>
  <c r="V7" i="11"/>
  <c r="M15" i="11"/>
  <c r="L14" i="11"/>
  <c r="D14" i="11"/>
  <c r="K13" i="11"/>
  <c r="R12" i="11"/>
  <c r="Q11" i="11"/>
  <c r="P10" i="11"/>
  <c r="G9" i="11"/>
  <c r="U7" i="11"/>
  <c r="T15" i="11"/>
  <c r="J13" i="11"/>
  <c r="P11" i="11"/>
  <c r="O10" i="11"/>
  <c r="N9" i="11"/>
  <c r="U8" i="11"/>
  <c r="L7" i="11"/>
  <c r="S15" i="11"/>
  <c r="K15" i="11"/>
  <c r="C15" i="11"/>
  <c r="R14" i="11"/>
  <c r="J14" i="11"/>
  <c r="Y13" i="11"/>
  <c r="Q13" i="11"/>
  <c r="I13" i="11"/>
  <c r="X12" i="11"/>
  <c r="P12" i="11"/>
  <c r="H12" i="11"/>
  <c r="W11" i="11"/>
  <c r="O11" i="11"/>
  <c r="G11" i="11"/>
  <c r="V10" i="11"/>
  <c r="N10" i="11"/>
  <c r="F10" i="11"/>
  <c r="U9" i="11"/>
  <c r="M9" i="11"/>
  <c r="E9" i="11"/>
  <c r="T8" i="11"/>
  <c r="L8" i="11"/>
  <c r="D8" i="11"/>
  <c r="S7" i="11"/>
  <c r="K7" i="11"/>
  <c r="C7" i="11"/>
  <c r="R15" i="11"/>
  <c r="J15" i="11"/>
  <c r="Y14" i="11"/>
  <c r="Q14" i="11"/>
  <c r="I14" i="11"/>
  <c r="X13" i="11"/>
  <c r="P13" i="11"/>
  <c r="H13" i="11"/>
  <c r="W12" i="11"/>
  <c r="O12" i="11"/>
  <c r="G12" i="11"/>
  <c r="V11" i="11"/>
  <c r="N11" i="11"/>
  <c r="F11" i="11"/>
  <c r="U10" i="11"/>
  <c r="M10" i="11"/>
  <c r="E10" i="11"/>
  <c r="T9" i="11"/>
  <c r="L9" i="11"/>
  <c r="D9" i="11"/>
  <c r="S8" i="11"/>
  <c r="K8" i="11"/>
  <c r="C8" i="11"/>
  <c r="R7" i="11"/>
  <c r="J7" i="11"/>
  <c r="X7" i="11"/>
  <c r="N15" i="11"/>
  <c r="M14" i="11"/>
  <c r="E14" i="11"/>
  <c r="T13" i="11"/>
  <c r="D13" i="11"/>
  <c r="C12" i="11"/>
  <c r="J11" i="11"/>
  <c r="X9" i="11"/>
  <c r="W8" i="11"/>
  <c r="G8" i="11"/>
  <c r="U15" i="11"/>
  <c r="S13" i="11"/>
  <c r="J12" i="11"/>
  <c r="X10" i="11"/>
  <c r="O9" i="11"/>
  <c r="N8" i="11"/>
  <c r="M7" i="11"/>
  <c r="D15" i="11"/>
  <c r="I12" i="11"/>
  <c r="H11" i="11"/>
  <c r="V9" i="11"/>
  <c r="M8" i="11"/>
  <c r="D7" i="11"/>
  <c r="AD15" i="9"/>
  <c r="AD11" i="9"/>
  <c r="AC7" i="9"/>
  <c r="AB7" i="9"/>
  <c r="AA13" i="9"/>
  <c r="AD14" i="9"/>
  <c r="AC15" i="9"/>
  <c r="AC13" i="9"/>
  <c r="AC9" i="9"/>
  <c r="AB13" i="9"/>
  <c r="AA11" i="9"/>
  <c r="AD10" i="9"/>
  <c r="AC14" i="9"/>
  <c r="AC12" i="9"/>
  <c r="AC10" i="9"/>
  <c r="AC8" i="9"/>
  <c r="AB12" i="9"/>
  <c r="AB10" i="9"/>
  <c r="AB8" i="9"/>
  <c r="AA14" i="9"/>
  <c r="AA12" i="9"/>
  <c r="AA10" i="9"/>
  <c r="AA8" i="9"/>
  <c r="AD13" i="9"/>
  <c r="AD9" i="9"/>
  <c r="AC11" i="9"/>
  <c r="AB15" i="9"/>
  <c r="AB9" i="9"/>
  <c r="AA15" i="9"/>
  <c r="AA7" i="9"/>
  <c r="AD8" i="9"/>
  <c r="AB14" i="9"/>
  <c r="AD7" i="9"/>
  <c r="AB11" i="9"/>
  <c r="AA9" i="9"/>
  <c r="AD12" i="9"/>
  <c r="S15" i="9"/>
  <c r="K15" i="9"/>
  <c r="C15" i="9"/>
  <c r="L14" i="9"/>
  <c r="D14" i="9"/>
  <c r="M13" i="9"/>
  <c r="E13" i="9"/>
  <c r="N12" i="9"/>
  <c r="F12" i="9"/>
  <c r="O11" i="9"/>
  <c r="G11" i="9"/>
  <c r="P10" i="9"/>
  <c r="H10" i="9"/>
  <c r="Q9" i="9"/>
  <c r="I9" i="9"/>
  <c r="R8" i="9"/>
  <c r="J8" i="9"/>
  <c r="S7" i="9"/>
  <c r="K7" i="9"/>
  <c r="C7" i="9"/>
  <c r="R15" i="9"/>
  <c r="J15" i="9"/>
  <c r="S14" i="9"/>
  <c r="K14" i="9"/>
  <c r="C14" i="9"/>
  <c r="L13" i="9"/>
  <c r="D13" i="9"/>
  <c r="M12" i="9"/>
  <c r="E12" i="9"/>
  <c r="N11" i="9"/>
  <c r="F11" i="9"/>
  <c r="O10" i="9"/>
  <c r="G10" i="9"/>
  <c r="P9" i="9"/>
  <c r="H9" i="9"/>
  <c r="Q8" i="9"/>
  <c r="I8" i="9"/>
  <c r="R7" i="9"/>
  <c r="J7" i="9"/>
  <c r="M10" i="9"/>
  <c r="F9" i="9"/>
  <c r="G8" i="9"/>
  <c r="H7" i="9"/>
  <c r="O15" i="9"/>
  <c r="I13" i="9"/>
  <c r="K11" i="9"/>
  <c r="D10" i="9"/>
  <c r="F8" i="9"/>
  <c r="Q15" i="9"/>
  <c r="I15" i="9"/>
  <c r="R14" i="9"/>
  <c r="J14" i="9"/>
  <c r="S13" i="9"/>
  <c r="K13" i="9"/>
  <c r="C13" i="9"/>
  <c r="L12" i="9"/>
  <c r="D12" i="9"/>
  <c r="M11" i="9"/>
  <c r="E11" i="9"/>
  <c r="N10" i="9"/>
  <c r="F10" i="9"/>
  <c r="O9" i="9"/>
  <c r="G9" i="9"/>
  <c r="P8" i="9"/>
  <c r="H8" i="9"/>
  <c r="Q7" i="9"/>
  <c r="I7" i="9"/>
  <c r="P15" i="9"/>
  <c r="H15" i="9"/>
  <c r="Q14" i="9"/>
  <c r="I14" i="9"/>
  <c r="R13" i="9"/>
  <c r="J13" i="9"/>
  <c r="S12" i="9"/>
  <c r="K12" i="9"/>
  <c r="C12" i="9"/>
  <c r="L11" i="9"/>
  <c r="D11" i="9"/>
  <c r="E10" i="9"/>
  <c r="N9" i="9"/>
  <c r="O8" i="9"/>
  <c r="P7" i="9"/>
  <c r="G15" i="9"/>
  <c r="Q13" i="9"/>
  <c r="R12" i="9"/>
  <c r="J12" i="9"/>
  <c r="L10" i="9"/>
  <c r="N8" i="9"/>
  <c r="G7" i="9"/>
  <c r="N15" i="9"/>
  <c r="F15" i="9"/>
  <c r="O14" i="9"/>
  <c r="G14" i="9"/>
  <c r="P13" i="9"/>
  <c r="H13" i="9"/>
  <c r="Q12" i="9"/>
  <c r="I12" i="9"/>
  <c r="R11" i="9"/>
  <c r="J11" i="9"/>
  <c r="S10" i="9"/>
  <c r="K10" i="9"/>
  <c r="C10" i="9"/>
  <c r="L9" i="9"/>
  <c r="D9" i="9"/>
  <c r="M8" i="9"/>
  <c r="E8" i="9"/>
  <c r="N7" i="9"/>
  <c r="F7" i="9"/>
  <c r="R10" i="9"/>
  <c r="K9" i="9"/>
  <c r="L8" i="9"/>
  <c r="M7" i="9"/>
  <c r="L15" i="9"/>
  <c r="M14" i="9"/>
  <c r="E14" i="9"/>
  <c r="F13" i="9"/>
  <c r="G12" i="9"/>
  <c r="H11" i="9"/>
  <c r="I10" i="9"/>
  <c r="J9" i="9"/>
  <c r="K8" i="9"/>
  <c r="L7" i="9"/>
  <c r="P14" i="9"/>
  <c r="S11" i="9"/>
  <c r="M9" i="9"/>
  <c r="O7" i="9"/>
  <c r="M15" i="9"/>
  <c r="E15" i="9"/>
  <c r="N14" i="9"/>
  <c r="F14" i="9"/>
  <c r="O13" i="9"/>
  <c r="G13" i="9"/>
  <c r="P12" i="9"/>
  <c r="H12" i="9"/>
  <c r="Q11" i="9"/>
  <c r="I11" i="9"/>
  <c r="J10" i="9"/>
  <c r="S9" i="9"/>
  <c r="C9" i="9"/>
  <c r="D8" i="9"/>
  <c r="E7" i="9"/>
  <c r="D15" i="9"/>
  <c r="N13" i="9"/>
  <c r="O12" i="9"/>
  <c r="P11" i="9"/>
  <c r="Q10" i="9"/>
  <c r="R9" i="9"/>
  <c r="S8" i="9"/>
  <c r="C8" i="9"/>
  <c r="D7" i="9"/>
  <c r="H14" i="9"/>
  <c r="C11" i="9"/>
  <c r="E9" i="9"/>
  <c r="AD15" i="7"/>
  <c r="P15" i="7"/>
  <c r="H15" i="7"/>
  <c r="AB14" i="7"/>
  <c r="N14" i="7"/>
  <c r="F14" i="7"/>
  <c r="T13" i="7"/>
  <c r="L13" i="7"/>
  <c r="D13" i="7"/>
  <c r="R12" i="7"/>
  <c r="J12" i="7"/>
  <c r="AD11" i="7"/>
  <c r="P11" i="7"/>
  <c r="H11" i="7"/>
  <c r="AB10" i="7"/>
  <c r="N10" i="7"/>
  <c r="F10" i="7"/>
  <c r="T9" i="7"/>
  <c r="L9" i="7"/>
  <c r="D9" i="7"/>
  <c r="R8" i="7"/>
  <c r="J8" i="7"/>
  <c r="AD7" i="7"/>
  <c r="P7" i="7"/>
  <c r="H7" i="7"/>
  <c r="AC7" i="7"/>
  <c r="AB15" i="7"/>
  <c r="F15" i="7"/>
  <c r="T14" i="7"/>
  <c r="D14" i="7"/>
  <c r="J13" i="7"/>
  <c r="P12" i="7"/>
  <c r="H12" i="7"/>
  <c r="N11" i="7"/>
  <c r="T10" i="7"/>
  <c r="J9" i="7"/>
  <c r="N7" i="7"/>
  <c r="E15" i="7"/>
  <c r="O12" i="7"/>
  <c r="E11" i="7"/>
  <c r="Q9" i="7"/>
  <c r="G8" i="7"/>
  <c r="E7" i="7"/>
  <c r="AC15" i="7"/>
  <c r="O15" i="7"/>
  <c r="G15" i="7"/>
  <c r="AA14" i="7"/>
  <c r="M14" i="7"/>
  <c r="E14" i="7"/>
  <c r="S13" i="7"/>
  <c r="K13" i="7"/>
  <c r="C13" i="7"/>
  <c r="Q12" i="7"/>
  <c r="I12" i="7"/>
  <c r="AC11" i="7"/>
  <c r="O11" i="7"/>
  <c r="G11" i="7"/>
  <c r="AA10" i="7"/>
  <c r="M10" i="7"/>
  <c r="E10" i="7"/>
  <c r="S9" i="7"/>
  <c r="K9" i="7"/>
  <c r="C9" i="7"/>
  <c r="Q8" i="7"/>
  <c r="I8" i="7"/>
  <c r="O7" i="7"/>
  <c r="G7" i="7"/>
  <c r="N15" i="7"/>
  <c r="L14" i="7"/>
  <c r="R13" i="7"/>
  <c r="AD12" i="7"/>
  <c r="AB11" i="7"/>
  <c r="F11" i="7"/>
  <c r="L10" i="7"/>
  <c r="AD8" i="7"/>
  <c r="M15" i="7"/>
  <c r="K14" i="7"/>
  <c r="C14" i="7"/>
  <c r="AC12" i="7"/>
  <c r="AA11" i="7"/>
  <c r="K10" i="7"/>
  <c r="O8" i="7"/>
  <c r="T15" i="7"/>
  <c r="L15" i="7"/>
  <c r="D15" i="7"/>
  <c r="R14" i="7"/>
  <c r="J14" i="7"/>
  <c r="AD13" i="7"/>
  <c r="P13" i="7"/>
  <c r="H13" i="7"/>
  <c r="AB12" i="7"/>
  <c r="N12" i="7"/>
  <c r="F12" i="7"/>
  <c r="T11" i="7"/>
  <c r="L11" i="7"/>
  <c r="D11" i="7"/>
  <c r="R10" i="7"/>
  <c r="J10" i="7"/>
  <c r="AD9" i="7"/>
  <c r="P9" i="7"/>
  <c r="H9" i="7"/>
  <c r="AB8" i="7"/>
  <c r="N8" i="7"/>
  <c r="F8" i="7"/>
  <c r="T7" i="7"/>
  <c r="L7" i="7"/>
  <c r="D7" i="7"/>
  <c r="S15" i="7"/>
  <c r="K15" i="7"/>
  <c r="C15" i="7"/>
  <c r="Q14" i="7"/>
  <c r="I14" i="7"/>
  <c r="AC13" i="7"/>
  <c r="O13" i="7"/>
  <c r="G13" i="7"/>
  <c r="AA12" i="7"/>
  <c r="M12" i="7"/>
  <c r="E12" i="7"/>
  <c r="S11" i="7"/>
  <c r="K11" i="7"/>
  <c r="C11" i="7"/>
  <c r="Q10" i="7"/>
  <c r="I10" i="7"/>
  <c r="AC9" i="7"/>
  <c r="O9" i="7"/>
  <c r="G9" i="7"/>
  <c r="AA8" i="7"/>
  <c r="M8" i="7"/>
  <c r="E8" i="7"/>
  <c r="S7" i="7"/>
  <c r="K7" i="7"/>
  <c r="C7" i="7"/>
  <c r="AC14" i="7"/>
  <c r="K12" i="7"/>
  <c r="Q11" i="7"/>
  <c r="AC10" i="7"/>
  <c r="G10" i="7"/>
  <c r="M9" i="7"/>
  <c r="S8" i="7"/>
  <c r="C8" i="7"/>
  <c r="I7" i="7"/>
  <c r="R9" i="7"/>
  <c r="H8" i="7"/>
  <c r="F7" i="7"/>
  <c r="S14" i="7"/>
  <c r="I13" i="7"/>
  <c r="M11" i="7"/>
  <c r="C10" i="7"/>
  <c r="AC8" i="7"/>
  <c r="M7" i="7"/>
  <c r="R15" i="7"/>
  <c r="J15" i="7"/>
  <c r="AD14" i="7"/>
  <c r="P14" i="7"/>
  <c r="H14" i="7"/>
  <c r="AB13" i="7"/>
  <c r="N13" i="7"/>
  <c r="F13" i="7"/>
  <c r="T12" i="7"/>
  <c r="L12" i="7"/>
  <c r="D12" i="7"/>
  <c r="R11" i="7"/>
  <c r="J11" i="7"/>
  <c r="AD10" i="7"/>
  <c r="P10" i="7"/>
  <c r="H10" i="7"/>
  <c r="AB9" i="7"/>
  <c r="N9" i="7"/>
  <c r="F9" i="7"/>
  <c r="T8" i="7"/>
  <c r="L8" i="7"/>
  <c r="D8" i="7"/>
  <c r="R7" i="7"/>
  <c r="J7" i="7"/>
  <c r="Q15" i="7"/>
  <c r="I15" i="7"/>
  <c r="O14" i="7"/>
  <c r="G14" i="7"/>
  <c r="AA13" i="7"/>
  <c r="M13" i="7"/>
  <c r="E13" i="7"/>
  <c r="S12" i="7"/>
  <c r="C12" i="7"/>
  <c r="I11" i="7"/>
  <c r="O10" i="7"/>
  <c r="AA9" i="7"/>
  <c r="E9" i="7"/>
  <c r="K8" i="7"/>
  <c r="Q7" i="7"/>
  <c r="D10" i="7"/>
  <c r="P8" i="7"/>
  <c r="AB7" i="7"/>
  <c r="AA15" i="7"/>
  <c r="Q13" i="7"/>
  <c r="G12" i="7"/>
  <c r="S10" i="7"/>
  <c r="I9" i="7"/>
  <c r="AA7" i="7"/>
  <c r="AD15" i="5"/>
  <c r="P15" i="5"/>
  <c r="H15" i="5"/>
  <c r="AB14" i="5"/>
  <c r="N14" i="5"/>
  <c r="F14" i="5"/>
  <c r="T13" i="5"/>
  <c r="L13" i="5"/>
  <c r="D13" i="5"/>
  <c r="R12" i="5"/>
  <c r="J12" i="5"/>
  <c r="AD11" i="5"/>
  <c r="P11" i="5"/>
  <c r="H11" i="5"/>
  <c r="AB10" i="5"/>
  <c r="N10" i="5"/>
  <c r="F10" i="5"/>
  <c r="T9" i="5"/>
  <c r="L9" i="5"/>
  <c r="D9" i="5"/>
  <c r="R8" i="5"/>
  <c r="J8" i="5"/>
  <c r="D15" i="5"/>
  <c r="AD13" i="5"/>
  <c r="N12" i="5"/>
  <c r="L11" i="5"/>
  <c r="AD9" i="5"/>
  <c r="F8" i="5"/>
  <c r="C15" i="5"/>
  <c r="O13" i="5"/>
  <c r="S11" i="5"/>
  <c r="I10" i="5"/>
  <c r="AA8" i="5"/>
  <c r="AC15" i="5"/>
  <c r="O15" i="5"/>
  <c r="G15" i="5"/>
  <c r="AA14" i="5"/>
  <c r="M14" i="5"/>
  <c r="E14" i="5"/>
  <c r="S13" i="5"/>
  <c r="K13" i="5"/>
  <c r="C13" i="5"/>
  <c r="Q12" i="5"/>
  <c r="I12" i="5"/>
  <c r="AC11" i="5"/>
  <c r="O11" i="5"/>
  <c r="G11" i="5"/>
  <c r="AA10" i="5"/>
  <c r="M10" i="5"/>
  <c r="E10" i="5"/>
  <c r="S9" i="5"/>
  <c r="K9" i="5"/>
  <c r="C9" i="5"/>
  <c r="Q8" i="5"/>
  <c r="I8" i="5"/>
  <c r="L15" i="5"/>
  <c r="H13" i="5"/>
  <c r="F12" i="5"/>
  <c r="R10" i="5"/>
  <c r="P9" i="5"/>
  <c r="N8" i="5"/>
  <c r="K15" i="5"/>
  <c r="AC13" i="5"/>
  <c r="AA12" i="5"/>
  <c r="K11" i="5"/>
  <c r="Q10" i="5"/>
  <c r="G9" i="5"/>
  <c r="AB15" i="5"/>
  <c r="N15" i="5"/>
  <c r="F15" i="5"/>
  <c r="T14" i="5"/>
  <c r="L14" i="5"/>
  <c r="D14" i="5"/>
  <c r="R13" i="5"/>
  <c r="J13" i="5"/>
  <c r="AD12" i="5"/>
  <c r="P12" i="5"/>
  <c r="H12" i="5"/>
  <c r="AB11" i="5"/>
  <c r="N11" i="5"/>
  <c r="F11" i="5"/>
  <c r="T10" i="5"/>
  <c r="L10" i="5"/>
  <c r="D10" i="5"/>
  <c r="R9" i="5"/>
  <c r="J9" i="5"/>
  <c r="AD8" i="5"/>
  <c r="P8" i="5"/>
  <c r="H8" i="5"/>
  <c r="AA15" i="5"/>
  <c r="M15" i="5"/>
  <c r="E15" i="5"/>
  <c r="S14" i="5"/>
  <c r="K14" i="5"/>
  <c r="C14" i="5"/>
  <c r="Q13" i="5"/>
  <c r="I13" i="5"/>
  <c r="AC12" i="5"/>
  <c r="O12" i="5"/>
  <c r="G12" i="5"/>
  <c r="AA11" i="5"/>
  <c r="M11" i="5"/>
  <c r="E11" i="5"/>
  <c r="S10" i="5"/>
  <c r="K10" i="5"/>
  <c r="C10" i="5"/>
  <c r="Q9" i="5"/>
  <c r="I9" i="5"/>
  <c r="AC8" i="5"/>
  <c r="O8" i="5"/>
  <c r="G8" i="5"/>
  <c r="T15" i="5"/>
  <c r="R14" i="5"/>
  <c r="J14" i="5"/>
  <c r="P13" i="5"/>
  <c r="AB12" i="5"/>
  <c r="T11" i="5"/>
  <c r="D11" i="5"/>
  <c r="J10" i="5"/>
  <c r="H9" i="5"/>
  <c r="AB8" i="5"/>
  <c r="S15" i="5"/>
  <c r="Q14" i="5"/>
  <c r="I14" i="5"/>
  <c r="G13" i="5"/>
  <c r="E12" i="5"/>
  <c r="C11" i="5"/>
  <c r="AC9" i="5"/>
  <c r="M8" i="5"/>
  <c r="R15" i="5"/>
  <c r="J15" i="5"/>
  <c r="AD14" i="5"/>
  <c r="P14" i="5"/>
  <c r="H14" i="5"/>
  <c r="AB13" i="5"/>
  <c r="N13" i="5"/>
  <c r="F13" i="5"/>
  <c r="T12" i="5"/>
  <c r="L12" i="5"/>
  <c r="D12" i="5"/>
  <c r="R11" i="5"/>
  <c r="J11" i="5"/>
  <c r="AD10" i="5"/>
  <c r="P10" i="5"/>
  <c r="H10" i="5"/>
  <c r="AB9" i="5"/>
  <c r="N9" i="5"/>
  <c r="F9" i="5"/>
  <c r="T8" i="5"/>
  <c r="L8" i="5"/>
  <c r="D8" i="5"/>
  <c r="Q15" i="5"/>
  <c r="I15" i="5"/>
  <c r="AC14" i="5"/>
  <c r="O14" i="5"/>
  <c r="G14" i="5"/>
  <c r="AA13" i="5"/>
  <c r="M13" i="5"/>
  <c r="E13" i="5"/>
  <c r="S12" i="5"/>
  <c r="K12" i="5"/>
  <c r="C12" i="5"/>
  <c r="Q11" i="5"/>
  <c r="I11" i="5"/>
  <c r="AC10" i="5"/>
  <c r="O10" i="5"/>
  <c r="G10" i="5"/>
  <c r="AA9" i="5"/>
  <c r="M9" i="5"/>
  <c r="E9" i="5"/>
  <c r="S8" i="5"/>
  <c r="K8" i="5"/>
  <c r="C8" i="5"/>
  <c r="M12" i="5"/>
  <c r="O9" i="5"/>
  <c r="E8" i="5"/>
  <c r="AD15" i="2"/>
  <c r="AC15" i="2"/>
  <c r="AB15" i="2"/>
  <c r="AA15" i="2"/>
  <c r="AD14" i="2"/>
  <c r="AC14" i="2"/>
  <c r="AB14" i="2"/>
  <c r="AA14" i="2"/>
  <c r="AD13" i="2"/>
  <c r="AB13" i="2"/>
  <c r="AC13" i="2"/>
  <c r="AA13" i="2"/>
  <c r="AD12" i="2"/>
  <c r="AC12" i="2"/>
  <c r="AB12" i="2"/>
  <c r="AA12" i="2"/>
  <c r="AD11" i="2"/>
  <c r="AB11" i="2"/>
  <c r="AA11" i="2"/>
  <c r="AC11" i="2"/>
  <c r="AD10" i="2"/>
  <c r="AB10" i="2"/>
  <c r="AA10" i="2"/>
  <c r="AC10" i="2"/>
  <c r="AD9" i="2"/>
  <c r="AB9" i="2"/>
  <c r="AA9" i="2"/>
  <c r="AC9" i="2"/>
  <c r="AC8" i="2"/>
  <c r="AB8" i="2"/>
  <c r="AA8" i="2"/>
  <c r="AD8" i="2"/>
  <c r="AD7" i="2"/>
  <c r="AC7" i="2"/>
  <c r="AB7" i="2"/>
  <c r="AA7" i="2"/>
  <c r="C8" i="2"/>
  <c r="K8" i="2"/>
  <c r="S8" i="2"/>
  <c r="J9" i="2"/>
  <c r="R9" i="2"/>
  <c r="I10" i="2"/>
  <c r="Q10" i="2"/>
  <c r="H11" i="2"/>
  <c r="P11" i="2"/>
  <c r="G12" i="2"/>
  <c r="O12" i="2"/>
  <c r="F13" i="2"/>
  <c r="N13" i="2"/>
  <c r="E14" i="2"/>
  <c r="M14" i="2"/>
  <c r="D15" i="2"/>
  <c r="L15" i="2"/>
  <c r="E15" i="2"/>
  <c r="L11" i="2"/>
  <c r="I14" i="2"/>
  <c r="H8" i="2"/>
  <c r="M11" i="2"/>
  <c r="C13" i="2"/>
  <c r="R14" i="2"/>
  <c r="D8" i="2"/>
  <c r="L8" i="2"/>
  <c r="C9" i="2"/>
  <c r="K9" i="2"/>
  <c r="S9" i="2"/>
  <c r="J10" i="2"/>
  <c r="R10" i="2"/>
  <c r="I11" i="2"/>
  <c r="Q11" i="2"/>
  <c r="H12" i="2"/>
  <c r="P12" i="2"/>
  <c r="G13" i="2"/>
  <c r="O13" i="2"/>
  <c r="F14" i="2"/>
  <c r="N14" i="2"/>
  <c r="M15" i="2"/>
  <c r="C12" i="2"/>
  <c r="R13" i="2"/>
  <c r="H15" i="2"/>
  <c r="P8" i="2"/>
  <c r="N10" i="2"/>
  <c r="D12" i="2"/>
  <c r="S13" i="2"/>
  <c r="I15" i="2"/>
  <c r="E8" i="2"/>
  <c r="M8" i="2"/>
  <c r="D9" i="2"/>
  <c r="L9" i="2"/>
  <c r="C10" i="2"/>
  <c r="K10" i="2"/>
  <c r="S10" i="2"/>
  <c r="J11" i="2"/>
  <c r="R11" i="2"/>
  <c r="I12" i="2"/>
  <c r="Q12" i="2"/>
  <c r="H13" i="2"/>
  <c r="P13" i="2"/>
  <c r="G14" i="2"/>
  <c r="O14" i="2"/>
  <c r="F15" i="2"/>
  <c r="N15" i="2"/>
  <c r="F8" i="2"/>
  <c r="N8" i="2"/>
  <c r="E9" i="2"/>
  <c r="M9" i="2"/>
  <c r="D10" i="2"/>
  <c r="L10" i="2"/>
  <c r="C11" i="2"/>
  <c r="K11" i="2"/>
  <c r="S11" i="2"/>
  <c r="J12" i="2"/>
  <c r="R12" i="2"/>
  <c r="I13" i="2"/>
  <c r="Q13" i="2"/>
  <c r="H14" i="2"/>
  <c r="P14" i="2"/>
  <c r="G15" i="2"/>
  <c r="O15" i="2"/>
  <c r="G8" i="2"/>
  <c r="O8" i="2"/>
  <c r="F9" i="2"/>
  <c r="N9" i="2"/>
  <c r="E10" i="2"/>
  <c r="M10" i="2"/>
  <c r="D11" i="2"/>
  <c r="K12" i="2"/>
  <c r="S12" i="2"/>
  <c r="J13" i="2"/>
  <c r="Q14" i="2"/>
  <c r="P15" i="2"/>
  <c r="G9" i="2"/>
  <c r="O9" i="2"/>
  <c r="F10" i="2"/>
  <c r="E11" i="2"/>
  <c r="L12" i="2"/>
  <c r="K13" i="2"/>
  <c r="J14" i="2"/>
  <c r="Q15" i="2"/>
  <c r="I8" i="2"/>
  <c r="Q8" i="2"/>
  <c r="H9" i="2"/>
  <c r="P9" i="2"/>
  <c r="G10" i="2"/>
  <c r="O10" i="2"/>
  <c r="F11" i="2"/>
  <c r="N11" i="2"/>
  <c r="E12" i="2"/>
  <c r="M12" i="2"/>
  <c r="D13" i="2"/>
  <c r="L13" i="2"/>
  <c r="C14" i="2"/>
  <c r="K14" i="2"/>
  <c r="S14" i="2"/>
  <c r="J15" i="2"/>
  <c r="R15" i="2"/>
  <c r="J8" i="2"/>
  <c r="R8" i="2"/>
  <c r="I9" i="2"/>
  <c r="Q9" i="2"/>
  <c r="H10" i="2"/>
  <c r="P10" i="2"/>
  <c r="G11" i="2"/>
  <c r="O11" i="2"/>
  <c r="F12" i="2"/>
  <c r="N12" i="2"/>
  <c r="E13" i="2"/>
  <c r="M13" i="2"/>
  <c r="D14" i="2"/>
  <c r="L14" i="2"/>
  <c r="C15" i="2"/>
  <c r="K15" i="2"/>
  <c r="S15" i="2"/>
  <c r="T15" i="2"/>
  <c r="T14" i="2"/>
  <c r="T13" i="2"/>
  <c r="T12" i="2"/>
  <c r="T11" i="2"/>
  <c r="T10" i="2"/>
  <c r="T9" i="2"/>
  <c r="T8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9" i="13"/>
  <c r="B13" i="13"/>
  <c r="B8" i="13"/>
  <c r="B7" i="13"/>
  <c r="B10" i="13"/>
  <c r="B5" i="13"/>
  <c r="B12" i="13"/>
  <c r="B15" i="13"/>
  <c r="B11" i="13"/>
  <c r="B14" i="13"/>
  <c r="Z1" i="13" l="1"/>
  <c r="AA3" i="13"/>
  <c r="AA2" i="13"/>
  <c r="AA4" i="13"/>
  <c r="AA1" i="13"/>
  <c r="Y4" i="13"/>
  <c r="Y1" i="13"/>
  <c r="Y3" i="13"/>
  <c r="Y2" i="13"/>
  <c r="F1" i="13"/>
  <c r="F4" i="13"/>
  <c r="F2" i="13"/>
  <c r="F3" i="13"/>
  <c r="N1" i="13"/>
  <c r="N2" i="13"/>
  <c r="N3" i="13"/>
  <c r="N4" i="13"/>
  <c r="V4" i="13"/>
  <c r="V2" i="13"/>
  <c r="V3" i="13"/>
  <c r="V1" i="13"/>
  <c r="G2" i="13"/>
  <c r="G4" i="13"/>
  <c r="G3" i="13"/>
  <c r="G1" i="13"/>
  <c r="O2" i="13"/>
  <c r="O4" i="13"/>
  <c r="O1" i="13"/>
  <c r="O3" i="13"/>
  <c r="W2" i="13"/>
  <c r="W4" i="13"/>
  <c r="W1" i="13"/>
  <c r="W3" i="13"/>
  <c r="P2" i="13"/>
  <c r="P1" i="13"/>
  <c r="P3" i="13"/>
  <c r="P4" i="13"/>
  <c r="R4" i="13"/>
  <c r="R1" i="13"/>
  <c r="R3" i="13"/>
  <c r="R2" i="13"/>
  <c r="C1" i="13"/>
  <c r="C3" i="13"/>
  <c r="C2" i="13"/>
  <c r="C4" i="13"/>
  <c r="K1" i="13"/>
  <c r="K2" i="13"/>
  <c r="K3" i="13"/>
  <c r="K4" i="13"/>
  <c r="S1" i="13"/>
  <c r="S2" i="13"/>
  <c r="S3" i="13"/>
  <c r="S4" i="13"/>
  <c r="AB1" i="13"/>
  <c r="AB3" i="13"/>
  <c r="AB2" i="13"/>
  <c r="AB4" i="13"/>
  <c r="H2" i="13"/>
  <c r="H4" i="13"/>
  <c r="H1" i="13"/>
  <c r="H3" i="13"/>
  <c r="Q3" i="13"/>
  <c r="Q4" i="13"/>
  <c r="Q1" i="13"/>
  <c r="Q2" i="13"/>
  <c r="Z4" i="13"/>
  <c r="Z3" i="13"/>
  <c r="Z2" i="13"/>
  <c r="D2" i="13"/>
  <c r="D3" i="13"/>
  <c r="D4" i="13"/>
  <c r="D1" i="13"/>
  <c r="L3" i="13"/>
  <c r="L4" i="13"/>
  <c r="L1" i="13"/>
  <c r="L2" i="13"/>
  <c r="T3" i="13"/>
  <c r="T2" i="13"/>
  <c r="T4" i="13"/>
  <c r="T1" i="13"/>
  <c r="AC3" i="13"/>
  <c r="AC2" i="13"/>
  <c r="AC4" i="13"/>
  <c r="AC1" i="13"/>
  <c r="X2" i="13"/>
  <c r="X1" i="13"/>
  <c r="X3" i="13"/>
  <c r="X4" i="13"/>
  <c r="I4" i="13"/>
  <c r="I1" i="13"/>
  <c r="I2" i="13"/>
  <c r="I3" i="13"/>
  <c r="J4" i="13"/>
  <c r="J1" i="13"/>
  <c r="J3" i="13"/>
  <c r="J2" i="13"/>
  <c r="E3" i="13"/>
  <c r="E2" i="13"/>
  <c r="E4" i="13"/>
  <c r="E1" i="13"/>
  <c r="M3" i="13"/>
  <c r="M2" i="13"/>
  <c r="M4" i="13"/>
  <c r="M1" i="13"/>
  <c r="U3" i="13"/>
  <c r="U2" i="13"/>
  <c r="U1" i="13"/>
  <c r="U4" i="13"/>
  <c r="AD3" i="13"/>
  <c r="AD2" i="13"/>
  <c r="AD4" i="13"/>
  <c r="AD1" i="13"/>
  <c r="K36" i="10" l="1"/>
  <c r="J36" i="10"/>
  <c r="I36" i="10"/>
  <c r="H36" i="10"/>
  <c r="G36" i="10"/>
  <c r="F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B15" i="11"/>
  <c r="B12" i="11"/>
  <c r="B9" i="11"/>
  <c r="B8" i="11"/>
  <c r="B11" i="11"/>
  <c r="B14" i="11"/>
  <c r="B5" i="11"/>
  <c r="B10" i="11"/>
  <c r="B13" i="11"/>
  <c r="B7" i="11"/>
  <c r="Z1" i="11" l="1"/>
  <c r="AA2" i="11"/>
  <c r="AA4" i="11"/>
  <c r="AA3" i="11"/>
  <c r="AA1" i="11"/>
  <c r="X2" i="11"/>
  <c r="X4" i="11"/>
  <c r="X1" i="11"/>
  <c r="X3" i="11"/>
  <c r="H2" i="11"/>
  <c r="H1" i="11"/>
  <c r="H4" i="11"/>
  <c r="H3" i="11"/>
  <c r="P2" i="11"/>
  <c r="P1" i="11"/>
  <c r="P4" i="11"/>
  <c r="P3" i="11"/>
  <c r="I4" i="11"/>
  <c r="I1" i="11"/>
  <c r="I2" i="11"/>
  <c r="I3" i="11"/>
  <c r="Y4" i="11"/>
  <c r="Y1" i="11"/>
  <c r="Y2" i="11"/>
  <c r="Y3" i="11"/>
  <c r="J4" i="11"/>
  <c r="J1" i="11"/>
  <c r="J3" i="11"/>
  <c r="J2" i="11"/>
  <c r="F2" i="11"/>
  <c r="F3" i="11"/>
  <c r="F4" i="11"/>
  <c r="F1" i="11"/>
  <c r="N2" i="11"/>
  <c r="N3" i="11"/>
  <c r="N1" i="11"/>
  <c r="N4" i="11"/>
  <c r="V2" i="11"/>
  <c r="V3" i="11"/>
  <c r="V1" i="11"/>
  <c r="V4" i="11"/>
  <c r="G2" i="11"/>
  <c r="G4" i="11"/>
  <c r="G3" i="11"/>
  <c r="G1" i="11"/>
  <c r="O2" i="11"/>
  <c r="O3" i="11"/>
  <c r="O4" i="11"/>
  <c r="O1" i="11"/>
  <c r="W2" i="11"/>
  <c r="W4" i="11"/>
  <c r="W3" i="11"/>
  <c r="W1" i="11"/>
  <c r="Q4" i="11"/>
  <c r="Q1" i="11"/>
  <c r="Q2" i="11"/>
  <c r="Q3" i="11"/>
  <c r="Z4" i="11"/>
  <c r="Z3" i="11"/>
  <c r="Z2" i="11"/>
  <c r="C1" i="11"/>
  <c r="C3" i="11"/>
  <c r="C4" i="11"/>
  <c r="C2" i="11"/>
  <c r="K1" i="11"/>
  <c r="K3" i="11"/>
  <c r="K4" i="11"/>
  <c r="K2" i="11"/>
  <c r="S1" i="11"/>
  <c r="S3" i="11"/>
  <c r="S4" i="11"/>
  <c r="S2" i="11"/>
  <c r="AB1" i="11"/>
  <c r="AB3" i="11"/>
  <c r="AB4" i="11"/>
  <c r="AB2" i="11"/>
  <c r="R4" i="11"/>
  <c r="R1" i="11"/>
  <c r="R2" i="11"/>
  <c r="R3" i="11"/>
  <c r="D3" i="11"/>
  <c r="D4" i="11"/>
  <c r="D1" i="11"/>
  <c r="D2" i="11"/>
  <c r="L3" i="11"/>
  <c r="L4" i="11"/>
  <c r="L1" i="11"/>
  <c r="L2" i="11"/>
  <c r="T3" i="11"/>
  <c r="T4" i="11"/>
  <c r="T1" i="11"/>
  <c r="T2" i="11"/>
  <c r="AC3" i="11"/>
  <c r="AC4" i="11"/>
  <c r="AC1" i="11"/>
  <c r="AC2" i="11"/>
  <c r="E3" i="11"/>
  <c r="E2" i="11"/>
  <c r="E1" i="11"/>
  <c r="E4" i="11"/>
  <c r="M3" i="11"/>
  <c r="M2" i="11"/>
  <c r="M1" i="11"/>
  <c r="M4" i="11"/>
  <c r="U3" i="11"/>
  <c r="U1" i="11"/>
  <c r="U2" i="11"/>
  <c r="U4" i="11"/>
  <c r="AD3" i="11"/>
  <c r="AD2" i="11"/>
  <c r="AD1" i="11"/>
  <c r="AD4" i="11"/>
  <c r="K36" i="8" l="1"/>
  <c r="J36" i="8"/>
  <c r="I36" i="8"/>
  <c r="H36" i="8"/>
  <c r="G36" i="8"/>
  <c r="F36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X10" i="9"/>
  <c r="B5" i="9"/>
  <c r="T8" i="9"/>
  <c r="V10" i="9"/>
  <c r="W11" i="9"/>
  <c r="V13" i="9"/>
  <c r="B8" i="9"/>
  <c r="X15" i="9"/>
  <c r="W15" i="9"/>
  <c r="Y11" i="9"/>
  <c r="Y15" i="9"/>
  <c r="B15" i="9"/>
  <c r="X13" i="9"/>
  <c r="W9" i="9"/>
  <c r="T15" i="9"/>
  <c r="W12" i="9"/>
  <c r="X14" i="9"/>
  <c r="Y10" i="9"/>
  <c r="V12" i="9"/>
  <c r="X11" i="9"/>
  <c r="B13" i="9"/>
  <c r="Y8" i="9"/>
  <c r="T7" i="9"/>
  <c r="Y9" i="9"/>
  <c r="B14" i="9"/>
  <c r="U10" i="9"/>
  <c r="V7" i="9"/>
  <c r="T9" i="9"/>
  <c r="W13" i="9"/>
  <c r="V9" i="9"/>
  <c r="T12" i="9"/>
  <c r="X8" i="9"/>
  <c r="U11" i="9"/>
  <c r="Y14" i="9"/>
  <c r="T13" i="9"/>
  <c r="V15" i="9"/>
  <c r="U14" i="9"/>
  <c r="V11" i="9"/>
  <c r="W14" i="9"/>
  <c r="T11" i="9"/>
  <c r="V8" i="9"/>
  <c r="U13" i="9"/>
  <c r="Y12" i="9"/>
  <c r="U7" i="9"/>
  <c r="U8" i="9"/>
  <c r="W10" i="9"/>
  <c r="W7" i="9"/>
  <c r="X12" i="9"/>
  <c r="B11" i="9"/>
  <c r="B7" i="9"/>
  <c r="B9" i="9"/>
  <c r="X9" i="9"/>
  <c r="T14" i="9"/>
  <c r="V14" i="9"/>
  <c r="W8" i="9"/>
  <c r="B12" i="9"/>
  <c r="U12" i="9"/>
  <c r="Y7" i="9"/>
  <c r="B10" i="9"/>
  <c r="U9" i="9"/>
  <c r="Y13" i="9"/>
  <c r="U15" i="9"/>
  <c r="T10" i="9"/>
  <c r="X7" i="9"/>
  <c r="Y1" i="9" l="1"/>
  <c r="AA3" i="9"/>
  <c r="AA2" i="9"/>
  <c r="AA1" i="9"/>
  <c r="AA4" i="9"/>
  <c r="G4" i="9"/>
  <c r="G3" i="9"/>
  <c r="G1" i="9"/>
  <c r="G2" i="9"/>
  <c r="O4" i="9"/>
  <c r="O3" i="9"/>
  <c r="O1" i="9"/>
  <c r="O2" i="9"/>
  <c r="W4" i="9"/>
  <c r="W1" i="9"/>
  <c r="W3" i="9"/>
  <c r="W2" i="9"/>
  <c r="P4" i="9"/>
  <c r="P3" i="9"/>
  <c r="P1" i="9"/>
  <c r="P2" i="9"/>
  <c r="E1" i="9"/>
  <c r="E4" i="9"/>
  <c r="E2" i="9"/>
  <c r="E3" i="9"/>
  <c r="M1" i="9"/>
  <c r="M4" i="9"/>
  <c r="M2" i="9"/>
  <c r="M3" i="9"/>
  <c r="U1" i="9"/>
  <c r="U2" i="9"/>
  <c r="U4" i="9"/>
  <c r="U3" i="9"/>
  <c r="F1" i="9"/>
  <c r="F3" i="9"/>
  <c r="F4" i="9"/>
  <c r="F2" i="9"/>
  <c r="N1" i="9"/>
  <c r="N4" i="9"/>
  <c r="N2" i="9"/>
  <c r="N3" i="9"/>
  <c r="V1" i="9"/>
  <c r="V3" i="9"/>
  <c r="V4" i="9"/>
  <c r="V2" i="9"/>
  <c r="X4" i="9"/>
  <c r="X3" i="9"/>
  <c r="X2" i="9"/>
  <c r="X1" i="9"/>
  <c r="I3" i="9"/>
  <c r="I2" i="9"/>
  <c r="I4" i="9"/>
  <c r="I1" i="9"/>
  <c r="Y2" i="9"/>
  <c r="Y3" i="9"/>
  <c r="Y4" i="9"/>
  <c r="J3" i="9"/>
  <c r="J1" i="9"/>
  <c r="J2" i="9"/>
  <c r="J4" i="9"/>
  <c r="R3" i="9"/>
  <c r="R2" i="9"/>
  <c r="R1" i="9"/>
  <c r="R4" i="9"/>
  <c r="AB3" i="9"/>
  <c r="AB2" i="9"/>
  <c r="AB4" i="9"/>
  <c r="AB1" i="9"/>
  <c r="H4" i="9"/>
  <c r="H2" i="9"/>
  <c r="H3" i="9"/>
  <c r="H1" i="9"/>
  <c r="Q3" i="9"/>
  <c r="Q4" i="9"/>
  <c r="Q2" i="9"/>
  <c r="Q1" i="9"/>
  <c r="C1" i="9"/>
  <c r="C2" i="9"/>
  <c r="C3" i="9"/>
  <c r="C4" i="9"/>
  <c r="K2" i="9"/>
  <c r="K3" i="9"/>
  <c r="K1" i="9"/>
  <c r="K4" i="9"/>
  <c r="S2" i="9"/>
  <c r="S3" i="9"/>
  <c r="S1" i="9"/>
  <c r="S4" i="9"/>
  <c r="AC2" i="9"/>
  <c r="AC1" i="9"/>
  <c r="AC3" i="9"/>
  <c r="AC4" i="9"/>
  <c r="D2" i="9"/>
  <c r="D1" i="9"/>
  <c r="D3" i="9"/>
  <c r="D4" i="9"/>
  <c r="L2" i="9"/>
  <c r="L1" i="9"/>
  <c r="L4" i="9"/>
  <c r="L3" i="9"/>
  <c r="T2" i="9"/>
  <c r="T1" i="9"/>
  <c r="T3" i="9"/>
  <c r="T4" i="9"/>
  <c r="AD2" i="9"/>
  <c r="AD4" i="9"/>
  <c r="AD1" i="9"/>
  <c r="AD3" i="9"/>
  <c r="K36" i="6" l="1"/>
  <c r="J36" i="6"/>
  <c r="I36" i="6"/>
  <c r="H36" i="6"/>
  <c r="G36" i="6"/>
  <c r="F36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B15" i="7"/>
  <c r="B14" i="7"/>
  <c r="B11" i="7"/>
  <c r="B12" i="7"/>
  <c r="B13" i="7"/>
  <c r="B9" i="7"/>
  <c r="B8" i="7"/>
  <c r="B7" i="7"/>
  <c r="B5" i="7"/>
  <c r="B10" i="7"/>
  <c r="T1" i="7" l="1"/>
  <c r="AB4" i="7"/>
  <c r="AB1" i="7"/>
  <c r="AB3" i="7"/>
  <c r="AB2" i="7"/>
  <c r="AA2" i="7"/>
  <c r="AA3" i="7"/>
  <c r="AA1" i="7"/>
  <c r="AA4" i="7"/>
  <c r="D3" i="7"/>
  <c r="D1" i="7"/>
  <c r="D2" i="7"/>
  <c r="D4" i="7"/>
  <c r="L3" i="7"/>
  <c r="L2" i="7"/>
  <c r="L1" i="7"/>
  <c r="L4" i="7"/>
  <c r="J2" i="7"/>
  <c r="J1" i="7"/>
  <c r="J4" i="7"/>
  <c r="J3" i="7"/>
  <c r="R2" i="7"/>
  <c r="R3" i="7"/>
  <c r="R4" i="7"/>
  <c r="R1" i="7"/>
  <c r="C1" i="7"/>
  <c r="C3" i="7"/>
  <c r="C2" i="7"/>
  <c r="C4" i="7"/>
  <c r="K4" i="7"/>
  <c r="K3" i="7"/>
  <c r="K2" i="7"/>
  <c r="K1" i="7"/>
  <c r="S1" i="7"/>
  <c r="S4" i="7"/>
  <c r="S3" i="7"/>
  <c r="S2" i="7"/>
  <c r="M3" i="7"/>
  <c r="M2" i="7"/>
  <c r="M1" i="7"/>
  <c r="M4" i="7"/>
  <c r="F1" i="7"/>
  <c r="F4" i="7"/>
  <c r="F3" i="7"/>
  <c r="F2" i="7"/>
  <c r="G1" i="7"/>
  <c r="G4" i="7"/>
  <c r="G2" i="7"/>
  <c r="G3" i="7"/>
  <c r="O1" i="7"/>
  <c r="O4" i="7"/>
  <c r="O3" i="7"/>
  <c r="O2" i="7"/>
  <c r="AD1" i="7"/>
  <c r="AD4" i="7"/>
  <c r="AD2" i="7"/>
  <c r="AD3" i="7"/>
  <c r="T4" i="7"/>
  <c r="T3" i="7"/>
  <c r="T2" i="7"/>
  <c r="E3" i="7"/>
  <c r="E4" i="7"/>
  <c r="E1" i="7"/>
  <c r="E2" i="7"/>
  <c r="AC1" i="7"/>
  <c r="AC4" i="7"/>
  <c r="AC3" i="7"/>
  <c r="AC2" i="7"/>
  <c r="H4" i="7"/>
  <c r="H2" i="7"/>
  <c r="H1" i="7"/>
  <c r="H3" i="7"/>
  <c r="P4" i="7"/>
  <c r="P2" i="7"/>
  <c r="P3" i="7"/>
  <c r="P1" i="7"/>
  <c r="N1" i="7"/>
  <c r="N2" i="7"/>
  <c r="N4" i="7"/>
  <c r="N3" i="7"/>
  <c r="I3" i="7"/>
  <c r="I2" i="7"/>
  <c r="I1" i="7"/>
  <c r="I4" i="7"/>
  <c r="Q2" i="7"/>
  <c r="Q1" i="7"/>
  <c r="Q4" i="7"/>
  <c r="Q3" i="7"/>
  <c r="J36" i="4" l="1"/>
  <c r="I36" i="4"/>
  <c r="H36" i="4"/>
  <c r="G36" i="4"/>
  <c r="F36" i="4"/>
  <c r="K29" i="4"/>
  <c r="K28" i="4"/>
  <c r="K27" i="4"/>
  <c r="K26" i="4"/>
  <c r="K25" i="4"/>
  <c r="K24" i="4"/>
  <c r="K23" i="4"/>
  <c r="K22" i="4"/>
  <c r="K21" i="4"/>
  <c r="K20" i="4"/>
  <c r="K19" i="4"/>
  <c r="K36" i="4" s="1"/>
  <c r="K18" i="4"/>
  <c r="K17" i="4"/>
  <c r="K16" i="4"/>
  <c r="K15" i="4"/>
  <c r="K14" i="4"/>
  <c r="K13" i="4"/>
  <c r="AA7" i="5"/>
  <c r="P7" i="5"/>
  <c r="O7" i="5"/>
  <c r="N7" i="5"/>
  <c r="L7" i="5"/>
  <c r="R7" i="5"/>
  <c r="M7" i="5"/>
  <c r="Q7" i="5"/>
  <c r="S7" i="5"/>
  <c r="K7" i="5"/>
  <c r="AB7" i="5"/>
  <c r="J7" i="5"/>
  <c r="I7" i="5"/>
  <c r="H7" i="5"/>
  <c r="G7" i="5"/>
  <c r="AC7" i="5"/>
  <c r="F7" i="5"/>
  <c r="E7" i="5"/>
  <c r="D7" i="5"/>
  <c r="AD7" i="5"/>
  <c r="C7" i="5"/>
  <c r="T7" i="5"/>
  <c r="B14" i="5"/>
  <c r="B9" i="5"/>
  <c r="B15" i="5"/>
  <c r="B8" i="5"/>
  <c r="B7" i="5"/>
  <c r="B13" i="5"/>
  <c r="B11" i="5"/>
  <c r="B12" i="5"/>
  <c r="B5" i="5"/>
  <c r="B10" i="5"/>
  <c r="T1" i="5" l="1"/>
  <c r="AA3" i="5"/>
  <c r="AA1" i="5"/>
  <c r="AA2" i="5"/>
  <c r="AA4" i="5"/>
  <c r="J3" i="5"/>
  <c r="J1" i="5"/>
  <c r="J4" i="5"/>
  <c r="J2" i="5"/>
  <c r="H2" i="5"/>
  <c r="H3" i="5"/>
  <c r="H1" i="5"/>
  <c r="H4" i="5"/>
  <c r="P2" i="5"/>
  <c r="P3" i="5"/>
  <c r="P1" i="5"/>
  <c r="P4" i="5"/>
  <c r="I3" i="5"/>
  <c r="I1" i="5"/>
  <c r="I4" i="5"/>
  <c r="I2" i="5"/>
  <c r="Q1" i="5"/>
  <c r="Q4" i="5"/>
  <c r="Q3" i="5"/>
  <c r="Q2" i="5"/>
  <c r="K3" i="5"/>
  <c r="K1" i="5"/>
  <c r="K4" i="5"/>
  <c r="K2" i="5"/>
  <c r="L1" i="5"/>
  <c r="L4" i="5"/>
  <c r="L2" i="5"/>
  <c r="L3" i="5"/>
  <c r="E1" i="5"/>
  <c r="E4" i="5"/>
  <c r="E2" i="5"/>
  <c r="E3" i="5"/>
  <c r="M1" i="5"/>
  <c r="M4" i="5"/>
  <c r="M2" i="5"/>
  <c r="M3" i="5"/>
  <c r="AB1" i="5"/>
  <c r="AB2" i="5"/>
  <c r="AB4" i="5"/>
  <c r="AB3" i="5"/>
  <c r="C3" i="5"/>
  <c r="C4" i="5"/>
  <c r="C2" i="5"/>
  <c r="C1" i="5"/>
  <c r="T2" i="5"/>
  <c r="T4" i="5"/>
  <c r="T3" i="5"/>
  <c r="F4" i="5"/>
  <c r="F2" i="5"/>
  <c r="F3" i="5"/>
  <c r="F1" i="5"/>
  <c r="N4" i="5"/>
  <c r="N3" i="5"/>
  <c r="N2" i="5"/>
  <c r="N1" i="5"/>
  <c r="AC4" i="5"/>
  <c r="AC3" i="5"/>
  <c r="AC2" i="5"/>
  <c r="AC1" i="5"/>
  <c r="R1" i="5"/>
  <c r="R4" i="5"/>
  <c r="R3" i="5"/>
  <c r="R2" i="5"/>
  <c r="S3" i="5"/>
  <c r="S4" i="5"/>
  <c r="S1" i="5"/>
  <c r="S2" i="5"/>
  <c r="D1" i="5"/>
  <c r="D2" i="5"/>
  <c r="D4" i="5"/>
  <c r="D3" i="5"/>
  <c r="G2" i="5"/>
  <c r="G3" i="5"/>
  <c r="G1" i="5"/>
  <c r="G4" i="5"/>
  <c r="O3" i="5"/>
  <c r="O2" i="5"/>
  <c r="O1" i="5"/>
  <c r="O4" i="5"/>
  <c r="AD2" i="5"/>
  <c r="AD3" i="5"/>
  <c r="AD1" i="5"/>
  <c r="AD4" i="5"/>
  <c r="K13" i="1" l="1"/>
  <c r="B8" i="2"/>
  <c r="AA1" i="2" l="1"/>
  <c r="AA2" i="2"/>
  <c r="AA4" i="2"/>
  <c r="AA3" i="2"/>
  <c r="H36" i="1"/>
  <c r="B7" i="2"/>
  <c r="B5" i="2"/>
  <c r="AB4" i="2" l="1"/>
  <c r="AC4" i="2"/>
  <c r="AD4" i="2"/>
  <c r="AD3" i="2"/>
  <c r="AD2" i="2"/>
  <c r="AD1" i="2"/>
  <c r="AC1" i="2"/>
  <c r="AC3" i="2"/>
  <c r="AC2" i="2"/>
  <c r="AB1" i="2"/>
  <c r="AB3" i="2"/>
  <c r="AB2" i="2"/>
  <c r="G36" i="1"/>
  <c r="I36" i="1"/>
  <c r="J36" i="1"/>
  <c r="F36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B13" i="2"/>
  <c r="B10" i="2"/>
  <c r="B14" i="2"/>
  <c r="B15" i="2"/>
  <c r="B9" i="2"/>
  <c r="B11" i="2"/>
  <c r="B12" i="2"/>
  <c r="M4" i="2" l="1"/>
  <c r="P4" i="2"/>
  <c r="J4" i="2"/>
  <c r="O4" i="2"/>
  <c r="H4" i="2"/>
  <c r="N4" i="2"/>
  <c r="F4" i="2"/>
  <c r="G4" i="2"/>
  <c r="L4" i="2"/>
  <c r="S4" i="2"/>
  <c r="R4" i="2"/>
  <c r="I4" i="2"/>
  <c r="E4" i="2"/>
  <c r="D4" i="2"/>
  <c r="Q4" i="2"/>
  <c r="K4" i="2"/>
  <c r="C4" i="2"/>
  <c r="F3" i="2"/>
  <c r="K36" i="1"/>
  <c r="N2" i="2"/>
  <c r="N3" i="2"/>
  <c r="N1" i="2"/>
  <c r="H1" i="2"/>
  <c r="H2" i="2"/>
  <c r="H3" i="2"/>
  <c r="S3" i="2"/>
  <c r="S1" i="2"/>
  <c r="S2" i="2"/>
  <c r="L1" i="2"/>
  <c r="L2" i="2"/>
  <c r="L3" i="2"/>
  <c r="G1" i="2"/>
  <c r="G3" i="2"/>
  <c r="G2" i="2"/>
  <c r="E1" i="2"/>
  <c r="E2" i="2"/>
  <c r="E3" i="2"/>
  <c r="D1" i="2"/>
  <c r="D2" i="2"/>
  <c r="D3" i="2"/>
  <c r="I1" i="2"/>
  <c r="I2" i="2"/>
  <c r="I3" i="2"/>
  <c r="M1" i="2"/>
  <c r="M2" i="2"/>
  <c r="M3" i="2"/>
  <c r="J1" i="2"/>
  <c r="J2" i="2"/>
  <c r="J3" i="2"/>
  <c r="R1" i="2"/>
  <c r="R2" i="2"/>
  <c r="R3" i="2"/>
  <c r="Q1" i="2"/>
  <c r="Q2" i="2"/>
  <c r="Q3" i="2"/>
  <c r="O1" i="2"/>
  <c r="O2" i="2"/>
  <c r="O3" i="2"/>
  <c r="K1" i="2"/>
  <c r="K2" i="2"/>
  <c r="K3" i="2"/>
  <c r="F1" i="2"/>
  <c r="F2" i="2"/>
  <c r="P1" i="2"/>
  <c r="P2" i="2"/>
  <c r="P3" i="2"/>
  <c r="C3" i="2"/>
  <c r="C2" i="2"/>
  <c r="C1" i="2"/>
  <c r="T1" i="2" l="1"/>
  <c r="T4" i="2"/>
  <c r="T3" i="2"/>
  <c r="T2" i="2"/>
</calcChain>
</file>

<file path=xl/sharedStrings.xml><?xml version="1.0" encoding="utf-8"?>
<sst xmlns="http://schemas.openxmlformats.org/spreadsheetml/2006/main" count="496" uniqueCount="201">
  <si>
    <t>Nage no kata</t>
  </si>
  <si>
    <t>Nachname</t>
  </si>
  <si>
    <t>Vorname</t>
  </si>
  <si>
    <t>Verein</t>
  </si>
  <si>
    <t>Land</t>
  </si>
  <si>
    <t>kleiner
Fehler</t>
  </si>
  <si>
    <t>mittlerer
Fehler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</si>
  <si>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</si>
  <si>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</si>
  <si>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</si>
  <si>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</si>
  <si>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</si>
  <si>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</si>
  <si>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</si>
  <si>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</si>
  <si>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</si>
  <si>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</si>
  <si>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</si>
  <si>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</si>
  <si>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</si>
  <si>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</si>
  <si>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</si>
  <si>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</si>
  <si>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</si>
  <si>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</si>
  <si>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</si>
  <si>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</si>
  <si>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</si>
  <si>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</si>
  <si>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</si>
  <si>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</si>
  <si>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Summen Fehler und Punkte</t>
  </si>
  <si>
    <t>Punkte
Total</t>
  </si>
  <si>
    <t>Kata Meisterschaft</t>
  </si>
  <si>
    <t>des Deutschen Judobundes</t>
  </si>
  <si>
    <t>Namens-Kürzel des Übertragenden:</t>
  </si>
  <si>
    <t>gr.Fehler/
Technik falsch</t>
  </si>
  <si>
    <t>Datum:</t>
  </si>
  <si>
    <t>Paar Nr:</t>
  </si>
  <si>
    <t>Tori</t>
  </si>
  <si>
    <t>Uke</t>
  </si>
  <si>
    <t>Bewerter:</t>
  </si>
  <si>
    <t>Position:</t>
  </si>
  <si>
    <t>Bogen:</t>
  </si>
  <si>
    <t>Blanko-Seite als Template für den Generator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</si>
  <si>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</si>
  <si>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</si>
  <si>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</si>
  <si>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</si>
  <si>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</si>
  <si>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</si>
  <si>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</si>
  <si>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</si>
  <si>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G5</t>
  </si>
  <si>
    <t>J5</t>
  </si>
  <si>
    <t>D5</t>
  </si>
  <si>
    <t>C8</t>
  </si>
  <si>
    <t>E8</t>
  </si>
  <si>
    <t>H8</t>
  </si>
  <si>
    <t>J8</t>
  </si>
  <si>
    <t>Tori Nachname</t>
  </si>
  <si>
    <t>Tori Vorname</t>
  </si>
  <si>
    <t>Tori Verein</t>
  </si>
  <si>
    <t>Tori Landesverband</t>
  </si>
  <si>
    <t>C9</t>
  </si>
  <si>
    <t>E9</t>
  </si>
  <si>
    <t>H9</t>
  </si>
  <si>
    <t>J9</t>
  </si>
  <si>
    <t>Uke Nachname</t>
  </si>
  <si>
    <t>Uke Vorname</t>
  </si>
  <si>
    <t>Uke Verein</t>
  </si>
  <si>
    <t>Uke Landesverband</t>
  </si>
  <si>
    <t>D31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</si>
  <si>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</si>
  <si>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</si>
  <si>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</si>
  <si>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</si>
  <si>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</si>
  <si>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</si>
  <si>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Der Aggregator kann Zeile 1 Auslesen</t>
  </si>
  <si>
    <t>Große Fehler</t>
  </si>
  <si>
    <t>Mittlere Fehler</t>
  </si>
  <si>
    <t>Kleine Fehler</t>
  </si>
  <si>
    <t>Gesamt:</t>
  </si>
  <si>
    <t>Mittelwert:</t>
  </si>
  <si>
    <t>Standardabweichung:</t>
  </si>
  <si>
    <t>Spannweite:</t>
  </si>
  <si>
    <t>Paarung:</t>
  </si>
  <si>
    <t xml:space="preserve"> 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</si>
  <si>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</si>
  <si>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</si>
  <si>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</si>
  <si>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</si>
  <si>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</si>
  <si>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</si>
  <si>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</si>
  <si>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</si>
  <si>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</si>
  <si>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</si>
  <si>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</si>
  <si>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</si>
  <si>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</si>
  <si>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</si>
  <si>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</si>
  <si>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</si>
  <si>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</si>
  <si>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</si>
  <si>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</si>
  <si>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</si>
  <si>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</si>
  <si>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</si>
  <si>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</si>
  <si>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</si>
  <si>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</si>
  <si>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</si>
  <si>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</si>
  <si>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</si>
  <si>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</si>
  <si>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</si>
  <si>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</si>
  <si>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</si>
  <si>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</si>
  <si>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</si>
  <si>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</si>
  <si>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</si>
  <si>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</si>
  <si>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</si>
  <si>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</si>
  <si>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</si>
  <si>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</si>
  <si>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</si>
  <si>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</si>
  <si>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</si>
  <si>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</si>
  <si>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</si>
  <si>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</si>
  <si>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</si>
  <si>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</si>
  <si>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</si>
  <si>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</si>
  <si>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</si>
  <si>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</si>
  <si>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</si>
  <si>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</si>
  <si>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</si>
  <si>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</si>
  <si>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</si>
  <si>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</si>
  <si>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</si>
  <si>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</si>
  <si>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</si>
  <si>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</si>
  <si>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</si>
  <si>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</si>
  <si>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</si>
  <si>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</si>
  <si>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</si>
  <si>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</si>
  <si>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</si>
  <si>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</si>
  <si>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</si>
  <si>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</si>
  <si>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</si>
  <si>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</si>
  <si>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</si>
  <si>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</si>
  <si>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</si>
  <si>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</si>
  <si>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</si>
  <si>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</si>
  <si>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 xml:space="preserve">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</si>
  <si>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</si>
  <si>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</si>
  <si>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</si>
  <si>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</si>
  <si>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</si>
  <si>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</si>
  <si>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</si>
  <si>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</si>
  <si>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</si>
  <si>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</si>
  <si>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</si>
  <si>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</si>
  <si>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</si>
  <si>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</si>
  <si>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</si>
  <si>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</si>
  <si>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</si>
  <si>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</si>
  <si>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</si>
  <si>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</si>
  <si>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</si>
  <si>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</si>
  <si>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</si>
  <si>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</si>
  <si>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</si>
  <si>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</si>
  <si>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</si>
  <si>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</si>
  <si>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</si>
  <si>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2 Katame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</si>
</sst>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8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b/>
      <sz val="2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Lucida Console"/>
      <family val="3"/>
    </font>
    <font>
      <sz val="11"/>
      <color rgb="FF000000"/>
      <name val="Lucida Console"/>
      <family val="3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8"/>
      <name val="Calibri"/>
      <family val="2"/>
      <scheme val="minor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</borders>
  <cellStyleXfs count="2">
    <xf numFmtId="0" fontId="0" fillId="0" borderId="0"/>
    <xf numFmtId="0" fontId="28" fillId="0" borderId="0"/>
  </cellStyleXfs>
  <cellXfs count="406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2" borderId="29" xfId="0" applyFont="1" applyFill="1" applyBorder="1" applyAlignment="1" applyProtection="1">
      <alignment horizontal="center" vertical="center"/>
      <protection hidden="1"/>
    </xf>
    <xf numFmtId="0" fontId="8" fillId="2" borderId="35" xfId="0" applyFont="1" applyFill="1" applyBorder="1" applyAlignment="1" applyProtection="1">
      <alignment horizontal="center" vertical="center"/>
      <protection hidden="1"/>
    </xf>
    <xf numFmtId="0" fontId="8" fillId="2" borderId="38" xfId="0" applyFont="1" applyFill="1" applyBorder="1" applyAlignment="1" applyProtection="1">
      <alignment horizontal="center" vertical="center"/>
      <protection hidden="1"/>
    </xf>
    <xf numFmtId="0" fontId="8" fillId="2" borderId="40" xfId="0" applyFont="1" applyFill="1" applyBorder="1" applyAlignment="1" applyProtection="1">
      <alignment horizontal="center" vertical="center"/>
      <protection hidden="1"/>
    </xf>
    <xf numFmtId="0" fontId="8" fillId="2" borderId="41" xfId="0" applyFont="1" applyFill="1" applyBorder="1" applyAlignment="1" applyProtection="1">
      <alignment horizontal="center" vertical="center"/>
      <protection hidden="1"/>
    </xf>
    <xf numFmtId="0" fontId="8" fillId="2" borderId="42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11" fillId="2" borderId="5" xfId="0" applyFont="1" applyFill="1" applyBorder="1" applyAlignment="1" applyProtection="1">
      <alignment horizontal="center" vertical="center" wrapText="1"/>
      <protection hidden="1"/>
    </xf>
    <xf numFmtId="0" fontId="11" fillId="2" borderId="26" xfId="0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vertical="center"/>
      <protection hidden="1"/>
    </xf>
    <xf numFmtId="0" fontId="15" fillId="0" borderId="0" xfId="0" applyFont="1" applyFill="1" applyAlignment="1" applyProtection="1">
      <alignment horizontal="center" vertical="center"/>
      <protection hidden="1"/>
    </xf>
    <xf numFmtId="0" fontId="16" fillId="2" borderId="18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right" vertical="center"/>
      <protection hidden="1"/>
    </xf>
    <xf numFmtId="14" fontId="11" fillId="0" borderId="0" xfId="0" applyNumberFormat="1" applyFont="1" applyFill="1" applyBorder="1" applyAlignment="1" applyProtection="1">
      <alignment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locked="0" hidden="1"/>
    </xf>
    <xf numFmtId="0" fontId="5" fillId="0" borderId="15" xfId="0" applyFont="1" applyFill="1" applyBorder="1" applyAlignment="1" applyProtection="1">
      <alignment horizontal="center" vertical="center"/>
      <protection locked="0" hidden="1"/>
    </xf>
    <xf numFmtId="0" fontId="14" fillId="0" borderId="0" xfId="0" applyFont="1" applyProtection="1"/>
    <xf numFmtId="0" fontId="0" fillId="0" borderId="0" xfId="0" applyFont="1" applyProtection="1"/>
    <xf numFmtId="0" fontId="13" fillId="0" borderId="0" xfId="0" applyFont="1" applyProtection="1"/>
    <xf numFmtId="0" fontId="19" fillId="0" borderId="0" xfId="0" applyFont="1" applyProtection="1"/>
    <xf numFmtId="0" fontId="11" fillId="0" borderId="0" xfId="0" applyFont="1" applyFill="1" applyBorder="1" applyAlignment="1" applyProtection="1">
      <alignment vertical="center"/>
      <protection locked="0" hidden="1"/>
    </xf>
    <xf numFmtId="14" fontId="11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12" fillId="0" borderId="0" xfId="0" applyFont="1" applyProtection="1"/>
    <xf numFmtId="0" fontId="22" fillId="0" borderId="0" xfId="0" applyFont="1"/>
    <xf numFmtId="0" fontId="3" fillId="3" borderId="33" xfId="0" applyFont="1" applyFill="1" applyBorder="1" applyAlignment="1" applyProtection="1">
      <alignment horizontal="center" vertical="center"/>
      <protection hidden="1"/>
    </xf>
    <xf numFmtId="0" fontId="3" fillId="3" borderId="65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21" fillId="0" borderId="72" xfId="0" applyFont="1" applyFill="1" applyBorder="1" applyAlignment="1" applyProtection="1">
      <alignment horizontal="center" vertical="center"/>
      <protection hidden="1"/>
    </xf>
    <xf numFmtId="0" fontId="21" fillId="0" borderId="73" xfId="0" applyFont="1" applyFill="1" applyBorder="1" applyAlignment="1" applyProtection="1">
      <alignment horizontal="center" vertical="center"/>
      <protection hidden="1"/>
    </xf>
    <xf numFmtId="1" fontId="4" fillId="0" borderId="50" xfId="0" applyNumberFormat="1" applyFont="1" applyFill="1" applyBorder="1" applyAlignment="1" applyProtection="1">
      <alignment horizontal="center" vertical="center"/>
      <protection hidden="1"/>
    </xf>
    <xf numFmtId="0" fontId="8" fillId="4" borderId="50" xfId="0" applyFont="1" applyFill="1" applyBorder="1" applyAlignment="1" applyProtection="1">
      <alignment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3" borderId="63" xfId="0" applyFont="1" applyFill="1" applyBorder="1" applyAlignment="1" applyProtection="1">
      <alignment horizontal="center" vertical="center"/>
      <protection locked="0" hidden="1"/>
    </xf>
    <xf numFmtId="0" fontId="3" fillId="3" borderId="64" xfId="0" applyFont="1" applyFill="1" applyBorder="1" applyAlignment="1" applyProtection="1">
      <alignment horizontal="center" vertical="center"/>
      <protection locked="0" hidden="1"/>
    </xf>
    <xf numFmtId="0" fontId="3" fillId="3" borderId="65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32" xfId="0" applyFont="1" applyFill="1" applyBorder="1" applyAlignment="1" applyProtection="1">
      <alignment horizontal="center" vertical="center"/>
      <protection locked="0"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3" borderId="33" xfId="0" applyFont="1" applyFill="1" applyBorder="1" applyAlignment="1" applyProtection="1">
      <alignment horizontal="center" vertical="center"/>
      <protection locked="0" hidden="1"/>
    </xf>
    <xf numFmtId="0" fontId="3" fillId="3" borderId="56" xfId="0" applyFont="1" applyFill="1" applyBorder="1" applyAlignment="1" applyProtection="1">
      <alignment horizontal="center" vertical="center"/>
      <protection locked="0" hidden="1"/>
    </xf>
    <xf numFmtId="0" fontId="3" fillId="3" borderId="57" xfId="0" applyFont="1" applyFill="1" applyBorder="1" applyAlignment="1" applyProtection="1">
      <alignment horizontal="center" vertical="center"/>
      <protection locked="0" hidden="1"/>
    </xf>
    <xf numFmtId="0" fontId="3" fillId="3" borderId="58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23" fillId="0" borderId="0" xfId="0" applyFont="1"/>
    <xf numFmtId="1" fontId="24" fillId="0" borderId="0" xfId="0" applyNumberFormat="1" applyFont="1" applyAlignment="1">
      <alignment horizontal="right"/>
    </xf>
    <xf numFmtId="1" fontId="24" fillId="0" borderId="74" xfId="0" applyNumberFormat="1" applyFont="1" applyBorder="1" applyAlignment="1">
      <alignment horizontal="right"/>
    </xf>
    <xf numFmtId="1" fontId="25" fillId="0" borderId="0" xfId="0" applyNumberFormat="1" applyFont="1" applyAlignment="1">
      <alignment horizontal="right"/>
    </xf>
    <xf numFmtId="1" fontId="25" fillId="0" borderId="74" xfId="0" applyNumberFormat="1" applyFont="1" applyBorder="1" applyAlignment="1">
      <alignment horizontal="right"/>
    </xf>
    <xf numFmtId="0" fontId="25" fillId="0" borderId="0" xfId="0" applyFont="1" applyAlignment="1">
      <alignment horizontal="right"/>
    </xf>
    <xf numFmtId="0" fontId="25" fillId="0" borderId="74" xfId="0" applyFont="1" applyBorder="1" applyAlignment="1">
      <alignment horizontal="right"/>
    </xf>
    <xf numFmtId="0" fontId="0" fillId="0" borderId="0" xfId="0" applyFont="1"/>
    <xf numFmtId="0" fontId="0" fillId="0" borderId="74" xfId="0" applyFont="1" applyBorder="1"/>
    <xf numFmtId="0" fontId="22" fillId="0" borderId="0" xfId="0" applyFont="1" applyAlignment="1">
      <alignment textRotation="90"/>
    </xf>
    <xf numFmtId="0" fontId="22" fillId="0" borderId="74" xfId="0" applyFont="1" applyBorder="1" applyAlignment="1">
      <alignment textRotation="90"/>
    </xf>
    <xf numFmtId="0" fontId="22" fillId="0" borderId="0" xfId="0" applyFont="1" applyBorder="1" applyAlignment="1">
      <alignment textRotation="90"/>
    </xf>
    <xf numFmtId="0" fontId="0" fillId="3" borderId="0" xfId="0" applyFont="1" applyFill="1"/>
    <xf numFmtId="1" fontId="25" fillId="3" borderId="0" xfId="0" applyNumberFormat="1" applyFont="1" applyFill="1" applyAlignment="1">
      <alignment horizontal="right"/>
    </xf>
    <xf numFmtId="1" fontId="25" fillId="3" borderId="74" xfId="0" applyNumberFormat="1" applyFont="1" applyFill="1" applyBorder="1" applyAlignment="1">
      <alignment horizontal="right"/>
    </xf>
    <xf numFmtId="0" fontId="0" fillId="0" borderId="0" xfId="0" applyFont="1" applyAlignment="1">
      <alignment horizontal="left"/>
    </xf>
    <xf numFmtId="0" fontId="21" fillId="0" borderId="76" xfId="0" applyFont="1" applyFill="1" applyBorder="1" applyAlignment="1" applyProtection="1">
      <alignment horizontal="center" vertical="center"/>
      <protection hidden="1"/>
    </xf>
    <xf numFmtId="0" fontId="21" fillId="0" borderId="75" xfId="0" applyFont="1" applyFill="1" applyBorder="1" applyAlignment="1" applyProtection="1">
      <alignment horizontal="center" vertical="center"/>
      <protection hidden="1"/>
    </xf>
    <xf numFmtId="0" fontId="3" fillId="5" borderId="31" xfId="0" applyFont="1" applyFill="1" applyBorder="1" applyAlignment="1" applyProtection="1">
      <alignment horizontal="center" vertical="center"/>
      <protection hidden="1"/>
    </xf>
    <xf numFmtId="0" fontId="3" fillId="5" borderId="32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5" borderId="33" xfId="0" applyFont="1" applyFill="1" applyBorder="1" applyAlignment="1" applyProtection="1">
      <alignment horizontal="center" vertical="center"/>
      <protection hidden="1"/>
    </xf>
    <xf numFmtId="0" fontId="26" fillId="5" borderId="34" xfId="0" applyFont="1" applyFill="1" applyBorder="1" applyAlignment="1" applyProtection="1">
      <alignment horizontal="center" vertical="center"/>
      <protection hidden="1"/>
    </xf>
    <xf numFmtId="0" fontId="3" fillId="5" borderId="31" xfId="0" applyFont="1" applyFill="1" applyBorder="1" applyAlignment="1" applyProtection="1">
      <alignment horizontal="center" vertical="center"/>
      <protection locked="0" hidden="1"/>
    </xf>
    <xf numFmtId="0" fontId="3" fillId="5" borderId="32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5" borderId="33" xfId="0" applyFont="1" applyFill="1" applyBorder="1" applyAlignment="1" applyProtection="1">
      <alignment horizontal="center" vertical="center"/>
      <protection locked="0" hidden="1"/>
    </xf>
    <xf numFmtId="0" fontId="3" fillId="5" borderId="62" xfId="0" applyFont="1" applyFill="1" applyBorder="1" applyAlignment="1" applyProtection="1">
      <alignment horizontal="center" vertical="center"/>
      <protection locked="0" hidden="1"/>
    </xf>
    <xf numFmtId="0" fontId="3" fillId="5" borderId="63" xfId="0" applyFont="1" applyFill="1" applyBorder="1" applyAlignment="1" applyProtection="1">
      <alignment horizontal="center" vertical="center"/>
      <protection locked="0" hidden="1"/>
    </xf>
    <xf numFmtId="0" fontId="3" fillId="5" borderId="64" xfId="0" applyFont="1" applyFill="1" applyBorder="1" applyAlignment="1" applyProtection="1">
      <alignment horizontal="center" vertical="center"/>
      <protection locked="0" hidden="1"/>
    </xf>
    <xf numFmtId="0" fontId="3" fillId="5" borderId="65" xfId="0" applyFont="1" applyFill="1" applyBorder="1" applyAlignment="1" applyProtection="1">
      <alignment horizontal="center" vertical="center"/>
      <protection locked="0" hidden="1"/>
    </xf>
    <xf numFmtId="0" fontId="3" fillId="5" borderId="65" xfId="0" applyFont="1" applyFill="1" applyBorder="1" applyAlignment="1" applyProtection="1">
      <alignment horizontal="center" vertical="center"/>
      <protection hidden="1"/>
    </xf>
    <xf numFmtId="0" fontId="3" fillId="5" borderId="56" xfId="0" applyFont="1" applyFill="1" applyBorder="1" applyAlignment="1" applyProtection="1">
      <alignment horizontal="center" vertical="center"/>
      <protection locked="0"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3" fillId="5" borderId="58" xfId="0" applyFont="1" applyFill="1" applyBorder="1" applyAlignment="1" applyProtection="1">
      <alignment horizontal="center" vertical="center"/>
      <protection locked="0" hidden="1"/>
    </xf>
    <xf numFmtId="0" fontId="3" fillId="5" borderId="59" xfId="0" applyFont="1" applyFill="1" applyBorder="1" applyAlignment="1" applyProtection="1">
      <alignment horizontal="center" vertical="center"/>
      <protection locked="0" hidden="1"/>
    </xf>
    <xf numFmtId="0" fontId="3" fillId="5" borderId="59" xfId="0" applyFont="1" applyFill="1" applyBorder="1" applyAlignment="1" applyProtection="1">
      <alignment horizontal="center" vertical="center"/>
      <protection hidden="1"/>
    </xf>
    <xf numFmtId="0" fontId="3" fillId="5" borderId="43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hidden="1"/>
    </xf>
    <xf numFmtId="0" fontId="2" fillId="4" borderId="43" xfId="0" applyFont="1" applyFill="1" applyBorder="1" applyAlignment="1" applyProtection="1">
      <alignment vertical="center"/>
      <protection hidden="1"/>
    </xf>
    <xf numFmtId="0" fontId="3" fillId="3" borderId="66" xfId="0" applyFont="1" applyFill="1" applyBorder="1" applyAlignment="1" applyProtection="1">
      <alignment horizontal="center" vertical="center"/>
      <protection locked="0" hidden="1"/>
    </xf>
    <xf numFmtId="0" fontId="3" fillId="3" borderId="67" xfId="0" applyFont="1" applyFill="1" applyBorder="1" applyAlignment="1" applyProtection="1">
      <alignment horizontal="center" vertical="center"/>
      <protection locked="0" hidden="1"/>
    </xf>
    <xf numFmtId="0" fontId="3" fillId="3" borderId="68" xfId="0" applyFont="1" applyFill="1" applyBorder="1" applyAlignment="1" applyProtection="1">
      <alignment horizontal="center" vertical="center"/>
      <protection locked="0" hidden="1"/>
    </xf>
    <xf numFmtId="0" fontId="3" fillId="3" borderId="27" xfId="0" applyFont="1" applyFill="1" applyBorder="1" applyAlignment="1" applyProtection="1">
      <alignment horizontal="center" vertical="center"/>
      <protection locked="0" hidden="1"/>
    </xf>
    <xf numFmtId="0" fontId="3" fillId="3" borderId="27" xfId="0" applyFont="1" applyFill="1" applyBorder="1" applyAlignment="1" applyProtection="1">
      <alignment horizontal="center" vertical="center"/>
      <protection hidden="1"/>
    </xf>
    <xf numFmtId="0" fontId="2" fillId="4" borderId="77" xfId="0" applyFont="1" applyFill="1" applyBorder="1" applyAlignment="1" applyProtection="1">
      <alignment vertical="center"/>
      <protection hidden="1"/>
    </xf>
    <xf numFmtId="0" fontId="8" fillId="2" borderId="78" xfId="0" applyFont="1" applyFill="1" applyBorder="1" applyAlignment="1" applyProtection="1">
      <alignment horizontal="center" vertical="center"/>
      <protection hidden="1"/>
    </xf>
    <xf numFmtId="0" fontId="8" fillId="2" borderId="79" xfId="0" applyFont="1" applyFill="1" applyBorder="1" applyAlignment="1" applyProtection="1">
      <alignment horizontal="center" vertical="center"/>
      <protection hidden="1"/>
    </xf>
    <xf numFmtId="0" fontId="3" fillId="5" borderId="80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hidden="1"/>
    </xf>
    <xf numFmtId="0" fontId="8" fillId="2" borderId="84" xfId="0" applyFont="1" applyFill="1" applyBorder="1" applyAlignment="1" applyProtection="1">
      <alignment horizontal="center" vertical="center"/>
      <protection hidden="1"/>
    </xf>
    <xf numFmtId="0" fontId="21" fillId="0" borderId="87" xfId="0" applyFont="1" applyFill="1" applyBorder="1" applyAlignment="1" applyProtection="1">
      <alignment horizontal="center" vertical="center"/>
      <protection hidden="1"/>
    </xf>
    <xf numFmtId="0" fontId="21" fillId="0" borderId="88" xfId="0" applyFont="1" applyFill="1" applyBorder="1" applyAlignment="1" applyProtection="1">
      <alignment horizontal="center" vertical="center"/>
      <protection hidden="1"/>
    </xf>
    <xf numFmtId="1" fontId="4" fillId="0" borderId="51" xfId="0" applyNumberFormat="1" applyFont="1" applyFill="1" applyBorder="1" applyAlignment="1" applyProtection="1">
      <alignment horizontal="center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locked="0" hidden="1"/>
    </xf>
    <xf numFmtId="1" fontId="24" fillId="0" borderId="0" xfId="0" applyNumberFormat="1" applyFont="1"/>
    <xf numFmtId="1" fontId="24" fillId="0" borderId="0" xfId="0" applyNumberFormat="1" applyFont="1" applyBorder="1"/>
    <xf numFmtId="1" fontId="25" fillId="0" borderId="0" xfId="0" applyNumberFormat="1" applyFont="1"/>
    <xf numFmtId="1" fontId="25" fillId="0" borderId="0" xfId="0" applyNumberFormat="1" applyFont="1" applyBorder="1"/>
    <xf numFmtId="0" fontId="25" fillId="0" borderId="0" xfId="0" applyFont="1"/>
    <xf numFmtId="0" fontId="25" fillId="0" borderId="0" xfId="0" applyFont="1" applyBorder="1"/>
    <xf numFmtId="0" fontId="22" fillId="0" borderId="54" xfId="0" applyFont="1" applyBorder="1" applyAlignment="1">
      <alignment textRotation="90"/>
    </xf>
    <xf numFmtId="0" fontId="0" fillId="3" borderId="0" xfId="0" applyFill="1"/>
    <xf numFmtId="0" fontId="0" fillId="0" borderId="0" xfId="0" applyBorder="1"/>
    <xf numFmtId="1" fontId="24" fillId="0" borderId="54" xfId="0" applyNumberFormat="1" applyFont="1" applyBorder="1" applyAlignment="1">
      <alignment horizontal="right"/>
    </xf>
    <xf numFmtId="1" fontId="25" fillId="0" borderId="54" xfId="0" applyNumberFormat="1" applyFont="1" applyBorder="1" applyAlignment="1">
      <alignment horizontal="right"/>
    </xf>
    <xf numFmtId="0" fontId="25" fillId="0" borderId="54" xfId="0" applyFont="1" applyBorder="1" applyAlignment="1">
      <alignment horizontal="right"/>
    </xf>
    <xf numFmtId="0" fontId="23" fillId="0" borderId="54" xfId="0" applyFont="1" applyBorder="1"/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32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33" xfId="0" applyFont="1" applyFill="1" applyBorder="1" applyAlignment="1" applyProtection="1">
      <alignment horizontal="center" vertical="center"/>
      <protection locked="0" hidden="1"/>
    </xf>
    <xf numFmtId="0" fontId="3" fillId="0" borderId="33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63" xfId="0" applyFont="1" applyFill="1" applyBorder="1" applyAlignment="1" applyProtection="1">
      <alignment horizontal="center" vertical="center"/>
      <protection locked="0" hidden="1"/>
    </xf>
    <xf numFmtId="0" fontId="3" fillId="0" borderId="64" xfId="0" applyFont="1" applyFill="1" applyBorder="1" applyAlignment="1" applyProtection="1">
      <alignment horizontal="center" vertical="center"/>
      <protection locked="0" hidden="1"/>
    </xf>
    <xf numFmtId="0" fontId="3" fillId="0" borderId="65" xfId="0" applyFont="1" applyFill="1" applyBorder="1" applyAlignment="1" applyProtection="1">
      <alignment horizontal="center" vertical="center"/>
      <protection locked="0" hidden="1"/>
    </xf>
    <xf numFmtId="0" fontId="3" fillId="0" borderId="65" xfId="0" applyFont="1" applyFill="1" applyBorder="1" applyAlignment="1" applyProtection="1">
      <alignment horizontal="center" vertical="center"/>
      <protection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3" borderId="92" xfId="0" applyFont="1" applyFill="1" applyBorder="1" applyAlignment="1" applyProtection="1">
      <alignment horizontal="center" vertical="center"/>
      <protection locked="0" hidden="1"/>
    </xf>
    <xf numFmtId="0" fontId="3" fillId="3" borderId="9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locked="0"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3" fillId="0" borderId="58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1" fontId="24" fillId="0" borderId="74" xfId="0" applyNumberFormat="1" applyFont="1" applyBorder="1"/>
    <xf numFmtId="1" fontId="25" fillId="0" borderId="74" xfId="0" applyNumberFormat="1" applyFont="1" applyBorder="1"/>
    <xf numFmtId="0" fontId="25" fillId="0" borderId="74" xfId="0" applyFont="1" applyBorder="1"/>
    <xf numFmtId="0" fontId="0" fillId="0" borderId="74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77" xfId="0" applyFont="1" applyFill="1" applyBorder="1" applyAlignment="1" applyProtection="1">
      <alignment horizontal="center" vertical="center"/>
      <protection locked="0" hidden="1"/>
    </xf>
    <xf numFmtId="0" fontId="3" fillId="0" borderId="93" xfId="0" applyFont="1" applyFill="1" applyBorder="1" applyAlignment="1" applyProtection="1">
      <alignment horizontal="center" vertical="center"/>
      <protection locked="0" hidden="1"/>
    </xf>
    <xf numFmtId="0" fontId="3" fillId="0" borderId="94" xfId="0" applyFont="1" applyFill="1" applyBorder="1" applyAlignment="1" applyProtection="1">
      <alignment horizontal="center" vertical="center"/>
      <protection locked="0" hidden="1"/>
    </xf>
    <xf numFmtId="0" fontId="3" fillId="0" borderId="95" xfId="0" applyFont="1" applyFill="1" applyBorder="1" applyAlignment="1" applyProtection="1">
      <alignment horizontal="center" vertical="center"/>
      <protection locked="0" hidden="1"/>
    </xf>
    <xf numFmtId="0" fontId="26" fillId="0" borderId="29" xfId="0" applyFont="1" applyFill="1" applyBorder="1" applyAlignment="1" applyProtection="1">
      <alignment horizontal="center" vertical="center"/>
      <protection hidden="1"/>
    </xf>
    <xf numFmtId="0" fontId="3" fillId="3" borderId="39" xfId="0" applyFont="1" applyFill="1" applyBorder="1" applyAlignment="1" applyProtection="1">
      <alignment horizontal="center" vertical="center"/>
      <protection locked="0" hidden="1"/>
    </xf>
    <xf numFmtId="0" fontId="3" fillId="3" borderId="96" xfId="0" applyFont="1" applyFill="1" applyBorder="1" applyAlignment="1" applyProtection="1">
      <alignment horizontal="center" vertical="center"/>
      <protection locked="0" hidden="1"/>
    </xf>
    <xf numFmtId="0" fontId="3" fillId="3" borderId="97" xfId="0" applyFont="1" applyFill="1" applyBorder="1" applyAlignment="1" applyProtection="1">
      <alignment horizontal="center" vertical="center"/>
      <protection locked="0" hidden="1"/>
    </xf>
    <xf numFmtId="0" fontId="3" fillId="3" borderId="55" xfId="0" applyFont="1" applyFill="1" applyBorder="1" applyAlignment="1" applyProtection="1">
      <alignment horizontal="center" vertical="center"/>
      <protection hidden="1"/>
    </xf>
    <xf numFmtId="0" fontId="3" fillId="0" borderId="61" xfId="0" applyFont="1" applyFill="1" applyBorder="1" applyAlignment="1" applyProtection="1">
      <alignment horizontal="center" vertical="center"/>
      <protection hidden="1"/>
    </xf>
    <xf numFmtId="0" fontId="3" fillId="3" borderId="61" xfId="0" applyFont="1" applyFill="1" applyBorder="1" applyAlignment="1" applyProtection="1">
      <alignment horizontal="center" vertical="center"/>
      <protection hidden="1"/>
    </xf>
    <xf numFmtId="0" fontId="3" fillId="3" borderId="86" xfId="0" applyFont="1" applyFill="1" applyBorder="1" applyAlignment="1" applyProtection="1">
      <alignment horizontal="center" vertical="center"/>
      <protection hidden="1"/>
    </xf>
    <xf numFmtId="0" fontId="3" fillId="0" borderId="39" xfId="0" applyFont="1" applyFill="1" applyBorder="1" applyAlignment="1" applyProtection="1">
      <alignment horizontal="center" vertical="center"/>
      <protection locked="0" hidden="1"/>
    </xf>
    <xf numFmtId="0" fontId="3" fillId="0" borderId="96" xfId="0" applyFont="1" applyFill="1" applyBorder="1" applyAlignment="1" applyProtection="1">
      <alignment horizontal="center" vertical="center"/>
      <protection locked="0" hidden="1"/>
    </xf>
    <xf numFmtId="0" fontId="3" fillId="0" borderId="97" xfId="0" applyFont="1" applyFill="1" applyBorder="1" applyAlignment="1" applyProtection="1">
      <alignment horizontal="center" vertical="center"/>
      <protection locked="0" hidden="1"/>
    </xf>
    <xf numFmtId="0" fontId="3" fillId="0" borderId="101" xfId="0" applyFont="1" applyFill="1" applyBorder="1" applyAlignment="1" applyProtection="1">
      <alignment horizontal="center" vertical="center"/>
      <protection locked="0" hidden="1"/>
    </xf>
    <xf numFmtId="0" fontId="3" fillId="0" borderId="55" xfId="0" applyFont="1" applyFill="1" applyBorder="1" applyAlignment="1" applyProtection="1">
      <alignment horizontal="center" vertical="center"/>
      <protection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7" xfId="0" applyFont="1" applyFill="1" applyBorder="1" applyAlignment="1" applyProtection="1">
      <alignment horizontal="center" vertical="center"/>
      <protection locked="0"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3" fillId="0" borderId="27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hidden="1"/>
    </xf>
    <xf numFmtId="0" fontId="3" fillId="0" borderId="80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103" xfId="0" applyFont="1" applyFill="1" applyBorder="1" applyAlignment="1" applyProtection="1">
      <alignment horizontal="center" vertical="center"/>
      <protection hidden="1"/>
    </xf>
    <xf numFmtId="0" fontId="8" fillId="2" borderId="98" xfId="0" applyFont="1" applyFill="1" applyBorder="1" applyAlignment="1" applyProtection="1">
      <alignment horizontal="center" vertical="center"/>
      <protection hidden="1"/>
    </xf>
    <xf numFmtId="0" fontId="3" fillId="0" borderId="107" xfId="0" applyFont="1" applyFill="1" applyBorder="1" applyAlignment="1" applyProtection="1">
      <alignment horizontal="center" vertical="center"/>
      <protection locked="0" hidden="1"/>
    </xf>
    <xf numFmtId="0" fontId="3" fillId="0" borderId="108" xfId="0" applyFont="1" applyFill="1" applyBorder="1" applyAlignment="1" applyProtection="1">
      <alignment horizontal="center" vertical="center"/>
      <protection locked="0" hidden="1"/>
    </xf>
    <xf numFmtId="0" fontId="3" fillId="0" borderId="109" xfId="0" applyFont="1" applyFill="1" applyBorder="1" applyAlignment="1" applyProtection="1">
      <alignment horizontal="center" vertical="center"/>
      <protection locked="0" hidden="1"/>
    </xf>
    <xf numFmtId="0" fontId="3" fillId="0" borderId="110" xfId="0" applyFont="1" applyFill="1" applyBorder="1" applyAlignment="1" applyProtection="1">
      <alignment horizontal="center" vertical="center"/>
      <protection locked="0" hidden="1"/>
    </xf>
    <xf numFmtId="0" fontId="3" fillId="0" borderId="106" xfId="0" applyFont="1" applyFill="1" applyBorder="1" applyAlignment="1" applyProtection="1">
      <alignment horizontal="center" vertical="center"/>
      <protection hidden="1"/>
    </xf>
    <xf numFmtId="0" fontId="3" fillId="0" borderId="76" xfId="0" applyFont="1" applyFill="1" applyBorder="1" applyAlignment="1" applyProtection="1">
      <alignment horizontal="center" vertical="center"/>
      <protection hidden="1"/>
    </xf>
    <xf numFmtId="0" fontId="3" fillId="0" borderId="72" xfId="0" applyFont="1" applyFill="1" applyBorder="1" applyAlignment="1" applyProtection="1">
      <alignment horizontal="center" vertical="center"/>
      <protection hidden="1"/>
    </xf>
    <xf numFmtId="0" fontId="3" fillId="0" borderId="111" xfId="0" applyFont="1" applyFill="1" applyBorder="1" applyAlignment="1" applyProtection="1">
      <alignment horizontal="center" vertical="center"/>
      <protection hidden="1"/>
    </xf>
    <xf numFmtId="0" fontId="18" fillId="4" borderId="51" xfId="0" applyFont="1" applyFill="1" applyBorder="1" applyAlignment="1" applyProtection="1">
      <alignment horizontal="center" vertical="center"/>
      <protection locked="0" hidden="1"/>
    </xf>
    <xf numFmtId="1" fontId="29" fillId="0" borderId="0" xfId="0" applyNumberFormat="1" applyFont="1" applyFill="1" applyBorder="1" applyAlignment="1">
      <alignment horizontal="right"/>
    </xf>
    <xf numFmtId="1" fontId="30" fillId="0" borderId="0" xfId="0" applyNumberFormat="1" applyFont="1" applyFill="1" applyBorder="1" applyAlignment="1">
      <alignment horizontal="right"/>
    </xf>
    <xf numFmtId="0" fontId="30" fillId="0" borderId="0" xfId="0" applyFont="1" applyFill="1" applyBorder="1" applyAlignment="1">
      <alignment horizontal="right"/>
    </xf>
    <xf numFmtId="0" fontId="31" fillId="0" borderId="0" xfId="0" applyFont="1" applyFill="1" applyBorder="1"/>
    <xf numFmtId="0" fontId="32" fillId="0" borderId="0" xfId="0" applyFont="1" applyFill="1" applyBorder="1" applyAlignment="1">
      <alignment textRotation="90"/>
    </xf>
    <xf numFmtId="1" fontId="25" fillId="0" borderId="0" xfId="0" applyNumberFormat="1" applyFont="1" applyBorder="1" applyAlignment="1">
      <alignment horizontal="right"/>
    </xf>
    <xf numFmtId="1" fontId="25" fillId="3" borderId="0" xfId="0" applyNumberFormat="1" applyFont="1" applyFill="1" applyBorder="1" applyAlignment="1">
      <alignment horizontal="right"/>
    </xf>
    <xf numFmtId="0" fontId="0" fillId="0" borderId="0" xfId="0" applyAlignment="1">
      <alignment textRotation="9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8" fillId="4" borderId="29" xfId="0" applyFont="1" applyFill="1" applyBorder="1" applyAlignment="1" applyProtection="1">
      <alignment horizontal="center" vertical="center"/>
      <protection hidden="1"/>
    </xf>
    <xf numFmtId="0" fontId="3" fillId="0" borderId="77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94" xfId="0" applyFont="1" applyFill="1" applyBorder="1" applyAlignment="1" applyProtection="1">
      <alignment horizontal="center" vertical="center"/>
      <protection hidden="1"/>
    </xf>
    <xf numFmtId="0" fontId="3" fillId="0" borderId="95" xfId="0" applyFont="1" applyFill="1" applyBorder="1" applyAlignment="1" applyProtection="1">
      <alignment horizontal="center" vertical="center"/>
      <protection hidden="1"/>
    </xf>
    <xf numFmtId="0" fontId="3" fillId="3" borderId="39" xfId="0" applyFont="1" applyFill="1" applyBorder="1" applyAlignment="1" applyProtection="1">
      <alignment horizontal="center" vertical="center"/>
      <protection hidden="1"/>
    </xf>
    <xf numFmtId="0" fontId="3" fillId="3" borderId="96" xfId="0" applyFont="1" applyFill="1" applyBorder="1" applyAlignment="1" applyProtection="1">
      <alignment horizontal="center" vertical="center"/>
      <protection hidden="1"/>
    </xf>
    <xf numFmtId="0" fontId="3" fillId="3" borderId="97" xfId="0" applyFont="1" applyFill="1" applyBorder="1" applyAlignment="1" applyProtection="1">
      <alignment horizontal="center" vertical="center"/>
      <protection hidden="1"/>
    </xf>
    <xf numFmtId="0" fontId="3" fillId="3" borderId="101" xfId="0" applyFont="1" applyFill="1" applyBorder="1" applyAlignment="1" applyProtection="1">
      <alignment horizontal="center" vertical="center"/>
      <protection hidden="1"/>
    </xf>
    <xf numFmtId="0" fontId="26" fillId="3" borderId="98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0" borderId="63" xfId="0" applyFont="1" applyFill="1" applyBorder="1" applyAlignment="1" applyProtection="1">
      <alignment horizontal="center" vertical="center"/>
      <protection hidden="1"/>
    </xf>
    <xf numFmtId="0" fontId="3" fillId="0" borderId="64" xfId="0" applyFont="1" applyFill="1" applyBorder="1" applyAlignment="1" applyProtection="1">
      <alignment horizontal="center" vertical="center"/>
      <protection hidden="1"/>
    </xf>
    <xf numFmtId="0" fontId="26" fillId="0" borderId="112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3" borderId="63" xfId="0" applyFont="1" applyFill="1" applyBorder="1" applyAlignment="1" applyProtection="1">
      <alignment horizontal="center" vertical="center"/>
      <protection hidden="1"/>
    </xf>
    <xf numFmtId="0" fontId="3" fillId="3" borderId="64" xfId="0" applyFont="1" applyFill="1" applyBorder="1" applyAlignment="1" applyProtection="1">
      <alignment horizontal="center" vertical="center"/>
      <protection hidden="1"/>
    </xf>
    <xf numFmtId="0" fontId="26" fillId="3" borderId="112" xfId="0" applyFont="1" applyFill="1" applyBorder="1" applyAlignment="1" applyProtection="1">
      <alignment horizontal="center" vertical="center"/>
      <protection hidden="1"/>
    </xf>
    <xf numFmtId="0" fontId="8" fillId="2" borderId="113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3" fillId="0" borderId="32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26" fillId="0" borderId="34" xfId="0" applyFont="1" applyFill="1" applyBorder="1" applyAlignment="1" applyProtection="1">
      <alignment horizontal="center" vertical="center"/>
      <protection hidden="1"/>
    </xf>
    <xf numFmtId="0" fontId="3" fillId="0" borderId="66" xfId="0" applyFont="1" applyFill="1" applyBorder="1" applyAlignment="1" applyProtection="1">
      <alignment horizontal="center" vertical="center"/>
      <protection hidden="1"/>
    </xf>
    <xf numFmtId="0" fontId="3" fillId="0" borderId="67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hidden="1"/>
    </xf>
    <xf numFmtId="0" fontId="3" fillId="0" borderId="27" xfId="0" applyFont="1" applyFill="1" applyBorder="1" applyAlignment="1" applyProtection="1">
      <alignment horizontal="center" vertical="center"/>
      <protection hidden="1"/>
    </xf>
    <xf numFmtId="0" fontId="26" fillId="0" borderId="28" xfId="0" applyFont="1" applyFill="1" applyBorder="1" applyAlignment="1" applyProtection="1">
      <alignment horizontal="center" vertical="center"/>
      <protection hidden="1"/>
    </xf>
    <xf numFmtId="0" fontId="3" fillId="0" borderId="39" xfId="0" applyFont="1" applyFill="1" applyBorder="1" applyAlignment="1" applyProtection="1">
      <alignment horizontal="center" vertical="center"/>
      <protection hidden="1"/>
    </xf>
    <xf numFmtId="0" fontId="3" fillId="0" borderId="96" xfId="0" applyFont="1" applyFill="1" applyBorder="1" applyAlignment="1" applyProtection="1">
      <alignment horizontal="center" vertical="center"/>
      <protection hidden="1"/>
    </xf>
    <xf numFmtId="0" fontId="3" fillId="0" borderId="97" xfId="0" applyFont="1" applyFill="1" applyBorder="1" applyAlignment="1" applyProtection="1">
      <alignment horizontal="center" vertical="center"/>
      <protection hidden="1"/>
    </xf>
    <xf numFmtId="0" fontId="3" fillId="0" borderId="101" xfId="0" applyFont="1" applyFill="1" applyBorder="1" applyAlignment="1" applyProtection="1">
      <alignment horizontal="center" vertical="center"/>
      <protection hidden="1"/>
    </xf>
    <xf numFmtId="0" fontId="26" fillId="0" borderId="98" xfId="0" applyFont="1" applyFill="1" applyBorder="1" applyAlignment="1" applyProtection="1">
      <alignment horizontal="center" vertical="center"/>
      <protection hidden="1"/>
    </xf>
    <xf numFmtId="0" fontId="8" fillId="4" borderId="42" xfId="0" applyFont="1" applyFill="1" applyBorder="1" applyAlignment="1" applyProtection="1">
      <alignment horizontal="center" vertical="center"/>
      <protection hidden="1"/>
    </xf>
    <xf numFmtId="0" fontId="3" fillId="3" borderId="116" xfId="0" applyFont="1" applyFill="1" applyBorder="1" applyAlignment="1" applyProtection="1">
      <alignment horizontal="center" vertical="center"/>
      <protection hidden="1"/>
    </xf>
    <xf numFmtId="0" fontId="3" fillId="3" borderId="117" xfId="0" applyFont="1" applyFill="1" applyBorder="1" applyAlignment="1" applyProtection="1">
      <alignment horizontal="center" vertical="center"/>
      <protection hidden="1"/>
    </xf>
    <xf numFmtId="0" fontId="3" fillId="3" borderId="118" xfId="0" applyFont="1" applyFill="1" applyBorder="1" applyAlignment="1" applyProtection="1">
      <alignment horizontal="center" vertical="center"/>
      <protection hidden="1"/>
    </xf>
    <xf numFmtId="0" fontId="3" fillId="3" borderId="119" xfId="0" applyFont="1" applyFill="1" applyBorder="1" applyAlignment="1" applyProtection="1">
      <alignment horizontal="center" vertical="center"/>
      <protection hidden="1"/>
    </xf>
    <xf numFmtId="0" fontId="26" fillId="3" borderId="7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0" fontId="3" fillId="0" borderId="87" xfId="0" applyFont="1" applyFill="1" applyBorder="1" applyAlignment="1" applyProtection="1">
      <alignment horizontal="center" vertical="center"/>
      <protection hidden="1"/>
    </xf>
    <xf numFmtId="0" fontId="3" fillId="0" borderId="88" xfId="0" applyFont="1" applyFill="1" applyBorder="1" applyAlignment="1" applyProtection="1">
      <alignment horizontal="center" vertical="center"/>
      <protection hidden="1"/>
    </xf>
    <xf numFmtId="0" fontId="8" fillId="4" borderId="49" xfId="0" applyFont="1" applyFill="1" applyBorder="1" applyAlignment="1" applyProtection="1">
      <alignment vertical="center"/>
      <protection hidden="1"/>
    </xf>
    <xf numFmtId="0" fontId="9" fillId="4" borderId="51" xfId="0" applyFont="1" applyFill="1" applyBorder="1" applyAlignment="1" applyProtection="1">
      <alignment horizontal="center" vertical="center"/>
      <protection hidden="1"/>
    </xf>
    <xf numFmtId="0" fontId="35" fillId="0" borderId="0" xfId="0" applyFont="1" applyProtection="1"/>
    <xf numFmtId="0" fontId="8" fillId="5" borderId="105" xfId="0" applyFont="1" applyFill="1" applyBorder="1" applyAlignment="1" applyProtection="1">
      <alignment horizontal="right" vertical="center" indent="1"/>
      <protection hidden="1"/>
    </xf>
    <xf numFmtId="0" fontId="8" fillId="5" borderId="106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/>
    <xf numFmtId="0" fontId="3" fillId="3" borderId="66" xfId="0" applyFont="1" applyFill="1" applyBorder="1" applyAlignment="1" applyProtection="1">
      <alignment horizontal="center" vertical="center"/>
      <protection hidden="1"/>
    </xf>
    <xf numFmtId="0" fontId="3" fillId="3" borderId="67" xfId="0" applyFont="1" applyFill="1" applyBorder="1" applyAlignment="1" applyProtection="1">
      <alignment horizontal="center" vertical="center"/>
      <protection hidden="1"/>
    </xf>
    <xf numFmtId="0" fontId="3" fillId="3" borderId="68" xfId="0" applyFont="1" applyFill="1" applyBorder="1" applyAlignment="1" applyProtection="1">
      <alignment horizontal="center" vertical="center"/>
      <protection hidden="1"/>
    </xf>
    <xf numFmtId="0" fontId="3" fillId="0" borderId="116" xfId="0" applyFont="1" applyFill="1" applyBorder="1" applyAlignment="1" applyProtection="1">
      <alignment horizontal="center" vertical="center"/>
      <protection hidden="1"/>
    </xf>
    <xf numFmtId="0" fontId="3" fillId="0" borderId="117" xfId="0" applyFont="1" applyFill="1" applyBorder="1" applyAlignment="1" applyProtection="1">
      <alignment horizontal="center" vertical="center"/>
      <protection hidden="1"/>
    </xf>
    <xf numFmtId="0" fontId="3" fillId="0" borderId="118" xfId="0" applyFont="1" applyFill="1" applyBorder="1" applyAlignment="1" applyProtection="1">
      <alignment horizontal="center" vertical="center"/>
      <protection hidden="1"/>
    </xf>
    <xf numFmtId="0" fontId="3" fillId="0" borderId="119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2" borderId="2" xfId="0" applyFont="1" applyFill="1" applyBorder="1" applyAlignment="1" applyProtection="1">
      <alignment horizontal="center" vertical="center" wrapText="1"/>
      <protection hidden="1"/>
    </xf>
    <xf numFmtId="0" fontId="11" fillId="2" borderId="3" xfId="0" applyFont="1" applyFill="1" applyBorder="1" applyAlignment="1" applyProtection="1">
      <alignment horizontal="center" vertical="center" wrapText="1"/>
      <protection hidden="1"/>
    </xf>
    <xf numFmtId="0" fontId="11" fillId="2" borderId="4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left" vertical="center" indent="1"/>
      <protection locked="0" hidden="1"/>
    </xf>
    <xf numFmtId="0" fontId="5" fillId="0" borderId="8" xfId="0" applyFont="1" applyFill="1" applyBorder="1" applyAlignment="1" applyProtection="1">
      <alignment horizontal="left" vertical="center" indent="1"/>
      <protection locked="0" hidden="1"/>
    </xf>
    <xf numFmtId="0" fontId="5" fillId="0" borderId="9" xfId="0" applyFont="1" applyFill="1" applyBorder="1" applyAlignment="1" applyProtection="1">
      <alignment horizontal="left" vertical="center" indent="1"/>
      <protection locked="0" hidden="1"/>
    </xf>
    <xf numFmtId="0" fontId="6" fillId="0" borderId="6" xfId="0" applyFont="1" applyFill="1" applyBorder="1" applyAlignment="1" applyProtection="1">
      <alignment horizontal="left" vertical="center" indent="1"/>
      <protection locked="0" hidden="1"/>
    </xf>
    <xf numFmtId="0" fontId="11" fillId="2" borderId="69" xfId="0" applyFont="1" applyFill="1" applyBorder="1" applyAlignment="1" applyProtection="1">
      <alignment horizontal="center" vertical="center" wrapText="1"/>
      <protection hidden="1"/>
    </xf>
    <xf numFmtId="0" fontId="5" fillId="0" borderId="70" xfId="0" applyFont="1" applyFill="1" applyBorder="1" applyAlignment="1" applyProtection="1">
      <alignment horizontal="left" vertical="center" indent="1"/>
      <protection locked="0" hidden="1"/>
    </xf>
    <xf numFmtId="0" fontId="5" fillId="0" borderId="12" xfId="0" applyFont="1" applyFill="1" applyBorder="1" applyAlignment="1" applyProtection="1">
      <alignment horizontal="left" vertical="center" indent="1"/>
      <protection locked="0" hidden="1"/>
    </xf>
    <xf numFmtId="0" fontId="5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4" xfId="0" applyFont="1" applyFill="1" applyBorder="1" applyAlignment="1" applyProtection="1">
      <alignment horizontal="left" vertical="center" indent="1"/>
      <protection locked="0" hidden="1"/>
    </xf>
    <xf numFmtId="0" fontId="6" fillId="0" borderId="11" xfId="0" applyFont="1" applyFill="1" applyBorder="1" applyAlignment="1" applyProtection="1">
      <alignment horizontal="left" vertical="center" indent="1"/>
      <protection locked="0" hidden="1"/>
    </xf>
    <xf numFmtId="0" fontId="16" fillId="2" borderId="16" xfId="0" applyFont="1" applyFill="1" applyBorder="1" applyAlignment="1" applyProtection="1">
      <alignment horizontal="center" vertical="center" wrapText="1"/>
      <protection hidden="1"/>
    </xf>
    <xf numFmtId="0" fontId="16" fillId="2" borderId="17" xfId="0" applyFont="1" applyFill="1" applyBorder="1" applyAlignment="1" applyProtection="1">
      <alignment horizontal="center" vertical="center" wrapText="1"/>
      <protection hidden="1"/>
    </xf>
    <xf numFmtId="0" fontId="7" fillId="2" borderId="19" xfId="0" applyFont="1" applyFill="1" applyBorder="1" applyAlignment="1" applyProtection="1">
      <alignment horizontal="center" vertical="center" wrapText="1"/>
      <protection hidden="1"/>
    </xf>
    <xf numFmtId="0" fontId="7" fillId="2" borderId="27" xfId="0" applyFont="1" applyFill="1" applyBorder="1" applyAlignment="1" applyProtection="1">
      <alignment horizontal="center" vertical="center" wrapText="1"/>
      <protection hidden="1"/>
    </xf>
    <xf numFmtId="0" fontId="5" fillId="0" borderId="71" xfId="0" applyFont="1" applyFill="1" applyBorder="1" applyAlignment="1" applyProtection="1">
      <alignment horizontal="left" vertical="center" indent="1"/>
      <protection locked="0" hidden="1"/>
    </xf>
    <xf numFmtId="0" fontId="8" fillId="4" borderId="48" xfId="0" applyFont="1" applyFill="1" applyBorder="1" applyAlignment="1" applyProtection="1">
      <alignment horizontal="right" vertical="center" indent="1"/>
      <protection hidden="1"/>
    </xf>
    <xf numFmtId="0" fontId="8" fillId="4" borderId="49" xfId="0" applyFont="1" applyFill="1" applyBorder="1" applyAlignment="1" applyProtection="1">
      <alignment horizontal="right" vertical="center" indent="1"/>
      <protection hidden="1"/>
    </xf>
    <xf numFmtId="0" fontId="8" fillId="4" borderId="50" xfId="0" applyFont="1" applyFill="1" applyBorder="1" applyAlignment="1" applyProtection="1">
      <alignment horizontal="right" vertical="center" indent="1"/>
      <protection hidden="1"/>
    </xf>
    <xf numFmtId="0" fontId="8" fillId="5" borderId="52" xfId="0" applyFont="1" applyFill="1" applyBorder="1" applyAlignment="1" applyProtection="1">
      <alignment horizontal="right" vertical="center" indent="1"/>
      <protection hidden="1"/>
    </xf>
    <xf numFmtId="0" fontId="8" fillId="5" borderId="30" xfId="0" applyFont="1" applyFill="1" applyBorder="1" applyAlignment="1" applyProtection="1">
      <alignment horizontal="right" vertical="center" indent="1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39" xfId="0" applyFont="1" applyFill="1" applyBorder="1" applyAlignment="1" applyProtection="1">
      <alignment horizontal="center" vertical="center" textRotation="90"/>
      <protection hidden="1"/>
    </xf>
    <xf numFmtId="0" fontId="8" fillId="3" borderId="36" xfId="0" applyFont="1" applyFill="1" applyBorder="1" applyAlignment="1" applyProtection="1">
      <alignment horizontal="right" vertical="center" indent="1"/>
      <protection hidden="1"/>
    </xf>
    <xf numFmtId="0" fontId="8" fillId="3" borderId="37" xfId="0" applyFont="1" applyFill="1" applyBorder="1" applyAlignment="1" applyProtection="1">
      <alignment horizontal="right" vertical="center" indent="1"/>
      <protection hidden="1"/>
    </xf>
    <xf numFmtId="0" fontId="8" fillId="5" borderId="60" xfId="0" applyFont="1" applyFill="1" applyBorder="1" applyAlignment="1" applyProtection="1">
      <alignment horizontal="right" vertical="center" indent="1"/>
      <protection hidden="1"/>
    </xf>
    <xf numFmtId="0" fontId="8" fillId="5" borderId="61" xfId="0" applyFont="1" applyFill="1" applyBorder="1" applyAlignment="1" applyProtection="1">
      <alignment horizontal="right" vertical="center" indent="1"/>
      <protection hidden="1"/>
    </xf>
    <xf numFmtId="0" fontId="8" fillId="3" borderId="54" xfId="0" applyFont="1" applyFill="1" applyBorder="1" applyAlignment="1" applyProtection="1">
      <alignment horizontal="right" vertical="center" indent="1"/>
      <protection hidden="1"/>
    </xf>
    <xf numFmtId="0" fontId="8" fillId="3" borderId="55" xfId="0" applyFont="1" applyFill="1" applyBorder="1" applyAlignment="1" applyProtection="1">
      <alignment horizontal="right" vertical="center" indent="1"/>
      <protection hidden="1"/>
    </xf>
    <xf numFmtId="0" fontId="8" fillId="5" borderId="36" xfId="0" applyFont="1" applyFill="1" applyBorder="1" applyAlignment="1" applyProtection="1">
      <alignment horizontal="right" vertical="center" indent="1"/>
      <protection hidden="1"/>
    </xf>
    <xf numFmtId="0" fontId="8" fillId="5" borderId="37" xfId="0" applyFont="1" applyFill="1" applyBorder="1" applyAlignment="1" applyProtection="1">
      <alignment horizontal="right" vertical="center" indent="1"/>
      <protection hidden="1"/>
    </xf>
    <xf numFmtId="0" fontId="8" fillId="3" borderId="60" xfId="0" applyFont="1" applyFill="1" applyBorder="1" applyAlignment="1" applyProtection="1">
      <alignment horizontal="right" vertical="center" indent="1"/>
      <protection hidden="1"/>
    </xf>
    <xf numFmtId="0" fontId="8" fillId="3" borderId="61" xfId="0" applyFont="1" applyFill="1" applyBorder="1" applyAlignment="1" applyProtection="1">
      <alignment horizontal="right" vertical="center" indent="1"/>
      <protection hidden="1"/>
    </xf>
    <xf numFmtId="0" fontId="8" fillId="5" borderId="54" xfId="0" applyFont="1" applyFill="1" applyBorder="1" applyAlignment="1" applyProtection="1">
      <alignment horizontal="right" vertical="center" indent="1"/>
      <protection hidden="1"/>
    </xf>
    <xf numFmtId="0" fontId="8" fillId="5" borderId="55" xfId="0" applyFont="1" applyFill="1" applyBorder="1" applyAlignment="1" applyProtection="1">
      <alignment horizontal="right" vertical="center" indent="1"/>
      <protection hidden="1"/>
    </xf>
    <xf numFmtId="0" fontId="8" fillId="4" borderId="48" xfId="0" applyFont="1" applyFill="1" applyBorder="1" applyAlignment="1" applyProtection="1">
      <alignment horizontal="center" vertical="center"/>
      <protection hidden="1"/>
    </xf>
    <xf numFmtId="0" fontId="8" fillId="4" borderId="49" xfId="0" applyFont="1" applyFill="1" applyBorder="1" applyAlignment="1" applyProtection="1">
      <alignment horizontal="center" vertical="center"/>
      <protection hidden="1"/>
    </xf>
    <xf numFmtId="2" fontId="4" fillId="0" borderId="0" xfId="0" applyNumberFormat="1" applyFont="1" applyFill="1" applyBorder="1" applyAlignment="1" applyProtection="1">
      <alignment horizontal="center" vertical="center"/>
      <protection hidden="1"/>
    </xf>
    <xf numFmtId="2" fontId="18" fillId="0" borderId="0" xfId="0" applyNumberFormat="1" applyFont="1" applyFill="1" applyBorder="1" applyAlignment="1" applyProtection="1">
      <alignment horizontal="center" vertical="center"/>
      <protection hidden="1"/>
    </xf>
    <xf numFmtId="2" fontId="17" fillId="0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53" xfId="0" applyFont="1" applyFill="1" applyBorder="1" applyAlignment="1" applyProtection="1">
      <alignment horizontal="right" vertical="center" indent="1"/>
      <protection hidden="1"/>
    </xf>
    <xf numFmtId="0" fontId="8" fillId="5" borderId="44" xfId="0" applyFont="1" applyFill="1" applyBorder="1" applyAlignment="1" applyProtection="1">
      <alignment horizontal="right" vertical="center" indent="1"/>
      <protection hidden="1"/>
    </xf>
    <xf numFmtId="0" fontId="9" fillId="0" borderId="48" xfId="0" applyFont="1" applyFill="1" applyBorder="1" applyAlignment="1" applyProtection="1">
      <alignment horizontal="center" vertical="center" wrapText="1"/>
      <protection hidden="1"/>
    </xf>
    <xf numFmtId="0" fontId="9" fillId="0" borderId="49" xfId="0" applyFont="1" applyFill="1" applyBorder="1" applyAlignment="1" applyProtection="1">
      <alignment horizontal="center" vertical="center" wrapText="1"/>
      <protection hidden="1"/>
    </xf>
    <xf numFmtId="0" fontId="9" fillId="0" borderId="50" xfId="0" applyFont="1" applyFill="1" applyBorder="1" applyAlignment="1" applyProtection="1">
      <alignment horizontal="center" vertical="center" wrapText="1"/>
      <protection hidden="1"/>
    </xf>
    <xf numFmtId="0" fontId="7" fillId="4" borderId="20" xfId="0" applyFont="1" applyFill="1" applyBorder="1" applyAlignment="1" applyProtection="1">
      <alignment horizontal="center" vertical="center" wrapText="1"/>
      <protection hidden="1"/>
    </xf>
    <xf numFmtId="0" fontId="7" fillId="4" borderId="28" xfId="0" applyFont="1" applyFill="1" applyBorder="1" applyAlignment="1" applyProtection="1">
      <alignment horizontal="center" vertical="center" wrapText="1"/>
      <protection hidden="1"/>
    </xf>
    <xf numFmtId="0" fontId="12" fillId="2" borderId="21" xfId="0" applyFont="1" applyFill="1" applyBorder="1" applyAlignment="1" applyProtection="1">
      <alignment horizontal="center" vertical="center"/>
      <protection hidden="1"/>
    </xf>
    <xf numFmtId="0" fontId="12" fillId="2" borderId="22" xfId="0" applyFont="1" applyFill="1" applyBorder="1" applyAlignment="1" applyProtection="1">
      <alignment horizontal="center" vertical="center"/>
      <protection hidden="1"/>
    </xf>
    <xf numFmtId="0" fontId="12" fillId="2" borderId="23" xfId="0" applyFont="1" applyFill="1" applyBorder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center" vertical="center"/>
      <protection hidden="1"/>
    </xf>
    <xf numFmtId="0" fontId="11" fillId="2" borderId="25" xfId="0" applyFont="1" applyFill="1" applyBorder="1" applyAlignment="1" applyProtection="1">
      <alignment horizontal="center" vertical="center"/>
      <protection hidden="1"/>
    </xf>
    <xf numFmtId="0" fontId="1" fillId="2" borderId="66" xfId="0" applyFont="1" applyFill="1" applyBorder="1" applyAlignment="1" applyProtection="1">
      <alignment horizontal="center" vertical="center" textRotation="90"/>
      <protection hidden="1"/>
    </xf>
    <xf numFmtId="0" fontId="27" fillId="3" borderId="54" xfId="0" applyFont="1" applyFill="1" applyBorder="1" applyAlignment="1" applyProtection="1">
      <alignment horizontal="right" vertical="center" indent="1"/>
      <protection hidden="1"/>
    </xf>
    <xf numFmtId="0" fontId="27" fillId="3" borderId="55" xfId="0" applyFont="1" applyFill="1" applyBorder="1" applyAlignment="1" applyProtection="1">
      <alignment horizontal="right" vertical="center" indent="1"/>
      <protection hidden="1"/>
    </xf>
    <xf numFmtId="0" fontId="27" fillId="5" borderId="60" xfId="0" applyFont="1" applyFill="1" applyBorder="1" applyAlignment="1" applyProtection="1">
      <alignment horizontal="right" vertical="center" indent="1"/>
      <protection hidden="1"/>
    </xf>
    <xf numFmtId="0" fontId="27" fillId="5" borderId="61" xfId="0" applyFont="1" applyFill="1" applyBorder="1" applyAlignment="1" applyProtection="1">
      <alignment horizontal="right" vertical="center" indent="1"/>
      <protection hidden="1"/>
    </xf>
    <xf numFmtId="0" fontId="27" fillId="3" borderId="85" xfId="0" applyFont="1" applyFill="1" applyBorder="1" applyAlignment="1" applyProtection="1">
      <alignment horizontal="right" vertical="center" indent="1"/>
      <protection hidden="1"/>
    </xf>
    <xf numFmtId="0" fontId="27" fillId="3" borderId="86" xfId="0" applyFont="1" applyFill="1" applyBorder="1" applyAlignment="1" applyProtection="1">
      <alignment horizontal="right" vertical="center" indent="1"/>
      <protection hidden="1"/>
    </xf>
    <xf numFmtId="0" fontId="27" fillId="5" borderId="36" xfId="0" applyFont="1" applyFill="1" applyBorder="1" applyAlignment="1" applyProtection="1">
      <alignment horizontal="right" vertical="center" indent="1"/>
      <protection hidden="1"/>
    </xf>
    <xf numFmtId="0" fontId="27" fillId="5" borderId="37" xfId="0" applyFont="1" applyFill="1" applyBorder="1" applyAlignment="1" applyProtection="1">
      <alignment horizontal="right" vertical="center" indent="1"/>
      <protection hidden="1"/>
    </xf>
    <xf numFmtId="0" fontId="27" fillId="3" borderId="60" xfId="0" applyFont="1" applyFill="1" applyBorder="1" applyAlignment="1" applyProtection="1">
      <alignment horizontal="right" vertical="center" indent="1"/>
      <protection hidden="1"/>
    </xf>
    <xf numFmtId="0" fontId="27" fillId="3" borderId="61" xfId="0" applyFont="1" applyFill="1" applyBorder="1" applyAlignment="1" applyProtection="1">
      <alignment horizontal="right" vertical="center" indent="1"/>
      <protection hidden="1"/>
    </xf>
    <xf numFmtId="0" fontId="27" fillId="5" borderId="85" xfId="0" applyFont="1" applyFill="1" applyBorder="1" applyAlignment="1" applyProtection="1">
      <alignment horizontal="right" vertical="center" indent="1"/>
      <protection hidden="1"/>
    </xf>
    <xf numFmtId="0" fontId="27" fillId="5" borderId="86" xfId="0" applyFont="1" applyFill="1" applyBorder="1" applyAlignment="1" applyProtection="1">
      <alignment horizontal="right" vertical="center" indent="1"/>
      <protection hidden="1"/>
    </xf>
    <xf numFmtId="0" fontId="27" fillId="3" borderId="36" xfId="0" applyFont="1" applyFill="1" applyBorder="1" applyAlignment="1" applyProtection="1">
      <alignment horizontal="right" vertical="center" indent="1"/>
      <protection hidden="1"/>
    </xf>
    <xf numFmtId="0" fontId="27" fillId="3" borderId="37" xfId="0" applyFont="1" applyFill="1" applyBorder="1" applyAlignment="1" applyProtection="1">
      <alignment horizontal="right" vertical="center" indent="1"/>
      <protection hidden="1"/>
    </xf>
    <xf numFmtId="0" fontId="8" fillId="0" borderId="60" xfId="0" applyFont="1" applyFill="1" applyBorder="1" applyAlignment="1" applyProtection="1">
      <alignment horizontal="right" vertical="center" indent="1"/>
      <protection hidden="1"/>
    </xf>
    <xf numFmtId="0" fontId="8" fillId="0" borderId="61" xfId="0" applyFont="1" applyFill="1" applyBorder="1" applyAlignment="1" applyProtection="1">
      <alignment horizontal="right" vertical="center" indent="1"/>
      <protection hidden="1"/>
    </xf>
    <xf numFmtId="0" fontId="8" fillId="3" borderId="85" xfId="0" applyFont="1" applyFill="1" applyBorder="1" applyAlignment="1" applyProtection="1">
      <alignment horizontal="right" vertical="center" indent="1"/>
      <protection hidden="1"/>
    </xf>
    <xf numFmtId="0" fontId="8" fillId="3" borderId="86" xfId="0" applyFont="1" applyFill="1" applyBorder="1" applyAlignment="1" applyProtection="1">
      <alignment horizontal="right" vertical="center" indent="1"/>
      <protection hidden="1"/>
    </xf>
    <xf numFmtId="0" fontId="8" fillId="0" borderId="52" xfId="0" applyFont="1" applyFill="1" applyBorder="1" applyAlignment="1" applyProtection="1">
      <alignment horizontal="right" vertical="center" indent="1"/>
      <protection hidden="1"/>
    </xf>
    <xf numFmtId="0" fontId="8" fillId="0" borderId="30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right" vertical="center" indent="1"/>
      <protection hidden="1"/>
    </xf>
    <xf numFmtId="0" fontId="8" fillId="0" borderId="85" xfId="0" applyFont="1" applyFill="1" applyBorder="1" applyAlignment="1" applyProtection="1">
      <alignment horizontal="right" vertical="center" indent="1"/>
      <protection hidden="1"/>
    </xf>
    <xf numFmtId="0" fontId="8" fillId="0" borderId="86" xfId="0" applyFont="1" applyFill="1" applyBorder="1" applyAlignment="1" applyProtection="1">
      <alignment horizontal="right" vertical="center" indent="1"/>
      <protection hidden="1"/>
    </xf>
    <xf numFmtId="0" fontId="8" fillId="0" borderId="53" xfId="0" applyFont="1" applyFill="1" applyBorder="1" applyAlignment="1" applyProtection="1">
      <alignment horizontal="right" vertical="center" indent="1"/>
      <protection hidden="1"/>
    </xf>
    <xf numFmtId="0" fontId="8" fillId="0" borderId="44" xfId="0" applyFont="1" applyFill="1" applyBorder="1" applyAlignment="1" applyProtection="1">
      <alignment horizontal="right" vertical="center" indent="1"/>
      <protection hidden="1"/>
    </xf>
    <xf numFmtId="0" fontId="8" fillId="3" borderId="100" xfId="0" applyFont="1" applyFill="1" applyBorder="1" applyAlignment="1" applyProtection="1">
      <alignment horizontal="right" vertical="center" indent="1"/>
      <protection hidden="1"/>
    </xf>
    <xf numFmtId="0" fontId="20" fillId="2" borderId="34" xfId="0" applyFont="1" applyFill="1" applyBorder="1" applyAlignment="1" applyProtection="1">
      <alignment horizontal="center" vertical="center" textRotation="90"/>
      <protection hidden="1"/>
    </xf>
    <xf numFmtId="0" fontId="20" fillId="2" borderId="28" xfId="0" applyFont="1" applyFill="1" applyBorder="1" applyAlignment="1" applyProtection="1">
      <alignment horizontal="center" vertical="center" textRotation="90"/>
      <protection hidden="1"/>
    </xf>
    <xf numFmtId="0" fontId="8" fillId="0" borderId="102" xfId="0" applyFont="1" applyFill="1" applyBorder="1" applyAlignment="1" applyProtection="1">
      <alignment horizontal="right" vertical="center" indent="1"/>
      <protection hidden="1"/>
    </xf>
    <xf numFmtId="0" fontId="8" fillId="0" borderId="103" xfId="0" applyFont="1" applyFill="1" applyBorder="1" applyAlignment="1" applyProtection="1">
      <alignment horizontal="right" vertical="center" indent="1"/>
      <protection hidden="1"/>
    </xf>
    <xf numFmtId="0" fontId="20" fillId="2" borderId="98" xfId="0" applyFont="1" applyFill="1" applyBorder="1" applyAlignment="1" applyProtection="1">
      <alignment horizontal="center" vertical="center" textRotation="90"/>
      <protection hidden="1"/>
    </xf>
    <xf numFmtId="0" fontId="8" fillId="4" borderId="104" xfId="0" applyFont="1" applyFill="1" applyBorder="1" applyAlignment="1" applyProtection="1">
      <alignment horizontal="center" vertical="center"/>
      <protection hidden="1"/>
    </xf>
    <xf numFmtId="0" fontId="8" fillId="4" borderId="44" xfId="0" applyFont="1" applyFill="1" applyBorder="1" applyAlignment="1" applyProtection="1">
      <alignment horizontal="center" vertical="center"/>
      <protection hidden="1"/>
    </xf>
    <xf numFmtId="0" fontId="8" fillId="5" borderId="105" xfId="0" applyFont="1" applyFill="1" applyBorder="1" applyAlignment="1" applyProtection="1">
      <alignment horizontal="right" vertical="center" indent="1"/>
      <protection hidden="1"/>
    </xf>
    <xf numFmtId="0" fontId="8" fillId="5" borderId="106" xfId="0" applyFont="1" applyFill="1" applyBorder="1" applyAlignment="1" applyProtection="1">
      <alignment horizontal="right" vertical="center" indent="1"/>
      <protection hidden="1"/>
    </xf>
    <xf numFmtId="0" fontId="8" fillId="4" borderId="49" xfId="0" applyFont="1" applyFill="1" applyBorder="1" applyAlignment="1" applyProtection="1">
      <alignment horizontal="left" vertical="center"/>
      <protection hidden="1"/>
    </xf>
    <xf numFmtId="0" fontId="8" fillId="4" borderId="50" xfId="0" applyFont="1" applyFill="1" applyBorder="1" applyAlignment="1" applyProtection="1">
      <alignment horizontal="left" vertical="center"/>
      <protection hidden="1"/>
    </xf>
    <xf numFmtId="0" fontId="1" fillId="2" borderId="34" xfId="0" applyFont="1" applyFill="1" applyBorder="1" applyAlignment="1" applyProtection="1">
      <alignment horizontal="center" vertical="center" textRotation="90"/>
      <protection hidden="1"/>
    </xf>
    <xf numFmtId="0" fontId="1" fillId="2" borderId="98" xfId="0" applyFont="1" applyFill="1" applyBorder="1" applyAlignment="1" applyProtection="1">
      <alignment horizontal="center" vertical="center" textRotation="90"/>
      <protection hidden="1"/>
    </xf>
    <xf numFmtId="0" fontId="1" fillId="2" borderId="28" xfId="0" applyFont="1" applyFill="1" applyBorder="1" applyAlignment="1" applyProtection="1">
      <alignment horizontal="center" vertical="center" textRotation="90"/>
      <protection hidden="1"/>
    </xf>
    <xf numFmtId="0" fontId="8" fillId="3" borderId="35" xfId="0" applyFont="1" applyFill="1" applyBorder="1" applyAlignment="1" applyProtection="1">
      <alignment horizontal="right" vertical="center" indent="1"/>
      <protection hidden="1"/>
    </xf>
    <xf numFmtId="0" fontId="8" fillId="0" borderId="99" xfId="0" applyFont="1" applyFill="1" applyBorder="1" applyAlignment="1" applyProtection="1">
      <alignment horizontal="right" vertical="center" indent="1"/>
      <protection hidden="1"/>
    </xf>
    <xf numFmtId="0" fontId="8" fillId="3" borderId="99" xfId="0" applyFont="1" applyFill="1" applyBorder="1" applyAlignment="1" applyProtection="1">
      <alignment horizontal="right" vertical="center" indent="1"/>
      <protection hidden="1"/>
    </xf>
    <xf numFmtId="0" fontId="8" fillId="0" borderId="35" xfId="0" applyFont="1" applyFill="1" applyBorder="1" applyAlignment="1" applyProtection="1">
      <alignment horizontal="right" vertical="center" indent="1"/>
      <protection hidden="1"/>
    </xf>
    <xf numFmtId="0" fontId="8" fillId="0" borderId="55" xfId="0" applyFont="1" applyFill="1" applyBorder="1" applyAlignment="1" applyProtection="1">
      <alignment horizontal="right" vertical="center" indent="1"/>
      <protection hidden="1"/>
    </xf>
    <xf numFmtId="0" fontId="8" fillId="0" borderId="100" xfId="0" applyFont="1" applyFill="1" applyBorder="1" applyAlignment="1" applyProtection="1">
      <alignment horizontal="right" vertical="center" indent="1"/>
      <protection hidden="1"/>
    </xf>
    <xf numFmtId="0" fontId="8" fillId="4" borderId="24" xfId="0" applyFont="1" applyFill="1" applyBorder="1" applyAlignment="1" applyProtection="1">
      <alignment horizontal="center" vertical="center"/>
      <protection hidden="1"/>
    </xf>
    <xf numFmtId="0" fontId="8" fillId="4" borderId="3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3" fillId="0" borderId="0" xfId="0" applyNumberFormat="1" applyFont="1" applyFill="1" applyBorder="1" applyAlignment="1" applyProtection="1">
      <alignment horizontal="center" vertical="center"/>
      <protection hidden="1"/>
    </xf>
    <xf numFmtId="2" fontId="12" fillId="0" borderId="0" xfId="0" applyNumberFormat="1" applyFont="1" applyFill="1" applyBorder="1" applyAlignment="1" applyProtection="1">
      <alignment horizontal="center" vertical="center"/>
      <protection hidden="1"/>
    </xf>
    <xf numFmtId="2" fontId="34" fillId="0" borderId="0" xfId="0" applyNumberFormat="1" applyFont="1" applyFill="1" applyBorder="1" applyAlignment="1" applyProtection="1">
      <alignment horizontal="center" vertical="center"/>
      <protection hidden="1"/>
    </xf>
    <xf numFmtId="0" fontId="8" fillId="0" borderId="113" xfId="0" applyFont="1" applyFill="1" applyBorder="1" applyAlignment="1" applyProtection="1">
      <alignment horizontal="right" vertical="center" indent="1"/>
      <protection hidden="1"/>
    </xf>
    <xf numFmtId="0" fontId="8" fillId="3" borderId="114" xfId="0" applyFont="1" applyFill="1" applyBorder="1" applyAlignment="1" applyProtection="1">
      <alignment horizontal="right" vertical="center" indent="1"/>
      <protection hidden="1"/>
    </xf>
    <xf numFmtId="0" fontId="8" fillId="3" borderId="115" xfId="0" applyFont="1" applyFill="1" applyBorder="1" applyAlignment="1" applyProtection="1">
      <alignment horizontal="right" vertical="center" indent="1"/>
      <protection hidden="1"/>
    </xf>
    <xf numFmtId="0" fontId="8" fillId="0" borderId="114" xfId="0" applyFont="1" applyFill="1" applyBorder="1" applyAlignment="1" applyProtection="1">
      <alignment horizontal="right" vertical="center" indent="1"/>
      <protection hidden="1"/>
    </xf>
    <xf numFmtId="0" fontId="8" fillId="0" borderId="115" xfId="0" applyFont="1" applyFill="1" applyBorder="1" applyAlignment="1" applyProtection="1">
      <alignment horizontal="right" vertical="center" indent="1"/>
      <protection hidden="1"/>
    </xf>
    <xf numFmtId="2" fontId="10" fillId="0" borderId="0" xfId="0" applyNumberFormat="1" applyFont="1" applyFill="1" applyBorder="1" applyAlignment="1" applyProtection="1">
      <alignment horizontal="center" vertical="center"/>
      <protection hidden="1"/>
    </xf>
    <xf numFmtId="2" fontId="36" fillId="0" borderId="0" xfId="0" applyNumberFormat="1" applyFont="1" applyFill="1" applyBorder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</xf>
    <xf numFmtId="0" fontId="22" fillId="0" borderId="0" xfId="0" applyFont="1" applyAlignment="1">
      <alignment horizontal="right" indent="1"/>
    </xf>
    <xf numFmtId="0" fontId="0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8" fillId="2" borderId="24" xfId="0" applyFont="1" applyFill="1" applyBorder="1" applyAlignment="1" applyProtection="1">
      <alignment horizontal="center" vertical="center"/>
      <protection hidden="1"/>
    </xf>
    <xf numFmtId="0" fontId="8" fillId="2" borderId="104" xfId="0" applyFont="1" applyFill="1" applyBorder="1" applyAlignment="1" applyProtection="1">
      <alignment horizontal="center" vertical="center"/>
      <protection hidden="1"/>
    </xf>
    <xf numFmtId="0" fontId="8" fillId="2" borderId="100" xfId="0" applyFont="1" applyFill="1" applyBorder="1" applyAlignment="1" applyProtection="1">
      <alignment horizontal="center" vertical="center"/>
      <protection hidden="1"/>
    </xf>
    <xf numFmtId="0" fontId="8" fillId="2" borderId="28" xfId="0" applyFont="1" applyFill="1" applyBorder="1" applyAlignment="1" applyProtection="1">
      <alignment horizontal="center" vertical="center"/>
      <protection hidden="1"/>
    </xf>
    <xf numFmtId="0" fontId="8" fillId="2" borderId="34" xfId="0" applyFont="1" applyFill="1" applyBorder="1" applyAlignment="1" applyProtection="1">
      <alignment horizontal="center" vertical="center"/>
      <protection hidden="1"/>
    </xf>
    <xf numFmtId="0" fontId="8" fillId="4" borderId="105" xfId="0" applyFont="1" applyFill="1" applyBorder="1" applyAlignment="1" applyProtection="1">
      <alignment horizontal="center" vertical="center"/>
      <protection hidden="1"/>
    </xf>
    <xf numFmtId="0" fontId="3" fillId="0" borderId="105" xfId="0" applyFont="1" applyFill="1" applyBorder="1" applyAlignment="1" applyProtection="1">
      <alignment horizontal="center" vertical="center"/>
      <protection locked="0" hidden="1"/>
    </xf>
    <xf numFmtId="0" fontId="3" fillId="0" borderId="120" xfId="0" applyFont="1" applyFill="1" applyBorder="1" applyAlignment="1" applyProtection="1">
      <alignment horizontal="center" vertical="center"/>
      <protection locked="0" hidden="1"/>
    </xf>
    <xf numFmtId="0" fontId="3" fillId="0" borderId="121" xfId="0" applyFont="1" applyFill="1" applyBorder="1" applyAlignment="1" applyProtection="1">
      <alignment horizontal="center" vertical="center"/>
      <protection locked="0" hidden="1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2" fillId="4" borderId="105" xfId="0" applyFont="1" applyFill="1" applyBorder="1" applyAlignment="1" applyProtection="1">
      <alignment vertical="center"/>
      <protection hidden="1"/>
    </xf>
    <xf numFmtId="0" fontId="8" fillId="0" borderId="105" xfId="0" applyFont="1" applyFill="1" applyBorder="1" applyAlignment="1" applyProtection="1">
      <alignment horizontal="right" vertical="center" indent="1"/>
      <protection hidden="1"/>
    </xf>
    <xf numFmtId="0" fontId="8" fillId="0" borderId="106" xfId="0" applyFont="1" applyFill="1" applyBorder="1" applyAlignment="1" applyProtection="1">
      <alignment horizontal="right" vertical="center" indent="1"/>
      <protection hidden="1"/>
    </xf>
    <xf numFmtId="0" fontId="8" fillId="2" borderId="122" xfId="0" applyFont="1" applyFill="1" applyBorder="1" applyAlignment="1" applyProtection="1">
      <alignment horizontal="center" vertical="center"/>
      <protection hidden="1"/>
    </xf>
    <xf numFmtId="0" fontId="8" fillId="2" borderId="105" xfId="0" applyFont="1" applyFill="1" applyBorder="1" applyAlignment="1" applyProtection="1">
      <alignment horizontal="center" vertical="center"/>
      <protection hidden="1"/>
    </xf>
    <xf numFmtId="0" fontId="3" fillId="5" borderId="107" xfId="0" applyFont="1" applyFill="1" applyBorder="1" applyAlignment="1" applyProtection="1">
      <alignment horizontal="center" vertical="center"/>
      <protection locked="0" hidden="1"/>
    </xf>
    <xf numFmtId="0" fontId="3" fillId="5" borderId="108" xfId="0" applyFont="1" applyFill="1" applyBorder="1" applyAlignment="1" applyProtection="1">
      <alignment horizontal="center" vertical="center"/>
      <protection locked="0" hidden="1"/>
    </xf>
    <xf numFmtId="0" fontId="3" fillId="5" borderId="109" xfId="0" applyFont="1" applyFill="1" applyBorder="1" applyAlignment="1" applyProtection="1">
      <alignment horizontal="center" vertical="center"/>
      <protection locked="0" hidden="1"/>
    </xf>
    <xf numFmtId="0" fontId="3" fillId="5" borderId="120" xfId="0" applyFont="1" applyFill="1" applyBorder="1" applyAlignment="1" applyProtection="1">
      <alignment horizontal="center" vertical="center"/>
      <protection locked="0" hidden="1"/>
    </xf>
    <xf numFmtId="0" fontId="3" fillId="5" borderId="105" xfId="0" applyFont="1" applyFill="1" applyBorder="1" applyAlignment="1" applyProtection="1">
      <alignment horizontal="center" vertical="center"/>
      <protection locked="0" hidden="1"/>
    </xf>
    <xf numFmtId="0" fontId="3" fillId="5" borderId="106" xfId="0" applyFont="1" applyFill="1" applyBorder="1" applyAlignment="1" applyProtection="1">
      <alignment horizontal="center" vertical="center"/>
      <protection hidden="1"/>
    </xf>
    <xf numFmtId="0" fontId="3" fillId="5" borderId="110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Border="1"/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44604" cy="1066799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8823" y="1"/>
          <a:ext cx="823723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227914</xdr:colOff>
      <xdr:row>0</xdr:row>
      <xdr:rowOff>0</xdr:rowOff>
    </xdr:from>
    <xdr:to>
      <xdr:col>11</xdr:col>
      <xdr:colOff>650</xdr:colOff>
      <xdr:row>3</xdr:row>
      <xdr:rowOff>4641</xdr:rowOff>
    </xdr:to>
    <xdr:pic>
      <xdr:nvPicPr>
        <xdr:cNvPr id="2" name="Grafik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7554" y="0"/>
          <a:ext cx="1235776" cy="1071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7408</xdr:colOff>
      <xdr:row>0</xdr:row>
      <xdr:rowOff>0</xdr:rowOff>
    </xdr:from>
    <xdr:to>
      <xdr:col>11</xdr:col>
      <xdr:colOff>650</xdr:colOff>
      <xdr:row>3</xdr:row>
      <xdr:rowOff>13200</xdr:rowOff>
    </xdr:to>
    <xdr:pic>
      <xdr:nvPicPr>
        <xdr:cNvPr id="3" name="Grafik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568" y="0"/>
          <a:ext cx="724762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190501</xdr:colOff>
      <xdr:row>0</xdr:row>
      <xdr:rowOff>0</xdr:rowOff>
    </xdr:from>
    <xdr:to>
      <xdr:col>10</xdr:col>
      <xdr:colOff>710991</xdr:colOff>
      <xdr:row>3</xdr:row>
      <xdr:rowOff>13200</xdr:rowOff>
    </xdr:to>
    <xdr:pic>
      <xdr:nvPicPr>
        <xdr:cNvPr id="3" name="Grafik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2521" y="0"/>
          <a:ext cx="1252010" cy="108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8</xdr:col>
      <xdr:colOff>600075</xdr:colOff>
      <xdr:row>0</xdr:row>
      <xdr:rowOff>0</xdr:rowOff>
    </xdr:from>
    <xdr:to>
      <xdr:col>11</xdr:col>
      <xdr:colOff>3296</xdr:colOff>
      <xdr:row>3</xdr:row>
      <xdr:rowOff>13200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2435" y="0"/>
          <a:ext cx="1597781" cy="108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390526</xdr:colOff>
      <xdr:row>0</xdr:row>
      <xdr:rowOff>0</xdr:rowOff>
    </xdr:from>
    <xdr:to>
      <xdr:col>11</xdr:col>
      <xdr:colOff>38620</xdr:colOff>
      <xdr:row>3</xdr:row>
      <xdr:rowOff>13200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2886" y="0"/>
          <a:ext cx="1842654" cy="108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46814</xdr:colOff>
      <xdr:row>5</xdr:row>
      <xdr:rowOff>489401</xdr:rowOff>
    </xdr:from>
    <xdr:to>
      <xdr:col>1</xdr:col>
      <xdr:colOff>1364007</xdr:colOff>
      <xdr:row>5</xdr:row>
      <xdr:rowOff>897586</xdr:rowOff>
    </xdr:to>
    <xdr:sp macro="" textlink="">
      <xdr:nvSpPr>
        <xdr:cNvPr id="2" name="TextBox 1"/>
        <xdr:cNvSpPr txBox="1"/>
      </xdr:nvSpPr>
      <xdr:spPr>
        <a:xfrm rot="20660274">
          <a:off x="46814" y="1441901"/>
          <a:ext cx="2228280" cy="4081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INTERN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49680</xdr:colOff>
      <xdr:row>5</xdr:row>
      <xdr:rowOff>488678</xdr:rowOff>
    </xdr:from>
    <xdr:to>
      <xdr:col>1</xdr:col>
      <xdr:colOff>1366873</xdr:colOff>
      <xdr:row>5</xdr:row>
      <xdr:rowOff>896863</xdr:rowOff>
    </xdr:to>
    <xdr:sp macro="" textlink="">
      <xdr:nvSpPr>
        <xdr:cNvPr id="2" name="TextBox 1"/>
        <xdr:cNvSpPr txBox="1"/>
      </xdr:nvSpPr>
      <xdr:spPr>
        <a:xfrm rot="20660274">
          <a:off x="49680" y="1441178"/>
          <a:ext cx="2254453" cy="4081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INTERN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49655</xdr:colOff>
      <xdr:row>5</xdr:row>
      <xdr:rowOff>488697</xdr:rowOff>
    </xdr:from>
    <xdr:to>
      <xdr:col>1</xdr:col>
      <xdr:colOff>1366848</xdr:colOff>
      <xdr:row>5</xdr:row>
      <xdr:rowOff>896882</xdr:rowOff>
    </xdr:to>
    <xdr:sp macro="" textlink="">
      <xdr:nvSpPr>
        <xdr:cNvPr id="2" name="TextBox 1"/>
        <xdr:cNvSpPr txBox="1"/>
      </xdr:nvSpPr>
      <xdr:spPr>
        <a:xfrm rot="20660274">
          <a:off x="49655" y="1441197"/>
          <a:ext cx="2254453" cy="4081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INTERN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46862</xdr:colOff>
      <xdr:row>5</xdr:row>
      <xdr:rowOff>488670</xdr:rowOff>
    </xdr:from>
    <xdr:to>
      <xdr:col>2</xdr:col>
      <xdr:colOff>121664</xdr:colOff>
      <xdr:row>5</xdr:row>
      <xdr:rowOff>896855</xdr:rowOff>
    </xdr:to>
    <xdr:sp macro="" textlink="">
      <xdr:nvSpPr>
        <xdr:cNvPr id="2" name="TextBox 1"/>
        <xdr:cNvSpPr txBox="1"/>
      </xdr:nvSpPr>
      <xdr:spPr>
        <a:xfrm rot="20660274">
          <a:off x="46862" y="1441170"/>
          <a:ext cx="2284602" cy="4081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INTERN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46859</xdr:colOff>
      <xdr:row>5</xdr:row>
      <xdr:rowOff>488675</xdr:rowOff>
    </xdr:from>
    <xdr:to>
      <xdr:col>3</xdr:col>
      <xdr:colOff>121661</xdr:colOff>
      <xdr:row>5</xdr:row>
      <xdr:rowOff>896860</xdr:rowOff>
    </xdr:to>
    <xdr:sp macro="" textlink="">
      <xdr:nvSpPr>
        <xdr:cNvPr id="2" name="TextBox 1"/>
        <xdr:cNvSpPr txBox="1"/>
      </xdr:nvSpPr>
      <xdr:spPr>
        <a:xfrm rot="20660274">
          <a:off x="46859" y="1441175"/>
          <a:ext cx="2284602" cy="4081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INTERN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49691</xdr:colOff>
      <xdr:row>5</xdr:row>
      <xdr:rowOff>488674</xdr:rowOff>
    </xdr:from>
    <xdr:to>
      <xdr:col>3</xdr:col>
      <xdr:colOff>124493</xdr:colOff>
      <xdr:row>5</xdr:row>
      <xdr:rowOff>896859</xdr:rowOff>
    </xdr:to>
    <xdr:sp macro="" textlink="">
      <xdr:nvSpPr>
        <xdr:cNvPr id="2" name="TextBox 1"/>
        <xdr:cNvSpPr txBox="1"/>
      </xdr:nvSpPr>
      <xdr:spPr>
        <a:xfrm rot="20660274">
          <a:off x="49691" y="1441174"/>
          <a:ext cx="2284602" cy="4081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INTERN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40"/>
  <sheetViews>
    <sheetView tabSelected="1" zoomScaleNormal="100" zoomScaleSheetLayoutView="100" workbookViewId="0">
      <selection sqref="A1:K1"/>
    </sheetView>
  </sheetViews>
  <sheetFormatPr defaultColWidth="11.44140625" defaultRowHeight="14.4" x14ac:dyDescent="0.3"/>
  <cols>
    <col min="1" max="1" width="3.6640625" style="24" customWidth="1"/>
    <col min="2" max="2" width="3.6640625" style="24" hidden="1" customWidth="1"/>
    <col min="3" max="3" width="3.6640625" style="24" customWidth="1"/>
    <col min="4" max="4" width="5.6640625" style="24" customWidth="1"/>
    <col min="5" max="5" width="23.44140625" style="24" customWidth="1"/>
    <col min="6" max="7" width="5.6640625" style="24" customWidth="1"/>
    <col min="8" max="11" width="10.6640625" style="24" customWidth="1"/>
    <col min="12" max="16384" width="11.44140625" style="24"/>
  </cols>
  <sheetData>
    <row r="1" spans="1:32" s="23" customFormat="1" ht="24.9" customHeight="1" x14ac:dyDescent="0.6">
      <c r="A1" s="303" t="s">
        <v>33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</row>
    <row r="2" spans="1:32" s="26" customFormat="1" ht="20.100000000000001" customHeight="1" x14ac:dyDescent="0.55000000000000004">
      <c r="A2" s="304" t="s">
        <v>34</v>
      </c>
      <c r="B2" s="304"/>
      <c r="C2" s="304"/>
      <c r="D2" s="304"/>
      <c r="E2" s="304"/>
      <c r="F2" s="304"/>
      <c r="G2" s="304"/>
      <c r="H2" s="304"/>
      <c r="I2" s="304"/>
      <c r="J2" s="304"/>
      <c r="K2" s="304"/>
    </row>
    <row r="3" spans="1:32" s="23" customFormat="1" ht="39.9" customHeight="1" x14ac:dyDescent="0.6">
      <c r="A3" s="305" t="s">
        <v>0</v>
      </c>
      <c r="B3" s="305"/>
      <c r="C3" s="305"/>
      <c r="D3" s="305"/>
      <c r="E3" s="305"/>
      <c r="F3" s="305"/>
      <c r="G3" s="305"/>
      <c r="H3" s="305"/>
      <c r="I3" s="305"/>
      <c r="J3" s="305"/>
      <c r="K3" s="305"/>
    </row>
    <row r="4" spans="1:32" s="23" customFormat="1" ht="12" customHeight="1" x14ac:dyDescent="0.6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" customHeight="1" x14ac:dyDescent="0.3">
      <c r="A5" s="262" t="s">
        <v>41</v>
      </c>
      <c r="B5" s="262"/>
      <c r="C5" s="262"/>
      <c r="D5" s="262"/>
      <c r="E5" s="27"/>
      <c r="F5" s="18"/>
      <c r="G5" s="19" t="s">
        <v>37</v>
      </c>
      <c r="H5" s="28"/>
      <c r="I5" s="20"/>
      <c r="J5" s="20" t="s">
        <v>38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35">
      <c r="A6" s="1"/>
      <c r="B6" s="1"/>
      <c r="C6" s="29"/>
      <c r="D6" s="29"/>
      <c r="E6" s="29"/>
      <c r="F6" s="29"/>
      <c r="G6" s="29"/>
      <c r="H6" s="29"/>
      <c r="I6" s="29"/>
      <c r="J6" s="29"/>
      <c r="K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4">
      <c r="A7" s="12"/>
      <c r="B7" s="12"/>
      <c r="C7" s="12"/>
      <c r="D7" s="271" t="s">
        <v>1</v>
      </c>
      <c r="E7" s="265"/>
      <c r="F7" s="263" t="s">
        <v>2</v>
      </c>
      <c r="G7" s="264"/>
      <c r="H7" s="265"/>
      <c r="I7" s="266" t="s">
        <v>3</v>
      </c>
      <c r="J7" s="266"/>
      <c r="K7" s="13" t="s">
        <v>4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" customHeight="1" x14ac:dyDescent="0.3">
      <c r="A8" s="18" t="s">
        <v>39</v>
      </c>
      <c r="B8" s="18"/>
      <c r="C8" s="18"/>
      <c r="D8" s="272"/>
      <c r="E8" s="269"/>
      <c r="F8" s="267"/>
      <c r="G8" s="268"/>
      <c r="H8" s="269"/>
      <c r="I8" s="270"/>
      <c r="J8" s="270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" customHeight="1" thickBot="1" x14ac:dyDescent="0.35">
      <c r="A9" s="18" t="s">
        <v>40</v>
      </c>
      <c r="B9" s="18"/>
      <c r="C9" s="18"/>
      <c r="D9" s="281"/>
      <c r="E9" s="275"/>
      <c r="F9" s="273"/>
      <c r="G9" s="274"/>
      <c r="H9" s="275"/>
      <c r="I9" s="276"/>
      <c r="J9" s="276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5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42.6" thickTop="1" thickBot="1" x14ac:dyDescent="0.35">
      <c r="A11" s="5"/>
      <c r="B11" s="5"/>
      <c r="C11" s="5"/>
      <c r="D11" s="5"/>
      <c r="E11" s="5"/>
      <c r="F11" s="277" t="s">
        <v>5</v>
      </c>
      <c r="G11" s="278"/>
      <c r="H11" s="17" t="s">
        <v>6</v>
      </c>
      <c r="I11" s="17" t="s">
        <v>36</v>
      </c>
      <c r="J11" s="279" t="s">
        <v>7</v>
      </c>
      <c r="K11" s="311" t="s">
        <v>32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5">
      <c r="A12" s="313" t="s">
        <v>8</v>
      </c>
      <c r="B12" s="314"/>
      <c r="C12" s="314"/>
      <c r="D12" s="314"/>
      <c r="E12" s="315"/>
      <c r="F12" s="316">
        <v>1</v>
      </c>
      <c r="G12" s="317"/>
      <c r="H12" s="14">
        <v>3</v>
      </c>
      <c r="I12" s="14">
        <v>5</v>
      </c>
      <c r="J12" s="280"/>
      <c r="K12" s="312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5">
      <c r="A13" s="6">
        <v>1</v>
      </c>
      <c r="B13" s="383"/>
      <c r="C13" s="100"/>
      <c r="D13" s="285" t="s">
        <v>9</v>
      </c>
      <c r="E13" s="286"/>
      <c r="F13" s="70"/>
      <c r="G13" s="71"/>
      <c r="H13" s="72"/>
      <c r="I13" s="72"/>
      <c r="J13" s="73"/>
      <c r="K13" s="74" t="str">
        <f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3">
      <c r="A14" s="7">
        <v>2</v>
      </c>
      <c r="B14" s="7"/>
      <c r="C14" s="287" t="s">
        <v>10</v>
      </c>
      <c r="D14" s="289" t="s">
        <v>11</v>
      </c>
      <c r="E14" s="290"/>
      <c r="F14" s="44"/>
      <c r="G14" s="45"/>
      <c r="H14" s="46"/>
      <c r="I14" s="46"/>
      <c r="J14" s="47"/>
      <c r="K14" s="32" t="str">
        <f t="shared" ref="K14:K29" si="0">IF($K$37&lt;&gt;"",IF(J14&lt;&gt;"",0,MAX(1,10-5*(I14&lt;&gt;"")-3*(H14&lt;&gt;"")-1*(G14&lt;&gt;"")-1*(F14&lt;&gt;""))),"")</f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3">
      <c r="A15" s="8">
        <v>3</v>
      </c>
      <c r="B15" s="7"/>
      <c r="C15" s="288"/>
      <c r="D15" s="291" t="s">
        <v>12</v>
      </c>
      <c r="E15" s="292"/>
      <c r="F15" s="79"/>
      <c r="G15" s="80"/>
      <c r="H15" s="81"/>
      <c r="I15" s="81"/>
      <c r="J15" s="82"/>
      <c r="K15" s="83" t="str">
        <f t="shared" si="0"/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thickBot="1" x14ac:dyDescent="0.35">
      <c r="A16" s="9">
        <v>4</v>
      </c>
      <c r="B16" s="7"/>
      <c r="C16" s="288"/>
      <c r="D16" s="293" t="s">
        <v>13</v>
      </c>
      <c r="E16" s="294"/>
      <c r="F16" s="48"/>
      <c r="G16" s="49"/>
      <c r="H16" s="50"/>
      <c r="I16" s="50"/>
      <c r="J16" s="51"/>
      <c r="K16" s="34" t="str">
        <f t="shared" si="0"/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3">
      <c r="A17" s="7">
        <v>5</v>
      </c>
      <c r="B17" s="7"/>
      <c r="C17" s="287" t="s">
        <v>14</v>
      </c>
      <c r="D17" s="295" t="s">
        <v>15</v>
      </c>
      <c r="E17" s="296"/>
      <c r="F17" s="75"/>
      <c r="G17" s="76"/>
      <c r="H17" s="77"/>
      <c r="I17" s="77"/>
      <c r="J17" s="78"/>
      <c r="K17" s="73" t="str">
        <f t="shared" si="0"/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x14ac:dyDescent="0.3">
      <c r="A18" s="8">
        <v>6</v>
      </c>
      <c r="B18" s="7"/>
      <c r="C18" s="288"/>
      <c r="D18" s="297" t="s">
        <v>16</v>
      </c>
      <c r="E18" s="298"/>
      <c r="F18" s="40"/>
      <c r="G18" s="41"/>
      <c r="H18" s="42"/>
      <c r="I18" s="42"/>
      <c r="J18" s="43"/>
      <c r="K18" s="33" t="str">
        <f t="shared" si="0"/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thickBot="1" x14ac:dyDescent="0.35">
      <c r="A19" s="9">
        <v>7</v>
      </c>
      <c r="B19" s="7"/>
      <c r="C19" s="288"/>
      <c r="D19" s="299" t="s">
        <v>17</v>
      </c>
      <c r="E19" s="300"/>
      <c r="F19" s="84"/>
      <c r="G19" s="85"/>
      <c r="H19" s="86"/>
      <c r="I19" s="86"/>
      <c r="J19" s="87"/>
      <c r="K19" s="88" t="str">
        <f t="shared" si="0"/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3">
      <c r="A20" s="10">
        <v>8</v>
      </c>
      <c r="B20" s="223"/>
      <c r="C20" s="287" t="s">
        <v>18</v>
      </c>
      <c r="D20" s="289" t="s">
        <v>19</v>
      </c>
      <c r="E20" s="290"/>
      <c r="F20" s="44"/>
      <c r="G20" s="45"/>
      <c r="H20" s="46"/>
      <c r="I20" s="46"/>
      <c r="J20" s="47"/>
      <c r="K20" s="32" t="str">
        <f t="shared" si="0"/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3">
      <c r="A21" s="8">
        <v>9</v>
      </c>
      <c r="B21" s="7"/>
      <c r="C21" s="288"/>
      <c r="D21" s="291" t="s">
        <v>20</v>
      </c>
      <c r="E21" s="292"/>
      <c r="F21" s="79"/>
      <c r="G21" s="80"/>
      <c r="H21" s="81"/>
      <c r="I21" s="81"/>
      <c r="J21" s="82"/>
      <c r="K21" s="83" t="str">
        <f t="shared" si="0"/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thickBot="1" x14ac:dyDescent="0.35">
      <c r="A22" s="9">
        <v>10</v>
      </c>
      <c r="B22" s="7"/>
      <c r="C22" s="288"/>
      <c r="D22" s="293" t="s">
        <v>21</v>
      </c>
      <c r="E22" s="294"/>
      <c r="F22" s="48"/>
      <c r="G22" s="49"/>
      <c r="H22" s="50"/>
      <c r="I22" s="50"/>
      <c r="J22" s="51"/>
      <c r="K22" s="34" t="str">
        <f t="shared" si="0"/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x14ac:dyDescent="0.3">
      <c r="A23" s="10">
        <v>11</v>
      </c>
      <c r="B23" s="223"/>
      <c r="C23" s="287" t="s">
        <v>22</v>
      </c>
      <c r="D23" s="295" t="s">
        <v>23</v>
      </c>
      <c r="E23" s="296"/>
      <c r="F23" s="75"/>
      <c r="G23" s="76"/>
      <c r="H23" s="77"/>
      <c r="I23" s="77"/>
      <c r="J23" s="78"/>
      <c r="K23" s="73" t="str">
        <f t="shared" si="0"/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3">
      <c r="A24" s="8">
        <v>12</v>
      </c>
      <c r="B24" s="7"/>
      <c r="C24" s="288"/>
      <c r="D24" s="297" t="s">
        <v>24</v>
      </c>
      <c r="E24" s="298"/>
      <c r="F24" s="40"/>
      <c r="G24" s="41"/>
      <c r="H24" s="42"/>
      <c r="I24" s="42"/>
      <c r="J24" s="43"/>
      <c r="K24" s="33" t="str">
        <f t="shared" si="0"/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thickBot="1" x14ac:dyDescent="0.35">
      <c r="A25" s="9">
        <v>13</v>
      </c>
      <c r="B25" s="7"/>
      <c r="C25" s="288"/>
      <c r="D25" s="299" t="s">
        <v>25</v>
      </c>
      <c r="E25" s="300"/>
      <c r="F25" s="84"/>
      <c r="G25" s="85"/>
      <c r="H25" s="86"/>
      <c r="I25" s="86"/>
      <c r="J25" s="87"/>
      <c r="K25" s="88" t="str">
        <f t="shared" si="0"/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3">
      <c r="A26" s="10">
        <v>14</v>
      </c>
      <c r="B26" s="223"/>
      <c r="C26" s="287" t="s">
        <v>26</v>
      </c>
      <c r="D26" s="289" t="s">
        <v>27</v>
      </c>
      <c r="E26" s="290"/>
      <c r="F26" s="44"/>
      <c r="G26" s="45"/>
      <c r="H26" s="46"/>
      <c r="I26" s="46"/>
      <c r="J26" s="47"/>
      <c r="K26" s="32" t="str">
        <f t="shared" si="0"/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3">
      <c r="A27" s="7">
        <v>15</v>
      </c>
      <c r="B27" s="7"/>
      <c r="C27" s="288"/>
      <c r="D27" s="291" t="s">
        <v>28</v>
      </c>
      <c r="E27" s="292"/>
      <c r="F27" s="79"/>
      <c r="G27" s="80"/>
      <c r="H27" s="81"/>
      <c r="I27" s="81"/>
      <c r="J27" s="82"/>
      <c r="K27" s="83" t="str">
        <f t="shared" si="0"/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5">
      <c r="A28" s="9">
        <v>16</v>
      </c>
      <c r="B28" s="7"/>
      <c r="C28" s="288"/>
      <c r="D28" s="293" t="s">
        <v>29</v>
      </c>
      <c r="E28" s="294"/>
      <c r="F28" s="95"/>
      <c r="G28" s="96"/>
      <c r="H28" s="97"/>
      <c r="I28" s="97"/>
      <c r="J28" s="98"/>
      <c r="K28" s="99" t="str">
        <f t="shared" si="0"/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5">
      <c r="A29" s="11">
        <v>17</v>
      </c>
      <c r="B29" s="384"/>
      <c r="C29" s="94"/>
      <c r="D29" s="306" t="s">
        <v>30</v>
      </c>
      <c r="E29" s="307"/>
      <c r="F29" s="89"/>
      <c r="G29" s="90"/>
      <c r="H29" s="91"/>
      <c r="I29" s="91"/>
      <c r="J29" s="92"/>
      <c r="K29" s="93" t="str">
        <f t="shared" si="0"/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Top="1" thickBot="1" x14ac:dyDescent="0.35">
      <c r="A30" s="396"/>
      <c r="B30" s="397"/>
      <c r="C30" s="393"/>
      <c r="D30" s="250"/>
      <c r="E30" s="251"/>
      <c r="F30" s="398"/>
      <c r="G30" s="401"/>
      <c r="H30" s="400"/>
      <c r="I30" s="400"/>
      <c r="J30" s="404"/>
      <c r="K30" s="403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5">
      <c r="A31" s="396"/>
      <c r="B31" s="397"/>
      <c r="C31" s="393"/>
      <c r="D31" s="250"/>
      <c r="E31" s="251"/>
      <c r="F31" s="398"/>
      <c r="G31" s="401"/>
      <c r="H31" s="400"/>
      <c r="I31" s="400"/>
      <c r="J31" s="404"/>
      <c r="K31" s="403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5">
      <c r="A32" s="396"/>
      <c r="B32" s="397"/>
      <c r="C32" s="393"/>
      <c r="D32" s="250"/>
      <c r="E32" s="251"/>
      <c r="F32" s="398"/>
      <c r="G32" s="401"/>
      <c r="H32" s="400"/>
      <c r="I32" s="400"/>
      <c r="J32" s="404"/>
      <c r="K32" s="403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5">
      <c r="A33" s="396"/>
      <c r="B33" s="397"/>
      <c r="C33" s="393"/>
      <c r="D33" s="250"/>
      <c r="E33" s="251"/>
      <c r="F33" s="398"/>
      <c r="G33" s="401"/>
      <c r="H33" s="400"/>
      <c r="I33" s="400"/>
      <c r="J33" s="404"/>
      <c r="K33" s="403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5">
      <c r="A34" s="396"/>
      <c r="B34" s="397"/>
      <c r="C34" s="393"/>
      <c r="D34" s="250"/>
      <c r="E34" s="251"/>
      <c r="F34" s="398"/>
      <c r="G34" s="401"/>
      <c r="H34" s="400"/>
      <c r="I34" s="400"/>
      <c r="J34" s="404"/>
      <c r="K34" s="403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5">
      <c r="A35" s="396"/>
      <c r="B35" s="397"/>
      <c r="C35" s="393"/>
      <c r="D35" s="250"/>
      <c r="E35" s="251"/>
      <c r="F35" s="398"/>
      <c r="G35" s="401"/>
      <c r="H35" s="400"/>
      <c r="I35" s="400"/>
      <c r="J35" s="404"/>
      <c r="K35" s="403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" customHeight="1" thickTop="1" thickBot="1" x14ac:dyDescent="0.35">
      <c r="A36" s="308" t="s">
        <v>31</v>
      </c>
      <c r="B36" s="309"/>
      <c r="C36" s="309"/>
      <c r="D36" s="309"/>
      <c r="E36" s="310"/>
      <c r="F36" s="69" t="str">
        <f>IF($K$37&lt;&gt;"",COUNTA(F13:F29),"")</f>
        <v/>
      </c>
      <c r="G36" s="68" t="str">
        <f t="shared" ref="G36:J36" si="1">IF($K$37&lt;&gt;"",COUNTA(G13:G29),"")</f>
        <v/>
      </c>
      <c r="H36" s="35" t="str">
        <f t="shared" si="1"/>
        <v/>
      </c>
      <c r="I36" s="35" t="str">
        <f t="shared" si="1"/>
        <v/>
      </c>
      <c r="J36" s="36" t="str">
        <f t="shared" si="1"/>
        <v/>
      </c>
      <c r="K36" s="37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5">
      <c r="A37" s="301" t="s">
        <v>42</v>
      </c>
      <c r="B37" s="302"/>
      <c r="C37" s="302"/>
      <c r="D37" s="302"/>
      <c r="E37" s="38"/>
      <c r="F37" s="282" t="s">
        <v>35</v>
      </c>
      <c r="G37" s="283"/>
      <c r="H37" s="283"/>
      <c r="I37" s="283"/>
      <c r="J37" s="284"/>
      <c r="K37" s="3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" thickTop="1" x14ac:dyDescent="0.3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3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3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3">
    <mergeCell ref="A1:K1"/>
    <mergeCell ref="A2:K2"/>
    <mergeCell ref="A3:K3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K11:K12"/>
    <mergeCell ref="A12:E12"/>
    <mergeCell ref="F12:G12"/>
    <mergeCell ref="F37:J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9:H9"/>
    <mergeCell ref="I9:J9"/>
    <mergeCell ref="F11:G11"/>
    <mergeCell ref="J11:J12"/>
    <mergeCell ref="D9:E9"/>
    <mergeCell ref="A5:D5"/>
    <mergeCell ref="F7:H7"/>
    <mergeCell ref="I7:J7"/>
    <mergeCell ref="F8:H8"/>
    <mergeCell ref="I8:J8"/>
    <mergeCell ref="D7:E7"/>
    <mergeCell ref="D8:E8"/>
  </mergeCells>
  <dataValidations count="2">
    <dataValidation type="textLength" allowBlank="1" showInputMessage="1" showErrorMessage="1" sqref="G13:J35 F14:F35">
      <formula1>1</formula1>
      <formula2>1</formula2>
    </dataValidation>
    <dataValidation type="textLength" operator="equal" allowBlank="1" showInputMessage="1" showErrorMessage="1" sqref="F13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F40"/>
  <sheetViews>
    <sheetView zoomScaleNormal="100" zoomScaleSheetLayoutView="100" workbookViewId="0">
      <selection sqref="A1:K1"/>
    </sheetView>
  </sheetViews>
  <sheetFormatPr defaultColWidth="11.44140625" defaultRowHeight="14.4" x14ac:dyDescent="0.3"/>
  <cols>
    <col min="1" max="1" width="3.6640625" style="24" customWidth="1"/>
    <col min="2" max="2" width="3.6640625" style="24" hidden="1" customWidth="1"/>
    <col min="3" max="3" width="3.6640625" style="24" customWidth="1"/>
    <col min="4" max="4" width="5.6640625" style="24" customWidth="1"/>
    <col min="5" max="5" width="23.44140625" style="24" customWidth="1"/>
    <col min="6" max="7" width="5.6640625" style="24" customWidth="1"/>
    <col min="8" max="11" width="10.6640625" style="24" customWidth="1"/>
    <col min="12" max="16384" width="11.44140625" style="24"/>
  </cols>
  <sheetData>
    <row r="1" spans="1:32" s="23" customFormat="1" ht="24.9" customHeight="1" x14ac:dyDescent="0.6">
      <c r="A1" s="303" t="s">
        <v>33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</row>
    <row r="2" spans="1:32" s="26" customFormat="1" ht="20.100000000000001" customHeight="1" x14ac:dyDescent="0.55000000000000004">
      <c r="A2" s="304" t="s">
        <v>34</v>
      </c>
      <c r="B2" s="304"/>
      <c r="C2" s="304"/>
      <c r="D2" s="304"/>
      <c r="E2" s="304"/>
      <c r="F2" s="304"/>
      <c r="G2" s="304"/>
      <c r="H2" s="304"/>
      <c r="I2" s="304"/>
      <c r="J2" s="304"/>
      <c r="K2" s="304"/>
    </row>
    <row r="3" spans="1:32" s="23" customFormat="1" ht="39.9" customHeight="1" x14ac:dyDescent="0.6">
      <c r="A3" s="305" t="s">
        <v>89</v>
      </c>
      <c r="B3" s="305"/>
      <c r="C3" s="305"/>
      <c r="D3" s="305"/>
      <c r="E3" s="305"/>
      <c r="F3" s="305"/>
      <c r="G3" s="305"/>
      <c r="H3" s="305"/>
      <c r="I3" s="305"/>
      <c r="J3" s="305"/>
      <c r="K3" s="305"/>
    </row>
    <row r="4" spans="1:32" s="23" customFormat="1" ht="12" customHeight="1" x14ac:dyDescent="0.6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" customHeight="1" x14ac:dyDescent="0.3">
      <c r="A5" s="262" t="s">
        <v>41</v>
      </c>
      <c r="B5" s="262"/>
      <c r="C5" s="262"/>
      <c r="D5" s="262"/>
      <c r="E5" s="27"/>
      <c r="F5" s="18"/>
      <c r="G5" s="19" t="s">
        <v>37</v>
      </c>
      <c r="H5" s="28"/>
      <c r="I5" s="20"/>
      <c r="J5" s="20" t="s">
        <v>38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35">
      <c r="A6" s="1"/>
      <c r="B6" s="1"/>
      <c r="C6" s="29"/>
      <c r="D6" s="29"/>
      <c r="E6" s="29"/>
      <c r="F6" s="29"/>
      <c r="G6" s="29"/>
      <c r="H6" s="29"/>
      <c r="I6" s="29"/>
      <c r="J6" s="29"/>
      <c r="K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4">
      <c r="A7" s="12"/>
      <c r="B7" s="12"/>
      <c r="C7" s="12"/>
      <c r="D7" s="271" t="s">
        <v>1</v>
      </c>
      <c r="E7" s="265"/>
      <c r="F7" s="263" t="s">
        <v>2</v>
      </c>
      <c r="G7" s="264"/>
      <c r="H7" s="265"/>
      <c r="I7" s="266" t="s">
        <v>3</v>
      </c>
      <c r="J7" s="266"/>
      <c r="K7" s="13" t="s">
        <v>4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" customHeight="1" x14ac:dyDescent="0.3">
      <c r="A8" s="18" t="s">
        <v>39</v>
      </c>
      <c r="B8" s="18"/>
      <c r="C8" s="18"/>
      <c r="D8" s="272"/>
      <c r="E8" s="269"/>
      <c r="F8" s="267"/>
      <c r="G8" s="268"/>
      <c r="H8" s="269"/>
      <c r="I8" s="270"/>
      <c r="J8" s="270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" customHeight="1" thickBot="1" x14ac:dyDescent="0.35">
      <c r="A9" s="18" t="s">
        <v>40</v>
      </c>
      <c r="B9" s="18"/>
      <c r="C9" s="18"/>
      <c r="D9" s="281"/>
      <c r="E9" s="275"/>
      <c r="F9" s="273"/>
      <c r="G9" s="274"/>
      <c r="H9" s="275"/>
      <c r="I9" s="276"/>
      <c r="J9" s="276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5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42.6" thickTop="1" thickBot="1" x14ac:dyDescent="0.35">
      <c r="A11" s="5"/>
      <c r="B11" s="5"/>
      <c r="C11" s="5"/>
      <c r="D11" s="5"/>
      <c r="E11" s="5"/>
      <c r="F11" s="277" t="s">
        <v>5</v>
      </c>
      <c r="G11" s="278"/>
      <c r="H11" s="17" t="s">
        <v>6</v>
      </c>
      <c r="I11" s="17" t="s">
        <v>36</v>
      </c>
      <c r="J11" s="279" t="s">
        <v>7</v>
      </c>
      <c r="K11" s="279" t="s">
        <v>32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5">
      <c r="A12" s="313" t="s">
        <v>8</v>
      </c>
      <c r="B12" s="314"/>
      <c r="C12" s="314"/>
      <c r="D12" s="314"/>
      <c r="E12" s="315"/>
      <c r="F12" s="316">
        <v>1</v>
      </c>
      <c r="G12" s="317"/>
      <c r="H12" s="14">
        <v>3</v>
      </c>
      <c r="I12" s="14">
        <v>5</v>
      </c>
      <c r="J12" s="280"/>
      <c r="K12" s="28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5">
      <c r="A13" s="6">
        <v>1</v>
      </c>
      <c r="B13" s="383"/>
      <c r="C13" s="100"/>
      <c r="D13" s="285" t="s">
        <v>9</v>
      </c>
      <c r="E13" s="286"/>
      <c r="F13" s="75"/>
      <c r="G13" s="76"/>
      <c r="H13" s="77"/>
      <c r="I13" s="77"/>
      <c r="J13" s="78"/>
      <c r="K13" s="73" t="str">
        <f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3">
      <c r="A14" s="7">
        <v>2</v>
      </c>
      <c r="B14" s="7"/>
      <c r="C14" s="287" t="s">
        <v>90</v>
      </c>
      <c r="D14" s="331" t="s">
        <v>91</v>
      </c>
      <c r="E14" s="332"/>
      <c r="F14" s="44"/>
      <c r="G14" s="45"/>
      <c r="H14" s="46"/>
      <c r="I14" s="46"/>
      <c r="J14" s="47"/>
      <c r="K14" s="32" t="str">
        <f t="shared" ref="K14:K29" si="0">IF($K$37&lt;&gt;"",IF(J14&lt;&gt;"",0,MAX(1,10-5*(I14&lt;&gt;"")-3*(H14&lt;&gt;"")-1*(G14&lt;&gt;"")-1*(F14&lt;&gt;""))),"")</f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3">
      <c r="A15" s="8">
        <v>3</v>
      </c>
      <c r="B15" s="7"/>
      <c r="C15" s="288"/>
      <c r="D15" s="321" t="s">
        <v>92</v>
      </c>
      <c r="E15" s="322"/>
      <c r="F15" s="79"/>
      <c r="G15" s="80"/>
      <c r="H15" s="81"/>
      <c r="I15" s="81"/>
      <c r="J15" s="82"/>
      <c r="K15" s="83" t="str">
        <f t="shared" si="0"/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x14ac:dyDescent="0.3">
      <c r="A16" s="101">
        <v>4</v>
      </c>
      <c r="B16" s="7"/>
      <c r="C16" s="288"/>
      <c r="D16" s="327" t="s">
        <v>93</v>
      </c>
      <c r="E16" s="328"/>
      <c r="F16" s="48"/>
      <c r="G16" s="49"/>
      <c r="H16" s="50"/>
      <c r="I16" s="50"/>
      <c r="J16" s="51"/>
      <c r="K16" s="34" t="str">
        <f t="shared" si="0"/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3">
      <c r="A17" s="8">
        <v>5</v>
      </c>
      <c r="B17" s="7"/>
      <c r="C17" s="288"/>
      <c r="D17" s="321" t="s">
        <v>94</v>
      </c>
      <c r="E17" s="322"/>
      <c r="F17" s="79"/>
      <c r="G17" s="80"/>
      <c r="H17" s="81"/>
      <c r="I17" s="81"/>
      <c r="J17" s="82"/>
      <c r="K17" s="83" t="str">
        <f t="shared" si="0"/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thickBot="1" x14ac:dyDescent="0.35">
      <c r="A18" s="9">
        <v>6</v>
      </c>
      <c r="B18" s="385"/>
      <c r="C18" s="318"/>
      <c r="D18" s="319" t="s">
        <v>95</v>
      </c>
      <c r="E18" s="320"/>
      <c r="F18" s="48"/>
      <c r="G18" s="49"/>
      <c r="H18" s="50"/>
      <c r="I18" s="50"/>
      <c r="J18" s="51"/>
      <c r="K18" s="34" t="str">
        <f t="shared" si="0"/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x14ac:dyDescent="0.3">
      <c r="A19" s="102">
        <v>7</v>
      </c>
      <c r="B19" s="7"/>
      <c r="C19" s="288" t="s">
        <v>96</v>
      </c>
      <c r="D19" s="325" t="s">
        <v>97</v>
      </c>
      <c r="E19" s="326"/>
      <c r="F19" s="103"/>
      <c r="G19" s="104"/>
      <c r="H19" s="105"/>
      <c r="I19" s="105"/>
      <c r="J19" s="106"/>
      <c r="K19" s="107" t="str">
        <f t="shared" si="0"/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3">
      <c r="A20" s="102">
        <v>8</v>
      </c>
      <c r="B20" s="7"/>
      <c r="C20" s="288"/>
      <c r="D20" s="327" t="s">
        <v>98</v>
      </c>
      <c r="E20" s="328"/>
      <c r="F20" s="48"/>
      <c r="G20" s="49"/>
      <c r="H20" s="50"/>
      <c r="I20" s="50"/>
      <c r="J20" s="51"/>
      <c r="K20" s="34" t="str">
        <f t="shared" si="0"/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3">
      <c r="A21" s="8">
        <v>9</v>
      </c>
      <c r="B21" s="7"/>
      <c r="C21" s="288"/>
      <c r="D21" s="321" t="s">
        <v>99</v>
      </c>
      <c r="E21" s="322"/>
      <c r="F21" s="79"/>
      <c r="G21" s="80"/>
      <c r="H21" s="81"/>
      <c r="I21" s="81"/>
      <c r="J21" s="82"/>
      <c r="K21" s="83" t="str">
        <f t="shared" si="0"/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x14ac:dyDescent="0.3">
      <c r="A22" s="108">
        <v>10</v>
      </c>
      <c r="B22" s="7"/>
      <c r="C22" s="288"/>
      <c r="D22" s="327" t="s">
        <v>100</v>
      </c>
      <c r="E22" s="328"/>
      <c r="F22" s="48"/>
      <c r="G22" s="49"/>
      <c r="H22" s="50"/>
      <c r="I22" s="50"/>
      <c r="J22" s="51"/>
      <c r="K22" s="34" t="str">
        <f t="shared" si="0"/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thickBot="1" x14ac:dyDescent="0.35">
      <c r="A23" s="9">
        <v>11</v>
      </c>
      <c r="B23" s="385"/>
      <c r="C23" s="318"/>
      <c r="D23" s="329" t="s">
        <v>101</v>
      </c>
      <c r="E23" s="330"/>
      <c r="F23" s="84"/>
      <c r="G23" s="85"/>
      <c r="H23" s="86"/>
      <c r="I23" s="86"/>
      <c r="J23" s="87"/>
      <c r="K23" s="88" t="str">
        <f t="shared" si="0"/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3">
      <c r="A24" s="7">
        <v>12</v>
      </c>
      <c r="B24" s="7"/>
      <c r="C24" s="288" t="s">
        <v>102</v>
      </c>
      <c r="D24" s="319" t="s">
        <v>103</v>
      </c>
      <c r="E24" s="320"/>
      <c r="F24" s="44"/>
      <c r="G24" s="45"/>
      <c r="H24" s="46"/>
      <c r="I24" s="46"/>
      <c r="J24" s="47"/>
      <c r="K24" s="32" t="str">
        <f t="shared" si="0"/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x14ac:dyDescent="0.3">
      <c r="A25" s="101">
        <v>13</v>
      </c>
      <c r="B25" s="7"/>
      <c r="C25" s="288"/>
      <c r="D25" s="321" t="s">
        <v>104</v>
      </c>
      <c r="E25" s="322"/>
      <c r="F25" s="79"/>
      <c r="G25" s="80"/>
      <c r="H25" s="81"/>
      <c r="I25" s="81"/>
      <c r="J25" s="82"/>
      <c r="K25" s="83" t="str">
        <f t="shared" si="0"/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3">
      <c r="A26" s="102">
        <v>14</v>
      </c>
      <c r="B26" s="7"/>
      <c r="C26" s="288"/>
      <c r="D26" s="319" t="s">
        <v>105</v>
      </c>
      <c r="E26" s="320"/>
      <c r="F26" s="48"/>
      <c r="G26" s="49"/>
      <c r="H26" s="50"/>
      <c r="I26" s="50"/>
      <c r="J26" s="51"/>
      <c r="K26" s="34" t="str">
        <f t="shared" si="0"/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3">
      <c r="A27" s="7">
        <v>15</v>
      </c>
      <c r="B27" s="7"/>
      <c r="C27" s="288"/>
      <c r="D27" s="321" t="s">
        <v>106</v>
      </c>
      <c r="E27" s="322"/>
      <c r="F27" s="79"/>
      <c r="G27" s="80"/>
      <c r="H27" s="81"/>
      <c r="I27" s="81"/>
      <c r="J27" s="82"/>
      <c r="K27" s="83" t="str">
        <f t="shared" si="0"/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5">
      <c r="A28" s="9">
        <v>16</v>
      </c>
      <c r="B28" s="385"/>
      <c r="C28" s="318"/>
      <c r="D28" s="323" t="s">
        <v>107</v>
      </c>
      <c r="E28" s="324"/>
      <c r="F28" s="95"/>
      <c r="G28" s="96"/>
      <c r="H28" s="97"/>
      <c r="I28" s="97"/>
      <c r="J28" s="98"/>
      <c r="K28" s="99" t="str">
        <f t="shared" si="0"/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5">
      <c r="A29" s="11">
        <v>17</v>
      </c>
      <c r="B29" s="384"/>
      <c r="C29" s="94"/>
      <c r="D29" s="306" t="s">
        <v>30</v>
      </c>
      <c r="E29" s="307"/>
      <c r="F29" s="89"/>
      <c r="G29" s="90"/>
      <c r="H29" s="91"/>
      <c r="I29" s="91"/>
      <c r="J29" s="92"/>
      <c r="K29" s="93" t="str">
        <f t="shared" si="0"/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Top="1" thickBot="1" x14ac:dyDescent="0.35">
      <c r="A30" s="396"/>
      <c r="B30" s="397"/>
      <c r="C30" s="393"/>
      <c r="D30" s="250"/>
      <c r="E30" s="251"/>
      <c r="F30" s="398"/>
      <c r="G30" s="399"/>
      <c r="H30" s="400"/>
      <c r="I30" s="401"/>
      <c r="J30" s="402"/>
      <c r="K30" s="403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5">
      <c r="A31" s="396"/>
      <c r="B31" s="397"/>
      <c r="C31" s="393"/>
      <c r="D31" s="250"/>
      <c r="E31" s="251"/>
      <c r="F31" s="398"/>
      <c r="G31" s="399"/>
      <c r="H31" s="400"/>
      <c r="I31" s="401"/>
      <c r="J31" s="402"/>
      <c r="K31" s="403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5">
      <c r="A32" s="396"/>
      <c r="B32" s="397"/>
      <c r="C32" s="393"/>
      <c r="D32" s="250"/>
      <c r="E32" s="251"/>
      <c r="F32" s="398"/>
      <c r="G32" s="399"/>
      <c r="H32" s="400"/>
      <c r="I32" s="401"/>
      <c r="J32" s="402"/>
      <c r="K32" s="403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5">
      <c r="A33" s="396"/>
      <c r="B33" s="397"/>
      <c r="C33" s="393"/>
      <c r="D33" s="250"/>
      <c r="E33" s="251"/>
      <c r="F33" s="398"/>
      <c r="G33" s="399"/>
      <c r="H33" s="400"/>
      <c r="I33" s="401"/>
      <c r="J33" s="402"/>
      <c r="K33" s="403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5">
      <c r="A34" s="396"/>
      <c r="B34" s="397"/>
      <c r="C34" s="393"/>
      <c r="D34" s="250"/>
      <c r="E34" s="251"/>
      <c r="F34" s="398"/>
      <c r="G34" s="399"/>
      <c r="H34" s="400"/>
      <c r="I34" s="401"/>
      <c r="J34" s="402"/>
      <c r="K34" s="403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5">
      <c r="A35" s="396"/>
      <c r="B35" s="397"/>
      <c r="C35" s="393"/>
      <c r="D35" s="250"/>
      <c r="E35" s="251"/>
      <c r="F35" s="398"/>
      <c r="G35" s="399"/>
      <c r="H35" s="400"/>
      <c r="I35" s="401"/>
      <c r="J35" s="402"/>
      <c r="K35" s="403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" customHeight="1" thickTop="1" thickBot="1" x14ac:dyDescent="0.35">
      <c r="A36" s="308" t="s">
        <v>31</v>
      </c>
      <c r="B36" s="309"/>
      <c r="C36" s="309"/>
      <c r="D36" s="309"/>
      <c r="E36" s="310"/>
      <c r="F36" s="69" t="str">
        <f>IF($K$37&lt;&gt;"",COUNTA(F13:F29),"")</f>
        <v/>
      </c>
      <c r="G36" s="109" t="str">
        <f t="shared" ref="G36:J36" si="1">IF($K$37&lt;&gt;"",COUNTA(G13:G29),"")</f>
        <v/>
      </c>
      <c r="H36" s="35" t="str">
        <f t="shared" si="1"/>
        <v/>
      </c>
      <c r="I36" s="68" t="str">
        <f t="shared" si="1"/>
        <v/>
      </c>
      <c r="J36" s="110" t="str">
        <f t="shared" si="1"/>
        <v/>
      </c>
      <c r="K36" s="111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5">
      <c r="A37" s="301" t="s">
        <v>42</v>
      </c>
      <c r="B37" s="302"/>
      <c r="C37" s="302"/>
      <c r="D37" s="302"/>
      <c r="E37" s="38"/>
      <c r="F37" s="282" t="s">
        <v>35</v>
      </c>
      <c r="G37" s="283"/>
      <c r="H37" s="283"/>
      <c r="I37" s="283"/>
      <c r="J37" s="284"/>
      <c r="K37" s="112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" thickTop="1" x14ac:dyDescent="0.3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3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3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1">
    <mergeCell ref="A1:K1"/>
    <mergeCell ref="A2:K2"/>
    <mergeCell ref="A3:K3"/>
    <mergeCell ref="A5:D5"/>
    <mergeCell ref="D7:E7"/>
    <mergeCell ref="F7:H7"/>
    <mergeCell ref="I7:J7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C19:C23"/>
    <mergeCell ref="D19:E19"/>
    <mergeCell ref="D20:E20"/>
    <mergeCell ref="D21:E21"/>
    <mergeCell ref="D22:E22"/>
    <mergeCell ref="D23:E23"/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F40"/>
  <sheetViews>
    <sheetView zoomScaleNormal="100" zoomScaleSheetLayoutView="100" workbookViewId="0">
      <selection sqref="A1:K1"/>
    </sheetView>
  </sheetViews>
  <sheetFormatPr defaultColWidth="11.44140625" defaultRowHeight="14.4" x14ac:dyDescent="0.3"/>
  <cols>
    <col min="1" max="1" width="3.6640625" style="24" customWidth="1"/>
    <col min="2" max="2" width="3.6640625" style="24" hidden="1" customWidth="1"/>
    <col min="3" max="3" width="3.6640625" style="24" customWidth="1"/>
    <col min="4" max="4" width="5.6640625" style="24" customWidth="1"/>
    <col min="5" max="5" width="23.44140625" style="24" customWidth="1"/>
    <col min="6" max="7" width="5.6640625" style="24" customWidth="1"/>
    <col min="8" max="11" width="10.6640625" style="24" customWidth="1"/>
    <col min="12" max="16384" width="11.44140625" style="24"/>
  </cols>
  <sheetData>
    <row r="1" spans="1:32" s="23" customFormat="1" ht="24.9" customHeight="1" x14ac:dyDescent="0.6">
      <c r="A1" s="303" t="s">
        <v>33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</row>
    <row r="2" spans="1:32" s="26" customFormat="1" ht="20.100000000000001" customHeight="1" x14ac:dyDescent="0.55000000000000004">
      <c r="A2" s="304" t="s">
        <v>34</v>
      </c>
      <c r="B2" s="304"/>
      <c r="C2" s="304"/>
      <c r="D2" s="304"/>
      <c r="E2" s="304"/>
      <c r="F2" s="304"/>
      <c r="G2" s="304"/>
      <c r="H2" s="304"/>
      <c r="I2" s="304"/>
      <c r="J2" s="304"/>
      <c r="K2" s="304"/>
    </row>
    <row r="3" spans="1:32" s="23" customFormat="1" ht="39.9" customHeight="1" x14ac:dyDescent="0.6">
      <c r="A3" s="305" t="s">
        <v>111</v>
      </c>
      <c r="B3" s="305"/>
      <c r="C3" s="305"/>
      <c r="D3" s="305"/>
      <c r="E3" s="305"/>
      <c r="F3" s="305"/>
      <c r="G3" s="305"/>
      <c r="H3" s="305"/>
      <c r="I3" s="305"/>
      <c r="J3" s="305"/>
      <c r="K3" s="305"/>
    </row>
    <row r="4" spans="1:32" s="23" customFormat="1" ht="12" customHeight="1" x14ac:dyDescent="0.6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32" ht="21.9" customHeight="1" x14ac:dyDescent="0.3">
      <c r="A5" s="262" t="s">
        <v>41</v>
      </c>
      <c r="B5" s="262"/>
      <c r="C5" s="262"/>
      <c r="D5" s="262"/>
      <c r="E5" s="27"/>
      <c r="F5" s="18"/>
      <c r="G5" s="19" t="s">
        <v>37</v>
      </c>
      <c r="H5" s="28"/>
      <c r="I5" s="20"/>
      <c r="J5" s="20" t="s">
        <v>38</v>
      </c>
      <c r="K5" s="28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</row>
    <row r="6" spans="1:32" ht="12" customHeight="1" thickBot="1" x14ac:dyDescent="0.35">
      <c r="A6" s="1"/>
      <c r="B6" s="1"/>
      <c r="C6" s="29"/>
      <c r="D6" s="29"/>
      <c r="E6" s="29"/>
      <c r="F6" s="29"/>
      <c r="G6" s="29"/>
      <c r="H6" s="29"/>
      <c r="I6" s="29"/>
      <c r="J6" s="29"/>
      <c r="K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</row>
    <row r="7" spans="1:32" s="25" customFormat="1" ht="20.100000000000001" customHeight="1" x14ac:dyDescent="0.4">
      <c r="A7" s="12"/>
      <c r="B7" s="12"/>
      <c r="C7" s="12"/>
      <c r="D7" s="271" t="s">
        <v>1</v>
      </c>
      <c r="E7" s="265"/>
      <c r="F7" s="263" t="s">
        <v>2</v>
      </c>
      <c r="G7" s="264"/>
      <c r="H7" s="265"/>
      <c r="I7" s="266" t="s">
        <v>3</v>
      </c>
      <c r="J7" s="266"/>
      <c r="K7" s="13" t="s">
        <v>4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</row>
    <row r="8" spans="1:32" ht="21.9" customHeight="1" x14ac:dyDescent="0.3">
      <c r="A8" s="18" t="s">
        <v>39</v>
      </c>
      <c r="B8" s="18"/>
      <c r="C8" s="18"/>
      <c r="D8" s="272"/>
      <c r="E8" s="269"/>
      <c r="F8" s="267"/>
      <c r="G8" s="268"/>
      <c r="H8" s="269"/>
      <c r="I8" s="270"/>
      <c r="J8" s="270"/>
      <c r="K8" s="21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</row>
    <row r="9" spans="1:32" ht="21.9" customHeight="1" thickBot="1" x14ac:dyDescent="0.35">
      <c r="A9" s="18" t="s">
        <v>40</v>
      </c>
      <c r="B9" s="18"/>
      <c r="C9" s="18"/>
      <c r="D9" s="281"/>
      <c r="E9" s="275"/>
      <c r="F9" s="273"/>
      <c r="G9" s="274"/>
      <c r="H9" s="275"/>
      <c r="I9" s="276"/>
      <c r="J9" s="276"/>
      <c r="K9" s="22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</row>
    <row r="10" spans="1:32" ht="12" customHeight="1" thickBot="1" x14ac:dyDescent="0.35">
      <c r="A10" s="1"/>
      <c r="B10" s="1"/>
      <c r="C10" s="2"/>
      <c r="D10" s="2"/>
      <c r="E10" s="3"/>
      <c r="F10" s="4"/>
      <c r="G10" s="4"/>
      <c r="H10" s="4"/>
      <c r="I10" s="4"/>
      <c r="J10" s="4"/>
      <c r="K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</row>
    <row r="11" spans="1:32" ht="42.6" thickTop="1" thickBot="1" x14ac:dyDescent="0.35">
      <c r="A11" s="5"/>
      <c r="B11" s="5"/>
      <c r="C11" s="5"/>
      <c r="D11" s="5"/>
      <c r="E11" s="5"/>
      <c r="F11" s="277" t="s">
        <v>5</v>
      </c>
      <c r="G11" s="278"/>
      <c r="H11" s="17" t="s">
        <v>6</v>
      </c>
      <c r="I11" s="17" t="s">
        <v>36</v>
      </c>
      <c r="J11" s="279" t="s">
        <v>7</v>
      </c>
      <c r="K11" s="311" t="s">
        <v>32</v>
      </c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</row>
    <row r="12" spans="1:32" s="25" customFormat="1" ht="20.100000000000001" customHeight="1" thickTop="1" thickBot="1" x14ac:dyDescent="0.45">
      <c r="A12" s="313" t="s">
        <v>8</v>
      </c>
      <c r="B12" s="314"/>
      <c r="C12" s="314"/>
      <c r="D12" s="314"/>
      <c r="E12" s="315"/>
      <c r="F12" s="316">
        <v>1</v>
      </c>
      <c r="G12" s="317"/>
      <c r="H12" s="14">
        <v>3</v>
      </c>
      <c r="I12" s="14">
        <v>5</v>
      </c>
      <c r="J12" s="280"/>
      <c r="K12" s="312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27" customHeight="1" thickBot="1" x14ac:dyDescent="0.35">
      <c r="A13" s="6">
        <v>1</v>
      </c>
      <c r="B13" s="383"/>
      <c r="C13" s="100"/>
      <c r="D13" s="337" t="s">
        <v>9</v>
      </c>
      <c r="E13" s="338"/>
      <c r="F13" s="126"/>
      <c r="G13" s="127"/>
      <c r="H13" s="128"/>
      <c r="I13" s="128"/>
      <c r="J13" s="129"/>
      <c r="K13" s="130" t="str">
        <f>IF($K$37&lt;&gt;"",IF(J13&lt;&gt;"",0,MAX(1,10-5*(I13&lt;&gt;"")-3*(H13&lt;&gt;"")-1*(G13&lt;&gt;"")-1*(F13&lt;&gt;""))),"")</f>
        <v/>
      </c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</row>
    <row r="14" spans="1:32" ht="27" customHeight="1" x14ac:dyDescent="0.3">
      <c r="A14" s="7">
        <v>2</v>
      </c>
      <c r="B14" s="7"/>
      <c r="C14" s="287" t="s">
        <v>112</v>
      </c>
      <c r="D14" s="289" t="s">
        <v>113</v>
      </c>
      <c r="E14" s="290"/>
      <c r="F14" s="44"/>
      <c r="G14" s="45"/>
      <c r="H14" s="46"/>
      <c r="I14" s="46"/>
      <c r="J14" s="47"/>
      <c r="K14" s="32" t="str">
        <f>IF($K$37&lt;&gt;"",IF(J14&lt;&gt;"",0,MAX(1,10-5*(I14&lt;&gt;"")-3*(H14&lt;&gt;"")-1*(G14&lt;&gt;"")-1*(F14&lt;&gt;""))),"")</f>
        <v/>
      </c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</row>
    <row r="15" spans="1:32" ht="27" customHeight="1" x14ac:dyDescent="0.3">
      <c r="A15" s="8">
        <v>3</v>
      </c>
      <c r="B15" s="7"/>
      <c r="C15" s="288"/>
      <c r="D15" s="333" t="s">
        <v>114</v>
      </c>
      <c r="E15" s="334"/>
      <c r="F15" s="131"/>
      <c r="G15" s="132"/>
      <c r="H15" s="133"/>
      <c r="I15" s="133"/>
      <c r="J15" s="134"/>
      <c r="K15" s="135" t="str">
        <f>IF($K$37&lt;&gt;"",IF(J15&lt;&gt;"",0,MAX(1,10-5*(I15&lt;&gt;"")-3*(H15&lt;&gt;"")-1*(G15&lt;&gt;"")-1*(F15&lt;&gt;""))),"")</f>
        <v/>
      </c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</row>
    <row r="16" spans="1:32" ht="27" customHeight="1" x14ac:dyDescent="0.3">
      <c r="A16" s="101">
        <v>4</v>
      </c>
      <c r="B16" s="7"/>
      <c r="C16" s="288"/>
      <c r="D16" s="297" t="s">
        <v>115</v>
      </c>
      <c r="E16" s="298"/>
      <c r="F16" s="136"/>
      <c r="G16" s="137"/>
      <c r="H16" s="138"/>
      <c r="I16" s="138"/>
      <c r="J16" s="139"/>
      <c r="K16" s="140" t="str">
        <f>IF($K$37&lt;&gt;"",IF(J16&lt;&gt;"",0,MAX(1,10-5*(I16&lt;&gt;"")-3*(H16&lt;&gt;"")-1*(G16&lt;&gt;"")-1*(F16&lt;&gt;""))),"")</f>
        <v/>
      </c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</row>
    <row r="17" spans="1:32" ht="27" customHeight="1" x14ac:dyDescent="0.3">
      <c r="A17" s="8">
        <v>5</v>
      </c>
      <c r="B17" s="7"/>
      <c r="C17" s="288"/>
      <c r="D17" s="333" t="s">
        <v>116</v>
      </c>
      <c r="E17" s="334"/>
      <c r="F17" s="131"/>
      <c r="G17" s="132"/>
      <c r="H17" s="133"/>
      <c r="I17" s="133"/>
      <c r="J17" s="134"/>
      <c r="K17" s="135" t="str">
        <f>IF($K$37&lt;&gt;"",IF(J17&lt;&gt;"",0,MAX(1,10-5*(I17&lt;&gt;"")-3*(H17&lt;&gt;"")-1*(G17&lt;&gt;"")-1*(F17&lt;&gt;""))),"")</f>
        <v/>
      </c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</row>
    <row r="18" spans="1:32" ht="27" customHeight="1" thickBot="1" x14ac:dyDescent="0.35">
      <c r="A18" s="9">
        <v>6</v>
      </c>
      <c r="B18" s="385"/>
      <c r="C18" s="318"/>
      <c r="D18" s="335" t="s">
        <v>117</v>
      </c>
      <c r="E18" s="336"/>
      <c r="F18" s="48"/>
      <c r="G18" s="49"/>
      <c r="H18" s="50"/>
      <c r="I18" s="50"/>
      <c r="J18" s="51"/>
      <c r="K18" s="34" t="str">
        <f>IF($K$37&lt;&gt;"",IF(J18&lt;&gt;"",0,MAX(1,10-5*(I18&lt;&gt;"")-3*(H18&lt;&gt;"")-1*(G18&lt;&gt;"")-1*(F18&lt;&gt;""))),"")</f>
        <v/>
      </c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</row>
    <row r="19" spans="1:32" ht="27" customHeight="1" x14ac:dyDescent="0.3">
      <c r="A19" s="102">
        <v>7</v>
      </c>
      <c r="B19" s="7"/>
      <c r="C19" s="288" t="s">
        <v>118</v>
      </c>
      <c r="D19" s="339" t="s">
        <v>119</v>
      </c>
      <c r="E19" s="340"/>
      <c r="F19" s="126"/>
      <c r="G19" s="127"/>
      <c r="H19" s="128"/>
      <c r="I19" s="128"/>
      <c r="J19" s="129"/>
      <c r="K19" s="130" t="str">
        <f>IF($K$37&lt;&gt;"",IF(J19&lt;&gt;"",0,MAX(1,10-5*(I19&lt;&gt;"")-3*(H19&lt;&gt;"")-1*(G19&lt;&gt;"")-1*(F19&lt;&gt;""))),"")</f>
        <v/>
      </c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</row>
    <row r="20" spans="1:32" ht="27" customHeight="1" x14ac:dyDescent="0.3">
      <c r="A20" s="102">
        <v>8</v>
      </c>
      <c r="B20" s="7"/>
      <c r="C20" s="288"/>
      <c r="D20" s="297" t="s">
        <v>120</v>
      </c>
      <c r="E20" s="298"/>
      <c r="F20" s="40"/>
      <c r="G20" s="41"/>
      <c r="H20" s="42"/>
      <c r="I20" s="42"/>
      <c r="J20" s="43"/>
      <c r="K20" s="33" t="str">
        <f>IF($K$37&lt;&gt;"",IF(J20&lt;&gt;"",0,MAX(1,10-5*(I20&lt;&gt;"")-3*(H20&lt;&gt;"")-1*(G20&lt;&gt;"")-1*(F20&lt;&gt;""))),"")</f>
        <v/>
      </c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</row>
    <row r="21" spans="1:32" ht="27" customHeight="1" x14ac:dyDescent="0.3">
      <c r="A21" s="8">
        <v>9</v>
      </c>
      <c r="B21" s="7"/>
      <c r="C21" s="288"/>
      <c r="D21" s="333" t="s">
        <v>121</v>
      </c>
      <c r="E21" s="334"/>
      <c r="F21" s="131"/>
      <c r="G21" s="132"/>
      <c r="H21" s="133"/>
      <c r="I21" s="133"/>
      <c r="J21" s="134"/>
      <c r="K21" s="135" t="str">
        <f>IF($K$37&lt;&gt;"",IF(J21&lt;&gt;"",0,MAX(1,10-5*(I21&lt;&gt;"")-3*(H21&lt;&gt;"")-1*(G21&lt;&gt;"")-1*(F21&lt;&gt;""))),"")</f>
        <v/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</row>
    <row r="22" spans="1:32" ht="27" customHeight="1" x14ac:dyDescent="0.3">
      <c r="A22" s="108">
        <v>10</v>
      </c>
      <c r="B22" s="7"/>
      <c r="C22" s="288"/>
      <c r="D22" s="297" t="s">
        <v>122</v>
      </c>
      <c r="E22" s="298"/>
      <c r="F22" s="48"/>
      <c r="G22" s="49"/>
      <c r="H22" s="50"/>
      <c r="I22" s="50"/>
      <c r="J22" s="51"/>
      <c r="K22" s="34" t="str">
        <f>IF($K$37&lt;&gt;"",IF(J22&lt;&gt;"",0,MAX(1,10-5*(I22&lt;&gt;"")-3*(H22&lt;&gt;"")-1*(G22&lt;&gt;"")-1*(F22&lt;&gt;""))),"")</f>
        <v/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</row>
    <row r="23" spans="1:32" ht="27" customHeight="1" thickBot="1" x14ac:dyDescent="0.35">
      <c r="A23" s="9">
        <v>11</v>
      </c>
      <c r="B23" s="385"/>
      <c r="C23" s="318"/>
      <c r="D23" s="341" t="s">
        <v>123</v>
      </c>
      <c r="E23" s="342"/>
      <c r="F23" s="141"/>
      <c r="G23" s="142"/>
      <c r="H23" s="143"/>
      <c r="I23" s="143"/>
      <c r="J23" s="144"/>
      <c r="K23" s="145" t="str">
        <f>IF($K$37&lt;&gt;"",IF(J23&lt;&gt;"",0,MAX(1,10-5*(I23&lt;&gt;"")-3*(H23&lt;&gt;"")-1*(G23&lt;&gt;"")-1*(F23&lt;&gt;""))),"")</f>
        <v/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</row>
    <row r="24" spans="1:32" ht="27" customHeight="1" x14ac:dyDescent="0.3">
      <c r="A24" s="7">
        <v>12</v>
      </c>
      <c r="B24" s="7"/>
      <c r="C24" s="288" t="s">
        <v>124</v>
      </c>
      <c r="D24" s="289" t="s">
        <v>125</v>
      </c>
      <c r="E24" s="290"/>
      <c r="F24" s="44"/>
      <c r="G24" s="45"/>
      <c r="H24" s="46"/>
      <c r="I24" s="46"/>
      <c r="J24" s="47"/>
      <c r="K24" s="32" t="str">
        <f>IF($K$37&lt;&gt;"",IF(J24&lt;&gt;"",0,MAX(1,10-5*(I24&lt;&gt;"")-3*(H24&lt;&gt;"")-1*(G24&lt;&gt;"")-1*(F24&lt;&gt;""))),"")</f>
        <v/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</row>
    <row r="25" spans="1:32" ht="27" customHeight="1" x14ac:dyDescent="0.3">
      <c r="A25" s="101">
        <v>13</v>
      </c>
      <c r="B25" s="7"/>
      <c r="C25" s="288"/>
      <c r="D25" s="333" t="s">
        <v>126</v>
      </c>
      <c r="E25" s="334"/>
      <c r="F25" s="131"/>
      <c r="G25" s="132"/>
      <c r="H25" s="133"/>
      <c r="I25" s="133"/>
      <c r="J25" s="134"/>
      <c r="K25" s="135" t="str">
        <f>IF($K$37&lt;&gt;"",IF(J25&lt;&gt;"",0,MAX(1,10-5*(I25&lt;&gt;"")-3*(H25&lt;&gt;"")-1*(G25&lt;&gt;"")-1*(F25&lt;&gt;""))),"")</f>
        <v/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</row>
    <row r="26" spans="1:32" ht="27" customHeight="1" x14ac:dyDescent="0.3">
      <c r="A26" s="102">
        <v>14</v>
      </c>
      <c r="B26" s="7"/>
      <c r="C26" s="288"/>
      <c r="D26" s="297" t="s">
        <v>127</v>
      </c>
      <c r="E26" s="298"/>
      <c r="F26" s="48"/>
      <c r="G26" s="49"/>
      <c r="H26" s="50"/>
      <c r="I26" s="50"/>
      <c r="J26" s="51"/>
      <c r="K26" s="34" t="str">
        <f>IF($K$37&lt;&gt;"",IF(J26&lt;&gt;"",0,MAX(1,10-5*(I26&lt;&gt;"")-3*(H26&lt;&gt;"")-1*(G26&lt;&gt;"")-1*(F26&lt;&gt;""))),"")</f>
        <v/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</row>
    <row r="27" spans="1:32" ht="27" customHeight="1" x14ac:dyDescent="0.3">
      <c r="A27" s="7">
        <v>15</v>
      </c>
      <c r="B27" s="7"/>
      <c r="C27" s="288"/>
      <c r="D27" s="333" t="s">
        <v>128</v>
      </c>
      <c r="E27" s="334"/>
      <c r="F27" s="131"/>
      <c r="G27" s="132"/>
      <c r="H27" s="133"/>
      <c r="I27" s="133"/>
      <c r="J27" s="134"/>
      <c r="K27" s="135" t="str">
        <f>IF($K$37&lt;&gt;"",IF(J27&lt;&gt;"",0,MAX(1,10-5*(I27&lt;&gt;"")-3*(H27&lt;&gt;"")-1*(G27&lt;&gt;"")-1*(F27&lt;&gt;""))),"")</f>
        <v/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</row>
    <row r="28" spans="1:32" ht="27" customHeight="1" thickBot="1" x14ac:dyDescent="0.35">
      <c r="A28" s="9">
        <v>16</v>
      </c>
      <c r="B28" s="385"/>
      <c r="C28" s="318"/>
      <c r="D28" s="335" t="s">
        <v>129</v>
      </c>
      <c r="E28" s="336"/>
      <c r="F28" s="95"/>
      <c r="G28" s="96"/>
      <c r="H28" s="97"/>
      <c r="I28" s="97"/>
      <c r="J28" s="98"/>
      <c r="K28" s="99" t="str">
        <f>IF($K$37&lt;&gt;"",IF(J28&lt;&gt;"",0,MAX(1,10-5*(I28&lt;&gt;"")-3*(H28&lt;&gt;"")-1*(G28&lt;&gt;"")-1*(F28&lt;&gt;""))),"")</f>
        <v/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</row>
    <row r="29" spans="1:32" ht="27" customHeight="1" thickBot="1" x14ac:dyDescent="0.35">
      <c r="A29" s="9">
        <v>17</v>
      </c>
      <c r="B29" s="7"/>
      <c r="C29" s="94"/>
      <c r="D29" s="343" t="s">
        <v>30</v>
      </c>
      <c r="E29" s="344"/>
      <c r="F29" s="146"/>
      <c r="G29" s="147"/>
      <c r="H29" s="148"/>
      <c r="I29" s="148"/>
      <c r="J29" s="149"/>
      <c r="K29" s="150" t="str">
        <f>IF($K$37&lt;&gt;"",IF(J29&lt;&gt;"",0,MAX(1,10-5*(I29&lt;&gt;"")-3*(H29&lt;&gt;"")-1*(G29&lt;&gt;"")-1*(F29&lt;&gt;""))),"")</f>
        <v/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</row>
    <row r="30" spans="1:32" ht="27" hidden="1" customHeight="1" thickBot="1" x14ac:dyDescent="0.35">
      <c r="A30" s="7"/>
      <c r="B30" s="392"/>
      <c r="C30" s="393"/>
      <c r="D30" s="394"/>
      <c r="E30" s="395"/>
      <c r="F30" s="186"/>
      <c r="G30" s="187"/>
      <c r="H30" s="188"/>
      <c r="I30" s="188"/>
      <c r="J30" s="389"/>
      <c r="K30" s="190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</row>
    <row r="31" spans="1:32" ht="27" hidden="1" customHeight="1" thickTop="1" thickBot="1" x14ac:dyDescent="0.35">
      <c r="A31" s="7"/>
      <c r="B31" s="392"/>
      <c r="C31" s="393"/>
      <c r="D31" s="394"/>
      <c r="E31" s="395"/>
      <c r="F31" s="186"/>
      <c r="G31" s="187"/>
      <c r="H31" s="188"/>
      <c r="I31" s="188"/>
      <c r="J31" s="389"/>
      <c r="K31" s="190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32" ht="27" hidden="1" customHeight="1" thickTop="1" thickBot="1" x14ac:dyDescent="0.35">
      <c r="A32" s="7"/>
      <c r="B32" s="392"/>
      <c r="C32" s="393"/>
      <c r="D32" s="394"/>
      <c r="E32" s="395"/>
      <c r="F32" s="186"/>
      <c r="G32" s="187"/>
      <c r="H32" s="188"/>
      <c r="I32" s="188"/>
      <c r="J32" s="389"/>
      <c r="K32" s="190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</row>
    <row r="33" spans="1:32" ht="27" hidden="1" customHeight="1" thickTop="1" thickBot="1" x14ac:dyDescent="0.35">
      <c r="A33" s="7"/>
      <c r="B33" s="392"/>
      <c r="C33" s="393"/>
      <c r="D33" s="394"/>
      <c r="E33" s="395"/>
      <c r="F33" s="186"/>
      <c r="G33" s="187"/>
      <c r="H33" s="188"/>
      <c r="I33" s="188"/>
      <c r="J33" s="389"/>
      <c r="K33" s="190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</row>
    <row r="34" spans="1:32" ht="27" hidden="1" customHeight="1" thickTop="1" thickBot="1" x14ac:dyDescent="0.35">
      <c r="A34" s="7"/>
      <c r="B34" s="392"/>
      <c r="C34" s="393"/>
      <c r="D34" s="394"/>
      <c r="E34" s="395"/>
      <c r="F34" s="186"/>
      <c r="G34" s="187"/>
      <c r="H34" s="188"/>
      <c r="I34" s="188"/>
      <c r="J34" s="389"/>
      <c r="K34" s="190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</row>
    <row r="35" spans="1:32" ht="27" hidden="1" customHeight="1" thickTop="1" thickBot="1" x14ac:dyDescent="0.35">
      <c r="A35" s="7"/>
      <c r="B35" s="392"/>
      <c r="C35" s="393"/>
      <c r="D35" s="394"/>
      <c r="E35" s="395"/>
      <c r="F35" s="186"/>
      <c r="G35" s="187"/>
      <c r="H35" s="188"/>
      <c r="I35" s="188"/>
      <c r="J35" s="389"/>
      <c r="K35" s="190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</row>
    <row r="36" spans="1:32" ht="21.9" customHeight="1" thickTop="1" thickBot="1" x14ac:dyDescent="0.35">
      <c r="A36" s="308" t="s">
        <v>31</v>
      </c>
      <c r="B36" s="309"/>
      <c r="C36" s="309"/>
      <c r="D36" s="309"/>
      <c r="E36" s="310"/>
      <c r="F36" s="69" t="str">
        <f>IF($K$37&lt;&gt;"",COUNTA(F13:F29),"")</f>
        <v/>
      </c>
      <c r="G36" s="109" t="str">
        <f>IF($K$37&lt;&gt;"",COUNTA(G13:G29),"")</f>
        <v/>
      </c>
      <c r="H36" s="35" t="str">
        <f>IF($K$37&lt;&gt;"",COUNTA(H13:H29),"")</f>
        <v/>
      </c>
      <c r="I36" s="35" t="str">
        <f>IF($K$37&lt;&gt;"",COUNTA(I13:I29),"")</f>
        <v/>
      </c>
      <c r="J36" s="110" t="str">
        <f>IF($K$37&lt;&gt;"",COUNTA(J13:J29),"")</f>
        <v/>
      </c>
      <c r="K36" s="111" t="str">
        <f>IF(K37&lt;&gt;"",IF(J36&lt;1,SUM(K13:K29),IF(J36&gt;=1,ROUNDUP(SUM(K13:K29)/2,0),"")),"")</f>
        <v/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</row>
    <row r="37" spans="1:32" ht="20.100000000000001" customHeight="1" thickTop="1" thickBot="1" x14ac:dyDescent="0.35">
      <c r="A37" s="301" t="s">
        <v>42</v>
      </c>
      <c r="B37" s="302"/>
      <c r="C37" s="302"/>
      <c r="D37" s="302"/>
      <c r="E37" s="38"/>
      <c r="F37" s="282" t="s">
        <v>35</v>
      </c>
      <c r="G37" s="283"/>
      <c r="H37" s="283"/>
      <c r="I37" s="283"/>
      <c r="J37" s="284"/>
      <c r="K37" s="112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</row>
    <row r="38" spans="1:32" ht="15" thickTop="1" x14ac:dyDescent="0.3"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</row>
    <row r="39" spans="1:32" x14ac:dyDescent="0.3"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</row>
    <row r="40" spans="1:32" x14ac:dyDescent="0.3"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</row>
  </sheetData>
  <mergeCells count="41"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D8:E8"/>
    <mergeCell ref="F8:H8"/>
    <mergeCell ref="I8:J8"/>
    <mergeCell ref="D9:E9"/>
    <mergeCell ref="F9:H9"/>
    <mergeCell ref="I9:J9"/>
    <mergeCell ref="A1:K1"/>
    <mergeCell ref="A2:K2"/>
    <mergeCell ref="A3:K3"/>
    <mergeCell ref="A5:D5"/>
    <mergeCell ref="D7:E7"/>
    <mergeCell ref="F7:H7"/>
    <mergeCell ref="I7:J7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K38"/>
  <sheetViews>
    <sheetView zoomScaleNormal="100" zoomScaleSheetLayoutView="85" workbookViewId="0">
      <selection sqref="A1:K1"/>
    </sheetView>
  </sheetViews>
  <sheetFormatPr defaultColWidth="11.44140625" defaultRowHeight="14.4" x14ac:dyDescent="0.3"/>
  <cols>
    <col min="1" max="3" width="3.6640625" style="24" customWidth="1"/>
    <col min="4" max="4" width="5.6640625" style="24" customWidth="1"/>
    <col min="5" max="5" width="19.6640625" style="24" customWidth="1"/>
    <col min="6" max="7" width="5.6640625" style="24" customWidth="1"/>
    <col min="8" max="11" width="10.6640625" style="24" customWidth="1"/>
    <col min="12" max="16384" width="11.44140625" style="24"/>
  </cols>
  <sheetData>
    <row r="1" spans="1:11" s="23" customFormat="1" ht="24.9" customHeight="1" x14ac:dyDescent="0.6">
      <c r="A1" s="303" t="s">
        <v>33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</row>
    <row r="2" spans="1:11" s="23" customFormat="1" ht="20.100000000000001" customHeight="1" x14ac:dyDescent="0.6">
      <c r="A2" s="304" t="s">
        <v>34</v>
      </c>
      <c r="B2" s="304"/>
      <c r="C2" s="304"/>
      <c r="D2" s="304"/>
      <c r="E2" s="304"/>
      <c r="F2" s="304"/>
      <c r="G2" s="304"/>
      <c r="H2" s="304"/>
      <c r="I2" s="304"/>
      <c r="J2" s="304"/>
      <c r="K2" s="304"/>
    </row>
    <row r="3" spans="1:11" s="23" customFormat="1" ht="39.9" customHeight="1" x14ac:dyDescent="0.6">
      <c r="A3" s="305" t="s">
        <v>130</v>
      </c>
      <c r="B3" s="305"/>
      <c r="C3" s="305"/>
      <c r="D3" s="305"/>
      <c r="E3" s="305"/>
      <c r="F3" s="305"/>
      <c r="G3" s="305"/>
      <c r="H3" s="305"/>
      <c r="I3" s="305"/>
      <c r="J3" s="305"/>
      <c r="K3" s="305"/>
    </row>
    <row r="4" spans="1:11" s="23" customFormat="1" ht="7.95" customHeight="1" x14ac:dyDescent="0.6">
      <c r="A4" s="15"/>
      <c r="B4" s="15"/>
      <c r="C4" s="15"/>
      <c r="D4" s="15"/>
      <c r="E4" s="15"/>
      <c r="F4" s="16"/>
      <c r="G4" s="16"/>
      <c r="H4" s="16"/>
      <c r="I4" s="16"/>
      <c r="J4" s="16"/>
      <c r="K4" s="25"/>
    </row>
    <row r="5" spans="1:11" ht="21.9" customHeight="1" x14ac:dyDescent="0.3">
      <c r="A5" s="262" t="s">
        <v>41</v>
      </c>
      <c r="B5" s="262"/>
      <c r="C5" s="262"/>
      <c r="D5" s="262"/>
      <c r="E5" s="27"/>
      <c r="F5" s="18"/>
      <c r="G5" s="19" t="s">
        <v>37</v>
      </c>
      <c r="H5" s="28"/>
      <c r="I5" s="20"/>
      <c r="J5" s="20" t="s">
        <v>38</v>
      </c>
      <c r="K5" s="28"/>
    </row>
    <row r="6" spans="1:11" ht="7.95" customHeight="1" thickBot="1" x14ac:dyDescent="0.35">
      <c r="A6" s="1"/>
      <c r="B6" s="1"/>
      <c r="C6" s="2"/>
      <c r="D6" s="2"/>
      <c r="E6" s="155"/>
      <c r="F6" s="156"/>
      <c r="G6" s="156"/>
      <c r="H6" s="368"/>
      <c r="I6" s="368"/>
      <c r="J6" s="368"/>
    </row>
    <row r="7" spans="1:11" s="25" customFormat="1" ht="20.100000000000001" customHeight="1" x14ac:dyDescent="0.4">
      <c r="A7" s="12"/>
      <c r="B7" s="12"/>
      <c r="C7" s="12"/>
      <c r="D7" s="271" t="s">
        <v>1</v>
      </c>
      <c r="E7" s="265"/>
      <c r="F7" s="263" t="s">
        <v>2</v>
      </c>
      <c r="G7" s="264"/>
      <c r="H7" s="265"/>
      <c r="I7" s="266" t="s">
        <v>3</v>
      </c>
      <c r="J7" s="266"/>
      <c r="K7" s="13" t="s">
        <v>4</v>
      </c>
    </row>
    <row r="8" spans="1:11" ht="21.9" customHeight="1" x14ac:dyDescent="0.3">
      <c r="A8" s="18" t="s">
        <v>39</v>
      </c>
      <c r="B8" s="18"/>
      <c r="C8" s="18"/>
      <c r="D8" s="272"/>
      <c r="E8" s="269"/>
      <c r="F8" s="267"/>
      <c r="G8" s="268"/>
      <c r="H8" s="269"/>
      <c r="I8" s="270"/>
      <c r="J8" s="270"/>
      <c r="K8" s="21"/>
    </row>
    <row r="9" spans="1:11" ht="21.9" customHeight="1" thickBot="1" x14ac:dyDescent="0.35">
      <c r="A9" s="18" t="s">
        <v>40</v>
      </c>
      <c r="B9" s="18"/>
      <c r="C9" s="18"/>
      <c r="D9" s="281"/>
      <c r="E9" s="275"/>
      <c r="F9" s="273"/>
      <c r="G9" s="274"/>
      <c r="H9" s="275"/>
      <c r="I9" s="276"/>
      <c r="J9" s="276"/>
      <c r="K9" s="22"/>
    </row>
    <row r="10" spans="1:11" ht="7.95" customHeight="1" thickBot="1" x14ac:dyDescent="0.45">
      <c r="A10" s="1"/>
      <c r="B10" s="1"/>
      <c r="C10" s="2"/>
      <c r="D10" s="2"/>
      <c r="E10" s="3"/>
      <c r="F10" s="4"/>
      <c r="G10" s="4"/>
      <c r="H10" s="4"/>
      <c r="I10" s="4"/>
      <c r="J10" s="4"/>
      <c r="K10" s="25"/>
    </row>
    <row r="11" spans="1:11" ht="42.6" thickTop="1" thickBot="1" x14ac:dyDescent="0.35">
      <c r="A11" s="5"/>
      <c r="B11" s="5"/>
      <c r="C11" s="5"/>
      <c r="D11" s="5"/>
      <c r="E11" s="5"/>
      <c r="F11" s="277" t="s">
        <v>5</v>
      </c>
      <c r="G11" s="278"/>
      <c r="H11" s="17" t="s">
        <v>6</v>
      </c>
      <c r="I11" s="17" t="s">
        <v>36</v>
      </c>
      <c r="J11" s="279" t="s">
        <v>7</v>
      </c>
      <c r="K11" s="311" t="s">
        <v>32</v>
      </c>
    </row>
    <row r="12" spans="1:11" s="25" customFormat="1" ht="20.100000000000001" customHeight="1" thickTop="1" thickBot="1" x14ac:dyDescent="0.45">
      <c r="A12" s="313" t="s">
        <v>8</v>
      </c>
      <c r="B12" s="314"/>
      <c r="C12" s="314"/>
      <c r="D12" s="314"/>
      <c r="E12" s="315"/>
      <c r="F12" s="316">
        <v>1</v>
      </c>
      <c r="G12" s="317"/>
      <c r="H12" s="14">
        <v>3</v>
      </c>
      <c r="I12" s="14">
        <v>5</v>
      </c>
      <c r="J12" s="280"/>
      <c r="K12" s="312"/>
    </row>
    <row r="13" spans="1:11" ht="21" customHeight="1" thickBot="1" x14ac:dyDescent="0.35">
      <c r="A13" s="6">
        <v>1</v>
      </c>
      <c r="B13" s="366"/>
      <c r="C13" s="367"/>
      <c r="D13" s="337" t="s">
        <v>9</v>
      </c>
      <c r="E13" s="338"/>
      <c r="F13" s="158"/>
      <c r="G13" s="159"/>
      <c r="H13" s="160"/>
      <c r="I13" s="160"/>
      <c r="J13" s="161"/>
      <c r="K13" s="162" t="str">
        <f t="shared" ref="K13:K34" si="0">IF($K$37&lt;&gt;"",IF(J13&lt;&gt;"",0,MAX(1,10-5*(I13&lt;&gt;"")-3*(H13&lt;&gt;"")-1*(F13&lt;&gt;"")-1*(G13&lt;&gt;""))),"")</f>
        <v/>
      </c>
    </row>
    <row r="14" spans="1:11" ht="21" customHeight="1" x14ac:dyDescent="0.3">
      <c r="A14" s="7">
        <v>2</v>
      </c>
      <c r="B14" s="357" t="s">
        <v>131</v>
      </c>
      <c r="C14" s="346" t="s">
        <v>132</v>
      </c>
      <c r="D14" s="360" t="s">
        <v>133</v>
      </c>
      <c r="E14" s="294"/>
      <c r="F14" s="163"/>
      <c r="G14" s="164"/>
      <c r="H14" s="165"/>
      <c r="I14" s="165"/>
      <c r="J14" s="47"/>
      <c r="K14" s="166" t="str">
        <f t="shared" si="0"/>
        <v/>
      </c>
    </row>
    <row r="15" spans="1:11" ht="21" customHeight="1" x14ac:dyDescent="0.3">
      <c r="A15" s="8">
        <v>3</v>
      </c>
      <c r="B15" s="358"/>
      <c r="C15" s="350"/>
      <c r="D15" s="361" t="s">
        <v>134</v>
      </c>
      <c r="E15" s="334"/>
      <c r="F15" s="131"/>
      <c r="G15" s="132"/>
      <c r="H15" s="133"/>
      <c r="I15" s="133"/>
      <c r="J15" s="134"/>
      <c r="K15" s="167" t="str">
        <f t="shared" si="0"/>
        <v/>
      </c>
    </row>
    <row r="16" spans="1:11" ht="21" customHeight="1" x14ac:dyDescent="0.3">
      <c r="A16" s="101">
        <v>4</v>
      </c>
      <c r="B16" s="358"/>
      <c r="C16" s="350"/>
      <c r="D16" s="362" t="s">
        <v>135</v>
      </c>
      <c r="E16" s="298"/>
      <c r="F16" s="40"/>
      <c r="G16" s="41"/>
      <c r="H16" s="42"/>
      <c r="I16" s="42"/>
      <c r="J16" s="43"/>
      <c r="K16" s="168" t="str">
        <f t="shared" si="0"/>
        <v/>
      </c>
    </row>
    <row r="17" spans="1:11" ht="21" customHeight="1" x14ac:dyDescent="0.3">
      <c r="A17" s="8">
        <v>5</v>
      </c>
      <c r="B17" s="358"/>
      <c r="C17" s="350"/>
      <c r="D17" s="361" t="s">
        <v>136</v>
      </c>
      <c r="E17" s="334"/>
      <c r="F17" s="131"/>
      <c r="G17" s="132"/>
      <c r="H17" s="133"/>
      <c r="I17" s="133"/>
      <c r="J17" s="134"/>
      <c r="K17" s="167" t="str">
        <f t="shared" si="0"/>
        <v/>
      </c>
    </row>
    <row r="18" spans="1:11" ht="21" customHeight="1" thickBot="1" x14ac:dyDescent="0.35">
      <c r="A18" s="8">
        <v>6</v>
      </c>
      <c r="B18" s="358"/>
      <c r="C18" s="350"/>
      <c r="D18" s="345" t="s">
        <v>137</v>
      </c>
      <c r="E18" s="336"/>
      <c r="F18" s="95"/>
      <c r="G18" s="96"/>
      <c r="H18" s="97"/>
      <c r="I18" s="97"/>
      <c r="J18" s="98"/>
      <c r="K18" s="169" t="str">
        <f t="shared" si="0"/>
        <v/>
      </c>
    </row>
    <row r="19" spans="1:11" ht="21" customHeight="1" x14ac:dyDescent="0.3">
      <c r="A19" s="101">
        <v>7</v>
      </c>
      <c r="B19" s="358"/>
      <c r="C19" s="346" t="s">
        <v>138</v>
      </c>
      <c r="D19" s="363" t="s">
        <v>139</v>
      </c>
      <c r="E19" s="364"/>
      <c r="F19" s="170"/>
      <c r="G19" s="171"/>
      <c r="H19" s="172"/>
      <c r="I19" s="172"/>
      <c r="J19" s="173"/>
      <c r="K19" s="174" t="str">
        <f t="shared" si="0"/>
        <v/>
      </c>
    </row>
    <row r="20" spans="1:11" ht="21" customHeight="1" x14ac:dyDescent="0.3">
      <c r="A20" s="101">
        <v>8</v>
      </c>
      <c r="B20" s="358"/>
      <c r="C20" s="350"/>
      <c r="D20" s="362" t="s">
        <v>140</v>
      </c>
      <c r="E20" s="298"/>
      <c r="F20" s="40"/>
      <c r="G20" s="41"/>
      <c r="H20" s="42"/>
      <c r="I20" s="42"/>
      <c r="J20" s="43"/>
      <c r="K20" s="168" t="str">
        <f t="shared" si="0"/>
        <v/>
      </c>
    </row>
    <row r="21" spans="1:11" ht="21" customHeight="1" thickBot="1" x14ac:dyDescent="0.35">
      <c r="A21" s="9">
        <v>9</v>
      </c>
      <c r="B21" s="359"/>
      <c r="C21" s="347"/>
      <c r="D21" s="365" t="s">
        <v>141</v>
      </c>
      <c r="E21" s="342"/>
      <c r="F21" s="175"/>
      <c r="G21" s="176"/>
      <c r="H21" s="177"/>
      <c r="I21" s="177"/>
      <c r="J21" s="178"/>
      <c r="K21" s="179" t="str">
        <f t="shared" si="0"/>
        <v/>
      </c>
    </row>
    <row r="22" spans="1:11" ht="21" customHeight="1" x14ac:dyDescent="0.3">
      <c r="A22" s="102">
        <v>10</v>
      </c>
      <c r="B22" s="357" t="s">
        <v>142</v>
      </c>
      <c r="C22" s="346" t="s">
        <v>132</v>
      </c>
      <c r="D22" s="363" t="s">
        <v>133</v>
      </c>
      <c r="E22" s="364"/>
      <c r="F22" s="170"/>
      <c r="G22" s="171"/>
      <c r="H22" s="172"/>
      <c r="I22" s="172"/>
      <c r="J22" s="173"/>
      <c r="K22" s="174" t="str">
        <f t="shared" si="0"/>
        <v/>
      </c>
    </row>
    <row r="23" spans="1:11" ht="21" customHeight="1" x14ac:dyDescent="0.3">
      <c r="A23" s="101">
        <v>11</v>
      </c>
      <c r="B23" s="358"/>
      <c r="C23" s="350"/>
      <c r="D23" s="362" t="s">
        <v>143</v>
      </c>
      <c r="E23" s="298"/>
      <c r="F23" s="40"/>
      <c r="G23" s="41"/>
      <c r="H23" s="42"/>
      <c r="I23" s="42"/>
      <c r="J23" s="43"/>
      <c r="K23" s="168" t="str">
        <f t="shared" si="0"/>
        <v/>
      </c>
    </row>
    <row r="24" spans="1:11" ht="21" customHeight="1" x14ac:dyDescent="0.3">
      <c r="A24" s="101">
        <v>12</v>
      </c>
      <c r="B24" s="358"/>
      <c r="C24" s="350"/>
      <c r="D24" s="361" t="s">
        <v>134</v>
      </c>
      <c r="E24" s="334"/>
      <c r="F24" s="131"/>
      <c r="G24" s="132"/>
      <c r="H24" s="133"/>
      <c r="I24" s="133"/>
      <c r="J24" s="134"/>
      <c r="K24" s="167" t="str">
        <f t="shared" si="0"/>
        <v/>
      </c>
    </row>
    <row r="25" spans="1:11" ht="21" customHeight="1" x14ac:dyDescent="0.3">
      <c r="A25" s="101">
        <v>13</v>
      </c>
      <c r="B25" s="358"/>
      <c r="C25" s="350"/>
      <c r="D25" s="362" t="s">
        <v>127</v>
      </c>
      <c r="E25" s="298"/>
      <c r="F25" s="40"/>
      <c r="G25" s="41"/>
      <c r="H25" s="42"/>
      <c r="I25" s="42"/>
      <c r="J25" s="43"/>
      <c r="K25" s="168" t="str">
        <f t="shared" si="0"/>
        <v/>
      </c>
    </row>
    <row r="26" spans="1:11" ht="21" customHeight="1" x14ac:dyDescent="0.3">
      <c r="A26" s="101">
        <v>14</v>
      </c>
      <c r="B26" s="358"/>
      <c r="C26" s="350"/>
      <c r="D26" s="361" t="s">
        <v>135</v>
      </c>
      <c r="E26" s="334"/>
      <c r="F26" s="131"/>
      <c r="G26" s="132"/>
      <c r="H26" s="133"/>
      <c r="I26" s="133"/>
      <c r="J26" s="134"/>
      <c r="K26" s="167" t="str">
        <f t="shared" si="0"/>
        <v/>
      </c>
    </row>
    <row r="27" spans="1:11" ht="21" customHeight="1" x14ac:dyDescent="0.3">
      <c r="A27" s="101">
        <v>15</v>
      </c>
      <c r="B27" s="358"/>
      <c r="C27" s="350"/>
      <c r="D27" s="362" t="s">
        <v>136</v>
      </c>
      <c r="E27" s="298"/>
      <c r="F27" s="40"/>
      <c r="G27" s="41"/>
      <c r="H27" s="42"/>
      <c r="I27" s="42"/>
      <c r="J27" s="43"/>
      <c r="K27" s="168" t="str">
        <f t="shared" si="0"/>
        <v/>
      </c>
    </row>
    <row r="28" spans="1:11" ht="21" customHeight="1" x14ac:dyDescent="0.3">
      <c r="A28" s="101">
        <v>16</v>
      </c>
      <c r="B28" s="358"/>
      <c r="C28" s="350"/>
      <c r="D28" s="361" t="s">
        <v>144</v>
      </c>
      <c r="E28" s="334"/>
      <c r="F28" s="131"/>
      <c r="G28" s="132"/>
      <c r="H28" s="133"/>
      <c r="I28" s="133"/>
      <c r="J28" s="134"/>
      <c r="K28" s="167" t="str">
        <f t="shared" si="0"/>
        <v/>
      </c>
    </row>
    <row r="29" spans="1:11" ht="21" customHeight="1" thickBot="1" x14ac:dyDescent="0.35">
      <c r="A29" s="101">
        <v>17</v>
      </c>
      <c r="B29" s="358"/>
      <c r="C29" s="347"/>
      <c r="D29" s="345" t="s">
        <v>137</v>
      </c>
      <c r="E29" s="336"/>
      <c r="F29" s="95"/>
      <c r="G29" s="96"/>
      <c r="H29" s="97"/>
      <c r="I29" s="97"/>
      <c r="J29" s="98"/>
      <c r="K29" s="169" t="str">
        <f t="shared" si="0"/>
        <v/>
      </c>
    </row>
    <row r="30" spans="1:11" ht="21" customHeight="1" x14ac:dyDescent="0.3">
      <c r="A30" s="101">
        <v>18</v>
      </c>
      <c r="B30" s="358"/>
      <c r="C30" s="346" t="s">
        <v>138</v>
      </c>
      <c r="D30" s="348" t="s">
        <v>139</v>
      </c>
      <c r="E30" s="349"/>
      <c r="F30" s="180"/>
      <c r="G30" s="181"/>
      <c r="H30" s="182"/>
      <c r="I30" s="182"/>
      <c r="J30" s="183"/>
      <c r="K30" s="184" t="str">
        <f t="shared" si="0"/>
        <v/>
      </c>
    </row>
    <row r="31" spans="1:11" ht="21" customHeight="1" thickBot="1" x14ac:dyDescent="0.35">
      <c r="A31" s="101">
        <v>19</v>
      </c>
      <c r="B31" s="358"/>
      <c r="C31" s="347"/>
      <c r="D31" s="345" t="s">
        <v>140</v>
      </c>
      <c r="E31" s="336"/>
      <c r="F31" s="95"/>
      <c r="G31" s="96"/>
      <c r="H31" s="97"/>
      <c r="I31" s="97"/>
      <c r="J31" s="98"/>
      <c r="K31" s="169" t="str">
        <f t="shared" si="0"/>
        <v/>
      </c>
    </row>
    <row r="32" spans="1:11" ht="21" customHeight="1" x14ac:dyDescent="0.3">
      <c r="A32" s="101">
        <v>20</v>
      </c>
      <c r="B32" s="358"/>
      <c r="C32" s="350" t="s">
        <v>145</v>
      </c>
      <c r="D32" s="348" t="s">
        <v>146</v>
      </c>
      <c r="E32" s="349"/>
      <c r="F32" s="180"/>
      <c r="G32" s="181"/>
      <c r="H32" s="182"/>
      <c r="I32" s="182"/>
      <c r="J32" s="183"/>
      <c r="K32" s="184" t="str">
        <f t="shared" si="0"/>
        <v/>
      </c>
    </row>
    <row r="33" spans="1:11" ht="21" customHeight="1" thickBot="1" x14ac:dyDescent="0.35">
      <c r="A33" s="9">
        <v>21</v>
      </c>
      <c r="B33" s="359"/>
      <c r="C33" s="347"/>
      <c r="D33" s="345" t="s">
        <v>119</v>
      </c>
      <c r="E33" s="336"/>
      <c r="F33" s="95"/>
      <c r="G33" s="96"/>
      <c r="H33" s="97"/>
      <c r="I33" s="97"/>
      <c r="J33" s="98"/>
      <c r="K33" s="169" t="str">
        <f t="shared" si="0"/>
        <v/>
      </c>
    </row>
    <row r="34" spans="1:11" ht="21" customHeight="1" thickBot="1" x14ac:dyDescent="0.35">
      <c r="A34" s="185">
        <v>22</v>
      </c>
      <c r="B34" s="351"/>
      <c r="C34" s="352"/>
      <c r="D34" s="353" t="s">
        <v>30</v>
      </c>
      <c r="E34" s="354"/>
      <c r="F34" s="186"/>
      <c r="G34" s="187"/>
      <c r="H34" s="188"/>
      <c r="I34" s="188"/>
      <c r="J34" s="189"/>
      <c r="K34" s="190" t="str">
        <f t="shared" si="0"/>
        <v/>
      </c>
    </row>
    <row r="35" spans="1:11" ht="21" hidden="1" customHeight="1" thickTop="1" thickBot="1" x14ac:dyDescent="0.35">
      <c r="A35" s="7"/>
      <c r="B35" s="388"/>
      <c r="C35" s="388"/>
      <c r="D35" s="250"/>
      <c r="E35" s="251"/>
      <c r="F35" s="389"/>
      <c r="G35" s="390"/>
      <c r="H35" s="188"/>
      <c r="I35" s="188"/>
      <c r="J35" s="391"/>
      <c r="K35" s="190"/>
    </row>
    <row r="36" spans="1:11" ht="21.9" customHeight="1" thickTop="1" thickBot="1" x14ac:dyDescent="0.35">
      <c r="A36" s="308" t="s">
        <v>31</v>
      </c>
      <c r="B36" s="309"/>
      <c r="C36" s="309"/>
      <c r="D36" s="309"/>
      <c r="E36" s="310"/>
      <c r="F36" s="191" t="str">
        <f>IF($K$37&lt;&gt;"",COUNTA(F13:F34),"")</f>
        <v/>
      </c>
      <c r="G36" s="192" t="str">
        <f>IF($K$37&lt;&gt;"",COUNTA(G13:G34),"")</f>
        <v/>
      </c>
      <c r="H36" s="192" t="str">
        <f>IF($K$37&lt;&gt;"",COUNTA(H13:H34),"")</f>
        <v/>
      </c>
      <c r="I36" s="192" t="str">
        <f>IF($K$37&lt;&gt;"",COUNTA(I13:I34),"")</f>
        <v/>
      </c>
      <c r="J36" s="193" t="str">
        <f>IF($K$37&lt;&gt;"",COUNTA(J13:J34),"")</f>
        <v/>
      </c>
      <c r="K36" s="111" t="str">
        <f>IF(K37="","",IF(J36&lt;1,SUM(K13:K34),IF(J36&gt;=1,SUM(K13:K34)/2,"")))</f>
        <v/>
      </c>
    </row>
    <row r="37" spans="1:11" ht="20.100000000000001" customHeight="1" thickTop="1" thickBot="1" x14ac:dyDescent="0.35">
      <c r="A37" s="301" t="s">
        <v>42</v>
      </c>
      <c r="B37" s="302"/>
      <c r="C37" s="302"/>
      <c r="D37" s="355"/>
      <c r="E37" s="356"/>
      <c r="F37" s="282" t="s">
        <v>35</v>
      </c>
      <c r="G37" s="283"/>
      <c r="H37" s="283"/>
      <c r="I37" s="283"/>
      <c r="J37" s="284"/>
      <c r="K37" s="194"/>
    </row>
    <row r="38" spans="1:11" ht="15" thickTop="1" x14ac:dyDescent="0.3"/>
  </sheetData>
  <mergeCells count="54">
    <mergeCell ref="D7:E7"/>
    <mergeCell ref="F7:H7"/>
    <mergeCell ref="I7:J7"/>
    <mergeCell ref="A1:K1"/>
    <mergeCell ref="A2:K2"/>
    <mergeCell ref="A3:K3"/>
    <mergeCell ref="A5:D5"/>
    <mergeCell ref="H6:J6"/>
    <mergeCell ref="D8:E8"/>
    <mergeCell ref="F8:H8"/>
    <mergeCell ref="I8:J8"/>
    <mergeCell ref="D9:E9"/>
    <mergeCell ref="F9:H9"/>
    <mergeCell ref="I9:J9"/>
    <mergeCell ref="F11:G11"/>
    <mergeCell ref="D21:E21"/>
    <mergeCell ref="J11:J12"/>
    <mergeCell ref="K11:K12"/>
    <mergeCell ref="A12:E12"/>
    <mergeCell ref="F12:G12"/>
    <mergeCell ref="B13:C13"/>
    <mergeCell ref="D13:E13"/>
    <mergeCell ref="D28:E28"/>
    <mergeCell ref="D18:E18"/>
    <mergeCell ref="C19:C21"/>
    <mergeCell ref="D19:E19"/>
    <mergeCell ref="D20:E20"/>
    <mergeCell ref="D23:E23"/>
    <mergeCell ref="D24:E24"/>
    <mergeCell ref="D25:E25"/>
    <mergeCell ref="D26:E26"/>
    <mergeCell ref="D27:E27"/>
    <mergeCell ref="B14:B21"/>
    <mergeCell ref="C14:C18"/>
    <mergeCell ref="D14:E14"/>
    <mergeCell ref="D15:E15"/>
    <mergeCell ref="D16:E16"/>
    <mergeCell ref="D17:E17"/>
    <mergeCell ref="F37:J37"/>
    <mergeCell ref="D29:E29"/>
    <mergeCell ref="C30:C31"/>
    <mergeCell ref="D30:E30"/>
    <mergeCell ref="D31:E31"/>
    <mergeCell ref="C32:C33"/>
    <mergeCell ref="D32:E32"/>
    <mergeCell ref="D33:E33"/>
    <mergeCell ref="B34:C34"/>
    <mergeCell ref="D34:E34"/>
    <mergeCell ref="A36:E36"/>
    <mergeCell ref="A37:C37"/>
    <mergeCell ref="D37:E37"/>
    <mergeCell ref="B22:B33"/>
    <mergeCell ref="C22:C29"/>
    <mergeCell ref="D22:E22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K38"/>
  <sheetViews>
    <sheetView zoomScaleNormal="100" zoomScaleSheetLayoutView="85" workbookViewId="0">
      <selection sqref="A1:K1"/>
    </sheetView>
  </sheetViews>
  <sheetFormatPr defaultColWidth="11.44140625" defaultRowHeight="14.4" x14ac:dyDescent="0.3"/>
  <cols>
    <col min="1" max="1" width="3.6640625" style="24" customWidth="1"/>
    <col min="2" max="2" width="3.6640625" style="24" hidden="1" customWidth="1"/>
    <col min="3" max="3" width="3.6640625" style="24" customWidth="1"/>
    <col min="4" max="4" width="5.6640625" style="24" customWidth="1"/>
    <col min="5" max="5" width="18.109375" style="24" customWidth="1"/>
    <col min="6" max="7" width="5.6640625" style="24" customWidth="1"/>
    <col min="8" max="11" width="10.6640625" style="24" customWidth="1"/>
    <col min="12" max="16384" width="11.44140625" style="24"/>
  </cols>
  <sheetData>
    <row r="1" spans="1:11" s="23" customFormat="1" ht="24.9" customHeight="1" x14ac:dyDescent="0.6">
      <c r="A1" s="369" t="s">
        <v>33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</row>
    <row r="2" spans="1:11" s="23" customFormat="1" ht="20.100000000000001" customHeight="1" x14ac:dyDescent="0.6">
      <c r="A2" s="370" t="s">
        <v>34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</row>
    <row r="3" spans="1:11" s="23" customFormat="1" ht="39.9" customHeight="1" x14ac:dyDescent="0.6">
      <c r="A3" s="371" t="s">
        <v>147</v>
      </c>
      <c r="B3" s="371"/>
      <c r="C3" s="371"/>
      <c r="D3" s="371"/>
      <c r="E3" s="371"/>
      <c r="F3" s="371"/>
      <c r="G3" s="371"/>
      <c r="H3" s="371"/>
      <c r="I3" s="371"/>
      <c r="J3" s="371"/>
      <c r="K3" s="371"/>
    </row>
    <row r="4" spans="1:11" s="23" customFormat="1" ht="11.1" customHeight="1" x14ac:dyDescent="0.6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11" ht="21.9" customHeight="1" x14ac:dyDescent="0.3">
      <c r="A5" s="262" t="s">
        <v>41</v>
      </c>
      <c r="B5" s="262"/>
      <c r="C5" s="262"/>
      <c r="D5" s="262"/>
      <c r="E5" s="27"/>
      <c r="F5" s="18"/>
      <c r="G5" s="19" t="s">
        <v>37</v>
      </c>
      <c r="H5" s="28"/>
      <c r="I5" s="20"/>
      <c r="J5" s="20" t="s">
        <v>38</v>
      </c>
      <c r="K5" s="20"/>
    </row>
    <row r="6" spans="1:11" ht="11.1" customHeight="1" thickBot="1" x14ac:dyDescent="0.35">
      <c r="A6" s="1"/>
      <c r="B6" s="1"/>
      <c r="C6" s="2"/>
      <c r="D6" s="2"/>
      <c r="E6" s="155"/>
      <c r="F6" s="156"/>
      <c r="G6" s="156"/>
      <c r="H6" s="368"/>
      <c r="I6" s="368"/>
      <c r="J6" s="368"/>
    </row>
    <row r="7" spans="1:11" s="25" customFormat="1" ht="20.100000000000001" customHeight="1" x14ac:dyDescent="0.4">
      <c r="A7" s="12"/>
      <c r="B7" s="12"/>
      <c r="C7" s="12"/>
      <c r="D7" s="271" t="s">
        <v>1</v>
      </c>
      <c r="E7" s="265"/>
      <c r="F7" s="263" t="s">
        <v>2</v>
      </c>
      <c r="G7" s="264"/>
      <c r="H7" s="265"/>
      <c r="I7" s="266" t="s">
        <v>3</v>
      </c>
      <c r="J7" s="266"/>
      <c r="K7" s="13" t="s">
        <v>4</v>
      </c>
    </row>
    <row r="8" spans="1:11" ht="21.9" customHeight="1" x14ac:dyDescent="0.3">
      <c r="A8" s="18" t="s">
        <v>39</v>
      </c>
      <c r="B8" s="18"/>
      <c r="C8" s="18"/>
      <c r="D8" s="272"/>
      <c r="E8" s="269"/>
      <c r="F8" s="267"/>
      <c r="G8" s="268"/>
      <c r="H8" s="269"/>
      <c r="I8" s="270"/>
      <c r="J8" s="270"/>
      <c r="K8" s="21"/>
    </row>
    <row r="9" spans="1:11" ht="21.9" customHeight="1" thickBot="1" x14ac:dyDescent="0.35">
      <c r="A9" s="18" t="s">
        <v>40</v>
      </c>
      <c r="B9" s="18"/>
      <c r="C9" s="18"/>
      <c r="D9" s="281"/>
      <c r="E9" s="275"/>
      <c r="F9" s="273"/>
      <c r="G9" s="274"/>
      <c r="H9" s="275"/>
      <c r="I9" s="276"/>
      <c r="J9" s="276"/>
      <c r="K9" s="22"/>
    </row>
    <row r="10" spans="1:11" ht="11.1" customHeight="1" thickBot="1" x14ac:dyDescent="0.35">
      <c r="A10" s="1"/>
      <c r="B10" s="1"/>
      <c r="C10" s="2"/>
      <c r="D10" s="2"/>
      <c r="E10" s="157"/>
      <c r="F10" s="4"/>
      <c r="G10" s="4"/>
      <c r="H10" s="4"/>
      <c r="I10" s="4"/>
      <c r="J10" s="4"/>
      <c r="K10" s="204"/>
    </row>
    <row r="11" spans="1:11" ht="42.6" thickTop="1" thickBot="1" x14ac:dyDescent="0.35">
      <c r="A11" s="5"/>
      <c r="B11" s="5"/>
      <c r="C11" s="5"/>
      <c r="D11" s="5"/>
      <c r="E11" s="5"/>
      <c r="F11" s="277" t="s">
        <v>5</v>
      </c>
      <c r="G11" s="278"/>
      <c r="H11" s="17" t="s">
        <v>6</v>
      </c>
      <c r="I11" s="17" t="s">
        <v>36</v>
      </c>
      <c r="J11" s="279" t="s">
        <v>7</v>
      </c>
      <c r="K11" s="311" t="s">
        <v>32</v>
      </c>
    </row>
    <row r="12" spans="1:11" s="25" customFormat="1" ht="20.100000000000001" customHeight="1" thickTop="1" thickBot="1" x14ac:dyDescent="0.45">
      <c r="A12" s="313" t="s">
        <v>8</v>
      </c>
      <c r="B12" s="314"/>
      <c r="C12" s="314"/>
      <c r="D12" s="314"/>
      <c r="E12" s="315"/>
      <c r="F12" s="316">
        <v>1</v>
      </c>
      <c r="G12" s="317"/>
      <c r="H12" s="14">
        <v>3</v>
      </c>
      <c r="I12" s="14">
        <v>5</v>
      </c>
      <c r="J12" s="280"/>
      <c r="K12" s="312"/>
    </row>
    <row r="13" spans="1:11" ht="19.95" customHeight="1" thickBot="1" x14ac:dyDescent="0.35">
      <c r="A13" s="6">
        <v>1</v>
      </c>
      <c r="B13" s="6"/>
      <c r="C13" s="205"/>
      <c r="D13" s="337" t="s">
        <v>9</v>
      </c>
      <c r="E13" s="338"/>
      <c r="F13" s="206"/>
      <c r="G13" s="207"/>
      <c r="H13" s="208"/>
      <c r="I13" s="208"/>
      <c r="J13" s="209"/>
      <c r="K13" s="162" t="str">
        <f t="shared" ref="K13:K35" si="0">IF($K$37&lt;&gt;"",IF(J13&lt;&gt;"",0,MAX(1,10-5*(I13&lt;&gt;"")-3*(H13&lt;&gt;"")-1*(G13&lt;&gt;"")-1*(F13&lt;&gt;""))),"")</f>
        <v/>
      </c>
    </row>
    <row r="14" spans="1:11" ht="19.95" customHeight="1" x14ac:dyDescent="0.3">
      <c r="A14" s="7">
        <v>2</v>
      </c>
      <c r="B14" s="7"/>
      <c r="C14" s="357" t="s">
        <v>148</v>
      </c>
      <c r="D14" s="360" t="s">
        <v>133</v>
      </c>
      <c r="E14" s="294"/>
      <c r="F14" s="210"/>
      <c r="G14" s="211"/>
      <c r="H14" s="212"/>
      <c r="I14" s="212"/>
      <c r="J14" s="213"/>
      <c r="K14" s="214" t="str">
        <f t="shared" si="0"/>
        <v/>
      </c>
    </row>
    <row r="15" spans="1:11" ht="19.95" customHeight="1" x14ac:dyDescent="0.3">
      <c r="A15" s="8">
        <v>3</v>
      </c>
      <c r="B15" s="7"/>
      <c r="C15" s="358"/>
      <c r="D15" s="361" t="s">
        <v>149</v>
      </c>
      <c r="E15" s="334"/>
      <c r="F15" s="215"/>
      <c r="G15" s="216"/>
      <c r="H15" s="217"/>
      <c r="I15" s="217"/>
      <c r="J15" s="135"/>
      <c r="K15" s="218" t="str">
        <f t="shared" si="0"/>
        <v/>
      </c>
    </row>
    <row r="16" spans="1:11" ht="19.95" customHeight="1" x14ac:dyDescent="0.3">
      <c r="A16" s="101">
        <v>4</v>
      </c>
      <c r="B16" s="185"/>
      <c r="C16" s="358"/>
      <c r="D16" s="362" t="s">
        <v>150</v>
      </c>
      <c r="E16" s="298"/>
      <c r="F16" s="219"/>
      <c r="G16" s="220"/>
      <c r="H16" s="221"/>
      <c r="I16" s="221"/>
      <c r="J16" s="33"/>
      <c r="K16" s="222" t="str">
        <f t="shared" si="0"/>
        <v/>
      </c>
    </row>
    <row r="17" spans="1:11" ht="19.95" customHeight="1" x14ac:dyDescent="0.3">
      <c r="A17" s="8">
        <v>5</v>
      </c>
      <c r="B17" s="7"/>
      <c r="C17" s="358"/>
      <c r="D17" s="361" t="s">
        <v>151</v>
      </c>
      <c r="E17" s="334"/>
      <c r="F17" s="215"/>
      <c r="G17" s="216"/>
      <c r="H17" s="217"/>
      <c r="I17" s="217"/>
      <c r="J17" s="135"/>
      <c r="K17" s="218" t="str">
        <f t="shared" si="0"/>
        <v/>
      </c>
    </row>
    <row r="18" spans="1:11" ht="19.95" customHeight="1" x14ac:dyDescent="0.3">
      <c r="A18" s="8">
        <v>6</v>
      </c>
      <c r="B18" s="7"/>
      <c r="C18" s="358"/>
      <c r="D18" s="362" t="s">
        <v>152</v>
      </c>
      <c r="E18" s="298"/>
      <c r="F18" s="219"/>
      <c r="G18" s="220"/>
      <c r="H18" s="221"/>
      <c r="I18" s="221"/>
      <c r="J18" s="33"/>
      <c r="K18" s="222" t="str">
        <f t="shared" si="0"/>
        <v/>
      </c>
    </row>
    <row r="19" spans="1:11" ht="19.95" customHeight="1" x14ac:dyDescent="0.3">
      <c r="A19" s="8">
        <v>7</v>
      </c>
      <c r="B19" s="7"/>
      <c r="C19" s="358"/>
      <c r="D19" s="361" t="s">
        <v>153</v>
      </c>
      <c r="E19" s="334"/>
      <c r="F19" s="215"/>
      <c r="G19" s="216"/>
      <c r="H19" s="217"/>
      <c r="I19" s="217"/>
      <c r="J19" s="135"/>
      <c r="K19" s="218" t="str">
        <f t="shared" si="0"/>
        <v/>
      </c>
    </row>
    <row r="20" spans="1:11" ht="19.95" customHeight="1" thickBot="1" x14ac:dyDescent="0.35">
      <c r="A20" s="8">
        <v>8</v>
      </c>
      <c r="B20" s="7"/>
      <c r="C20" s="358"/>
      <c r="D20" s="360" t="s">
        <v>154</v>
      </c>
      <c r="E20" s="294"/>
      <c r="F20" s="210"/>
      <c r="G20" s="211"/>
      <c r="H20" s="212"/>
      <c r="I20" s="212"/>
      <c r="J20" s="213"/>
      <c r="K20" s="214" t="str">
        <f t="shared" si="0"/>
        <v/>
      </c>
    </row>
    <row r="21" spans="1:11" ht="19.95" customHeight="1" x14ac:dyDescent="0.3">
      <c r="A21" s="223">
        <v>9</v>
      </c>
      <c r="B21" s="223"/>
      <c r="C21" s="357" t="s">
        <v>155</v>
      </c>
      <c r="D21" s="372" t="s">
        <v>121</v>
      </c>
      <c r="E21" s="340"/>
      <c r="F21" s="224"/>
      <c r="G21" s="225"/>
      <c r="H21" s="226"/>
      <c r="I21" s="226"/>
      <c r="J21" s="130"/>
      <c r="K21" s="227" t="str">
        <f t="shared" si="0"/>
        <v/>
      </c>
    </row>
    <row r="22" spans="1:11" ht="19.95" customHeight="1" x14ac:dyDescent="0.3">
      <c r="A22" s="8">
        <v>10</v>
      </c>
      <c r="B22" s="7"/>
      <c r="C22" s="358"/>
      <c r="D22" s="362" t="s">
        <v>156</v>
      </c>
      <c r="E22" s="298"/>
      <c r="F22" s="219"/>
      <c r="G22" s="220"/>
      <c r="H22" s="221"/>
      <c r="I22" s="221"/>
      <c r="J22" s="33"/>
      <c r="K22" s="222" t="str">
        <f t="shared" si="0"/>
        <v/>
      </c>
    </row>
    <row r="23" spans="1:11" ht="19.95" customHeight="1" x14ac:dyDescent="0.3">
      <c r="A23" s="8">
        <v>11</v>
      </c>
      <c r="B23" s="7"/>
      <c r="C23" s="358"/>
      <c r="D23" s="361" t="s">
        <v>157</v>
      </c>
      <c r="E23" s="334"/>
      <c r="F23" s="215"/>
      <c r="G23" s="216"/>
      <c r="H23" s="217"/>
      <c r="I23" s="217"/>
      <c r="J23" s="135"/>
      <c r="K23" s="218" t="str">
        <f t="shared" si="0"/>
        <v/>
      </c>
    </row>
    <row r="24" spans="1:11" ht="19.95" customHeight="1" x14ac:dyDescent="0.3">
      <c r="A24" s="101">
        <v>12</v>
      </c>
      <c r="B24" s="185"/>
      <c r="C24" s="358"/>
      <c r="D24" s="362" t="s">
        <v>158</v>
      </c>
      <c r="E24" s="298"/>
      <c r="F24" s="219"/>
      <c r="G24" s="220"/>
      <c r="H24" s="221"/>
      <c r="I24" s="221"/>
      <c r="J24" s="33"/>
      <c r="K24" s="222" t="str">
        <f t="shared" si="0"/>
        <v/>
      </c>
    </row>
    <row r="25" spans="1:11" ht="19.95" customHeight="1" thickBot="1" x14ac:dyDescent="0.35">
      <c r="A25" s="9">
        <v>13</v>
      </c>
      <c r="B25" s="386"/>
      <c r="C25" s="359"/>
      <c r="D25" s="365" t="s">
        <v>159</v>
      </c>
      <c r="E25" s="342"/>
      <c r="F25" s="228"/>
      <c r="G25" s="229"/>
      <c r="H25" s="230"/>
      <c r="I25" s="230"/>
      <c r="J25" s="231"/>
      <c r="K25" s="232" t="str">
        <f t="shared" si="0"/>
        <v/>
      </c>
    </row>
    <row r="26" spans="1:11" ht="19.95" customHeight="1" x14ac:dyDescent="0.3">
      <c r="A26" s="102">
        <v>14</v>
      </c>
      <c r="B26" s="185"/>
      <c r="C26" s="358" t="s">
        <v>138</v>
      </c>
      <c r="D26" s="363" t="s">
        <v>134</v>
      </c>
      <c r="E26" s="364"/>
      <c r="F26" s="233"/>
      <c r="G26" s="234"/>
      <c r="H26" s="235"/>
      <c r="I26" s="235"/>
      <c r="J26" s="236"/>
      <c r="K26" s="237" t="str">
        <f t="shared" si="0"/>
        <v/>
      </c>
    </row>
    <row r="27" spans="1:11" ht="19.95" customHeight="1" x14ac:dyDescent="0.3">
      <c r="A27" s="101">
        <v>15</v>
      </c>
      <c r="B27" s="185"/>
      <c r="C27" s="358"/>
      <c r="D27" s="362" t="s">
        <v>160</v>
      </c>
      <c r="E27" s="298"/>
      <c r="F27" s="219"/>
      <c r="G27" s="220"/>
      <c r="H27" s="221"/>
      <c r="I27" s="221"/>
      <c r="J27" s="33"/>
      <c r="K27" s="222" t="str">
        <f t="shared" si="0"/>
        <v/>
      </c>
    </row>
    <row r="28" spans="1:11" ht="19.95" customHeight="1" thickBot="1" x14ac:dyDescent="0.35">
      <c r="A28" s="9">
        <v>16</v>
      </c>
      <c r="B28" s="386"/>
      <c r="C28" s="359"/>
      <c r="D28" s="365" t="s">
        <v>161</v>
      </c>
      <c r="E28" s="342"/>
      <c r="F28" s="228"/>
      <c r="G28" s="229"/>
      <c r="H28" s="230"/>
      <c r="I28" s="230"/>
      <c r="J28" s="231"/>
      <c r="K28" s="232" t="str">
        <f t="shared" si="0"/>
        <v/>
      </c>
    </row>
    <row r="29" spans="1:11" ht="19.95" customHeight="1" x14ac:dyDescent="0.3">
      <c r="A29" s="102">
        <v>17</v>
      </c>
      <c r="B29" s="185"/>
      <c r="C29" s="358" t="s">
        <v>162</v>
      </c>
      <c r="D29" s="363" t="s">
        <v>163</v>
      </c>
      <c r="E29" s="364"/>
      <c r="F29" s="233"/>
      <c r="G29" s="234"/>
      <c r="H29" s="235"/>
      <c r="I29" s="235"/>
      <c r="J29" s="236"/>
      <c r="K29" s="237" t="str">
        <f t="shared" si="0"/>
        <v/>
      </c>
    </row>
    <row r="30" spans="1:11" ht="19.95" customHeight="1" x14ac:dyDescent="0.3">
      <c r="A30" s="101">
        <v>18</v>
      </c>
      <c r="B30" s="185"/>
      <c r="C30" s="358"/>
      <c r="D30" s="362" t="s">
        <v>164</v>
      </c>
      <c r="E30" s="298"/>
      <c r="F30" s="219"/>
      <c r="G30" s="220"/>
      <c r="H30" s="221"/>
      <c r="I30" s="221"/>
      <c r="J30" s="33"/>
      <c r="K30" s="222" t="str">
        <f t="shared" si="0"/>
        <v/>
      </c>
    </row>
    <row r="31" spans="1:11" ht="19.95" customHeight="1" thickBot="1" x14ac:dyDescent="0.35">
      <c r="A31" s="9">
        <v>19</v>
      </c>
      <c r="B31" s="386"/>
      <c r="C31" s="359"/>
      <c r="D31" s="365" t="s">
        <v>165</v>
      </c>
      <c r="E31" s="342"/>
      <c r="F31" s="228"/>
      <c r="G31" s="229"/>
      <c r="H31" s="230"/>
      <c r="I31" s="230"/>
      <c r="J31" s="231"/>
      <c r="K31" s="232" t="str">
        <f t="shared" si="0"/>
        <v/>
      </c>
    </row>
    <row r="32" spans="1:11" ht="19.95" customHeight="1" x14ac:dyDescent="0.3">
      <c r="A32" s="102">
        <v>20</v>
      </c>
      <c r="B32" s="185"/>
      <c r="C32" s="358" t="s">
        <v>166</v>
      </c>
      <c r="D32" s="363" t="s">
        <v>167</v>
      </c>
      <c r="E32" s="364"/>
      <c r="F32" s="233"/>
      <c r="G32" s="234"/>
      <c r="H32" s="235"/>
      <c r="I32" s="235"/>
      <c r="J32" s="236"/>
      <c r="K32" s="237" t="str">
        <f t="shared" si="0"/>
        <v/>
      </c>
    </row>
    <row r="33" spans="1:11" ht="19.95" customHeight="1" x14ac:dyDescent="0.3">
      <c r="A33" s="101">
        <v>21</v>
      </c>
      <c r="B33" s="185"/>
      <c r="C33" s="358"/>
      <c r="D33" s="362" t="s">
        <v>168</v>
      </c>
      <c r="E33" s="298"/>
      <c r="F33" s="219"/>
      <c r="G33" s="220"/>
      <c r="H33" s="221"/>
      <c r="I33" s="221"/>
      <c r="J33" s="33"/>
      <c r="K33" s="222" t="str">
        <f t="shared" si="0"/>
        <v/>
      </c>
    </row>
    <row r="34" spans="1:11" ht="19.95" customHeight="1" thickBot="1" x14ac:dyDescent="0.35">
      <c r="A34" s="9">
        <v>22</v>
      </c>
      <c r="B34" s="386"/>
      <c r="C34" s="359"/>
      <c r="D34" s="365" t="s">
        <v>169</v>
      </c>
      <c r="E34" s="342"/>
      <c r="F34" s="228"/>
      <c r="G34" s="229"/>
      <c r="H34" s="230"/>
      <c r="I34" s="230"/>
      <c r="J34" s="231"/>
      <c r="K34" s="232" t="str">
        <f t="shared" si="0"/>
        <v/>
      </c>
    </row>
    <row r="35" spans="1:11" ht="19.95" customHeight="1" thickBot="1" x14ac:dyDescent="0.35">
      <c r="A35" s="102">
        <v>23</v>
      </c>
      <c r="B35" s="185"/>
      <c r="C35" s="238"/>
      <c r="D35" s="373" t="s">
        <v>30</v>
      </c>
      <c r="E35" s="374"/>
      <c r="F35" s="239"/>
      <c r="G35" s="240"/>
      <c r="H35" s="241"/>
      <c r="I35" s="241"/>
      <c r="J35" s="242"/>
      <c r="K35" s="243" t="str">
        <f t="shared" si="0"/>
        <v/>
      </c>
    </row>
    <row r="36" spans="1:11" ht="21.9" customHeight="1" thickTop="1" thickBot="1" x14ac:dyDescent="0.35">
      <c r="A36" s="308" t="s">
        <v>31</v>
      </c>
      <c r="B36" s="309"/>
      <c r="C36" s="309"/>
      <c r="D36" s="309"/>
      <c r="E36" s="310"/>
      <c r="F36" s="244" t="str">
        <f>IF($K$37&lt;&gt;"",COUNTA(F13:F35),"")</f>
        <v/>
      </c>
      <c r="G36" s="245" t="str">
        <f>IF($K$37&lt;&gt;"",COUNTA(G13:G35),"")</f>
        <v/>
      </c>
      <c r="H36" s="192" t="str">
        <f>IF($K$37&lt;&gt;"",COUNTA(H13:H35),"")</f>
        <v/>
      </c>
      <c r="I36" s="192" t="str">
        <f>IF($K$37&lt;&gt;"",COUNTA(I13:I35),"")</f>
        <v/>
      </c>
      <c r="J36" s="246" t="str">
        <f>IF($K$37&lt;&gt;"",COUNTA(J13:J35),"")</f>
        <v/>
      </c>
      <c r="K36" s="111" t="str">
        <f>IF(K37="","",IF(J36&lt;1,SUM(K13:K35),IF(J36&gt;=1,SUM(K13:K35)/2,"")))</f>
        <v/>
      </c>
    </row>
    <row r="37" spans="1:11" s="249" customFormat="1" ht="20.100000000000001" customHeight="1" thickTop="1" thickBot="1" x14ac:dyDescent="0.4">
      <c r="A37" s="301" t="s">
        <v>42</v>
      </c>
      <c r="B37" s="302"/>
      <c r="C37" s="302"/>
      <c r="D37" s="302"/>
      <c r="E37" s="247"/>
      <c r="F37" s="282" t="s">
        <v>35</v>
      </c>
      <c r="G37" s="283"/>
      <c r="H37" s="283"/>
      <c r="I37" s="283"/>
      <c r="J37" s="284"/>
      <c r="K37" s="248"/>
    </row>
    <row r="38" spans="1:11" ht="15" thickTop="1" x14ac:dyDescent="0.3"/>
  </sheetData>
  <mergeCells count="50">
    <mergeCell ref="A37:D37"/>
    <mergeCell ref="F37:J37"/>
    <mergeCell ref="C32:C34"/>
    <mergeCell ref="D32:E32"/>
    <mergeCell ref="D33:E33"/>
    <mergeCell ref="D34:E34"/>
    <mergeCell ref="D35:E35"/>
    <mergeCell ref="A36:E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K11:K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D8:E8"/>
    <mergeCell ref="F8:H8"/>
    <mergeCell ref="I8:J8"/>
    <mergeCell ref="D9:E9"/>
    <mergeCell ref="F9:H9"/>
    <mergeCell ref="I9:J9"/>
    <mergeCell ref="F11:G11"/>
    <mergeCell ref="J11:J12"/>
    <mergeCell ref="D7:E7"/>
    <mergeCell ref="F7:H7"/>
    <mergeCell ref="I7:J7"/>
    <mergeCell ref="A1:K1"/>
    <mergeCell ref="A2:K2"/>
    <mergeCell ref="A3:K3"/>
    <mergeCell ref="A5:D5"/>
    <mergeCell ref="H6:J6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N38"/>
  <sheetViews>
    <sheetView zoomScaleNormal="100" zoomScaleSheetLayoutView="85" workbookViewId="0">
      <selection sqref="A1:K1"/>
    </sheetView>
  </sheetViews>
  <sheetFormatPr defaultColWidth="11.44140625" defaultRowHeight="14.4" x14ac:dyDescent="0.3"/>
  <cols>
    <col min="1" max="1" width="3.6640625" style="24" customWidth="1"/>
    <col min="2" max="2" width="3.6640625" style="24" hidden="1" customWidth="1"/>
    <col min="3" max="3" width="3.6640625" style="24" customWidth="1"/>
    <col min="4" max="4" width="5.6640625" style="24" customWidth="1"/>
    <col min="5" max="5" width="18.109375" style="24" customWidth="1"/>
    <col min="6" max="7" width="5.6640625" style="24" customWidth="1"/>
    <col min="8" max="11" width="10.6640625" style="24" customWidth="1"/>
    <col min="12" max="16384" width="11.44140625" style="24"/>
  </cols>
  <sheetData>
    <row r="1" spans="1:14" s="23" customFormat="1" ht="24.9" customHeight="1" x14ac:dyDescent="0.6">
      <c r="A1" s="377" t="s">
        <v>33</v>
      </c>
      <c r="B1" s="377"/>
      <c r="C1" s="377"/>
      <c r="D1" s="377"/>
      <c r="E1" s="377"/>
      <c r="F1" s="377"/>
      <c r="G1" s="377"/>
      <c r="H1" s="377"/>
      <c r="I1" s="377"/>
      <c r="J1" s="377"/>
      <c r="K1" s="377"/>
    </row>
    <row r="2" spans="1:14" s="23" customFormat="1" ht="20.100000000000001" customHeight="1" x14ac:dyDescent="0.6">
      <c r="A2" s="378" t="s">
        <v>34</v>
      </c>
      <c r="B2" s="378"/>
      <c r="C2" s="378"/>
      <c r="D2" s="378"/>
      <c r="E2" s="378"/>
      <c r="F2" s="378"/>
      <c r="G2" s="378"/>
      <c r="H2" s="378"/>
      <c r="I2" s="378"/>
      <c r="J2" s="378"/>
      <c r="K2" s="378"/>
    </row>
    <row r="3" spans="1:14" s="23" customFormat="1" ht="39.9" customHeight="1" x14ac:dyDescent="0.6">
      <c r="A3" s="379" t="s">
        <v>172</v>
      </c>
      <c r="B3" s="379"/>
      <c r="C3" s="379"/>
      <c r="D3" s="379"/>
      <c r="E3" s="379"/>
      <c r="F3" s="379"/>
      <c r="G3" s="379"/>
      <c r="H3" s="379"/>
      <c r="I3" s="379"/>
      <c r="J3" s="379"/>
      <c r="K3" s="379"/>
    </row>
    <row r="4" spans="1:14" s="23" customFormat="1" ht="11.1" customHeight="1" x14ac:dyDescent="0.6">
      <c r="A4" s="15"/>
      <c r="B4" s="15"/>
      <c r="C4" s="15"/>
      <c r="D4" s="15"/>
      <c r="E4" s="15"/>
      <c r="F4" s="16"/>
      <c r="G4" s="16"/>
      <c r="H4" s="16"/>
      <c r="I4" s="16"/>
      <c r="J4" s="16"/>
    </row>
    <row r="5" spans="1:14" ht="21.9" customHeight="1" x14ac:dyDescent="0.3">
      <c r="A5" s="262" t="s">
        <v>41</v>
      </c>
      <c r="B5" s="262"/>
      <c r="C5" s="262"/>
      <c r="D5" s="262"/>
      <c r="E5" s="27"/>
      <c r="F5" s="18"/>
      <c r="G5" s="19" t="s">
        <v>37</v>
      </c>
      <c r="H5" s="28"/>
      <c r="I5" s="20"/>
      <c r="J5" s="20" t="s">
        <v>38</v>
      </c>
      <c r="K5" s="28"/>
    </row>
    <row r="6" spans="1:14" ht="11.1" customHeight="1" thickBot="1" x14ac:dyDescent="0.65">
      <c r="A6" s="1"/>
      <c r="B6" s="1"/>
      <c r="C6" s="2"/>
      <c r="D6" s="2"/>
      <c r="E6" s="155"/>
      <c r="F6" s="156"/>
      <c r="G6" s="156"/>
      <c r="H6" s="368"/>
      <c r="I6" s="368"/>
      <c r="J6" s="368"/>
      <c r="K6" s="23"/>
    </row>
    <row r="7" spans="1:14" s="25" customFormat="1" ht="20.100000000000001" customHeight="1" x14ac:dyDescent="0.4">
      <c r="A7" s="12"/>
      <c r="B7" s="12"/>
      <c r="C7" s="12"/>
      <c r="D7" s="271" t="s">
        <v>1</v>
      </c>
      <c r="E7" s="265"/>
      <c r="F7" s="263" t="s">
        <v>2</v>
      </c>
      <c r="G7" s="264"/>
      <c r="H7" s="265"/>
      <c r="I7" s="266" t="s">
        <v>3</v>
      </c>
      <c r="J7" s="266"/>
      <c r="K7" s="13" t="s">
        <v>4</v>
      </c>
    </row>
    <row r="8" spans="1:14" ht="21.9" customHeight="1" x14ac:dyDescent="0.3">
      <c r="A8" s="18" t="s">
        <v>39</v>
      </c>
      <c r="B8" s="18"/>
      <c r="C8" s="18"/>
      <c r="D8" s="272"/>
      <c r="E8" s="269"/>
      <c r="F8" s="267"/>
      <c r="G8" s="268"/>
      <c r="H8" s="269"/>
      <c r="I8" s="270"/>
      <c r="J8" s="270"/>
      <c r="K8" s="21"/>
    </row>
    <row r="9" spans="1:14" ht="21.9" customHeight="1" thickBot="1" x14ac:dyDescent="0.65">
      <c r="A9" s="18" t="s">
        <v>40</v>
      </c>
      <c r="B9" s="18"/>
      <c r="C9" s="18"/>
      <c r="D9" s="281"/>
      <c r="E9" s="275"/>
      <c r="F9" s="273"/>
      <c r="G9" s="274"/>
      <c r="H9" s="275"/>
      <c r="I9" s="276"/>
      <c r="J9" s="276"/>
      <c r="K9" s="22"/>
      <c r="N9" s="23"/>
    </row>
    <row r="10" spans="1:14" ht="11.1" customHeight="1" thickBot="1" x14ac:dyDescent="0.65">
      <c r="A10" s="1"/>
      <c r="B10" s="1"/>
      <c r="C10" s="2"/>
      <c r="D10" s="2"/>
      <c r="E10" s="203"/>
      <c r="F10" s="4"/>
      <c r="G10" s="4"/>
      <c r="H10" s="4"/>
      <c r="I10" s="4"/>
      <c r="J10" s="4"/>
      <c r="K10" s="23"/>
    </row>
    <row r="11" spans="1:14" ht="42.6" thickTop="1" thickBot="1" x14ac:dyDescent="0.35">
      <c r="A11" s="5"/>
      <c r="B11" s="5"/>
      <c r="C11" s="5"/>
      <c r="D11" s="5"/>
      <c r="E11" s="5"/>
      <c r="F11" s="277" t="s">
        <v>5</v>
      </c>
      <c r="G11" s="278"/>
      <c r="H11" s="17" t="s">
        <v>6</v>
      </c>
      <c r="I11" s="17" t="s">
        <v>36</v>
      </c>
      <c r="J11" s="279" t="s">
        <v>7</v>
      </c>
      <c r="K11" s="311" t="s">
        <v>32</v>
      </c>
    </row>
    <row r="12" spans="1:14" s="25" customFormat="1" ht="20.100000000000001" customHeight="1" thickTop="1" thickBot="1" x14ac:dyDescent="0.45">
      <c r="A12" s="313" t="s">
        <v>8</v>
      </c>
      <c r="B12" s="314"/>
      <c r="C12" s="314"/>
      <c r="D12" s="314"/>
      <c r="E12" s="315"/>
      <c r="F12" s="316">
        <v>1</v>
      </c>
      <c r="G12" s="317"/>
      <c r="H12" s="14">
        <v>3</v>
      </c>
      <c r="I12" s="14">
        <v>5</v>
      </c>
      <c r="J12" s="280"/>
      <c r="K12" s="312"/>
    </row>
    <row r="13" spans="1:14" ht="19.95" customHeight="1" thickBot="1" x14ac:dyDescent="0.35">
      <c r="A13" s="6">
        <v>1</v>
      </c>
      <c r="B13" s="6"/>
      <c r="C13" s="205"/>
      <c r="D13" s="337" t="s">
        <v>9</v>
      </c>
      <c r="E13" s="338"/>
      <c r="F13" s="206"/>
      <c r="G13" s="207"/>
      <c r="H13" s="208"/>
      <c r="I13" s="208"/>
      <c r="J13" s="209"/>
      <c r="K13" s="209" t="str">
        <f t="shared" ref="K13:K35" si="0">IF($K$37&lt;&gt;"",IF(J13&lt;&gt;"",0,MAX(1,10-5*(I13&lt;&gt;"")-3*(H13&lt;&gt;"")-1*(G13&lt;&gt;"")-1*(F13&lt;&gt;""))),"")</f>
        <v/>
      </c>
      <c r="M13" s="252"/>
    </row>
    <row r="14" spans="1:14" ht="19.95" customHeight="1" x14ac:dyDescent="0.3">
      <c r="A14" s="101">
        <v>2</v>
      </c>
      <c r="B14" s="185"/>
      <c r="C14" s="357" t="s">
        <v>173</v>
      </c>
      <c r="D14" s="360" t="s">
        <v>174</v>
      </c>
      <c r="E14" s="294"/>
      <c r="F14" s="210"/>
      <c r="G14" s="211"/>
      <c r="H14" s="212"/>
      <c r="I14" s="212"/>
      <c r="J14" s="213"/>
      <c r="K14" s="213" t="str">
        <f t="shared" si="0"/>
        <v/>
      </c>
      <c r="M14" s="252"/>
    </row>
    <row r="15" spans="1:14" ht="19.95" customHeight="1" x14ac:dyDescent="0.3">
      <c r="A15" s="101">
        <v>3</v>
      </c>
      <c r="B15" s="185"/>
      <c r="C15" s="358"/>
      <c r="D15" s="361" t="s">
        <v>175</v>
      </c>
      <c r="E15" s="334"/>
      <c r="F15" s="215"/>
      <c r="G15" s="216"/>
      <c r="H15" s="217"/>
      <c r="I15" s="217"/>
      <c r="J15" s="135"/>
      <c r="K15" s="135" t="str">
        <f t="shared" si="0"/>
        <v/>
      </c>
      <c r="M15" s="252"/>
    </row>
    <row r="16" spans="1:14" ht="19.95" customHeight="1" x14ac:dyDescent="0.3">
      <c r="A16" s="101">
        <v>4</v>
      </c>
      <c r="B16" s="185"/>
      <c r="C16" s="358"/>
      <c r="D16" s="362" t="s">
        <v>176</v>
      </c>
      <c r="E16" s="298"/>
      <c r="F16" s="219"/>
      <c r="G16" s="220"/>
      <c r="H16" s="221"/>
      <c r="I16" s="221"/>
      <c r="J16" s="33"/>
      <c r="K16" s="33" t="str">
        <f t="shared" si="0"/>
        <v/>
      </c>
      <c r="M16" s="252"/>
    </row>
    <row r="17" spans="1:13" ht="19.95" customHeight="1" x14ac:dyDescent="0.3">
      <c r="A17" s="101">
        <v>5</v>
      </c>
      <c r="B17" s="185"/>
      <c r="C17" s="358"/>
      <c r="D17" s="361" t="s">
        <v>177</v>
      </c>
      <c r="E17" s="334"/>
      <c r="F17" s="215"/>
      <c r="G17" s="216"/>
      <c r="H17" s="217"/>
      <c r="I17" s="217"/>
      <c r="J17" s="135"/>
      <c r="K17" s="135" t="str">
        <f t="shared" si="0"/>
        <v/>
      </c>
      <c r="M17" s="252"/>
    </row>
    <row r="18" spans="1:13" ht="19.95" customHeight="1" x14ac:dyDescent="0.3">
      <c r="A18" s="101">
        <v>6</v>
      </c>
      <c r="B18" s="185"/>
      <c r="C18" s="358"/>
      <c r="D18" s="362" t="s">
        <v>178</v>
      </c>
      <c r="E18" s="298"/>
      <c r="F18" s="219"/>
      <c r="G18" s="220"/>
      <c r="H18" s="221"/>
      <c r="I18" s="221"/>
      <c r="J18" s="33"/>
      <c r="K18" s="33" t="str">
        <f t="shared" si="0"/>
        <v/>
      </c>
      <c r="M18" s="252"/>
    </row>
    <row r="19" spans="1:13" ht="19.95" customHeight="1" x14ac:dyDescent="0.3">
      <c r="A19" s="101">
        <v>7</v>
      </c>
      <c r="B19" s="185"/>
      <c r="C19" s="358"/>
      <c r="D19" s="361" t="s">
        <v>179</v>
      </c>
      <c r="E19" s="334"/>
      <c r="F19" s="215"/>
      <c r="G19" s="216"/>
      <c r="H19" s="217"/>
      <c r="I19" s="217"/>
      <c r="J19" s="135"/>
      <c r="K19" s="135" t="str">
        <f t="shared" si="0"/>
        <v/>
      </c>
      <c r="M19" s="252"/>
    </row>
    <row r="20" spans="1:13" ht="19.95" customHeight="1" x14ac:dyDescent="0.3">
      <c r="A20" s="101">
        <v>8</v>
      </c>
      <c r="B20" s="185"/>
      <c r="C20" s="358"/>
      <c r="D20" s="362" t="s">
        <v>180</v>
      </c>
      <c r="E20" s="298"/>
      <c r="F20" s="219"/>
      <c r="G20" s="220"/>
      <c r="H20" s="221"/>
      <c r="I20" s="221"/>
      <c r="J20" s="33"/>
      <c r="K20" s="33" t="str">
        <f t="shared" si="0"/>
        <v/>
      </c>
      <c r="M20" s="252"/>
    </row>
    <row r="21" spans="1:13" ht="19.95" customHeight="1" x14ac:dyDescent="0.3">
      <c r="A21" s="101">
        <v>9</v>
      </c>
      <c r="B21" s="185"/>
      <c r="C21" s="358"/>
      <c r="D21" s="361" t="s">
        <v>181</v>
      </c>
      <c r="E21" s="334"/>
      <c r="F21" s="215"/>
      <c r="G21" s="216"/>
      <c r="H21" s="217"/>
      <c r="I21" s="217"/>
      <c r="J21" s="135"/>
      <c r="K21" s="135" t="str">
        <f t="shared" si="0"/>
        <v/>
      </c>
      <c r="M21" s="252"/>
    </row>
    <row r="22" spans="1:13" ht="19.95" customHeight="1" x14ac:dyDescent="0.3">
      <c r="A22" s="101">
        <v>10</v>
      </c>
      <c r="B22" s="185"/>
      <c r="C22" s="358"/>
      <c r="D22" s="362" t="s">
        <v>182</v>
      </c>
      <c r="E22" s="298"/>
      <c r="F22" s="219"/>
      <c r="G22" s="220"/>
      <c r="H22" s="221"/>
      <c r="I22" s="221"/>
      <c r="J22" s="33"/>
      <c r="K22" s="33" t="str">
        <f t="shared" si="0"/>
        <v/>
      </c>
      <c r="M22" s="252"/>
    </row>
    <row r="23" spans="1:13" ht="19.95" customHeight="1" x14ac:dyDescent="0.3">
      <c r="A23" s="101">
        <v>11</v>
      </c>
      <c r="B23" s="185"/>
      <c r="C23" s="358"/>
      <c r="D23" s="361" t="s">
        <v>183</v>
      </c>
      <c r="E23" s="334"/>
      <c r="F23" s="215"/>
      <c r="G23" s="216"/>
      <c r="H23" s="217"/>
      <c r="I23" s="217"/>
      <c r="J23" s="135"/>
      <c r="K23" s="135" t="str">
        <f t="shared" si="0"/>
        <v/>
      </c>
      <c r="M23" s="252"/>
    </row>
    <row r="24" spans="1:13" ht="19.95" customHeight="1" x14ac:dyDescent="0.3">
      <c r="A24" s="101">
        <v>12</v>
      </c>
      <c r="B24" s="185"/>
      <c r="C24" s="358"/>
      <c r="D24" s="362" t="s">
        <v>184</v>
      </c>
      <c r="E24" s="298"/>
      <c r="F24" s="219"/>
      <c r="G24" s="220"/>
      <c r="H24" s="221"/>
      <c r="I24" s="221"/>
      <c r="J24" s="33"/>
      <c r="K24" s="33" t="str">
        <f t="shared" si="0"/>
        <v/>
      </c>
      <c r="M24" s="252"/>
    </row>
    <row r="25" spans="1:13" ht="19.95" customHeight="1" x14ac:dyDescent="0.3">
      <c r="A25" s="101">
        <v>13</v>
      </c>
      <c r="B25" s="185"/>
      <c r="C25" s="358"/>
      <c r="D25" s="361" t="s">
        <v>185</v>
      </c>
      <c r="E25" s="334"/>
      <c r="F25" s="215"/>
      <c r="G25" s="216"/>
      <c r="H25" s="217"/>
      <c r="I25" s="217"/>
      <c r="J25" s="135"/>
      <c r="K25" s="135" t="str">
        <f t="shared" si="0"/>
        <v/>
      </c>
      <c r="M25" s="252"/>
    </row>
    <row r="26" spans="1:13" ht="19.95" customHeight="1" x14ac:dyDescent="0.3">
      <c r="A26" s="101">
        <v>14</v>
      </c>
      <c r="B26" s="185"/>
      <c r="C26" s="358"/>
      <c r="D26" s="362" t="s">
        <v>186</v>
      </c>
      <c r="E26" s="298"/>
      <c r="F26" s="219"/>
      <c r="G26" s="220"/>
      <c r="H26" s="221"/>
      <c r="I26" s="221"/>
      <c r="J26" s="33"/>
      <c r="K26" s="33" t="str">
        <f t="shared" si="0"/>
        <v/>
      </c>
      <c r="M26" s="252"/>
    </row>
    <row r="27" spans="1:13" ht="19.95" customHeight="1" thickBot="1" x14ac:dyDescent="0.35">
      <c r="A27" s="101">
        <v>15</v>
      </c>
      <c r="B27" s="185"/>
      <c r="C27" s="359"/>
      <c r="D27" s="365" t="s">
        <v>187</v>
      </c>
      <c r="E27" s="342"/>
      <c r="F27" s="228"/>
      <c r="G27" s="229"/>
      <c r="H27" s="230"/>
      <c r="I27" s="230"/>
      <c r="J27" s="231"/>
      <c r="K27" s="231" t="str">
        <f t="shared" si="0"/>
        <v/>
      </c>
      <c r="M27" s="252"/>
    </row>
    <row r="28" spans="1:13" ht="19.95" customHeight="1" x14ac:dyDescent="0.3">
      <c r="A28" s="101">
        <v>16</v>
      </c>
      <c r="B28" s="185"/>
      <c r="C28" s="358" t="s">
        <v>188</v>
      </c>
      <c r="D28" s="360" t="s">
        <v>189</v>
      </c>
      <c r="E28" s="294"/>
      <c r="F28" s="210"/>
      <c r="G28" s="211"/>
      <c r="H28" s="212"/>
      <c r="I28" s="212"/>
      <c r="J28" s="213"/>
      <c r="K28" s="213" t="str">
        <f t="shared" si="0"/>
        <v/>
      </c>
      <c r="M28" s="252"/>
    </row>
    <row r="29" spans="1:13" ht="19.95" customHeight="1" x14ac:dyDescent="0.3">
      <c r="A29" s="101">
        <v>17</v>
      </c>
      <c r="B29" s="185"/>
      <c r="C29" s="358"/>
      <c r="D29" s="361" t="s">
        <v>190</v>
      </c>
      <c r="E29" s="334"/>
      <c r="F29" s="215"/>
      <c r="G29" s="216"/>
      <c r="H29" s="217"/>
      <c r="I29" s="217"/>
      <c r="J29" s="135"/>
      <c r="K29" s="135" t="str">
        <f t="shared" si="0"/>
        <v/>
      </c>
      <c r="M29" s="252"/>
    </row>
    <row r="30" spans="1:13" ht="19.95" customHeight="1" x14ac:dyDescent="0.3">
      <c r="A30" s="101">
        <v>18</v>
      </c>
      <c r="B30" s="185"/>
      <c r="C30" s="358"/>
      <c r="D30" s="362" t="s">
        <v>191</v>
      </c>
      <c r="E30" s="298"/>
      <c r="F30" s="219"/>
      <c r="G30" s="220"/>
      <c r="H30" s="221"/>
      <c r="I30" s="221"/>
      <c r="J30" s="33"/>
      <c r="K30" s="33" t="str">
        <f t="shared" si="0"/>
        <v/>
      </c>
      <c r="M30" s="252"/>
    </row>
    <row r="31" spans="1:13" ht="19.95" customHeight="1" x14ac:dyDescent="0.3">
      <c r="A31" s="101">
        <v>19</v>
      </c>
      <c r="B31" s="185"/>
      <c r="C31" s="358"/>
      <c r="D31" s="361" t="s">
        <v>192</v>
      </c>
      <c r="E31" s="334"/>
      <c r="F31" s="215"/>
      <c r="G31" s="216"/>
      <c r="H31" s="217"/>
      <c r="I31" s="217"/>
      <c r="J31" s="135"/>
      <c r="K31" s="135" t="str">
        <f t="shared" si="0"/>
        <v/>
      </c>
      <c r="M31" s="252"/>
    </row>
    <row r="32" spans="1:13" ht="19.95" customHeight="1" x14ac:dyDescent="0.3">
      <c r="A32" s="101">
        <v>20</v>
      </c>
      <c r="B32" s="185"/>
      <c r="C32" s="358"/>
      <c r="D32" s="362" t="s">
        <v>193</v>
      </c>
      <c r="E32" s="298"/>
      <c r="F32" s="219"/>
      <c r="G32" s="220"/>
      <c r="H32" s="221"/>
      <c r="I32" s="221"/>
      <c r="J32" s="33"/>
      <c r="K32" s="33" t="str">
        <f t="shared" si="0"/>
        <v/>
      </c>
      <c r="M32" s="252"/>
    </row>
    <row r="33" spans="1:13" ht="19.95" customHeight="1" x14ac:dyDescent="0.3">
      <c r="A33" s="101">
        <v>21</v>
      </c>
      <c r="B33" s="185"/>
      <c r="C33" s="358"/>
      <c r="D33" s="361" t="s">
        <v>194</v>
      </c>
      <c r="E33" s="334"/>
      <c r="F33" s="215"/>
      <c r="G33" s="216"/>
      <c r="H33" s="217"/>
      <c r="I33" s="217"/>
      <c r="J33" s="135"/>
      <c r="K33" s="135" t="str">
        <f t="shared" si="0"/>
        <v/>
      </c>
      <c r="M33" s="252"/>
    </row>
    <row r="34" spans="1:13" ht="19.95" customHeight="1" thickBot="1" x14ac:dyDescent="0.35">
      <c r="A34" s="101">
        <v>22</v>
      </c>
      <c r="B34" s="185"/>
      <c r="C34" s="359"/>
      <c r="D34" s="345" t="s">
        <v>195</v>
      </c>
      <c r="E34" s="336"/>
      <c r="F34" s="253"/>
      <c r="G34" s="254"/>
      <c r="H34" s="255"/>
      <c r="I34" s="255"/>
      <c r="J34" s="99"/>
      <c r="K34" s="99" t="str">
        <f t="shared" si="0"/>
        <v/>
      </c>
      <c r="M34" s="252"/>
    </row>
    <row r="35" spans="1:13" ht="19.95" customHeight="1" thickBot="1" x14ac:dyDescent="0.35">
      <c r="A35" s="6">
        <v>23</v>
      </c>
      <c r="B35" s="387"/>
      <c r="C35" s="238"/>
      <c r="D35" s="375" t="s">
        <v>30</v>
      </c>
      <c r="E35" s="376"/>
      <c r="F35" s="256"/>
      <c r="G35" s="257"/>
      <c r="H35" s="258"/>
      <c r="I35" s="258"/>
      <c r="J35" s="259"/>
      <c r="K35" s="259" t="str">
        <f t="shared" si="0"/>
        <v/>
      </c>
      <c r="M35" s="252"/>
    </row>
    <row r="36" spans="1:13" ht="21.9" customHeight="1" thickTop="1" thickBot="1" x14ac:dyDescent="0.35">
      <c r="A36" s="308" t="s">
        <v>31</v>
      </c>
      <c r="B36" s="309"/>
      <c r="C36" s="309"/>
      <c r="D36" s="309"/>
      <c r="E36" s="310"/>
      <c r="F36" s="244" t="str">
        <f>IF($K$37&lt;&gt;"",COUNTA(F13:F35),"")</f>
        <v/>
      </c>
      <c r="G36" s="245" t="str">
        <f>IF($K$37&lt;&gt;"",COUNTA(G13:G35),"")</f>
        <v/>
      </c>
      <c r="H36" s="192" t="str">
        <f>IF($K$37&lt;&gt;"",COUNTA(H13:H35),"")</f>
        <v/>
      </c>
      <c r="I36" s="192" t="str">
        <f>IF($K$37&lt;&gt;"",COUNTA(I13:I35),"")</f>
        <v/>
      </c>
      <c r="J36" s="246" t="str">
        <f>IF($K$37&lt;&gt;"",COUNTA(J13:J35),"")</f>
        <v/>
      </c>
      <c r="K36" s="111" t="str">
        <f>IF(K37="","",IF(J36&lt;1,SUM(K13:K35),IF(J36&gt;=1,SUM(K13:K35)/2,"")))</f>
        <v/>
      </c>
    </row>
    <row r="37" spans="1:13" s="249" customFormat="1" ht="20.100000000000001" customHeight="1" thickTop="1" thickBot="1" x14ac:dyDescent="0.4">
      <c r="A37" s="301" t="s">
        <v>42</v>
      </c>
      <c r="B37" s="302"/>
      <c r="C37" s="302"/>
      <c r="D37" s="302"/>
      <c r="E37" s="247"/>
      <c r="F37" s="282" t="s">
        <v>35</v>
      </c>
      <c r="G37" s="283"/>
      <c r="H37" s="283"/>
      <c r="I37" s="283"/>
      <c r="J37" s="284"/>
      <c r="K37" s="248"/>
    </row>
    <row r="38" spans="1:13" ht="15" thickTop="1" x14ac:dyDescent="0.3"/>
  </sheetData>
  <mergeCells count="47">
    <mergeCell ref="D7:E7"/>
    <mergeCell ref="F7:H7"/>
    <mergeCell ref="I7:J7"/>
    <mergeCell ref="A1:K1"/>
    <mergeCell ref="A2:K2"/>
    <mergeCell ref="A3:K3"/>
    <mergeCell ref="A5:D5"/>
    <mergeCell ref="H6:J6"/>
    <mergeCell ref="D13:E13"/>
    <mergeCell ref="D8:E8"/>
    <mergeCell ref="F8:H8"/>
    <mergeCell ref="I8:J8"/>
    <mergeCell ref="D9:E9"/>
    <mergeCell ref="F9:H9"/>
    <mergeCell ref="I9:J9"/>
    <mergeCell ref="F11:G11"/>
    <mergeCell ref="J11:J12"/>
    <mergeCell ref="K11:K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J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E15"/>
  <sheetViews>
    <sheetView zoomScale="115" zoomScaleNormal="115" workbookViewId="0">
      <selection sqref="A1:B1"/>
    </sheetView>
  </sheetViews>
  <sheetFormatPr defaultColWidth="11.5546875" defaultRowHeight="14.4" x14ac:dyDescent="0.3"/>
  <cols>
    <col min="1" max="1" width="11.77734375" customWidth="1"/>
    <col min="2" max="2" width="22.6640625" customWidth="1"/>
    <col min="3" max="19" width="3.6640625" style="52" customWidth="1"/>
    <col min="20" max="20" width="5.77734375" style="52" customWidth="1"/>
    <col min="21" max="26" width="5.77734375" style="52" hidden="1" customWidth="1"/>
    <col min="27" max="30" width="3.6640625" style="52" customWidth="1"/>
  </cols>
  <sheetData>
    <row r="1" spans="1:31" x14ac:dyDescent="0.3">
      <c r="A1" s="380" t="s">
        <v>88</v>
      </c>
      <c r="B1" s="380"/>
      <c r="C1" s="53" t="e">
        <f ca="1">SUM(C7:C12)-MAX(C7:C12)-MIN(C7:C12)</f>
        <v>#REF!</v>
      </c>
      <c r="D1" s="53" t="e">
        <f t="shared" ref="D1:S1" ca="1" si="0">SUM(D7:D12)-MAX(D7:D12)-MIN(D7:D12)</f>
        <v>#REF!</v>
      </c>
      <c r="E1" s="53" t="e">
        <f t="shared" ca="1" si="0"/>
        <v>#REF!</v>
      </c>
      <c r="F1" s="53" t="e">
        <f t="shared" ca="1" si="0"/>
        <v>#REF!</v>
      </c>
      <c r="G1" s="53" t="e">
        <f t="shared" ca="1" si="0"/>
        <v>#REF!</v>
      </c>
      <c r="H1" s="53" t="e">
        <f t="shared" ca="1" si="0"/>
        <v>#REF!</v>
      </c>
      <c r="I1" s="53" t="e">
        <f t="shared" ca="1" si="0"/>
        <v>#REF!</v>
      </c>
      <c r="J1" s="53" t="e">
        <f t="shared" ca="1" si="0"/>
        <v>#REF!</v>
      </c>
      <c r="K1" s="53" t="e">
        <f t="shared" ca="1" si="0"/>
        <v>#REF!</v>
      </c>
      <c r="L1" s="53" t="e">
        <f t="shared" ca="1" si="0"/>
        <v>#REF!</v>
      </c>
      <c r="M1" s="53" t="e">
        <f t="shared" ca="1" si="0"/>
        <v>#REF!</v>
      </c>
      <c r="N1" s="53" t="e">
        <f t="shared" ca="1" si="0"/>
        <v>#REF!</v>
      </c>
      <c r="O1" s="53" t="e">
        <f t="shared" ca="1" si="0"/>
        <v>#REF!</v>
      </c>
      <c r="P1" s="53" t="e">
        <f t="shared" ca="1" si="0"/>
        <v>#REF!</v>
      </c>
      <c r="Q1" s="53" t="e">
        <f t="shared" ca="1" si="0"/>
        <v>#REF!</v>
      </c>
      <c r="R1" s="53" t="e">
        <f t="shared" ca="1" si="0"/>
        <v>#REF!</v>
      </c>
      <c r="S1" s="53" t="e">
        <f t="shared" ca="1" si="0"/>
        <v>#REF!</v>
      </c>
      <c r="T1" s="54" t="e">
        <f ca="1">IF(SUM(AA7:AA12)&gt;0,SUM(C1:S1)/2,SUM(C1:S1))</f>
        <v>#REF!</v>
      </c>
      <c r="U1" s="260"/>
      <c r="V1" s="260"/>
      <c r="W1" s="260"/>
      <c r="X1" s="260"/>
      <c r="Y1" s="260"/>
      <c r="Z1" s="260"/>
      <c r="AA1" s="53" t="e">
        <f t="shared" ref="AA1" ca="1" si="1">SUM(AA7:AA12)-MAX(AA7:AA12)-MIN(AA7:AA12)</f>
        <v>#REF!</v>
      </c>
      <c r="AB1" s="53" t="e">
        <f t="shared" ref="AB1:AD1" ca="1" si="2">SUM(AB7:AB12)-MAX(AB7:AB12)-MIN(AB7:AB12)</f>
        <v>#REF!</v>
      </c>
      <c r="AC1" s="53" t="e">
        <f t="shared" ca="1" si="2"/>
        <v>#REF!</v>
      </c>
      <c r="AD1" s="53" t="e">
        <f t="shared" ca="1" si="2"/>
        <v>#REF!</v>
      </c>
    </row>
    <row r="2" spans="1:31" x14ac:dyDescent="0.3">
      <c r="A2" s="381" t="s">
        <v>84</v>
      </c>
      <c r="B2" s="381"/>
      <c r="C2" s="55" t="e">
        <f ca="1">AVERAGE(C7:C12)</f>
        <v>#REF!</v>
      </c>
      <c r="D2" s="55" t="e">
        <f t="shared" ref="D2:S2" ca="1" si="3">AVERAGE(D7:D12)</f>
        <v>#REF!</v>
      </c>
      <c r="E2" s="55" t="e">
        <f t="shared" ca="1" si="3"/>
        <v>#REF!</v>
      </c>
      <c r="F2" s="55" t="e">
        <f t="shared" ca="1" si="3"/>
        <v>#REF!</v>
      </c>
      <c r="G2" s="55" t="e">
        <f t="shared" ca="1" si="3"/>
        <v>#REF!</v>
      </c>
      <c r="H2" s="55" t="e">
        <f t="shared" ca="1" si="3"/>
        <v>#REF!</v>
      </c>
      <c r="I2" s="55" t="e">
        <f t="shared" ca="1" si="3"/>
        <v>#REF!</v>
      </c>
      <c r="J2" s="55" t="e">
        <f t="shared" ca="1" si="3"/>
        <v>#REF!</v>
      </c>
      <c r="K2" s="55" t="e">
        <f t="shared" ca="1" si="3"/>
        <v>#REF!</v>
      </c>
      <c r="L2" s="55" t="e">
        <f t="shared" ca="1" si="3"/>
        <v>#REF!</v>
      </c>
      <c r="M2" s="55" t="e">
        <f t="shared" ca="1" si="3"/>
        <v>#REF!</v>
      </c>
      <c r="N2" s="55" t="e">
        <f t="shared" ca="1" si="3"/>
        <v>#REF!</v>
      </c>
      <c r="O2" s="55" t="e">
        <f t="shared" ca="1" si="3"/>
        <v>#REF!</v>
      </c>
      <c r="P2" s="55" t="e">
        <f t="shared" ca="1" si="3"/>
        <v>#REF!</v>
      </c>
      <c r="Q2" s="55" t="e">
        <f t="shared" ca="1" si="3"/>
        <v>#REF!</v>
      </c>
      <c r="R2" s="55" t="e">
        <f t="shared" ca="1" si="3"/>
        <v>#REF!</v>
      </c>
      <c r="S2" s="55" t="e">
        <f t="shared" ca="1" si="3"/>
        <v>#REF!</v>
      </c>
      <c r="T2" s="56" t="e">
        <f ca="1">AVERAGE(T7:T12)</f>
        <v>#REF!</v>
      </c>
      <c r="U2" s="200"/>
      <c r="V2" s="200"/>
      <c r="W2" s="200"/>
      <c r="X2" s="200"/>
      <c r="Y2" s="200"/>
      <c r="Z2" s="200"/>
      <c r="AA2" s="55" t="e">
        <f t="shared" ref="AA2" ca="1" si="4">AVERAGE(AA7:AA12)</f>
        <v>#REF!</v>
      </c>
      <c r="AB2" s="55" t="e">
        <f t="shared" ref="AB2:AD2" ca="1" si="5">AVERAGE(AB7:AB12)</f>
        <v>#REF!</v>
      </c>
      <c r="AC2" s="55" t="e">
        <f t="shared" ca="1" si="5"/>
        <v>#REF!</v>
      </c>
      <c r="AD2" s="55" t="e">
        <f t="shared" ca="1" si="5"/>
        <v>#REF!</v>
      </c>
    </row>
    <row r="3" spans="1:31" x14ac:dyDescent="0.3">
      <c r="A3" s="381" t="s">
        <v>85</v>
      </c>
      <c r="B3" s="381"/>
      <c r="C3" s="57" t="e">
        <f ca="1">_xlfn.STDEV.P(C7:C12)</f>
        <v>#REF!</v>
      </c>
      <c r="D3" s="57" t="e">
        <f t="shared" ref="D3:S3" ca="1" si="6">_xlfn.STDEV.P(D7:D12)</f>
        <v>#REF!</v>
      </c>
      <c r="E3" s="57" t="e">
        <f t="shared" ca="1" si="6"/>
        <v>#REF!</v>
      </c>
      <c r="F3" s="57" t="e">
        <f ca="1">_xlfn.STDEV.P(F7:F12)</f>
        <v>#REF!</v>
      </c>
      <c r="G3" s="57" t="e">
        <f t="shared" ca="1" si="6"/>
        <v>#REF!</v>
      </c>
      <c r="H3" s="57" t="e">
        <f t="shared" ca="1" si="6"/>
        <v>#REF!</v>
      </c>
      <c r="I3" s="57" t="e">
        <f t="shared" ca="1" si="6"/>
        <v>#REF!</v>
      </c>
      <c r="J3" s="57" t="e">
        <f t="shared" ca="1" si="6"/>
        <v>#REF!</v>
      </c>
      <c r="K3" s="57" t="e">
        <f t="shared" ca="1" si="6"/>
        <v>#REF!</v>
      </c>
      <c r="L3" s="57" t="e">
        <f t="shared" ca="1" si="6"/>
        <v>#REF!</v>
      </c>
      <c r="M3" s="57" t="e">
        <f t="shared" ca="1" si="6"/>
        <v>#REF!</v>
      </c>
      <c r="N3" s="57" t="e">
        <f t="shared" ca="1" si="6"/>
        <v>#REF!</v>
      </c>
      <c r="O3" s="57" t="e">
        <f t="shared" ca="1" si="6"/>
        <v>#REF!</v>
      </c>
      <c r="P3" s="57" t="e">
        <f t="shared" ca="1" si="6"/>
        <v>#REF!</v>
      </c>
      <c r="Q3" s="57" t="e">
        <f t="shared" ca="1" si="6"/>
        <v>#REF!</v>
      </c>
      <c r="R3" s="57" t="e">
        <f t="shared" ca="1" si="6"/>
        <v>#REF!</v>
      </c>
      <c r="S3" s="57" t="e">
        <f t="shared" ca="1" si="6"/>
        <v>#REF!</v>
      </c>
      <c r="T3" s="58" t="e">
        <f ca="1">_xlfn.STDEV.P(T7:T12)</f>
        <v>#REF!</v>
      </c>
      <c r="U3" s="261"/>
      <c r="V3" s="261"/>
      <c r="W3" s="261"/>
      <c r="X3" s="261"/>
      <c r="Y3" s="261"/>
      <c r="Z3" s="261"/>
      <c r="AA3" s="57" t="e">
        <f t="shared" ref="AA3" ca="1" si="7">_xlfn.STDEV.P(AA7:AA12)</f>
        <v>#REF!</v>
      </c>
      <c r="AB3" s="57" t="e">
        <f t="shared" ref="AB3:AD3" ca="1" si="8">_xlfn.STDEV.P(AB7:AB12)</f>
        <v>#REF!</v>
      </c>
      <c r="AC3" s="57" t="e">
        <f t="shared" ca="1" si="8"/>
        <v>#REF!</v>
      </c>
      <c r="AD3" s="57" t="e">
        <f t="shared" ca="1" si="8"/>
        <v>#REF!</v>
      </c>
    </row>
    <row r="4" spans="1:31" x14ac:dyDescent="0.3">
      <c r="A4" s="380" t="s">
        <v>86</v>
      </c>
      <c r="B4" s="380"/>
      <c r="C4" s="53" t="e">
        <f ca="1">MAX(C7:C12)-MIN(C7:C12)</f>
        <v>#REF!</v>
      </c>
      <c r="D4" s="53" t="e">
        <f t="shared" ref="D4:S4" ca="1" si="9">MAX(D7:D12)-MIN(D7:D12)</f>
        <v>#REF!</v>
      </c>
      <c r="E4" s="53" t="e">
        <f t="shared" ca="1" si="9"/>
        <v>#REF!</v>
      </c>
      <c r="F4" s="53" t="e">
        <f t="shared" ca="1" si="9"/>
        <v>#REF!</v>
      </c>
      <c r="G4" s="53" t="e">
        <f t="shared" ca="1" si="9"/>
        <v>#REF!</v>
      </c>
      <c r="H4" s="53" t="e">
        <f t="shared" ca="1" si="9"/>
        <v>#REF!</v>
      </c>
      <c r="I4" s="53" t="e">
        <f t="shared" ca="1" si="9"/>
        <v>#REF!</v>
      </c>
      <c r="J4" s="53" t="e">
        <f t="shared" ca="1" si="9"/>
        <v>#REF!</v>
      </c>
      <c r="K4" s="53" t="e">
        <f t="shared" ca="1" si="9"/>
        <v>#REF!</v>
      </c>
      <c r="L4" s="53" t="e">
        <f t="shared" ca="1" si="9"/>
        <v>#REF!</v>
      </c>
      <c r="M4" s="53" t="e">
        <f t="shared" ca="1" si="9"/>
        <v>#REF!</v>
      </c>
      <c r="N4" s="53" t="e">
        <f t="shared" ca="1" si="9"/>
        <v>#REF!</v>
      </c>
      <c r="O4" s="53" t="e">
        <f t="shared" ca="1" si="9"/>
        <v>#REF!</v>
      </c>
      <c r="P4" s="53" t="e">
        <f t="shared" ca="1" si="9"/>
        <v>#REF!</v>
      </c>
      <c r="Q4" s="53" t="e">
        <f t="shared" ca="1" si="9"/>
        <v>#REF!</v>
      </c>
      <c r="R4" s="53" t="e">
        <f t="shared" ca="1" si="9"/>
        <v>#REF!</v>
      </c>
      <c r="S4" s="53" t="e">
        <f t="shared" ca="1" si="9"/>
        <v>#REF!</v>
      </c>
      <c r="T4" s="54" t="e">
        <f ca="1">MAX(T7:T12)-MIN(T7:T12)</f>
        <v>#REF!</v>
      </c>
      <c r="U4" s="260"/>
      <c r="V4" s="260"/>
      <c r="W4" s="260"/>
      <c r="X4" s="260"/>
      <c r="Y4" s="260"/>
      <c r="Z4" s="260"/>
      <c r="AA4" s="53" t="e">
        <f ca="1">MAX(AA7:AA12)-MIN(AA7:AA12)</f>
        <v>#REF!</v>
      </c>
      <c r="AB4" s="53" t="e">
        <f ca="1">MAX(AB7:AB12)-MIN(AB7:AB12)</f>
        <v>#REF!</v>
      </c>
      <c r="AC4" s="53" t="e">
        <f ca="1">MAX(AC7:AC12)-MIN(AC7:AC12)</f>
        <v>#REF!</v>
      </c>
      <c r="AD4" s="53" t="e">
        <f ca="1">MAX(AD7:AD12)-MIN(AD7:AD12)</f>
        <v>#REF!</v>
      </c>
    </row>
    <row r="5" spans="1:31" x14ac:dyDescent="0.3">
      <c r="A5" s="59" t="s">
        <v>87</v>
      </c>
      <c r="B5" s="67" t="e">
        <f ca="1">INDIRECT("'"&amp;$A7&amp;"'!C8") &amp; "-" &amp; INDIRECT("'"&amp;$A7&amp;"'!C9")</f>
        <v>#REF!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60"/>
      <c r="U5" s="405"/>
      <c r="V5" s="405"/>
      <c r="W5" s="405"/>
      <c r="X5" s="405"/>
      <c r="Y5" s="405"/>
      <c r="Z5" s="405"/>
      <c r="AB5" s="59"/>
      <c r="AC5" s="59"/>
      <c r="AD5" s="59"/>
      <c r="AE5" s="59"/>
    </row>
    <row r="6" spans="1:31" ht="128.1" customHeight="1" x14ac:dyDescent="0.3">
      <c r="A6" s="31" t="s">
        <v>75</v>
      </c>
      <c r="B6" s="31" t="s">
        <v>76</v>
      </c>
      <c r="C6" s="61" t="s">
        <v>9</v>
      </c>
      <c r="D6" s="61" t="s">
        <v>11</v>
      </c>
      <c r="E6" s="61" t="s">
        <v>12</v>
      </c>
      <c r="F6" s="61" t="s">
        <v>13</v>
      </c>
      <c r="G6" s="61" t="s">
        <v>15</v>
      </c>
      <c r="H6" s="61" t="s">
        <v>16</v>
      </c>
      <c r="I6" s="61" t="s">
        <v>17</v>
      </c>
      <c r="J6" s="61" t="s">
        <v>19</v>
      </c>
      <c r="K6" s="61" t="s">
        <v>20</v>
      </c>
      <c r="L6" s="61" t="s">
        <v>21</v>
      </c>
      <c r="M6" s="61" t="s">
        <v>23</v>
      </c>
      <c r="N6" s="61" t="s">
        <v>24</v>
      </c>
      <c r="O6" s="61" t="s">
        <v>25</v>
      </c>
      <c r="P6" s="61" t="s">
        <v>27</v>
      </c>
      <c r="Q6" s="61" t="s">
        <v>28</v>
      </c>
      <c r="R6" s="61" t="s">
        <v>29</v>
      </c>
      <c r="S6" s="61" t="s">
        <v>30</v>
      </c>
      <c r="T6" s="62" t="s">
        <v>74</v>
      </c>
      <c r="U6" s="63"/>
      <c r="V6" s="63"/>
      <c r="W6" s="63"/>
      <c r="X6" s="63"/>
      <c r="Y6" s="63"/>
      <c r="Z6" s="63"/>
      <c r="AA6" s="63" t="s">
        <v>7</v>
      </c>
      <c r="AB6" s="63" t="s">
        <v>80</v>
      </c>
      <c r="AC6" s="61" t="s">
        <v>81</v>
      </c>
      <c r="AD6" s="61" t="s">
        <v>82</v>
      </c>
    </row>
    <row r="7" spans="1:31" x14ac:dyDescent="0.3">
      <c r="A7" s="59"/>
      <c r="B7" s="59" t="e">
        <f ca="1">INDIRECT("'"&amp;$A7&amp;"'!D5")</f>
        <v>#REF!</v>
      </c>
      <c r="C7" s="55" t="e">
        <f ca="1">INDIRECT("'"&amp;$A7&amp;"'!K13")</f>
        <v>#REF!</v>
      </c>
      <c r="D7" s="55" t="e">
        <f ca="1">INDIRECT("'"&amp;$A7&amp;"'!K14")</f>
        <v>#REF!</v>
      </c>
      <c r="E7" s="55" t="e">
        <f ca="1">INDIRECT("'"&amp;$A7&amp;"'!K15")</f>
        <v>#REF!</v>
      </c>
      <c r="F7" s="55" t="e">
        <f ca="1">INDIRECT("'"&amp;$A7&amp;"'!K16")</f>
        <v>#REF!</v>
      </c>
      <c r="G7" s="55" t="e">
        <f ca="1">INDIRECT("'"&amp;$A7&amp;"'!K17")</f>
        <v>#REF!</v>
      </c>
      <c r="H7" s="55" t="e">
        <f ca="1">INDIRECT("'"&amp;$A7&amp;"'!K18")</f>
        <v>#REF!</v>
      </c>
      <c r="I7" s="55" t="e">
        <f ca="1">INDIRECT("'"&amp;$A7&amp;"'!K19")</f>
        <v>#REF!</v>
      </c>
      <c r="J7" s="55" t="e">
        <f ca="1">INDIRECT("'"&amp;$A7&amp;"'!K20")</f>
        <v>#REF!</v>
      </c>
      <c r="K7" s="55" t="e">
        <f ca="1">INDIRECT("'"&amp;$A7&amp;"'!K21")</f>
        <v>#REF!</v>
      </c>
      <c r="L7" s="55" t="e">
        <f ca="1">INDIRECT("'"&amp;$A7&amp;"'!K22")</f>
        <v>#REF!</v>
      </c>
      <c r="M7" s="55" t="e">
        <f ca="1">INDIRECT("'"&amp;$A7&amp;"'!K23")</f>
        <v>#REF!</v>
      </c>
      <c r="N7" s="55" t="e">
        <f ca="1">INDIRECT("'"&amp;$A7&amp;"'!K24")</f>
        <v>#REF!</v>
      </c>
      <c r="O7" s="55" t="e">
        <f ca="1">INDIRECT("'"&amp;$A7&amp;"'!K25")</f>
        <v>#REF!</v>
      </c>
      <c r="P7" s="55" t="e">
        <f ca="1">INDIRECT("'"&amp;$A7&amp;"'!K26")</f>
        <v>#REF!</v>
      </c>
      <c r="Q7" s="55" t="e">
        <f ca="1">INDIRECT("'"&amp;$A7&amp;"'!K27")</f>
        <v>#REF!</v>
      </c>
      <c r="R7" s="55" t="e">
        <f ca="1">INDIRECT("'"&amp;$A7&amp;"'!K28")</f>
        <v>#REF!</v>
      </c>
      <c r="S7" s="55" t="e">
        <f ca="1">INDIRECT("'"&amp;$A7&amp;"'!K29")</f>
        <v>#REF!</v>
      </c>
      <c r="T7" s="56" t="e">
        <f ca="1">INDIRECT("'"&amp;$A7&amp;"'!K36")</f>
        <v>#REF!</v>
      </c>
      <c r="U7" s="55"/>
      <c r="V7" s="55"/>
      <c r="W7" s="55"/>
      <c r="X7" s="55"/>
      <c r="Y7" s="55"/>
      <c r="Z7" s="55"/>
      <c r="AA7" s="55" t="e">
        <f ca="1">INDIRECT("'"&amp;$A7&amp;"'!J36")</f>
        <v>#REF!</v>
      </c>
      <c r="AB7" s="55" t="e">
        <f ca="1">INDIRECT("'"&amp;$A7&amp;"'!I36")</f>
        <v>#REF!</v>
      </c>
      <c r="AC7" s="55" t="e">
        <f ca="1">INDIRECT("'"&amp;$A7&amp;"'!H36")</f>
        <v>#REF!</v>
      </c>
      <c r="AD7" s="55" t="e">
        <f ca="1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1" x14ac:dyDescent="0.3">
      <c r="A8" s="64"/>
      <c r="B8" s="64" t="e">
        <f ca="1">INDIRECT("'"&amp;$A8&amp;"'!D5")</f>
        <v>#REF!</v>
      </c>
      <c r="C8" s="65" t="e">
        <f t="shared" ref="C8:C15" ca="1" si="10">INDIRECT("'"&amp;$A8&amp;"'!K13")</f>
        <v>#REF!</v>
      </c>
      <c r="D8" s="65" t="e">
        <f t="shared" ref="D8:D15" ca="1" si="11">INDIRECT("'"&amp;$A8&amp;"'!K14")</f>
        <v>#REF!</v>
      </c>
      <c r="E8" s="65" t="e">
        <f t="shared" ref="E8:E15" ca="1" si="12">INDIRECT("'"&amp;$A8&amp;"'!K15")</f>
        <v>#REF!</v>
      </c>
      <c r="F8" s="65" t="e">
        <f t="shared" ref="F8:F15" ca="1" si="13">INDIRECT("'"&amp;$A8&amp;"'!K16")</f>
        <v>#REF!</v>
      </c>
      <c r="G8" s="65" t="e">
        <f t="shared" ref="G8:G15" ca="1" si="14">INDIRECT("'"&amp;$A8&amp;"'!K17")</f>
        <v>#REF!</v>
      </c>
      <c r="H8" s="65" t="e">
        <f t="shared" ref="H8:H15" ca="1" si="15">INDIRECT("'"&amp;$A8&amp;"'!K18")</f>
        <v>#REF!</v>
      </c>
      <c r="I8" s="65" t="e">
        <f t="shared" ref="I8:I15" ca="1" si="16">INDIRECT("'"&amp;$A8&amp;"'!K19")</f>
        <v>#REF!</v>
      </c>
      <c r="J8" s="65" t="e">
        <f t="shared" ref="J8:J15" ca="1" si="17">INDIRECT("'"&amp;$A8&amp;"'!K20")</f>
        <v>#REF!</v>
      </c>
      <c r="K8" s="65" t="e">
        <f t="shared" ref="K8:K15" ca="1" si="18">INDIRECT("'"&amp;$A8&amp;"'!K21")</f>
        <v>#REF!</v>
      </c>
      <c r="L8" s="65" t="e">
        <f t="shared" ref="L8:L15" ca="1" si="19">INDIRECT("'"&amp;$A8&amp;"'!K22")</f>
        <v>#REF!</v>
      </c>
      <c r="M8" s="65" t="e">
        <f t="shared" ref="M8:M15" ca="1" si="20">INDIRECT("'"&amp;$A8&amp;"'!K23")</f>
        <v>#REF!</v>
      </c>
      <c r="N8" s="65" t="e">
        <f t="shared" ref="N8:N15" ca="1" si="21">INDIRECT("'"&amp;$A8&amp;"'!K24")</f>
        <v>#REF!</v>
      </c>
      <c r="O8" s="65" t="e">
        <f t="shared" ref="O8:O15" ca="1" si="22">INDIRECT("'"&amp;$A8&amp;"'!K25")</f>
        <v>#REF!</v>
      </c>
      <c r="P8" s="65" t="e">
        <f t="shared" ref="P8:P15" ca="1" si="23">INDIRECT("'"&amp;$A8&amp;"'!K26")</f>
        <v>#REF!</v>
      </c>
      <c r="Q8" s="65" t="e">
        <f t="shared" ref="Q8:Q15" ca="1" si="24">INDIRECT("'"&amp;$A8&amp;"'!K27")</f>
        <v>#REF!</v>
      </c>
      <c r="R8" s="65" t="e">
        <f t="shared" ref="R8:R15" ca="1" si="25">INDIRECT("'"&amp;$A8&amp;"'!K28")</f>
        <v>#REF!</v>
      </c>
      <c r="S8" s="65" t="e">
        <f t="shared" ref="S8:S15" ca="1" si="26">INDIRECT("'"&amp;$A8&amp;"'!K29")</f>
        <v>#REF!</v>
      </c>
      <c r="T8" s="66" t="e">
        <f ca="1">INDIRECT("'"&amp;$A8&amp;"'!K36")</f>
        <v>#REF!</v>
      </c>
      <c r="U8" s="65"/>
      <c r="V8" s="65"/>
      <c r="W8" s="65"/>
      <c r="X8" s="65"/>
      <c r="Y8" s="65"/>
      <c r="Z8" s="65"/>
      <c r="AA8" s="65" t="e">
        <f ca="1">INDIRECT("'"&amp;$A8&amp;"'!J36")</f>
        <v>#REF!</v>
      </c>
      <c r="AB8" s="65" t="e">
        <f ca="1">INDIRECT("'"&amp;$A8&amp;"'!I36")</f>
        <v>#REF!</v>
      </c>
      <c r="AC8" s="65" t="e">
        <f ca="1">INDIRECT("'"&amp;$A8&amp;"'!H36")</f>
        <v>#REF!</v>
      </c>
      <c r="AD8" s="65" t="e">
        <f ca="1">IF(IF(INDIRECT("'"&amp;$A8&amp;"'!F36")="",0,INDIRECT("'"&amp;$A8&amp;"'!F36"))+IF(INDIRECT("'"&amp;$A8&amp;"'!G36")="",0,INDIRECT("'"&amp;$A8&amp;"'!G36"))=0,"",IF(INDIRECT("'"&amp;$A8&amp;"'!F36")="",0,INDIRECT("'"&amp;$A8&amp;"'!F36"))+IF(INDIRECT("'"&amp;$A8&amp;"'!G36")="",0,INDIRECT("'"&amp;$A8&amp;"'!G36")))</f>
        <v>#REF!</v>
      </c>
    </row>
    <row r="9" spans="1:31" x14ac:dyDescent="0.3">
      <c r="A9" s="59"/>
      <c r="B9" s="59" t="e">
        <f t="shared" ref="B9:B15" ca="1" si="27">INDIRECT("'"&amp;$A9&amp;"'!D5")</f>
        <v>#REF!</v>
      </c>
      <c r="C9" s="55" t="e">
        <f t="shared" ca="1" si="10"/>
        <v>#REF!</v>
      </c>
      <c r="D9" s="55" t="e">
        <f t="shared" ca="1" si="11"/>
        <v>#REF!</v>
      </c>
      <c r="E9" s="55" t="e">
        <f t="shared" ca="1" si="12"/>
        <v>#REF!</v>
      </c>
      <c r="F9" s="55" t="e">
        <f t="shared" ca="1" si="13"/>
        <v>#REF!</v>
      </c>
      <c r="G9" s="55" t="e">
        <f t="shared" ca="1" si="14"/>
        <v>#REF!</v>
      </c>
      <c r="H9" s="55" t="e">
        <f t="shared" ca="1" si="15"/>
        <v>#REF!</v>
      </c>
      <c r="I9" s="55" t="e">
        <f t="shared" ca="1" si="16"/>
        <v>#REF!</v>
      </c>
      <c r="J9" s="55" t="e">
        <f t="shared" ca="1" si="17"/>
        <v>#REF!</v>
      </c>
      <c r="K9" s="55" t="e">
        <f t="shared" ca="1" si="18"/>
        <v>#REF!</v>
      </c>
      <c r="L9" s="55" t="e">
        <f t="shared" ca="1" si="19"/>
        <v>#REF!</v>
      </c>
      <c r="M9" s="55" t="e">
        <f t="shared" ca="1" si="20"/>
        <v>#REF!</v>
      </c>
      <c r="N9" s="55" t="e">
        <f t="shared" ca="1" si="21"/>
        <v>#REF!</v>
      </c>
      <c r="O9" s="55" t="e">
        <f t="shared" ca="1" si="22"/>
        <v>#REF!</v>
      </c>
      <c r="P9" s="55" t="e">
        <f t="shared" ca="1" si="23"/>
        <v>#REF!</v>
      </c>
      <c r="Q9" s="55" t="e">
        <f t="shared" ca="1" si="24"/>
        <v>#REF!</v>
      </c>
      <c r="R9" s="55" t="e">
        <f t="shared" ca="1" si="25"/>
        <v>#REF!</v>
      </c>
      <c r="S9" s="55" t="e">
        <f t="shared" ca="1" si="26"/>
        <v>#REF!</v>
      </c>
      <c r="T9" s="56" t="e">
        <f ca="1">INDIRECT("'"&amp;$A9&amp;"'!K36")</f>
        <v>#REF!</v>
      </c>
      <c r="U9" s="55"/>
      <c r="V9" s="55"/>
      <c r="W9" s="55"/>
      <c r="X9" s="55"/>
      <c r="Y9" s="55"/>
      <c r="Z9" s="55"/>
      <c r="AA9" s="55" t="e">
        <f ca="1">INDIRECT("'"&amp;$A9&amp;"'!J36")</f>
        <v>#REF!</v>
      </c>
      <c r="AB9" s="55" t="e">
        <f ca="1">INDIRECT("'"&amp;$A9&amp;"'!I36")</f>
        <v>#REF!</v>
      </c>
      <c r="AC9" s="55" t="e">
        <f ca="1">INDIRECT("'"&amp;$A9&amp;"'!H36")</f>
        <v>#REF!</v>
      </c>
      <c r="AD9" s="55" t="e">
        <f ca="1">IF(IF(INDIRECT("'"&amp;$A9&amp;"'!F36")="",0,INDIRECT("'"&amp;$A9&amp;"'!F36"))+IF(INDIRECT("'"&amp;$A9&amp;"'!G36")="",0,INDIRECT("'"&amp;$A9&amp;"'!G36"))=0,"",IF(INDIRECT("'"&amp;$A9&amp;"'!F36")="",0,INDIRECT("'"&amp;$A9&amp;"'!F36"))+IF(INDIRECT("'"&amp;$A9&amp;"'!G36")="",0,INDIRECT("'"&amp;$A9&amp;"'!G36")))</f>
        <v>#REF!</v>
      </c>
    </row>
    <row r="10" spans="1:31" x14ac:dyDescent="0.3">
      <c r="A10" s="64"/>
      <c r="B10" s="64" t="e">
        <f t="shared" ca="1" si="27"/>
        <v>#REF!</v>
      </c>
      <c r="C10" s="65" t="e">
        <f t="shared" ca="1" si="10"/>
        <v>#REF!</v>
      </c>
      <c r="D10" s="65" t="e">
        <f t="shared" ca="1" si="11"/>
        <v>#REF!</v>
      </c>
      <c r="E10" s="65" t="e">
        <f t="shared" ca="1" si="12"/>
        <v>#REF!</v>
      </c>
      <c r="F10" s="65" t="e">
        <f t="shared" ca="1" si="13"/>
        <v>#REF!</v>
      </c>
      <c r="G10" s="65" t="e">
        <f t="shared" ca="1" si="14"/>
        <v>#REF!</v>
      </c>
      <c r="H10" s="65" t="e">
        <f t="shared" ca="1" si="15"/>
        <v>#REF!</v>
      </c>
      <c r="I10" s="65" t="e">
        <f t="shared" ca="1" si="16"/>
        <v>#REF!</v>
      </c>
      <c r="J10" s="65" t="e">
        <f t="shared" ca="1" si="17"/>
        <v>#REF!</v>
      </c>
      <c r="K10" s="65" t="e">
        <f t="shared" ca="1" si="18"/>
        <v>#REF!</v>
      </c>
      <c r="L10" s="65" t="e">
        <f t="shared" ca="1" si="19"/>
        <v>#REF!</v>
      </c>
      <c r="M10" s="65" t="e">
        <f t="shared" ca="1" si="20"/>
        <v>#REF!</v>
      </c>
      <c r="N10" s="65" t="e">
        <f t="shared" ca="1" si="21"/>
        <v>#REF!</v>
      </c>
      <c r="O10" s="65" t="e">
        <f t="shared" ca="1" si="22"/>
        <v>#REF!</v>
      </c>
      <c r="P10" s="65" t="e">
        <f t="shared" ca="1" si="23"/>
        <v>#REF!</v>
      </c>
      <c r="Q10" s="65" t="e">
        <f t="shared" ca="1" si="24"/>
        <v>#REF!</v>
      </c>
      <c r="R10" s="65" t="e">
        <f t="shared" ca="1" si="25"/>
        <v>#REF!</v>
      </c>
      <c r="S10" s="65" t="e">
        <f t="shared" ca="1" si="26"/>
        <v>#REF!</v>
      </c>
      <c r="T10" s="66" t="e">
        <f ca="1">INDIRECT("'"&amp;$A10&amp;"'!K36")</f>
        <v>#REF!</v>
      </c>
      <c r="U10" s="65"/>
      <c r="V10" s="65"/>
      <c r="W10" s="65"/>
      <c r="X10" s="65"/>
      <c r="Y10" s="65"/>
      <c r="Z10" s="65"/>
      <c r="AA10" s="65" t="e">
        <f ca="1">INDIRECT("'"&amp;$A10&amp;"'!J36")</f>
        <v>#REF!</v>
      </c>
      <c r="AB10" s="65" t="e">
        <f ca="1">INDIRECT("'"&amp;$A10&amp;"'!I36")</f>
        <v>#REF!</v>
      </c>
      <c r="AC10" s="65" t="e">
        <f ca="1">INDIRECT("'"&amp;$A10&amp;"'!H36")</f>
        <v>#REF!</v>
      </c>
      <c r="AD10" s="65" t="e">
        <f ca="1">IF(IF(INDIRECT("'"&amp;$A10&amp;"'!F36")="",0,INDIRECT("'"&amp;$A10&amp;"'!F36"))+IF(INDIRECT("'"&amp;$A10&amp;"'!G36")="",0,INDIRECT("'"&amp;$A10&amp;"'!G36"))=0,"",IF(INDIRECT("'"&amp;$A10&amp;"'!F36")="",0,INDIRECT("'"&amp;$A10&amp;"'!F36"))+IF(INDIRECT("'"&amp;$A10&amp;"'!G36")="",0,INDIRECT("'"&amp;$A10&amp;"'!G36")))</f>
        <v>#REF!</v>
      </c>
    </row>
    <row r="11" spans="1:31" x14ac:dyDescent="0.3">
      <c r="A11" s="59"/>
      <c r="B11" s="59" t="e">
        <f t="shared" ca="1" si="27"/>
        <v>#REF!</v>
      </c>
      <c r="C11" s="55" t="e">
        <f t="shared" ca="1" si="10"/>
        <v>#REF!</v>
      </c>
      <c r="D11" s="55" t="e">
        <f t="shared" ca="1" si="11"/>
        <v>#REF!</v>
      </c>
      <c r="E11" s="55" t="e">
        <f t="shared" ca="1" si="12"/>
        <v>#REF!</v>
      </c>
      <c r="F11" s="55" t="e">
        <f t="shared" ca="1" si="13"/>
        <v>#REF!</v>
      </c>
      <c r="G11" s="55" t="e">
        <f t="shared" ca="1" si="14"/>
        <v>#REF!</v>
      </c>
      <c r="H11" s="55" t="e">
        <f t="shared" ca="1" si="15"/>
        <v>#REF!</v>
      </c>
      <c r="I11" s="55" t="e">
        <f t="shared" ca="1" si="16"/>
        <v>#REF!</v>
      </c>
      <c r="J11" s="55" t="e">
        <f t="shared" ca="1" si="17"/>
        <v>#REF!</v>
      </c>
      <c r="K11" s="55" t="e">
        <f t="shared" ca="1" si="18"/>
        <v>#REF!</v>
      </c>
      <c r="L11" s="55" t="e">
        <f t="shared" ca="1" si="19"/>
        <v>#REF!</v>
      </c>
      <c r="M11" s="55" t="e">
        <f t="shared" ca="1" si="20"/>
        <v>#REF!</v>
      </c>
      <c r="N11" s="55" t="e">
        <f t="shared" ca="1" si="21"/>
        <v>#REF!</v>
      </c>
      <c r="O11" s="55" t="e">
        <f t="shared" ca="1" si="22"/>
        <v>#REF!</v>
      </c>
      <c r="P11" s="55" t="e">
        <f t="shared" ca="1" si="23"/>
        <v>#REF!</v>
      </c>
      <c r="Q11" s="55" t="e">
        <f t="shared" ca="1" si="24"/>
        <v>#REF!</v>
      </c>
      <c r="R11" s="55" t="e">
        <f t="shared" ca="1" si="25"/>
        <v>#REF!</v>
      </c>
      <c r="S11" s="55" t="e">
        <f t="shared" ca="1" si="26"/>
        <v>#REF!</v>
      </c>
      <c r="T11" s="56" t="e">
        <f ca="1">INDIRECT("'"&amp;$A11&amp;"'!K36")</f>
        <v>#REF!</v>
      </c>
      <c r="U11" s="55"/>
      <c r="V11" s="55"/>
      <c r="W11" s="55"/>
      <c r="X11" s="55"/>
      <c r="Y11" s="55"/>
      <c r="Z11" s="55"/>
      <c r="AA11" s="55" t="e">
        <f ca="1">INDIRECT("'"&amp;$A11&amp;"'!J36")</f>
        <v>#REF!</v>
      </c>
      <c r="AB11" s="55" t="e">
        <f ca="1">INDIRECT("'"&amp;$A11&amp;"'!I36")</f>
        <v>#REF!</v>
      </c>
      <c r="AC11" s="55" t="e">
        <f ca="1">INDIRECT("'"&amp;$A11&amp;"'!H36")</f>
        <v>#REF!</v>
      </c>
      <c r="AD11" s="55" t="e">
        <f ca="1">IF(IF(INDIRECT("'"&amp;$A11&amp;"'!F36")="",0,INDIRECT("'"&amp;$A11&amp;"'!F36"))+IF(INDIRECT("'"&amp;$A11&amp;"'!G36")="",0,INDIRECT("'"&amp;$A11&amp;"'!G36"))=0,"",IF(INDIRECT("'"&amp;$A11&amp;"'!F36")="",0,INDIRECT("'"&amp;$A11&amp;"'!F36"))+IF(INDIRECT("'"&amp;$A11&amp;"'!G36")="",0,INDIRECT("'"&amp;$A11&amp;"'!G36")))</f>
        <v>#REF!</v>
      </c>
    </row>
    <row r="12" spans="1:31" x14ac:dyDescent="0.3">
      <c r="A12" s="64"/>
      <c r="B12" s="64" t="e">
        <f t="shared" ca="1" si="27"/>
        <v>#REF!</v>
      </c>
      <c r="C12" s="65" t="e">
        <f t="shared" ca="1" si="10"/>
        <v>#REF!</v>
      </c>
      <c r="D12" s="65" t="e">
        <f t="shared" ca="1" si="11"/>
        <v>#REF!</v>
      </c>
      <c r="E12" s="65" t="e">
        <f t="shared" ca="1" si="12"/>
        <v>#REF!</v>
      </c>
      <c r="F12" s="65" t="e">
        <f t="shared" ca="1" si="13"/>
        <v>#REF!</v>
      </c>
      <c r="G12" s="65" t="e">
        <f t="shared" ca="1" si="14"/>
        <v>#REF!</v>
      </c>
      <c r="H12" s="65" t="e">
        <f t="shared" ca="1" si="15"/>
        <v>#REF!</v>
      </c>
      <c r="I12" s="65" t="e">
        <f t="shared" ca="1" si="16"/>
        <v>#REF!</v>
      </c>
      <c r="J12" s="65" t="e">
        <f t="shared" ca="1" si="17"/>
        <v>#REF!</v>
      </c>
      <c r="K12" s="65" t="e">
        <f t="shared" ca="1" si="18"/>
        <v>#REF!</v>
      </c>
      <c r="L12" s="65" t="e">
        <f t="shared" ca="1" si="19"/>
        <v>#REF!</v>
      </c>
      <c r="M12" s="65" t="e">
        <f t="shared" ca="1" si="20"/>
        <v>#REF!</v>
      </c>
      <c r="N12" s="65" t="e">
        <f t="shared" ca="1" si="21"/>
        <v>#REF!</v>
      </c>
      <c r="O12" s="65" t="e">
        <f t="shared" ca="1" si="22"/>
        <v>#REF!</v>
      </c>
      <c r="P12" s="65" t="e">
        <f t="shared" ca="1" si="23"/>
        <v>#REF!</v>
      </c>
      <c r="Q12" s="65" t="e">
        <f t="shared" ca="1" si="24"/>
        <v>#REF!</v>
      </c>
      <c r="R12" s="65" t="e">
        <f t="shared" ca="1" si="25"/>
        <v>#REF!</v>
      </c>
      <c r="S12" s="65" t="e">
        <f t="shared" ca="1" si="26"/>
        <v>#REF!</v>
      </c>
      <c r="T12" s="66" t="e">
        <f ca="1">INDIRECT("'"&amp;$A12&amp;"'!K36")</f>
        <v>#REF!</v>
      </c>
      <c r="U12" s="65"/>
      <c r="V12" s="65"/>
      <c r="W12" s="65"/>
      <c r="X12" s="65"/>
      <c r="Y12" s="65"/>
      <c r="Z12" s="65"/>
      <c r="AA12" s="65" t="e">
        <f ca="1">INDIRECT("'"&amp;$A12&amp;"'!J36")</f>
        <v>#REF!</v>
      </c>
      <c r="AB12" s="65" t="e">
        <f ca="1">INDIRECT("'"&amp;$A12&amp;"'!I36")</f>
        <v>#REF!</v>
      </c>
      <c r="AC12" s="65" t="e">
        <f ca="1">INDIRECT("'"&amp;$A12&amp;"'!H36")</f>
        <v>#REF!</v>
      </c>
      <c r="AD12" s="65" t="e">
        <f ca="1">IF(IF(INDIRECT("'"&amp;$A12&amp;"'!F36")="",0,INDIRECT("'"&amp;$A12&amp;"'!F36"))+IF(INDIRECT("'"&amp;$A12&amp;"'!G36")="",0,INDIRECT("'"&amp;$A12&amp;"'!G36"))=0,"",IF(INDIRECT("'"&amp;$A12&amp;"'!F36")="",0,INDIRECT("'"&amp;$A12&amp;"'!F36"))+IF(INDIRECT("'"&amp;$A12&amp;"'!G36")="",0,INDIRECT("'"&amp;$A12&amp;"'!G36")))</f>
        <v>#REF!</v>
      </c>
    </row>
    <row r="13" spans="1:31" x14ac:dyDescent="0.3">
      <c r="A13" s="59"/>
      <c r="B13" s="59" t="e">
        <f t="shared" ca="1" si="27"/>
        <v>#REF!</v>
      </c>
      <c r="C13" s="55" t="e">
        <f t="shared" ca="1" si="10"/>
        <v>#REF!</v>
      </c>
      <c r="D13" s="55" t="e">
        <f t="shared" ca="1" si="11"/>
        <v>#REF!</v>
      </c>
      <c r="E13" s="55" t="e">
        <f t="shared" ca="1" si="12"/>
        <v>#REF!</v>
      </c>
      <c r="F13" s="55" t="e">
        <f t="shared" ca="1" si="13"/>
        <v>#REF!</v>
      </c>
      <c r="G13" s="55" t="e">
        <f t="shared" ca="1" si="14"/>
        <v>#REF!</v>
      </c>
      <c r="H13" s="55" t="e">
        <f t="shared" ca="1" si="15"/>
        <v>#REF!</v>
      </c>
      <c r="I13" s="55" t="e">
        <f t="shared" ca="1" si="16"/>
        <v>#REF!</v>
      </c>
      <c r="J13" s="55" t="e">
        <f t="shared" ca="1" si="17"/>
        <v>#REF!</v>
      </c>
      <c r="K13" s="55" t="e">
        <f t="shared" ca="1" si="18"/>
        <v>#REF!</v>
      </c>
      <c r="L13" s="55" t="e">
        <f t="shared" ca="1" si="19"/>
        <v>#REF!</v>
      </c>
      <c r="M13" s="55" t="e">
        <f t="shared" ca="1" si="20"/>
        <v>#REF!</v>
      </c>
      <c r="N13" s="55" t="e">
        <f t="shared" ca="1" si="21"/>
        <v>#REF!</v>
      </c>
      <c r="O13" s="55" t="e">
        <f t="shared" ca="1" si="22"/>
        <v>#REF!</v>
      </c>
      <c r="P13" s="55" t="e">
        <f t="shared" ca="1" si="23"/>
        <v>#REF!</v>
      </c>
      <c r="Q13" s="55" t="e">
        <f t="shared" ca="1" si="24"/>
        <v>#REF!</v>
      </c>
      <c r="R13" s="55" t="e">
        <f t="shared" ca="1" si="25"/>
        <v>#REF!</v>
      </c>
      <c r="S13" s="55" t="e">
        <f t="shared" ca="1" si="26"/>
        <v>#REF!</v>
      </c>
      <c r="T13" s="56" t="e">
        <f ca="1">INDIRECT("'"&amp;$A13&amp;"'!K36")</f>
        <v>#REF!</v>
      </c>
      <c r="U13" s="55"/>
      <c r="V13" s="55"/>
      <c r="W13" s="55"/>
      <c r="X13" s="55"/>
      <c r="Y13" s="55"/>
      <c r="Z13" s="55"/>
      <c r="AA13" s="55" t="e">
        <f ca="1">INDIRECT("'"&amp;$A13&amp;"'!J36")</f>
        <v>#REF!</v>
      </c>
      <c r="AB13" s="55" t="e">
        <f ca="1">INDIRECT("'"&amp;$A13&amp;"'!I36")</f>
        <v>#REF!</v>
      </c>
      <c r="AC13" s="55" t="e">
        <f ca="1">INDIRECT("'"&amp;$A13&amp;"'!H36")</f>
        <v>#REF!</v>
      </c>
      <c r="AD13" s="55" t="e">
        <f ca="1">IF(IF(INDIRECT("'"&amp;$A13&amp;"'!F36")="",0,INDIRECT("'"&amp;$A13&amp;"'!F36"))+IF(INDIRECT("'"&amp;$A13&amp;"'!G36")="",0,INDIRECT("'"&amp;$A13&amp;"'!G36"))=0,"",IF(INDIRECT("'"&amp;$A13&amp;"'!F36")="",0,INDIRECT("'"&amp;$A13&amp;"'!F36"))+IF(INDIRECT("'"&amp;$A13&amp;"'!G36")="",0,INDIRECT("'"&amp;$A13&amp;"'!G36")))</f>
        <v>#REF!</v>
      </c>
    </row>
    <row r="14" spans="1:31" x14ac:dyDescent="0.3">
      <c r="A14" s="64"/>
      <c r="B14" s="64" t="e">
        <f t="shared" ca="1" si="27"/>
        <v>#REF!</v>
      </c>
      <c r="C14" s="65" t="e">
        <f t="shared" ca="1" si="10"/>
        <v>#REF!</v>
      </c>
      <c r="D14" s="65" t="e">
        <f t="shared" ca="1" si="11"/>
        <v>#REF!</v>
      </c>
      <c r="E14" s="65" t="e">
        <f t="shared" ca="1" si="12"/>
        <v>#REF!</v>
      </c>
      <c r="F14" s="65" t="e">
        <f t="shared" ca="1" si="13"/>
        <v>#REF!</v>
      </c>
      <c r="G14" s="65" t="e">
        <f t="shared" ca="1" si="14"/>
        <v>#REF!</v>
      </c>
      <c r="H14" s="65" t="e">
        <f t="shared" ca="1" si="15"/>
        <v>#REF!</v>
      </c>
      <c r="I14" s="65" t="e">
        <f t="shared" ca="1" si="16"/>
        <v>#REF!</v>
      </c>
      <c r="J14" s="65" t="e">
        <f t="shared" ca="1" si="17"/>
        <v>#REF!</v>
      </c>
      <c r="K14" s="65" t="e">
        <f t="shared" ca="1" si="18"/>
        <v>#REF!</v>
      </c>
      <c r="L14" s="65" t="e">
        <f t="shared" ca="1" si="19"/>
        <v>#REF!</v>
      </c>
      <c r="M14" s="65" t="e">
        <f t="shared" ca="1" si="20"/>
        <v>#REF!</v>
      </c>
      <c r="N14" s="65" t="e">
        <f t="shared" ca="1" si="21"/>
        <v>#REF!</v>
      </c>
      <c r="O14" s="65" t="e">
        <f t="shared" ca="1" si="22"/>
        <v>#REF!</v>
      </c>
      <c r="P14" s="65" t="e">
        <f t="shared" ca="1" si="23"/>
        <v>#REF!</v>
      </c>
      <c r="Q14" s="65" t="e">
        <f t="shared" ca="1" si="24"/>
        <v>#REF!</v>
      </c>
      <c r="R14" s="65" t="e">
        <f t="shared" ca="1" si="25"/>
        <v>#REF!</v>
      </c>
      <c r="S14" s="65" t="e">
        <f t="shared" ca="1" si="26"/>
        <v>#REF!</v>
      </c>
      <c r="T14" s="66" t="e">
        <f ca="1">INDIRECT("'"&amp;$A14&amp;"'!K36")</f>
        <v>#REF!</v>
      </c>
      <c r="U14" s="65"/>
      <c r="V14" s="65"/>
      <c r="W14" s="65"/>
      <c r="X14" s="65"/>
      <c r="Y14" s="65"/>
      <c r="Z14" s="65"/>
      <c r="AA14" s="65" t="e">
        <f ca="1">INDIRECT("'"&amp;$A14&amp;"'!J36")</f>
        <v>#REF!</v>
      </c>
      <c r="AB14" s="65" t="e">
        <f ca="1">INDIRECT("'"&amp;$A14&amp;"'!I36")</f>
        <v>#REF!</v>
      </c>
      <c r="AC14" s="65" t="e">
        <f ca="1">INDIRECT("'"&amp;$A14&amp;"'!H36")</f>
        <v>#REF!</v>
      </c>
      <c r="AD14" s="65" t="e">
        <f ca="1">IF(IF(INDIRECT("'"&amp;$A14&amp;"'!F36")="",0,INDIRECT("'"&amp;$A14&amp;"'!F36"))+IF(INDIRECT("'"&amp;$A14&amp;"'!G36")="",0,INDIRECT("'"&amp;$A14&amp;"'!G36"))=0,"",IF(INDIRECT("'"&amp;$A14&amp;"'!F36")="",0,INDIRECT("'"&amp;$A14&amp;"'!F36"))+IF(INDIRECT("'"&amp;$A14&amp;"'!G36")="",0,INDIRECT("'"&amp;$A14&amp;"'!G36")))</f>
        <v>#REF!</v>
      </c>
    </row>
    <row r="15" spans="1:31" x14ac:dyDescent="0.3">
      <c r="A15" s="59"/>
      <c r="B15" s="59" t="e">
        <f t="shared" ca="1" si="27"/>
        <v>#REF!</v>
      </c>
      <c r="C15" s="55" t="e">
        <f t="shared" ca="1" si="10"/>
        <v>#REF!</v>
      </c>
      <c r="D15" s="55" t="e">
        <f t="shared" ca="1" si="11"/>
        <v>#REF!</v>
      </c>
      <c r="E15" s="55" t="e">
        <f t="shared" ca="1" si="12"/>
        <v>#REF!</v>
      </c>
      <c r="F15" s="55" t="e">
        <f t="shared" ca="1" si="13"/>
        <v>#REF!</v>
      </c>
      <c r="G15" s="55" t="e">
        <f t="shared" ca="1" si="14"/>
        <v>#REF!</v>
      </c>
      <c r="H15" s="55" t="e">
        <f t="shared" ca="1" si="15"/>
        <v>#REF!</v>
      </c>
      <c r="I15" s="55" t="e">
        <f t="shared" ca="1" si="16"/>
        <v>#REF!</v>
      </c>
      <c r="J15" s="55" t="e">
        <f t="shared" ca="1" si="17"/>
        <v>#REF!</v>
      </c>
      <c r="K15" s="55" t="e">
        <f t="shared" ca="1" si="18"/>
        <v>#REF!</v>
      </c>
      <c r="L15" s="55" t="e">
        <f t="shared" ca="1" si="19"/>
        <v>#REF!</v>
      </c>
      <c r="M15" s="55" t="e">
        <f t="shared" ca="1" si="20"/>
        <v>#REF!</v>
      </c>
      <c r="N15" s="55" t="e">
        <f t="shared" ca="1" si="21"/>
        <v>#REF!</v>
      </c>
      <c r="O15" s="55" t="e">
        <f t="shared" ca="1" si="22"/>
        <v>#REF!</v>
      </c>
      <c r="P15" s="55" t="e">
        <f t="shared" ca="1" si="23"/>
        <v>#REF!</v>
      </c>
      <c r="Q15" s="55" t="e">
        <f t="shared" ca="1" si="24"/>
        <v>#REF!</v>
      </c>
      <c r="R15" s="55" t="e">
        <f t="shared" ca="1" si="25"/>
        <v>#REF!</v>
      </c>
      <c r="S15" s="55" t="e">
        <f t="shared" ca="1" si="26"/>
        <v>#REF!</v>
      </c>
      <c r="T15" s="56" t="e">
        <f ca="1">INDIRECT("'"&amp;$A15&amp;"'!K36")</f>
        <v>#REF!</v>
      </c>
      <c r="U15" s="55"/>
      <c r="V15" s="55"/>
      <c r="W15" s="55"/>
      <c r="X15" s="55"/>
      <c r="Y15" s="55"/>
      <c r="Z15" s="55"/>
      <c r="AA15" s="55" t="e">
        <f ca="1">INDIRECT("'"&amp;$A15&amp;"'!J36")</f>
        <v>#REF!</v>
      </c>
      <c r="AB15" s="55" t="e">
        <f ca="1">INDIRECT("'"&amp;$A15&amp;"'!I36")</f>
        <v>#REF!</v>
      </c>
      <c r="AC15" s="55" t="e">
        <f ca="1">INDIRECT("'"&amp;$A15&amp;"'!H36")</f>
        <v>#REF!</v>
      </c>
      <c r="AD15" s="55" t="e">
        <f ca="1">IF(IF(INDIRECT("'"&amp;$A15&amp;"'!F36")="",0,INDIRECT("'"&amp;$A15&amp;"'!F36"))+IF(INDIRECT("'"&amp;$A15&amp;"'!G36")="",0,INDIRECT("'"&amp;$A15&amp;"'!G36"))=0,"",IF(INDIRECT("'"&amp;$A15&amp;"'!F36")="",0,INDIRECT("'"&amp;$A15&amp;"'!F36"))+IF(INDIRECT("'"&amp;$A15&amp;"'!G36")="",0,INDIRECT("'"&amp;$A15&amp;"'!G36")))</f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pageMargins left="0.7" right="0.7" top="0.78740157499999996" bottom="0.78740157499999996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R15"/>
  <sheetViews>
    <sheetView zoomScale="115" zoomScaleNormal="115" workbookViewId="0">
      <selection sqref="A1:B1"/>
    </sheetView>
  </sheetViews>
  <sheetFormatPr defaultColWidth="11.5546875" defaultRowHeight="14.4" x14ac:dyDescent="0.3"/>
  <cols>
    <col min="1" max="1" width="11.77734375" customWidth="1"/>
    <col min="2" max="2" width="22.6640625" customWidth="1"/>
    <col min="3" max="19" width="3.6640625" customWidth="1"/>
    <col min="20" max="20" width="5.6640625" customWidth="1"/>
    <col min="21" max="26" width="5.6640625" hidden="1" customWidth="1"/>
    <col min="27" max="27" width="3.6640625" style="52" customWidth="1"/>
    <col min="28" max="30" width="3.6640625" customWidth="1"/>
  </cols>
  <sheetData>
    <row r="1" spans="1:44" ht="15" customHeight="1" x14ac:dyDescent="0.3">
      <c r="A1" s="380" t="s">
        <v>171</v>
      </c>
      <c r="B1" s="380"/>
      <c r="C1" s="113" t="e">
        <f ca="1">SUM(C7:C11)-MAX(C7:C11)-MIN(C7:C11)</f>
        <v>#REF!</v>
      </c>
      <c r="D1" s="113" t="e">
        <f t="shared" ref="D1:S1" ca="1" si="0">SUM(D7:D11)-MAX(D7:D11)-MIN(D7:D11)</f>
        <v>#REF!</v>
      </c>
      <c r="E1" s="113" t="e">
        <f t="shared" ca="1" si="0"/>
        <v>#REF!</v>
      </c>
      <c r="F1" s="113" t="e">
        <f t="shared" ca="1" si="0"/>
        <v>#REF!</v>
      </c>
      <c r="G1" s="113" t="e">
        <f t="shared" ca="1" si="0"/>
        <v>#REF!</v>
      </c>
      <c r="H1" s="113" t="e">
        <f t="shared" ca="1" si="0"/>
        <v>#REF!</v>
      </c>
      <c r="I1" s="113" t="e">
        <f t="shared" ca="1" si="0"/>
        <v>#REF!</v>
      </c>
      <c r="J1" s="113" t="e">
        <f t="shared" ca="1" si="0"/>
        <v>#REF!</v>
      </c>
      <c r="K1" s="113" t="e">
        <f t="shared" ca="1" si="0"/>
        <v>#REF!</v>
      </c>
      <c r="L1" s="113" t="e">
        <f t="shared" ca="1" si="0"/>
        <v>#REF!</v>
      </c>
      <c r="M1" s="113" t="e">
        <f t="shared" ca="1" si="0"/>
        <v>#REF!</v>
      </c>
      <c r="N1" s="113" t="e">
        <f t="shared" ca="1" si="0"/>
        <v>#REF!</v>
      </c>
      <c r="O1" s="113" t="e">
        <f t="shared" ca="1" si="0"/>
        <v>#REF!</v>
      </c>
      <c r="P1" s="113" t="e">
        <f t="shared" ca="1" si="0"/>
        <v>#REF!</v>
      </c>
      <c r="Q1" s="113" t="e">
        <f t="shared" ca="1" si="0"/>
        <v>#REF!</v>
      </c>
      <c r="R1" s="113" t="e">
        <f t="shared" ca="1" si="0"/>
        <v>#REF!</v>
      </c>
      <c r="S1" s="113" t="e">
        <f t="shared" ca="1" si="0"/>
        <v>#REF!</v>
      </c>
      <c r="T1" s="54" t="e">
        <f ca="1">IF(SUM(AA7:AA12)&gt;0,SUM(C1:S1)/2,SUM(C1:S1))</f>
        <v>#REF!</v>
      </c>
      <c r="U1" s="260"/>
      <c r="V1" s="260"/>
      <c r="W1" s="260"/>
      <c r="X1" s="260"/>
      <c r="Y1" s="260"/>
      <c r="Z1" s="260"/>
      <c r="AA1" s="122" t="e">
        <f t="shared" ref="AA1" ca="1" si="1">SUM(AA7:AA12)-MAX(AA7:AA12)-MIN(AA7:AA12)</f>
        <v>#REF!</v>
      </c>
      <c r="AB1" s="114" t="e">
        <f ca="1">SUM(AB7:AB12)</f>
        <v>#REF!</v>
      </c>
      <c r="AC1" s="114" t="e">
        <f t="shared" ref="AC1:AD1" ca="1" si="2">SUM(AC7:AC12)</f>
        <v>#REF!</v>
      </c>
      <c r="AD1" s="114" t="e">
        <f t="shared" ca="1" si="2"/>
        <v>#REF!</v>
      </c>
    </row>
    <row r="2" spans="1:44" ht="15" customHeight="1" x14ac:dyDescent="0.3">
      <c r="A2" s="382" t="s">
        <v>84</v>
      </c>
      <c r="B2" s="382"/>
      <c r="C2" s="115" t="e">
        <f ca="1">AVERAGE(C7:C12)</f>
        <v>#REF!</v>
      </c>
      <c r="D2" s="115" t="e">
        <f t="shared" ref="D2:S2" ca="1" si="3">AVERAGE(D7:D12)</f>
        <v>#REF!</v>
      </c>
      <c r="E2" s="115" t="e">
        <f t="shared" ca="1" si="3"/>
        <v>#REF!</v>
      </c>
      <c r="F2" s="115" t="e">
        <f t="shared" ca="1" si="3"/>
        <v>#REF!</v>
      </c>
      <c r="G2" s="115" t="e">
        <f t="shared" ca="1" si="3"/>
        <v>#REF!</v>
      </c>
      <c r="H2" s="115" t="e">
        <f t="shared" ca="1" si="3"/>
        <v>#REF!</v>
      </c>
      <c r="I2" s="115" t="e">
        <f t="shared" ca="1" si="3"/>
        <v>#REF!</v>
      </c>
      <c r="J2" s="115" t="e">
        <f t="shared" ca="1" si="3"/>
        <v>#REF!</v>
      </c>
      <c r="K2" s="115" t="e">
        <f t="shared" ca="1" si="3"/>
        <v>#REF!</v>
      </c>
      <c r="L2" s="115" t="e">
        <f t="shared" ca="1" si="3"/>
        <v>#REF!</v>
      </c>
      <c r="M2" s="115" t="e">
        <f t="shared" ca="1" si="3"/>
        <v>#REF!</v>
      </c>
      <c r="N2" s="115" t="e">
        <f t="shared" ca="1" si="3"/>
        <v>#REF!</v>
      </c>
      <c r="O2" s="115" t="e">
        <f t="shared" ca="1" si="3"/>
        <v>#REF!</v>
      </c>
      <c r="P2" s="115" t="e">
        <f t="shared" ca="1" si="3"/>
        <v>#REF!</v>
      </c>
      <c r="Q2" s="115" t="e">
        <f t="shared" ca="1" si="3"/>
        <v>#REF!</v>
      </c>
      <c r="R2" s="115" t="e">
        <f t="shared" ca="1" si="3"/>
        <v>#REF!</v>
      </c>
      <c r="S2" s="115" t="e">
        <f t="shared" ca="1" si="3"/>
        <v>#REF!</v>
      </c>
      <c r="T2" s="152" t="e">
        <f ca="1">AVERAGE(T7:T12)</f>
        <v>#REF!</v>
      </c>
      <c r="U2" s="115"/>
      <c r="V2" s="115"/>
      <c r="W2" s="115"/>
      <c r="X2" s="115"/>
      <c r="Y2" s="115"/>
      <c r="Z2" s="115"/>
      <c r="AA2" s="123" t="e">
        <f t="shared" ref="AA2" ca="1" si="4">AVERAGE(AA7:AA12)</f>
        <v>#REF!</v>
      </c>
      <c r="AB2" s="116" t="e">
        <f ca="1">AVERAGE(AB7:AB12)</f>
        <v>#REF!</v>
      </c>
      <c r="AC2" s="116" t="e">
        <f t="shared" ref="AC2:AD2" ca="1" si="5">AVERAGE(AC7:AC12)</f>
        <v>#REF!</v>
      </c>
      <c r="AD2" s="116" t="e">
        <f t="shared" ca="1" si="5"/>
        <v>#REF!</v>
      </c>
    </row>
    <row r="3" spans="1:44" ht="15" customHeight="1" x14ac:dyDescent="0.3">
      <c r="A3" s="382" t="s">
        <v>85</v>
      </c>
      <c r="B3" s="382"/>
      <c r="C3" s="117" t="e">
        <f ca="1">_xlfn.STDEV.P(C7:C12)</f>
        <v>#REF!</v>
      </c>
      <c r="D3" s="117" t="e">
        <f t="shared" ref="D3:S3" ca="1" si="6">_xlfn.STDEV.P(D7:D12)</f>
        <v>#REF!</v>
      </c>
      <c r="E3" s="117" t="e">
        <f t="shared" ca="1" si="6"/>
        <v>#REF!</v>
      </c>
      <c r="F3" s="117" t="e">
        <f t="shared" ca="1" si="6"/>
        <v>#REF!</v>
      </c>
      <c r="G3" s="117" t="e">
        <f t="shared" ca="1" si="6"/>
        <v>#REF!</v>
      </c>
      <c r="H3" s="117" t="e">
        <f t="shared" ca="1" si="6"/>
        <v>#REF!</v>
      </c>
      <c r="I3" s="117" t="e">
        <f t="shared" ca="1" si="6"/>
        <v>#REF!</v>
      </c>
      <c r="J3" s="117" t="e">
        <f t="shared" ca="1" si="6"/>
        <v>#REF!</v>
      </c>
      <c r="K3" s="117" t="e">
        <f t="shared" ca="1" si="6"/>
        <v>#REF!</v>
      </c>
      <c r="L3" s="117" t="e">
        <f t="shared" ca="1" si="6"/>
        <v>#REF!</v>
      </c>
      <c r="M3" s="117" t="e">
        <f t="shared" ca="1" si="6"/>
        <v>#REF!</v>
      </c>
      <c r="N3" s="117" t="e">
        <f t="shared" ca="1" si="6"/>
        <v>#REF!</v>
      </c>
      <c r="O3" s="117" t="e">
        <f t="shared" ca="1" si="6"/>
        <v>#REF!</v>
      </c>
      <c r="P3" s="117" t="e">
        <f t="shared" ca="1" si="6"/>
        <v>#REF!</v>
      </c>
      <c r="Q3" s="117" t="e">
        <f t="shared" ca="1" si="6"/>
        <v>#REF!</v>
      </c>
      <c r="R3" s="117" t="e">
        <f t="shared" ca="1" si="6"/>
        <v>#REF!</v>
      </c>
      <c r="S3" s="117" t="e">
        <f t="shared" ca="1" si="6"/>
        <v>#REF!</v>
      </c>
      <c r="T3" s="153" t="e">
        <f ca="1">_xlfn.STDEV.P(T7:T12)</f>
        <v>#REF!</v>
      </c>
      <c r="U3" s="117"/>
      <c r="V3" s="117"/>
      <c r="W3" s="117"/>
      <c r="X3" s="117"/>
      <c r="Y3" s="117"/>
      <c r="Z3" s="117"/>
      <c r="AA3" s="124" t="e">
        <f t="shared" ref="AA3" ca="1" si="7">_xlfn.STDEV.P(AA7:AA12)</f>
        <v>#REF!</v>
      </c>
      <c r="AB3" s="118" t="e">
        <f ca="1">_xlfn.STDEV.P(AB7:AB12)</f>
        <v>#REF!</v>
      </c>
      <c r="AC3" s="118" t="e">
        <f t="shared" ref="AC3:AD3" ca="1" si="8">_xlfn.STDEV.P(AC7:AC12)</f>
        <v>#REF!</v>
      </c>
      <c r="AD3" s="118" t="e">
        <f t="shared" ca="1" si="8"/>
        <v>#REF!</v>
      </c>
    </row>
    <row r="4" spans="1:44" ht="15" customHeight="1" x14ac:dyDescent="0.3">
      <c r="A4" s="380" t="s">
        <v>86</v>
      </c>
      <c r="B4" s="380"/>
      <c r="C4" s="113" t="e">
        <f ca="1">MAX(C7:C12)-MIN(C7:C12)</f>
        <v>#REF!</v>
      </c>
      <c r="D4" s="113" t="e">
        <f t="shared" ref="D4:AD4" ca="1" si="9">MAX(D7:D12)-MIN(D7:D12)</f>
        <v>#REF!</v>
      </c>
      <c r="E4" s="113" t="e">
        <f t="shared" ca="1" si="9"/>
        <v>#REF!</v>
      </c>
      <c r="F4" s="113" t="e">
        <f t="shared" ca="1" si="9"/>
        <v>#REF!</v>
      </c>
      <c r="G4" s="113" t="e">
        <f t="shared" ca="1" si="9"/>
        <v>#REF!</v>
      </c>
      <c r="H4" s="113" t="e">
        <f t="shared" ca="1" si="9"/>
        <v>#REF!</v>
      </c>
      <c r="I4" s="113" t="e">
        <f t="shared" ca="1" si="9"/>
        <v>#REF!</v>
      </c>
      <c r="J4" s="113" t="e">
        <f t="shared" ca="1" si="9"/>
        <v>#REF!</v>
      </c>
      <c r="K4" s="113" t="e">
        <f t="shared" ca="1" si="9"/>
        <v>#REF!</v>
      </c>
      <c r="L4" s="113" t="e">
        <f t="shared" ca="1" si="9"/>
        <v>#REF!</v>
      </c>
      <c r="M4" s="113" t="e">
        <f t="shared" ca="1" si="9"/>
        <v>#REF!</v>
      </c>
      <c r="N4" s="113" t="e">
        <f t="shared" ca="1" si="9"/>
        <v>#REF!</v>
      </c>
      <c r="O4" s="113" t="e">
        <f t="shared" ca="1" si="9"/>
        <v>#REF!</v>
      </c>
      <c r="P4" s="113" t="e">
        <f t="shared" ca="1" si="9"/>
        <v>#REF!</v>
      </c>
      <c r="Q4" s="113" t="e">
        <f t="shared" ca="1" si="9"/>
        <v>#REF!</v>
      </c>
      <c r="R4" s="113" t="e">
        <f t="shared" ca="1" si="9"/>
        <v>#REF!</v>
      </c>
      <c r="S4" s="113" t="e">
        <f t="shared" ca="1" si="9"/>
        <v>#REF!</v>
      </c>
      <c r="T4" s="151" t="e">
        <f t="shared" ca="1" si="9"/>
        <v>#REF!</v>
      </c>
      <c r="U4" s="114"/>
      <c r="V4" s="114"/>
      <c r="W4" s="114"/>
      <c r="X4" s="114"/>
      <c r="Y4" s="114"/>
      <c r="Z4" s="114"/>
      <c r="AA4" s="122" t="e">
        <f ca="1">MAX(AA7:AA12)-MIN(AA7:AA12)</f>
        <v>#REF!</v>
      </c>
      <c r="AB4" s="114" t="e">
        <f t="shared" ca="1" si="9"/>
        <v>#REF!</v>
      </c>
      <c r="AC4" s="114" t="e">
        <f t="shared" ca="1" si="9"/>
        <v>#REF!</v>
      </c>
      <c r="AD4" s="114" t="e">
        <f t="shared" ca="1" si="9"/>
        <v>#REF!</v>
      </c>
    </row>
    <row r="5" spans="1:44" ht="15" customHeight="1" x14ac:dyDescent="0.3">
      <c r="A5" s="59" t="s">
        <v>87</v>
      </c>
      <c r="B5" s="67" t="str">
        <f ca="1">INDIRECT("'"&amp;$A7&amp;"'!C8") &amp; "-" &amp; INDIRECT("'"&amp;$A7&amp;"'!C9")</f>
        <v>-</v>
      </c>
      <c r="T5" s="154"/>
      <c r="U5" s="121"/>
      <c r="V5" s="121"/>
      <c r="W5" s="121"/>
      <c r="X5" s="121"/>
      <c r="Y5" s="121"/>
      <c r="Z5" s="121"/>
      <c r="AA5" s="125"/>
      <c r="AB5" s="121"/>
    </row>
    <row r="6" spans="1:44" ht="128.1" customHeight="1" x14ac:dyDescent="0.3">
      <c r="A6" s="31" t="s">
        <v>75</v>
      </c>
      <c r="B6" s="31" t="s">
        <v>76</v>
      </c>
      <c r="C6" s="61" t="s">
        <v>9</v>
      </c>
      <c r="D6" s="61" t="s">
        <v>91</v>
      </c>
      <c r="E6" s="61" t="s">
        <v>92</v>
      </c>
      <c r="F6" s="61" t="s">
        <v>93</v>
      </c>
      <c r="G6" s="61" t="s">
        <v>94</v>
      </c>
      <c r="H6" s="61" t="s">
        <v>95</v>
      </c>
      <c r="I6" s="61" t="s">
        <v>97</v>
      </c>
      <c r="J6" s="61" t="s">
        <v>98</v>
      </c>
      <c r="K6" s="61" t="s">
        <v>99</v>
      </c>
      <c r="L6" s="61" t="s">
        <v>100</v>
      </c>
      <c r="M6" s="61" t="s">
        <v>101</v>
      </c>
      <c r="N6" s="61" t="s">
        <v>103</v>
      </c>
      <c r="O6" s="61" t="s">
        <v>104</v>
      </c>
      <c r="P6" s="61" t="s">
        <v>105</v>
      </c>
      <c r="Q6" s="61" t="s">
        <v>106</v>
      </c>
      <c r="R6" s="61" t="s">
        <v>107</v>
      </c>
      <c r="S6" s="61" t="s">
        <v>30</v>
      </c>
      <c r="T6" s="62" t="s">
        <v>74</v>
      </c>
      <c r="U6" s="61"/>
      <c r="V6" s="61"/>
      <c r="W6" s="61"/>
      <c r="X6" s="61"/>
      <c r="Y6" s="61"/>
      <c r="Z6" s="61"/>
      <c r="AA6" s="119" t="s">
        <v>7</v>
      </c>
      <c r="AB6" s="63" t="s">
        <v>108</v>
      </c>
      <c r="AC6" s="61" t="s">
        <v>109</v>
      </c>
      <c r="AD6" s="61" t="s">
        <v>110</v>
      </c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</row>
    <row r="7" spans="1:44" ht="15" customHeight="1" x14ac:dyDescent="0.3">
      <c r="A7" t="s">
        <v>200</v>
      </c>
      <c r="B7">
        <f ca="1">INDIRECT("'"&amp;$A7&amp;"'!D5")</f>
        <v>0</v>
      </c>
      <c r="C7" s="55" t="str">
        <f ca="1">INDIRECT("'"&amp;$A7&amp;"'!K13")</f>
        <v/>
      </c>
      <c r="D7" s="55" t="str">
        <f ca="1">INDIRECT("'"&amp;$A7&amp;"'!K14")</f>
        <v/>
      </c>
      <c r="E7" s="55" t="str">
        <f ca="1">INDIRECT("'"&amp;$A7&amp;"'!K15")</f>
        <v/>
      </c>
      <c r="F7" s="55" t="str">
        <f ca="1">INDIRECT("'"&amp;$A7&amp;"'!K16")</f>
        <v/>
      </c>
      <c r="G7" s="55" t="str">
        <f ca="1">INDIRECT("'"&amp;$A7&amp;"'!K17")</f>
        <v/>
      </c>
      <c r="H7" s="55" t="str">
        <f ca="1">INDIRECT("'"&amp;$A7&amp;"'!K18")</f>
        <v/>
      </c>
      <c r="I7" s="55" t="str">
        <f ca="1">INDIRECT("'"&amp;$A7&amp;"'!K19")</f>
        <v/>
      </c>
      <c r="J7" s="55" t="str">
        <f ca="1">INDIRECT("'"&amp;$A7&amp;"'!K20")</f>
        <v/>
      </c>
      <c r="K7" s="55" t="str">
        <f ca="1">INDIRECT("'"&amp;$A7&amp;"'!K21")</f>
        <v/>
      </c>
      <c r="L7" s="55" t="str">
        <f ca="1">INDIRECT("'"&amp;$A7&amp;"'!K22")</f>
        <v/>
      </c>
      <c r="M7" s="55" t="str">
        <f ca="1">INDIRECT("'"&amp;$A7&amp;"'!K23")</f>
        <v/>
      </c>
      <c r="N7" s="55" t="str">
        <f ca="1">INDIRECT("'"&amp;$A7&amp;"'!K24")</f>
        <v/>
      </c>
      <c r="O7" s="55" t="str">
        <f ca="1">INDIRECT("'"&amp;$A7&amp;"'!K25")</f>
        <v/>
      </c>
      <c r="P7" s="55" t="str">
        <f ca="1">INDIRECT("'"&amp;$A7&amp;"'!K26")</f>
        <v/>
      </c>
      <c r="Q7" s="55" t="str">
        <f ca="1">INDIRECT("'"&amp;$A7&amp;"'!K27")</f>
        <v/>
      </c>
      <c r="R7" s="55" t="str">
        <f ca="1">INDIRECT("'"&amp;$A7&amp;"'!K28")</f>
        <v/>
      </c>
      <c r="S7" s="55" t="str">
        <f ca="1">INDIRECT("'"&amp;$A7&amp;"'!K29")</f>
        <v/>
      </c>
      <c r="T7" s="56" t="str">
        <f ca="1">INDIRECT("'"&amp;$A7&amp;"'!K36")</f>
        <v/>
      </c>
      <c r="U7" s="55"/>
      <c r="V7" s="55"/>
      <c r="W7" s="55"/>
      <c r="X7" s="55"/>
      <c r="Y7" s="55"/>
      <c r="Z7" s="55"/>
      <c r="AA7" s="55" t="str">
        <f ca="1">INDIRECT("'"&amp;$A7&amp;"'!J36")</f>
        <v/>
      </c>
      <c r="AB7" s="55" t="str">
        <f ca="1">INDIRECT("'"&amp;$A7&amp;"'!I36")</f>
        <v/>
      </c>
      <c r="AC7" s="55" t="str">
        <f ca="1">INDIRECT("'"&amp;$A7&amp;"'!H36")</f>
        <v/>
      </c>
      <c r="AD7" s="55" t="str">
        <f ca="1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/>
      </c>
    </row>
    <row r="8" spans="1:44" ht="15" customHeight="1" x14ac:dyDescent="0.3">
      <c r="A8" s="120"/>
      <c r="B8" s="120" t="e">
        <f t="shared" ref="B8:B15" ca="1" si="10">INDIRECT("'"&amp;$A8&amp;"'!D5")</f>
        <v>#REF!</v>
      </c>
      <c r="C8" s="65" t="e">
        <f t="shared" ref="C8:C15" ca="1" si="11">INDIRECT("'"&amp;$A8&amp;"'!K13")</f>
        <v>#REF!</v>
      </c>
      <c r="D8" s="65" t="e">
        <f t="shared" ref="D8:D15" ca="1" si="12">INDIRECT("'"&amp;$A8&amp;"'!K14")</f>
        <v>#REF!</v>
      </c>
      <c r="E8" s="65" t="e">
        <f t="shared" ref="E8:E15" ca="1" si="13">INDIRECT("'"&amp;$A8&amp;"'!K15")</f>
        <v>#REF!</v>
      </c>
      <c r="F8" s="65" t="e">
        <f t="shared" ref="F8:F15" ca="1" si="14">INDIRECT("'"&amp;$A8&amp;"'!K16")</f>
        <v>#REF!</v>
      </c>
      <c r="G8" s="65" t="e">
        <f t="shared" ref="G8:G15" ca="1" si="15">INDIRECT("'"&amp;$A8&amp;"'!K17")</f>
        <v>#REF!</v>
      </c>
      <c r="H8" s="65" t="e">
        <f t="shared" ref="H8:H15" ca="1" si="16">INDIRECT("'"&amp;$A8&amp;"'!K18")</f>
        <v>#REF!</v>
      </c>
      <c r="I8" s="65" t="e">
        <f t="shared" ref="I8:I15" ca="1" si="17">INDIRECT("'"&amp;$A8&amp;"'!K19")</f>
        <v>#REF!</v>
      </c>
      <c r="J8" s="65" t="e">
        <f t="shared" ref="J8:J15" ca="1" si="18">INDIRECT("'"&amp;$A8&amp;"'!K20")</f>
        <v>#REF!</v>
      </c>
      <c r="K8" s="65" t="e">
        <f t="shared" ref="K8:K15" ca="1" si="19">INDIRECT("'"&amp;$A8&amp;"'!K21")</f>
        <v>#REF!</v>
      </c>
      <c r="L8" s="65" t="e">
        <f t="shared" ref="L8:L15" ca="1" si="20">INDIRECT("'"&amp;$A8&amp;"'!K22")</f>
        <v>#REF!</v>
      </c>
      <c r="M8" s="65" t="e">
        <f t="shared" ref="M8:M15" ca="1" si="21">INDIRECT("'"&amp;$A8&amp;"'!K23")</f>
        <v>#REF!</v>
      </c>
      <c r="N8" s="65" t="e">
        <f t="shared" ref="N8:N15" ca="1" si="22">INDIRECT("'"&amp;$A8&amp;"'!K24")</f>
        <v>#REF!</v>
      </c>
      <c r="O8" s="65" t="e">
        <f t="shared" ref="O8:O15" ca="1" si="23">INDIRECT("'"&amp;$A8&amp;"'!K25")</f>
        <v>#REF!</v>
      </c>
      <c r="P8" s="65" t="e">
        <f t="shared" ref="P8:P15" ca="1" si="24">INDIRECT("'"&amp;$A8&amp;"'!K26")</f>
        <v>#REF!</v>
      </c>
      <c r="Q8" s="65" t="e">
        <f t="shared" ref="Q8:Q15" ca="1" si="25">INDIRECT("'"&amp;$A8&amp;"'!K27")</f>
        <v>#REF!</v>
      </c>
      <c r="R8" s="65" t="e">
        <f t="shared" ref="R8:R15" ca="1" si="26">INDIRECT("'"&amp;$A8&amp;"'!K28")</f>
        <v>#REF!</v>
      </c>
      <c r="S8" s="65" t="e">
        <f t="shared" ref="S8:S15" ca="1" si="27">INDIRECT("'"&amp;$A8&amp;"'!K29")</f>
        <v>#REF!</v>
      </c>
      <c r="T8" s="66" t="e">
        <f ca="1">INDIRECT("'"&amp;$A8&amp;"'!K36")</f>
        <v>#REF!</v>
      </c>
      <c r="U8" s="65"/>
      <c r="V8" s="65"/>
      <c r="W8" s="65"/>
      <c r="X8" s="65"/>
      <c r="Y8" s="65"/>
      <c r="Z8" s="65"/>
      <c r="AA8" s="65" t="e">
        <f ca="1">INDIRECT("'"&amp;$A8&amp;"'!J36")</f>
        <v>#REF!</v>
      </c>
      <c r="AB8" s="65" t="e">
        <f ca="1">INDIRECT("'"&amp;$A8&amp;"'!I36")</f>
        <v>#REF!</v>
      </c>
      <c r="AC8" s="65" t="e">
        <f ca="1">INDIRECT("'"&amp;$A8&amp;"'!H36")</f>
        <v>#REF!</v>
      </c>
      <c r="AD8" s="65" t="e">
        <f ca="1">IF(IF(INDIRECT("'"&amp;$A8&amp;"'!F36")="",0,INDIRECT("'"&amp;$A8&amp;"'!F36"))+IF(INDIRECT("'"&amp;$A8&amp;"'!G36")="",0,INDIRECT("'"&amp;$A8&amp;"'!G36"))=0,"",IF(INDIRECT("'"&amp;$A8&amp;"'!F36")="",0,INDIRECT("'"&amp;$A8&amp;"'!F36"))+IF(INDIRECT("'"&amp;$A8&amp;"'!G36")="",0,INDIRECT("'"&amp;$A8&amp;"'!G36")))</f>
        <v>#REF!</v>
      </c>
    </row>
    <row r="9" spans="1:44" ht="15" customHeight="1" x14ac:dyDescent="0.3">
      <c r="B9" t="e">
        <f t="shared" ca="1" si="10"/>
        <v>#REF!</v>
      </c>
      <c r="C9" s="55" t="e">
        <f t="shared" ca="1" si="11"/>
        <v>#REF!</v>
      </c>
      <c r="D9" s="55" t="e">
        <f t="shared" ca="1" si="12"/>
        <v>#REF!</v>
      </c>
      <c r="E9" s="55" t="e">
        <f t="shared" ca="1" si="13"/>
        <v>#REF!</v>
      </c>
      <c r="F9" s="55" t="e">
        <f t="shared" ca="1" si="14"/>
        <v>#REF!</v>
      </c>
      <c r="G9" s="55" t="e">
        <f t="shared" ca="1" si="15"/>
        <v>#REF!</v>
      </c>
      <c r="H9" s="55" t="e">
        <f t="shared" ca="1" si="16"/>
        <v>#REF!</v>
      </c>
      <c r="I9" s="55" t="e">
        <f t="shared" ca="1" si="17"/>
        <v>#REF!</v>
      </c>
      <c r="J9" s="55" t="e">
        <f t="shared" ca="1" si="18"/>
        <v>#REF!</v>
      </c>
      <c r="K9" s="55" t="e">
        <f t="shared" ca="1" si="19"/>
        <v>#REF!</v>
      </c>
      <c r="L9" s="55" t="e">
        <f t="shared" ca="1" si="20"/>
        <v>#REF!</v>
      </c>
      <c r="M9" s="55" t="e">
        <f t="shared" ca="1" si="21"/>
        <v>#REF!</v>
      </c>
      <c r="N9" s="55" t="e">
        <f t="shared" ca="1" si="22"/>
        <v>#REF!</v>
      </c>
      <c r="O9" s="55" t="e">
        <f t="shared" ca="1" si="23"/>
        <v>#REF!</v>
      </c>
      <c r="P9" s="55" t="e">
        <f t="shared" ca="1" si="24"/>
        <v>#REF!</v>
      </c>
      <c r="Q9" s="55" t="e">
        <f t="shared" ca="1" si="25"/>
        <v>#REF!</v>
      </c>
      <c r="R9" s="55" t="e">
        <f t="shared" ca="1" si="26"/>
        <v>#REF!</v>
      </c>
      <c r="S9" s="55" t="e">
        <f t="shared" ca="1" si="27"/>
        <v>#REF!</v>
      </c>
      <c r="T9" s="56" t="e">
        <f ca="1">INDIRECT("'"&amp;$A9&amp;"'!K36")</f>
        <v>#REF!</v>
      </c>
      <c r="U9" s="55"/>
      <c r="V9" s="55"/>
      <c r="W9" s="55"/>
      <c r="X9" s="55"/>
      <c r="Y9" s="55"/>
      <c r="Z9" s="55"/>
      <c r="AA9" s="55" t="e">
        <f ca="1">INDIRECT("'"&amp;$A9&amp;"'!J36")</f>
        <v>#REF!</v>
      </c>
      <c r="AB9" s="55" t="e">
        <f ca="1">INDIRECT("'"&amp;$A9&amp;"'!I36")</f>
        <v>#REF!</v>
      </c>
      <c r="AC9" s="55" t="e">
        <f ca="1">INDIRECT("'"&amp;$A9&amp;"'!H36")</f>
        <v>#REF!</v>
      </c>
      <c r="AD9" s="55" t="e">
        <f ca="1">IF(IF(INDIRECT("'"&amp;$A9&amp;"'!F36")="",0,INDIRECT("'"&amp;$A9&amp;"'!F36"))+IF(INDIRECT("'"&amp;$A9&amp;"'!G36")="",0,INDIRECT("'"&amp;$A9&amp;"'!G36"))=0,"",IF(INDIRECT("'"&amp;$A9&amp;"'!F36")="",0,INDIRECT("'"&amp;$A9&amp;"'!F36"))+IF(INDIRECT("'"&amp;$A9&amp;"'!G36")="",0,INDIRECT("'"&amp;$A9&amp;"'!G36")))</f>
        <v>#REF!</v>
      </c>
    </row>
    <row r="10" spans="1:44" ht="15" customHeight="1" x14ac:dyDescent="0.3">
      <c r="A10" s="120"/>
      <c r="B10" s="120" t="e">
        <f t="shared" ca="1" si="10"/>
        <v>#REF!</v>
      </c>
      <c r="C10" s="65" t="e">
        <f t="shared" ca="1" si="11"/>
        <v>#REF!</v>
      </c>
      <c r="D10" s="65" t="e">
        <f t="shared" ca="1" si="12"/>
        <v>#REF!</v>
      </c>
      <c r="E10" s="65" t="e">
        <f t="shared" ca="1" si="13"/>
        <v>#REF!</v>
      </c>
      <c r="F10" s="65" t="e">
        <f t="shared" ca="1" si="14"/>
        <v>#REF!</v>
      </c>
      <c r="G10" s="65" t="e">
        <f t="shared" ca="1" si="15"/>
        <v>#REF!</v>
      </c>
      <c r="H10" s="65" t="e">
        <f t="shared" ca="1" si="16"/>
        <v>#REF!</v>
      </c>
      <c r="I10" s="65" t="e">
        <f t="shared" ca="1" si="17"/>
        <v>#REF!</v>
      </c>
      <c r="J10" s="65" t="e">
        <f t="shared" ca="1" si="18"/>
        <v>#REF!</v>
      </c>
      <c r="K10" s="65" t="e">
        <f t="shared" ca="1" si="19"/>
        <v>#REF!</v>
      </c>
      <c r="L10" s="65" t="e">
        <f t="shared" ca="1" si="20"/>
        <v>#REF!</v>
      </c>
      <c r="M10" s="65" t="e">
        <f t="shared" ca="1" si="21"/>
        <v>#REF!</v>
      </c>
      <c r="N10" s="65" t="e">
        <f t="shared" ca="1" si="22"/>
        <v>#REF!</v>
      </c>
      <c r="O10" s="65" t="e">
        <f t="shared" ca="1" si="23"/>
        <v>#REF!</v>
      </c>
      <c r="P10" s="65" t="e">
        <f t="shared" ca="1" si="24"/>
        <v>#REF!</v>
      </c>
      <c r="Q10" s="65" t="e">
        <f t="shared" ca="1" si="25"/>
        <v>#REF!</v>
      </c>
      <c r="R10" s="65" t="e">
        <f t="shared" ca="1" si="26"/>
        <v>#REF!</v>
      </c>
      <c r="S10" s="65" t="e">
        <f t="shared" ca="1" si="27"/>
        <v>#REF!</v>
      </c>
      <c r="T10" s="66" t="e">
        <f ca="1">INDIRECT("'"&amp;$A10&amp;"'!K36")</f>
        <v>#REF!</v>
      </c>
      <c r="U10" s="65"/>
      <c r="V10" s="65"/>
      <c r="W10" s="65"/>
      <c r="X10" s="65"/>
      <c r="Y10" s="65"/>
      <c r="Z10" s="65"/>
      <c r="AA10" s="65" t="e">
        <f ca="1">INDIRECT("'"&amp;$A10&amp;"'!J36")</f>
        <v>#REF!</v>
      </c>
      <c r="AB10" s="65" t="e">
        <f ca="1">INDIRECT("'"&amp;$A10&amp;"'!I36")</f>
        <v>#REF!</v>
      </c>
      <c r="AC10" s="65" t="e">
        <f ca="1">INDIRECT("'"&amp;$A10&amp;"'!H36")</f>
        <v>#REF!</v>
      </c>
      <c r="AD10" s="65" t="e">
        <f ca="1">IF(IF(INDIRECT("'"&amp;$A10&amp;"'!F36")="",0,INDIRECT("'"&amp;$A10&amp;"'!F36"))+IF(INDIRECT("'"&amp;$A10&amp;"'!G36")="",0,INDIRECT("'"&amp;$A10&amp;"'!G36"))=0,"",IF(INDIRECT("'"&amp;$A10&amp;"'!F36")="",0,INDIRECT("'"&amp;$A10&amp;"'!F36"))+IF(INDIRECT("'"&amp;$A10&amp;"'!G36")="",0,INDIRECT("'"&amp;$A10&amp;"'!G36")))</f>
        <v>#REF!</v>
      </c>
    </row>
    <row r="11" spans="1:44" ht="15" customHeight="1" x14ac:dyDescent="0.3">
      <c r="B11" t="e">
        <f t="shared" ca="1" si="10"/>
        <v>#REF!</v>
      </c>
      <c r="C11" s="55" t="e">
        <f t="shared" ca="1" si="11"/>
        <v>#REF!</v>
      </c>
      <c r="D11" s="55" t="e">
        <f t="shared" ca="1" si="12"/>
        <v>#REF!</v>
      </c>
      <c r="E11" s="55" t="e">
        <f t="shared" ca="1" si="13"/>
        <v>#REF!</v>
      </c>
      <c r="F11" s="55" t="e">
        <f t="shared" ca="1" si="14"/>
        <v>#REF!</v>
      </c>
      <c r="G11" s="55" t="e">
        <f t="shared" ca="1" si="15"/>
        <v>#REF!</v>
      </c>
      <c r="H11" s="55" t="e">
        <f t="shared" ca="1" si="16"/>
        <v>#REF!</v>
      </c>
      <c r="I11" s="55" t="e">
        <f t="shared" ca="1" si="17"/>
        <v>#REF!</v>
      </c>
      <c r="J11" s="55" t="e">
        <f t="shared" ca="1" si="18"/>
        <v>#REF!</v>
      </c>
      <c r="K11" s="55" t="e">
        <f t="shared" ca="1" si="19"/>
        <v>#REF!</v>
      </c>
      <c r="L11" s="55" t="e">
        <f t="shared" ca="1" si="20"/>
        <v>#REF!</v>
      </c>
      <c r="M11" s="55" t="e">
        <f t="shared" ca="1" si="21"/>
        <v>#REF!</v>
      </c>
      <c r="N11" s="55" t="e">
        <f t="shared" ca="1" si="22"/>
        <v>#REF!</v>
      </c>
      <c r="O11" s="55" t="e">
        <f t="shared" ca="1" si="23"/>
        <v>#REF!</v>
      </c>
      <c r="P11" s="55" t="e">
        <f t="shared" ca="1" si="24"/>
        <v>#REF!</v>
      </c>
      <c r="Q11" s="55" t="e">
        <f t="shared" ca="1" si="25"/>
        <v>#REF!</v>
      </c>
      <c r="R11" s="55" t="e">
        <f t="shared" ca="1" si="26"/>
        <v>#REF!</v>
      </c>
      <c r="S11" s="55" t="e">
        <f t="shared" ca="1" si="27"/>
        <v>#REF!</v>
      </c>
      <c r="T11" s="56" t="e">
        <f ca="1">INDIRECT("'"&amp;$A11&amp;"'!K36")</f>
        <v>#REF!</v>
      </c>
      <c r="U11" s="55"/>
      <c r="V11" s="55"/>
      <c r="W11" s="55"/>
      <c r="X11" s="55"/>
      <c r="Y11" s="55"/>
      <c r="Z11" s="55"/>
      <c r="AA11" s="55" t="e">
        <f ca="1">INDIRECT("'"&amp;$A11&amp;"'!J36")</f>
        <v>#REF!</v>
      </c>
      <c r="AB11" s="55" t="e">
        <f ca="1">INDIRECT("'"&amp;$A11&amp;"'!I36")</f>
        <v>#REF!</v>
      </c>
      <c r="AC11" s="55" t="e">
        <f ca="1">INDIRECT("'"&amp;$A11&amp;"'!H36")</f>
        <v>#REF!</v>
      </c>
      <c r="AD11" s="55" t="e">
        <f ca="1">IF(IF(INDIRECT("'"&amp;$A11&amp;"'!F36")="",0,INDIRECT("'"&amp;$A11&amp;"'!F36"))+IF(INDIRECT("'"&amp;$A11&amp;"'!G36")="",0,INDIRECT("'"&amp;$A11&amp;"'!G36"))=0,"",IF(INDIRECT("'"&amp;$A11&amp;"'!F36")="",0,INDIRECT("'"&amp;$A11&amp;"'!F36"))+IF(INDIRECT("'"&amp;$A11&amp;"'!G36")="",0,INDIRECT("'"&amp;$A11&amp;"'!G36")))</f>
        <v>#REF!</v>
      </c>
    </row>
    <row r="12" spans="1:44" ht="15" customHeight="1" x14ac:dyDescent="0.3">
      <c r="A12" s="120"/>
      <c r="B12" s="120" t="e">
        <f t="shared" ca="1" si="10"/>
        <v>#REF!</v>
      </c>
      <c r="C12" s="65" t="e">
        <f t="shared" ca="1" si="11"/>
        <v>#REF!</v>
      </c>
      <c r="D12" s="65" t="e">
        <f t="shared" ca="1" si="12"/>
        <v>#REF!</v>
      </c>
      <c r="E12" s="65" t="e">
        <f t="shared" ca="1" si="13"/>
        <v>#REF!</v>
      </c>
      <c r="F12" s="65" t="e">
        <f t="shared" ca="1" si="14"/>
        <v>#REF!</v>
      </c>
      <c r="G12" s="65" t="e">
        <f t="shared" ca="1" si="15"/>
        <v>#REF!</v>
      </c>
      <c r="H12" s="65" t="e">
        <f t="shared" ca="1" si="16"/>
        <v>#REF!</v>
      </c>
      <c r="I12" s="65" t="e">
        <f t="shared" ca="1" si="17"/>
        <v>#REF!</v>
      </c>
      <c r="J12" s="65" t="e">
        <f t="shared" ca="1" si="18"/>
        <v>#REF!</v>
      </c>
      <c r="K12" s="65" t="e">
        <f t="shared" ca="1" si="19"/>
        <v>#REF!</v>
      </c>
      <c r="L12" s="65" t="e">
        <f t="shared" ca="1" si="20"/>
        <v>#REF!</v>
      </c>
      <c r="M12" s="65" t="e">
        <f t="shared" ca="1" si="21"/>
        <v>#REF!</v>
      </c>
      <c r="N12" s="65" t="e">
        <f t="shared" ca="1" si="22"/>
        <v>#REF!</v>
      </c>
      <c r="O12" s="65" t="e">
        <f t="shared" ca="1" si="23"/>
        <v>#REF!</v>
      </c>
      <c r="P12" s="65" t="e">
        <f t="shared" ca="1" si="24"/>
        <v>#REF!</v>
      </c>
      <c r="Q12" s="65" t="e">
        <f t="shared" ca="1" si="25"/>
        <v>#REF!</v>
      </c>
      <c r="R12" s="65" t="e">
        <f t="shared" ca="1" si="26"/>
        <v>#REF!</v>
      </c>
      <c r="S12" s="65" t="e">
        <f t="shared" ca="1" si="27"/>
        <v>#REF!</v>
      </c>
      <c r="T12" s="66" t="e">
        <f ca="1">INDIRECT("'"&amp;$A12&amp;"'!K36")</f>
        <v>#REF!</v>
      </c>
      <c r="U12" s="65"/>
      <c r="V12" s="65"/>
      <c r="W12" s="65"/>
      <c r="X12" s="65"/>
      <c r="Y12" s="65"/>
      <c r="Z12" s="65"/>
      <c r="AA12" s="65" t="e">
        <f ca="1">INDIRECT("'"&amp;$A12&amp;"'!J36")</f>
        <v>#REF!</v>
      </c>
      <c r="AB12" s="65" t="e">
        <f ca="1">INDIRECT("'"&amp;$A12&amp;"'!I36")</f>
        <v>#REF!</v>
      </c>
      <c r="AC12" s="65" t="e">
        <f ca="1">INDIRECT("'"&amp;$A12&amp;"'!H36")</f>
        <v>#REF!</v>
      </c>
      <c r="AD12" s="65" t="e">
        <f ca="1">IF(IF(INDIRECT("'"&amp;$A12&amp;"'!F36")="",0,INDIRECT("'"&amp;$A12&amp;"'!F36"))+IF(INDIRECT("'"&amp;$A12&amp;"'!G36")="",0,INDIRECT("'"&amp;$A12&amp;"'!G36"))=0,"",IF(INDIRECT("'"&amp;$A12&amp;"'!F36")="",0,INDIRECT("'"&amp;$A12&amp;"'!F36"))+IF(INDIRECT("'"&amp;$A12&amp;"'!G36")="",0,INDIRECT("'"&amp;$A12&amp;"'!G36")))</f>
        <v>#REF!</v>
      </c>
    </row>
    <row r="13" spans="1:44" ht="15" customHeight="1" x14ac:dyDescent="0.3">
      <c r="B13" t="e">
        <f t="shared" ca="1" si="10"/>
        <v>#REF!</v>
      </c>
      <c r="C13" s="55" t="e">
        <f t="shared" ca="1" si="11"/>
        <v>#REF!</v>
      </c>
      <c r="D13" s="55" t="e">
        <f t="shared" ca="1" si="12"/>
        <v>#REF!</v>
      </c>
      <c r="E13" s="55" t="e">
        <f t="shared" ca="1" si="13"/>
        <v>#REF!</v>
      </c>
      <c r="F13" s="55" t="e">
        <f t="shared" ca="1" si="14"/>
        <v>#REF!</v>
      </c>
      <c r="G13" s="55" t="e">
        <f t="shared" ca="1" si="15"/>
        <v>#REF!</v>
      </c>
      <c r="H13" s="55" t="e">
        <f t="shared" ca="1" si="16"/>
        <v>#REF!</v>
      </c>
      <c r="I13" s="55" t="e">
        <f t="shared" ca="1" si="17"/>
        <v>#REF!</v>
      </c>
      <c r="J13" s="55" t="e">
        <f t="shared" ca="1" si="18"/>
        <v>#REF!</v>
      </c>
      <c r="K13" s="55" t="e">
        <f t="shared" ca="1" si="19"/>
        <v>#REF!</v>
      </c>
      <c r="L13" s="55" t="e">
        <f t="shared" ca="1" si="20"/>
        <v>#REF!</v>
      </c>
      <c r="M13" s="55" t="e">
        <f t="shared" ca="1" si="21"/>
        <v>#REF!</v>
      </c>
      <c r="N13" s="55" t="e">
        <f t="shared" ca="1" si="22"/>
        <v>#REF!</v>
      </c>
      <c r="O13" s="55" t="e">
        <f t="shared" ca="1" si="23"/>
        <v>#REF!</v>
      </c>
      <c r="P13" s="55" t="e">
        <f t="shared" ca="1" si="24"/>
        <v>#REF!</v>
      </c>
      <c r="Q13" s="55" t="e">
        <f t="shared" ca="1" si="25"/>
        <v>#REF!</v>
      </c>
      <c r="R13" s="55" t="e">
        <f t="shared" ca="1" si="26"/>
        <v>#REF!</v>
      </c>
      <c r="S13" s="55" t="e">
        <f t="shared" ca="1" si="27"/>
        <v>#REF!</v>
      </c>
      <c r="T13" s="56" t="e">
        <f ca="1">INDIRECT("'"&amp;$A13&amp;"'!K36")</f>
        <v>#REF!</v>
      </c>
      <c r="U13" s="55"/>
      <c r="V13" s="55"/>
      <c r="W13" s="55"/>
      <c r="X13" s="55"/>
      <c r="Y13" s="55"/>
      <c r="Z13" s="55"/>
      <c r="AA13" s="55" t="e">
        <f ca="1">INDIRECT("'"&amp;$A13&amp;"'!J36")</f>
        <v>#REF!</v>
      </c>
      <c r="AB13" s="55" t="e">
        <f ca="1">INDIRECT("'"&amp;$A13&amp;"'!I36")</f>
        <v>#REF!</v>
      </c>
      <c r="AC13" s="55" t="e">
        <f ca="1">INDIRECT("'"&amp;$A13&amp;"'!H36")</f>
        <v>#REF!</v>
      </c>
      <c r="AD13" s="55" t="e">
        <f ca="1">IF(IF(INDIRECT("'"&amp;$A13&amp;"'!F36")="",0,INDIRECT("'"&amp;$A13&amp;"'!F36"))+IF(INDIRECT("'"&amp;$A13&amp;"'!G36")="",0,INDIRECT("'"&amp;$A13&amp;"'!G36"))=0,"",IF(INDIRECT("'"&amp;$A13&amp;"'!F36")="",0,INDIRECT("'"&amp;$A13&amp;"'!F36"))+IF(INDIRECT("'"&amp;$A13&amp;"'!G36")="",0,INDIRECT("'"&amp;$A13&amp;"'!G36")))</f>
        <v>#REF!</v>
      </c>
    </row>
    <row r="14" spans="1:44" ht="15" customHeight="1" x14ac:dyDescent="0.3">
      <c r="A14" s="120"/>
      <c r="B14" s="120" t="e">
        <f t="shared" ca="1" si="10"/>
        <v>#REF!</v>
      </c>
      <c r="C14" s="65" t="e">
        <f t="shared" ca="1" si="11"/>
        <v>#REF!</v>
      </c>
      <c r="D14" s="65" t="e">
        <f t="shared" ca="1" si="12"/>
        <v>#REF!</v>
      </c>
      <c r="E14" s="65" t="e">
        <f t="shared" ca="1" si="13"/>
        <v>#REF!</v>
      </c>
      <c r="F14" s="65" t="e">
        <f t="shared" ca="1" si="14"/>
        <v>#REF!</v>
      </c>
      <c r="G14" s="65" t="e">
        <f t="shared" ca="1" si="15"/>
        <v>#REF!</v>
      </c>
      <c r="H14" s="65" t="e">
        <f t="shared" ca="1" si="16"/>
        <v>#REF!</v>
      </c>
      <c r="I14" s="65" t="e">
        <f t="shared" ca="1" si="17"/>
        <v>#REF!</v>
      </c>
      <c r="J14" s="65" t="e">
        <f t="shared" ca="1" si="18"/>
        <v>#REF!</v>
      </c>
      <c r="K14" s="65" t="e">
        <f t="shared" ca="1" si="19"/>
        <v>#REF!</v>
      </c>
      <c r="L14" s="65" t="e">
        <f t="shared" ca="1" si="20"/>
        <v>#REF!</v>
      </c>
      <c r="M14" s="65" t="e">
        <f t="shared" ca="1" si="21"/>
        <v>#REF!</v>
      </c>
      <c r="N14" s="65" t="e">
        <f t="shared" ca="1" si="22"/>
        <v>#REF!</v>
      </c>
      <c r="O14" s="65" t="e">
        <f t="shared" ca="1" si="23"/>
        <v>#REF!</v>
      </c>
      <c r="P14" s="65" t="e">
        <f t="shared" ca="1" si="24"/>
        <v>#REF!</v>
      </c>
      <c r="Q14" s="65" t="e">
        <f t="shared" ca="1" si="25"/>
        <v>#REF!</v>
      </c>
      <c r="R14" s="65" t="e">
        <f t="shared" ca="1" si="26"/>
        <v>#REF!</v>
      </c>
      <c r="S14" s="65" t="e">
        <f t="shared" ca="1" si="27"/>
        <v>#REF!</v>
      </c>
      <c r="T14" s="66" t="e">
        <f ca="1">INDIRECT("'"&amp;$A14&amp;"'!K36")</f>
        <v>#REF!</v>
      </c>
      <c r="U14" s="65"/>
      <c r="V14" s="65"/>
      <c r="W14" s="65"/>
      <c r="X14" s="65"/>
      <c r="Y14" s="65"/>
      <c r="Z14" s="65"/>
      <c r="AA14" s="65" t="e">
        <f ca="1">INDIRECT("'"&amp;$A14&amp;"'!J36")</f>
        <v>#REF!</v>
      </c>
      <c r="AB14" s="65" t="e">
        <f ca="1">INDIRECT("'"&amp;$A14&amp;"'!I36")</f>
        <v>#REF!</v>
      </c>
      <c r="AC14" s="65" t="e">
        <f ca="1">INDIRECT("'"&amp;$A14&amp;"'!H36")</f>
        <v>#REF!</v>
      </c>
      <c r="AD14" s="65" t="e">
        <f ca="1">IF(IF(INDIRECT("'"&amp;$A14&amp;"'!F36")="",0,INDIRECT("'"&amp;$A14&amp;"'!F36"))+IF(INDIRECT("'"&amp;$A14&amp;"'!G36")="",0,INDIRECT("'"&amp;$A14&amp;"'!G36"))=0,"",IF(INDIRECT("'"&amp;$A14&amp;"'!F36")="",0,INDIRECT("'"&amp;$A14&amp;"'!F36"))+IF(INDIRECT("'"&amp;$A14&amp;"'!G36")="",0,INDIRECT("'"&amp;$A14&amp;"'!G36")))</f>
        <v>#REF!</v>
      </c>
    </row>
    <row r="15" spans="1:44" ht="15" customHeight="1" x14ac:dyDescent="0.3">
      <c r="B15" t="e">
        <f t="shared" ca="1" si="10"/>
        <v>#REF!</v>
      </c>
      <c r="C15" s="55" t="e">
        <f t="shared" ca="1" si="11"/>
        <v>#REF!</v>
      </c>
      <c r="D15" s="55" t="e">
        <f t="shared" ca="1" si="12"/>
        <v>#REF!</v>
      </c>
      <c r="E15" s="55" t="e">
        <f t="shared" ca="1" si="13"/>
        <v>#REF!</v>
      </c>
      <c r="F15" s="55" t="e">
        <f t="shared" ca="1" si="14"/>
        <v>#REF!</v>
      </c>
      <c r="G15" s="55" t="e">
        <f t="shared" ca="1" si="15"/>
        <v>#REF!</v>
      </c>
      <c r="H15" s="55" t="e">
        <f t="shared" ca="1" si="16"/>
        <v>#REF!</v>
      </c>
      <c r="I15" s="55" t="e">
        <f t="shared" ca="1" si="17"/>
        <v>#REF!</v>
      </c>
      <c r="J15" s="55" t="e">
        <f t="shared" ca="1" si="18"/>
        <v>#REF!</v>
      </c>
      <c r="K15" s="55" t="e">
        <f t="shared" ca="1" si="19"/>
        <v>#REF!</v>
      </c>
      <c r="L15" s="55" t="e">
        <f t="shared" ca="1" si="20"/>
        <v>#REF!</v>
      </c>
      <c r="M15" s="55" t="e">
        <f t="shared" ca="1" si="21"/>
        <v>#REF!</v>
      </c>
      <c r="N15" s="55" t="e">
        <f t="shared" ca="1" si="22"/>
        <v>#REF!</v>
      </c>
      <c r="O15" s="55" t="e">
        <f t="shared" ca="1" si="23"/>
        <v>#REF!</v>
      </c>
      <c r="P15" s="55" t="e">
        <f t="shared" ca="1" si="24"/>
        <v>#REF!</v>
      </c>
      <c r="Q15" s="55" t="e">
        <f t="shared" ca="1" si="25"/>
        <v>#REF!</v>
      </c>
      <c r="R15" s="55" t="e">
        <f t="shared" ca="1" si="26"/>
        <v>#REF!</v>
      </c>
      <c r="S15" s="55" t="e">
        <f t="shared" ca="1" si="27"/>
        <v>#REF!</v>
      </c>
      <c r="T15" s="56" t="e">
        <f ca="1">INDIRECT("'"&amp;$A15&amp;"'!K36")</f>
        <v>#REF!</v>
      </c>
      <c r="U15" s="55"/>
      <c r="V15" s="55"/>
      <c r="W15" s="55"/>
      <c r="X15" s="55"/>
      <c r="Y15" s="55"/>
      <c r="Z15" s="55"/>
      <c r="AA15" s="55" t="e">
        <f ca="1">INDIRECT("'"&amp;$A15&amp;"'!J36")</f>
        <v>#REF!</v>
      </c>
      <c r="AB15" s="55" t="e">
        <f ca="1">INDIRECT("'"&amp;$A15&amp;"'!I36")</f>
        <v>#REF!</v>
      </c>
      <c r="AC15" s="55" t="e">
        <f ca="1">INDIRECT("'"&amp;$A15&amp;"'!H36")</f>
        <v>#REF!</v>
      </c>
      <c r="AD15" s="55" t="e">
        <f ca="1">IF(IF(INDIRECT("'"&amp;$A15&amp;"'!F36")="",0,INDIRECT("'"&amp;$A15&amp;"'!F36"))+IF(INDIRECT("'"&amp;$A15&amp;"'!G36")="",0,INDIRECT("'"&amp;$A15&amp;"'!G36"))=0,"",IF(INDIRECT("'"&amp;$A15&amp;"'!F36")="",0,INDIRECT("'"&amp;$A15&amp;"'!F36"))+IF(INDIRECT("'"&amp;$A15&amp;"'!G36")="",0,INDIRECT("'"&amp;$A15&amp;"'!G36")))</f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R15"/>
  <sheetViews>
    <sheetView zoomScale="115" zoomScaleNormal="115" workbookViewId="0">
      <selection sqref="A1:B1"/>
    </sheetView>
  </sheetViews>
  <sheetFormatPr defaultColWidth="11.5546875" defaultRowHeight="14.4" x14ac:dyDescent="0.3"/>
  <cols>
    <col min="1" max="1" width="11.77734375" customWidth="1"/>
    <col min="2" max="2" width="22.6640625" customWidth="1"/>
    <col min="3" max="19" width="3.6640625" customWidth="1"/>
    <col min="20" max="20" width="5.6640625" customWidth="1"/>
    <col min="21" max="26" width="5.6640625" hidden="1" customWidth="1"/>
    <col min="27" max="27" width="3.6640625" style="52" customWidth="1"/>
    <col min="28" max="30" width="3.6640625" customWidth="1"/>
  </cols>
  <sheetData>
    <row r="1" spans="1:44" ht="15" customHeight="1" x14ac:dyDescent="0.3">
      <c r="A1" s="380" t="s">
        <v>83</v>
      </c>
      <c r="B1" s="380"/>
      <c r="C1" s="113" t="e">
        <f ca="1">SUM(C7:C12)-MAX(C7:C12)-MIN(C7:C12)</f>
        <v>#REF!</v>
      </c>
      <c r="D1" s="113" t="e">
        <f t="shared" ref="D1:S1" ca="1" si="0">SUM(D7:D12)-MAX(D7:D12)-MIN(D7:D12)</f>
        <v>#REF!</v>
      </c>
      <c r="E1" s="113" t="e">
        <f t="shared" ca="1" si="0"/>
        <v>#REF!</v>
      </c>
      <c r="F1" s="113" t="e">
        <f t="shared" ca="1" si="0"/>
        <v>#REF!</v>
      </c>
      <c r="G1" s="113" t="e">
        <f t="shared" ca="1" si="0"/>
        <v>#REF!</v>
      </c>
      <c r="H1" s="113" t="e">
        <f t="shared" ca="1" si="0"/>
        <v>#REF!</v>
      </c>
      <c r="I1" s="113" t="e">
        <f t="shared" ca="1" si="0"/>
        <v>#REF!</v>
      </c>
      <c r="J1" s="113" t="e">
        <f t="shared" ca="1" si="0"/>
        <v>#REF!</v>
      </c>
      <c r="K1" s="113" t="e">
        <f t="shared" ca="1" si="0"/>
        <v>#REF!</v>
      </c>
      <c r="L1" s="113" t="e">
        <f t="shared" ca="1" si="0"/>
        <v>#REF!</v>
      </c>
      <c r="M1" s="113" t="e">
        <f t="shared" ca="1" si="0"/>
        <v>#REF!</v>
      </c>
      <c r="N1" s="113" t="e">
        <f t="shared" ca="1" si="0"/>
        <v>#REF!</v>
      </c>
      <c r="O1" s="113" t="e">
        <f t="shared" ca="1" si="0"/>
        <v>#REF!</v>
      </c>
      <c r="P1" s="113" t="e">
        <f t="shared" ca="1" si="0"/>
        <v>#REF!</v>
      </c>
      <c r="Q1" s="113" t="e">
        <f t="shared" ca="1" si="0"/>
        <v>#REF!</v>
      </c>
      <c r="R1" s="113" t="e">
        <f t="shared" ca="1" si="0"/>
        <v>#REF!</v>
      </c>
      <c r="S1" s="113" t="e">
        <f t="shared" ca="1" si="0"/>
        <v>#REF!</v>
      </c>
      <c r="T1" s="54" t="e">
        <f ca="1">IF(SUM(AA7:AA12)&gt;0,SUM(C1:S1)/2,SUM(C1:S1))</f>
        <v>#REF!</v>
      </c>
      <c r="U1" s="260"/>
      <c r="V1" s="260"/>
      <c r="W1" s="260"/>
      <c r="X1" s="260"/>
      <c r="Y1" s="260"/>
      <c r="Z1" s="260"/>
      <c r="AA1" s="122" t="e">
        <f t="shared" ref="AA1" ca="1" si="1">SUM(AA7:AA12)-MAX(AA7:AA12)-MIN(AA7:AA12)</f>
        <v>#REF!</v>
      </c>
      <c r="AB1" s="114" t="e">
        <f ca="1">SUM(AB7:AB12)</f>
        <v>#REF!</v>
      </c>
      <c r="AC1" s="114" t="e">
        <f t="shared" ref="AC1:AD1" ca="1" si="2">SUM(AC7:AC12)</f>
        <v>#REF!</v>
      </c>
      <c r="AD1" s="114" t="e">
        <f t="shared" ca="1" si="2"/>
        <v>#REF!</v>
      </c>
      <c r="AE1" s="121"/>
    </row>
    <row r="2" spans="1:44" ht="15" customHeight="1" x14ac:dyDescent="0.3">
      <c r="A2" s="382" t="s">
        <v>84</v>
      </c>
      <c r="B2" s="382"/>
      <c r="C2" s="115" t="e">
        <f ca="1">AVERAGE(C7:C12)</f>
        <v>#REF!</v>
      </c>
      <c r="D2" s="115" t="e">
        <f t="shared" ref="D2:S2" ca="1" si="3">AVERAGE(D7:D12)</f>
        <v>#REF!</v>
      </c>
      <c r="E2" s="115" t="e">
        <f t="shared" ca="1" si="3"/>
        <v>#REF!</v>
      </c>
      <c r="F2" s="115" t="e">
        <f t="shared" ca="1" si="3"/>
        <v>#REF!</v>
      </c>
      <c r="G2" s="115" t="e">
        <f t="shared" ca="1" si="3"/>
        <v>#REF!</v>
      </c>
      <c r="H2" s="115" t="e">
        <f t="shared" ca="1" si="3"/>
        <v>#REF!</v>
      </c>
      <c r="I2" s="115" t="e">
        <f t="shared" ca="1" si="3"/>
        <v>#REF!</v>
      </c>
      <c r="J2" s="115" t="e">
        <f t="shared" ca="1" si="3"/>
        <v>#REF!</v>
      </c>
      <c r="K2" s="115" t="e">
        <f t="shared" ca="1" si="3"/>
        <v>#REF!</v>
      </c>
      <c r="L2" s="115" t="e">
        <f t="shared" ca="1" si="3"/>
        <v>#REF!</v>
      </c>
      <c r="M2" s="115" t="e">
        <f t="shared" ca="1" si="3"/>
        <v>#REF!</v>
      </c>
      <c r="N2" s="115" t="e">
        <f t="shared" ca="1" si="3"/>
        <v>#REF!</v>
      </c>
      <c r="O2" s="115" t="e">
        <f t="shared" ca="1" si="3"/>
        <v>#REF!</v>
      </c>
      <c r="P2" s="115" t="e">
        <f t="shared" ca="1" si="3"/>
        <v>#REF!</v>
      </c>
      <c r="Q2" s="115" t="e">
        <f t="shared" ca="1" si="3"/>
        <v>#REF!</v>
      </c>
      <c r="R2" s="115" t="e">
        <f t="shared" ca="1" si="3"/>
        <v>#REF!</v>
      </c>
      <c r="S2" s="115" t="e">
        <f t="shared" ca="1" si="3"/>
        <v>#REF!</v>
      </c>
      <c r="T2" s="152" t="e">
        <f ca="1">AVERAGE(T7:T12)</f>
        <v>#REF!</v>
      </c>
      <c r="U2" s="116"/>
      <c r="V2" s="116"/>
      <c r="W2" s="116"/>
      <c r="X2" s="116"/>
      <c r="Y2" s="116"/>
      <c r="Z2" s="116"/>
      <c r="AA2" s="123" t="e">
        <f t="shared" ref="AA2" ca="1" si="4">AVERAGE(AA7:AA12)</f>
        <v>#REF!</v>
      </c>
      <c r="AB2" s="116" t="e">
        <f ca="1">AVERAGE(AB7:AB12)</f>
        <v>#REF!</v>
      </c>
      <c r="AC2" s="116" t="e">
        <f t="shared" ref="AC2:AD2" ca="1" si="5">AVERAGE(AC7:AC12)</f>
        <v>#REF!</v>
      </c>
      <c r="AD2" s="116" t="e">
        <f t="shared" ca="1" si="5"/>
        <v>#REF!</v>
      </c>
    </row>
    <row r="3" spans="1:44" ht="15" customHeight="1" x14ac:dyDescent="0.3">
      <c r="A3" s="382" t="s">
        <v>85</v>
      </c>
      <c r="B3" s="382"/>
      <c r="C3" s="117" t="e">
        <f ca="1">_xlfn.STDEV.P(C7:C12)</f>
        <v>#REF!</v>
      </c>
      <c r="D3" s="117" t="e">
        <f t="shared" ref="D3:S3" ca="1" si="6">_xlfn.STDEV.P(D7:D12)</f>
        <v>#REF!</v>
      </c>
      <c r="E3" s="117" t="e">
        <f t="shared" ca="1" si="6"/>
        <v>#REF!</v>
      </c>
      <c r="F3" s="117" t="e">
        <f t="shared" ca="1" si="6"/>
        <v>#REF!</v>
      </c>
      <c r="G3" s="117" t="e">
        <f t="shared" ca="1" si="6"/>
        <v>#REF!</v>
      </c>
      <c r="H3" s="117" t="e">
        <f t="shared" ca="1" si="6"/>
        <v>#REF!</v>
      </c>
      <c r="I3" s="117" t="e">
        <f t="shared" ca="1" si="6"/>
        <v>#REF!</v>
      </c>
      <c r="J3" s="117" t="e">
        <f t="shared" ca="1" si="6"/>
        <v>#REF!</v>
      </c>
      <c r="K3" s="117" t="e">
        <f t="shared" ca="1" si="6"/>
        <v>#REF!</v>
      </c>
      <c r="L3" s="117" t="e">
        <f t="shared" ca="1" si="6"/>
        <v>#REF!</v>
      </c>
      <c r="M3" s="117" t="e">
        <f t="shared" ca="1" si="6"/>
        <v>#REF!</v>
      </c>
      <c r="N3" s="117" t="e">
        <f t="shared" ca="1" si="6"/>
        <v>#REF!</v>
      </c>
      <c r="O3" s="117" t="e">
        <f t="shared" ca="1" si="6"/>
        <v>#REF!</v>
      </c>
      <c r="P3" s="117" t="e">
        <f t="shared" ca="1" si="6"/>
        <v>#REF!</v>
      </c>
      <c r="Q3" s="117" t="e">
        <f t="shared" ca="1" si="6"/>
        <v>#REF!</v>
      </c>
      <c r="R3" s="117" t="e">
        <f t="shared" ca="1" si="6"/>
        <v>#REF!</v>
      </c>
      <c r="S3" s="117" t="e">
        <f t="shared" ca="1" si="6"/>
        <v>#REF!</v>
      </c>
      <c r="T3" s="153" t="e">
        <f ca="1">_xlfn.STDEV.P(T7:T12)</f>
        <v>#REF!</v>
      </c>
      <c r="U3" s="118"/>
      <c r="V3" s="118"/>
      <c r="W3" s="118"/>
      <c r="X3" s="118"/>
      <c r="Y3" s="118"/>
      <c r="Z3" s="118"/>
      <c r="AA3" s="124" t="e">
        <f t="shared" ref="AA3" ca="1" si="7">_xlfn.STDEV.P(AA7:AA12)</f>
        <v>#REF!</v>
      </c>
      <c r="AB3" s="118" t="e">
        <f ca="1">_xlfn.STDEV.P(AB7:AB12)</f>
        <v>#REF!</v>
      </c>
      <c r="AC3" s="118" t="e">
        <f t="shared" ref="AC3:AD3" ca="1" si="8">_xlfn.STDEV.P(AC7:AC12)</f>
        <v>#REF!</v>
      </c>
      <c r="AD3" s="118" t="e">
        <f t="shared" ca="1" si="8"/>
        <v>#REF!</v>
      </c>
    </row>
    <row r="4" spans="1:44" ht="15" customHeight="1" x14ac:dyDescent="0.3">
      <c r="A4" s="380" t="s">
        <v>86</v>
      </c>
      <c r="B4" s="380"/>
      <c r="C4" s="113" t="e">
        <f ca="1">MAX(C7:C12)-MIN(C7:C12)</f>
        <v>#REF!</v>
      </c>
      <c r="D4" s="113" t="e">
        <f t="shared" ref="D4:S4" ca="1" si="9">MAX(D7:D12)-MIN(D7:D12)</f>
        <v>#REF!</v>
      </c>
      <c r="E4" s="113" t="e">
        <f t="shared" ca="1" si="9"/>
        <v>#REF!</v>
      </c>
      <c r="F4" s="113" t="e">
        <f t="shared" ca="1" si="9"/>
        <v>#REF!</v>
      </c>
      <c r="G4" s="113" t="e">
        <f t="shared" ca="1" si="9"/>
        <v>#REF!</v>
      </c>
      <c r="H4" s="113" t="e">
        <f t="shared" ca="1" si="9"/>
        <v>#REF!</v>
      </c>
      <c r="I4" s="113" t="e">
        <f t="shared" ca="1" si="9"/>
        <v>#REF!</v>
      </c>
      <c r="J4" s="113" t="e">
        <f t="shared" ca="1" si="9"/>
        <v>#REF!</v>
      </c>
      <c r="K4" s="113" t="e">
        <f t="shared" ca="1" si="9"/>
        <v>#REF!</v>
      </c>
      <c r="L4" s="113" t="e">
        <f t="shared" ca="1" si="9"/>
        <v>#REF!</v>
      </c>
      <c r="M4" s="113" t="e">
        <f t="shared" ca="1" si="9"/>
        <v>#REF!</v>
      </c>
      <c r="N4" s="113" t="e">
        <f t="shared" ca="1" si="9"/>
        <v>#REF!</v>
      </c>
      <c r="O4" s="113" t="e">
        <f t="shared" ca="1" si="9"/>
        <v>#REF!</v>
      </c>
      <c r="P4" s="113" t="e">
        <f t="shared" ca="1" si="9"/>
        <v>#REF!</v>
      </c>
      <c r="Q4" s="113" t="e">
        <f t="shared" ca="1" si="9"/>
        <v>#REF!</v>
      </c>
      <c r="R4" s="113" t="e">
        <f t="shared" ca="1" si="9"/>
        <v>#REF!</v>
      </c>
      <c r="S4" s="113" t="e">
        <f t="shared" ca="1" si="9"/>
        <v>#REF!</v>
      </c>
      <c r="T4" s="151" t="e">
        <f ca="1">MAX(T7:T12)-MIN(T7:T12)</f>
        <v>#REF!</v>
      </c>
      <c r="U4" s="114"/>
      <c r="V4" s="114"/>
      <c r="W4" s="114"/>
      <c r="X4" s="114"/>
      <c r="Y4" s="114"/>
      <c r="Z4" s="114"/>
      <c r="AA4" s="122" t="e">
        <f ca="1">MAX(AA7:AA12)-MIN(AA7:AA12)</f>
        <v>#REF!</v>
      </c>
      <c r="AB4" s="114" t="e">
        <f ca="1">MAX(AB7:AB12)-MIN(AB7:AB12)</f>
        <v>#REF!</v>
      </c>
      <c r="AC4" s="114" t="e">
        <f t="shared" ref="AC4:AD4" ca="1" si="10">MAX(AC7:AC12)-MIN(AC7:AC12)</f>
        <v>#REF!</v>
      </c>
      <c r="AD4" s="114" t="e">
        <f t="shared" ca="1" si="10"/>
        <v>#REF!</v>
      </c>
    </row>
    <row r="5" spans="1:44" ht="15" customHeight="1" x14ac:dyDescent="0.3">
      <c r="A5" s="59" t="s">
        <v>87</v>
      </c>
      <c r="B5" s="67" t="e">
        <f ca="1">INDIRECT("'"&amp;$A7&amp;"'!C8") &amp; "-" &amp; INDIRECT("'"&amp;$A7&amp;"'!C9")</f>
        <v>#REF!</v>
      </c>
      <c r="T5" s="154"/>
      <c r="U5" s="121"/>
      <c r="V5" s="121"/>
      <c r="W5" s="121"/>
      <c r="X5" s="121"/>
      <c r="Y5" s="121"/>
      <c r="Z5" s="121"/>
      <c r="AA5" s="125"/>
      <c r="AB5" s="121"/>
    </row>
    <row r="6" spans="1:44" ht="128.1" customHeight="1" x14ac:dyDescent="0.3">
      <c r="A6" s="31" t="s">
        <v>75</v>
      </c>
      <c r="B6" s="31" t="s">
        <v>76</v>
      </c>
      <c r="C6" s="61" t="s">
        <v>9</v>
      </c>
      <c r="D6" s="61" t="s">
        <v>113</v>
      </c>
      <c r="E6" s="61" t="s">
        <v>114</v>
      </c>
      <c r="F6" s="61" t="s">
        <v>115</v>
      </c>
      <c r="G6" s="61" t="s">
        <v>116</v>
      </c>
      <c r="H6" s="61" t="s">
        <v>117</v>
      </c>
      <c r="I6" s="61" t="s">
        <v>119</v>
      </c>
      <c r="J6" s="61" t="s">
        <v>120</v>
      </c>
      <c r="K6" s="61" t="s">
        <v>121</v>
      </c>
      <c r="L6" s="61" t="s">
        <v>122</v>
      </c>
      <c r="M6" s="61" t="s">
        <v>123</v>
      </c>
      <c r="N6" s="61" t="s">
        <v>125</v>
      </c>
      <c r="O6" s="61" t="s">
        <v>126</v>
      </c>
      <c r="P6" s="61" t="s">
        <v>127</v>
      </c>
      <c r="Q6" s="61" t="s">
        <v>128</v>
      </c>
      <c r="R6" s="61" t="s">
        <v>129</v>
      </c>
      <c r="S6" s="61" t="s">
        <v>30</v>
      </c>
      <c r="T6" s="62" t="s">
        <v>74</v>
      </c>
      <c r="U6" s="63"/>
      <c r="V6" s="63"/>
      <c r="W6" s="63"/>
      <c r="X6" s="63"/>
      <c r="Y6" s="63"/>
      <c r="Z6" s="63"/>
      <c r="AA6" s="119" t="s">
        <v>7</v>
      </c>
      <c r="AB6" s="63" t="s">
        <v>108</v>
      </c>
      <c r="AC6" s="61" t="s">
        <v>109</v>
      </c>
      <c r="AD6" s="61" t="s">
        <v>110</v>
      </c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</row>
    <row r="7" spans="1:44" ht="15" customHeight="1" x14ac:dyDescent="0.3">
      <c r="B7" t="e">
        <f ca="1">INDIRECT("'"&amp;$A7&amp;"'!D5")</f>
        <v>#REF!</v>
      </c>
      <c r="C7" s="55" t="e">
        <f ca="1">INDIRECT("'"&amp;$A7&amp;"'!K13")</f>
        <v>#REF!</v>
      </c>
      <c r="D7" s="55" t="e">
        <f ca="1">INDIRECT("'"&amp;$A7&amp;"'!K14")</f>
        <v>#REF!</v>
      </c>
      <c r="E7" s="55" t="e">
        <f ca="1">INDIRECT("'"&amp;$A7&amp;"'!K15")</f>
        <v>#REF!</v>
      </c>
      <c r="F7" s="55" t="e">
        <f ca="1">INDIRECT("'"&amp;$A7&amp;"'!K16")</f>
        <v>#REF!</v>
      </c>
      <c r="G7" s="55" t="e">
        <f ca="1">INDIRECT("'"&amp;$A7&amp;"'!K17")</f>
        <v>#REF!</v>
      </c>
      <c r="H7" s="55" t="e">
        <f ca="1">INDIRECT("'"&amp;$A7&amp;"'!K18")</f>
        <v>#REF!</v>
      </c>
      <c r="I7" s="55" t="e">
        <f ca="1">INDIRECT("'"&amp;$A7&amp;"'!K19")</f>
        <v>#REF!</v>
      </c>
      <c r="J7" s="55" t="e">
        <f ca="1">INDIRECT("'"&amp;$A7&amp;"'!K20")</f>
        <v>#REF!</v>
      </c>
      <c r="K7" s="55" t="e">
        <f ca="1">INDIRECT("'"&amp;$A7&amp;"'!K21")</f>
        <v>#REF!</v>
      </c>
      <c r="L7" s="55" t="e">
        <f ca="1">INDIRECT("'"&amp;$A7&amp;"'!K22")</f>
        <v>#REF!</v>
      </c>
      <c r="M7" s="55" t="e">
        <f ca="1">INDIRECT("'"&amp;$A7&amp;"'!K23")</f>
        <v>#REF!</v>
      </c>
      <c r="N7" s="55" t="e">
        <f ca="1">INDIRECT("'"&amp;$A7&amp;"'!K24")</f>
        <v>#REF!</v>
      </c>
      <c r="O7" s="55" t="e">
        <f ca="1">INDIRECT("'"&amp;$A7&amp;"'!K25")</f>
        <v>#REF!</v>
      </c>
      <c r="P7" s="55" t="e">
        <f ca="1">INDIRECT("'"&amp;$A7&amp;"'!K26")</f>
        <v>#REF!</v>
      </c>
      <c r="Q7" s="55" t="e">
        <f ca="1">INDIRECT("'"&amp;$A7&amp;"'!K27")</f>
        <v>#REF!</v>
      </c>
      <c r="R7" s="55" t="e">
        <f ca="1">INDIRECT("'"&amp;$A7&amp;"'!K28")</f>
        <v>#REF!</v>
      </c>
      <c r="S7" s="55" t="e">
        <f ca="1">INDIRECT("'"&amp;$A7&amp;"'!K29")</f>
        <v>#REF!</v>
      </c>
      <c r="T7" s="56" t="e">
        <f ca="1">INDIRECT("'"&amp;$A7&amp;"'!K36")</f>
        <v>#REF!</v>
      </c>
      <c r="U7" s="55"/>
      <c r="V7" s="55"/>
      <c r="W7" s="55"/>
      <c r="X7" s="55"/>
      <c r="Y7" s="55"/>
      <c r="Z7" s="55"/>
      <c r="AA7" s="55" t="e">
        <f ca="1">INDIRECT("'"&amp;$A7&amp;"'!J36")</f>
        <v>#REF!</v>
      </c>
      <c r="AB7" s="55" t="e">
        <f ca="1">INDIRECT("'"&amp;$A7&amp;"'!I36")</f>
        <v>#REF!</v>
      </c>
      <c r="AC7" s="55" t="e">
        <f ca="1">INDIRECT("'"&amp;$A7&amp;"'!H36")</f>
        <v>#REF!</v>
      </c>
      <c r="AD7" s="55" t="e">
        <f ca="1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44" ht="15" customHeight="1" x14ac:dyDescent="0.3">
      <c r="A8" s="120"/>
      <c r="B8" s="120" t="e">
        <f t="shared" ref="B8:B15" ca="1" si="11">INDIRECT("'"&amp;$A8&amp;"'!D5")</f>
        <v>#REF!</v>
      </c>
      <c r="C8" s="65" t="e">
        <f t="shared" ref="C8:C15" ca="1" si="12">INDIRECT("'"&amp;$A8&amp;"'!K13")</f>
        <v>#REF!</v>
      </c>
      <c r="D8" s="65" t="e">
        <f t="shared" ref="D8:D15" ca="1" si="13">INDIRECT("'"&amp;$A8&amp;"'!K14")</f>
        <v>#REF!</v>
      </c>
      <c r="E8" s="65" t="e">
        <f t="shared" ref="E8:E15" ca="1" si="14">INDIRECT("'"&amp;$A8&amp;"'!K15")</f>
        <v>#REF!</v>
      </c>
      <c r="F8" s="65" t="e">
        <f t="shared" ref="F8:F15" ca="1" si="15">INDIRECT("'"&amp;$A8&amp;"'!K16")</f>
        <v>#REF!</v>
      </c>
      <c r="G8" s="65" t="e">
        <f t="shared" ref="G8:G15" ca="1" si="16">INDIRECT("'"&amp;$A8&amp;"'!K17")</f>
        <v>#REF!</v>
      </c>
      <c r="H8" s="65" t="e">
        <f t="shared" ref="H8:H15" ca="1" si="17">INDIRECT("'"&amp;$A8&amp;"'!K18")</f>
        <v>#REF!</v>
      </c>
      <c r="I8" s="65" t="e">
        <f t="shared" ref="I8:I15" ca="1" si="18">INDIRECT("'"&amp;$A8&amp;"'!K19")</f>
        <v>#REF!</v>
      </c>
      <c r="J8" s="65" t="e">
        <f t="shared" ref="J8:J15" ca="1" si="19">INDIRECT("'"&amp;$A8&amp;"'!K20")</f>
        <v>#REF!</v>
      </c>
      <c r="K8" s="65" t="e">
        <f t="shared" ref="K8:K15" ca="1" si="20">INDIRECT("'"&amp;$A8&amp;"'!K21")</f>
        <v>#REF!</v>
      </c>
      <c r="L8" s="65" t="e">
        <f t="shared" ref="L8:L15" ca="1" si="21">INDIRECT("'"&amp;$A8&amp;"'!K22")</f>
        <v>#REF!</v>
      </c>
      <c r="M8" s="65" t="e">
        <f t="shared" ref="M8:M15" ca="1" si="22">INDIRECT("'"&amp;$A8&amp;"'!K23")</f>
        <v>#REF!</v>
      </c>
      <c r="N8" s="65" t="e">
        <f t="shared" ref="N8:N15" ca="1" si="23">INDIRECT("'"&amp;$A8&amp;"'!K24")</f>
        <v>#REF!</v>
      </c>
      <c r="O8" s="65" t="e">
        <f t="shared" ref="O8:O15" ca="1" si="24">INDIRECT("'"&amp;$A8&amp;"'!K25")</f>
        <v>#REF!</v>
      </c>
      <c r="P8" s="65" t="e">
        <f t="shared" ref="P8:P15" ca="1" si="25">INDIRECT("'"&amp;$A8&amp;"'!K26")</f>
        <v>#REF!</v>
      </c>
      <c r="Q8" s="65" t="e">
        <f t="shared" ref="Q8:Q15" ca="1" si="26">INDIRECT("'"&amp;$A8&amp;"'!K27")</f>
        <v>#REF!</v>
      </c>
      <c r="R8" s="65" t="e">
        <f t="shared" ref="R8:R15" ca="1" si="27">INDIRECT("'"&amp;$A8&amp;"'!K28")</f>
        <v>#REF!</v>
      </c>
      <c r="S8" s="65" t="e">
        <f t="shared" ref="S8:S15" ca="1" si="28">INDIRECT("'"&amp;$A8&amp;"'!K29")</f>
        <v>#REF!</v>
      </c>
      <c r="T8" s="66" t="e">
        <f ca="1">INDIRECT("'"&amp;$A8&amp;"'!K36")</f>
        <v>#REF!</v>
      </c>
      <c r="U8" s="65"/>
      <c r="V8" s="65"/>
      <c r="W8" s="65"/>
      <c r="X8" s="65"/>
      <c r="Y8" s="65"/>
      <c r="Z8" s="65"/>
      <c r="AA8" s="65" t="e">
        <f ca="1">INDIRECT("'"&amp;$A8&amp;"'!J36")</f>
        <v>#REF!</v>
      </c>
      <c r="AB8" s="65" t="e">
        <f ca="1">INDIRECT("'"&amp;$A8&amp;"'!I36")</f>
        <v>#REF!</v>
      </c>
      <c r="AC8" s="65" t="e">
        <f ca="1">INDIRECT("'"&amp;$A8&amp;"'!H36")</f>
        <v>#REF!</v>
      </c>
      <c r="AD8" s="65" t="e">
        <f ca="1">IF(IF(INDIRECT("'"&amp;$A8&amp;"'!F36")="",0,INDIRECT("'"&amp;$A8&amp;"'!F36"))+IF(INDIRECT("'"&amp;$A8&amp;"'!G36")="",0,INDIRECT("'"&amp;$A8&amp;"'!G36"))=0,"",IF(INDIRECT("'"&amp;$A8&amp;"'!F36")="",0,INDIRECT("'"&amp;$A8&amp;"'!F36"))+IF(INDIRECT("'"&amp;$A8&amp;"'!G36")="",0,INDIRECT("'"&amp;$A8&amp;"'!G36")))</f>
        <v>#REF!</v>
      </c>
    </row>
    <row r="9" spans="1:44" ht="15" customHeight="1" x14ac:dyDescent="0.3">
      <c r="B9" t="e">
        <f t="shared" ca="1" si="11"/>
        <v>#REF!</v>
      </c>
      <c r="C9" s="55" t="e">
        <f t="shared" ca="1" si="12"/>
        <v>#REF!</v>
      </c>
      <c r="D9" s="55" t="e">
        <f t="shared" ca="1" si="13"/>
        <v>#REF!</v>
      </c>
      <c r="E9" s="55" t="e">
        <f t="shared" ca="1" si="14"/>
        <v>#REF!</v>
      </c>
      <c r="F9" s="55" t="e">
        <f t="shared" ca="1" si="15"/>
        <v>#REF!</v>
      </c>
      <c r="G9" s="55" t="e">
        <f t="shared" ca="1" si="16"/>
        <v>#REF!</v>
      </c>
      <c r="H9" s="55" t="e">
        <f t="shared" ca="1" si="17"/>
        <v>#REF!</v>
      </c>
      <c r="I9" s="55" t="e">
        <f t="shared" ca="1" si="18"/>
        <v>#REF!</v>
      </c>
      <c r="J9" s="55" t="e">
        <f t="shared" ca="1" si="19"/>
        <v>#REF!</v>
      </c>
      <c r="K9" s="55" t="e">
        <f t="shared" ca="1" si="20"/>
        <v>#REF!</v>
      </c>
      <c r="L9" s="55" t="e">
        <f t="shared" ca="1" si="21"/>
        <v>#REF!</v>
      </c>
      <c r="M9" s="55" t="e">
        <f t="shared" ca="1" si="22"/>
        <v>#REF!</v>
      </c>
      <c r="N9" s="55" t="e">
        <f t="shared" ca="1" si="23"/>
        <v>#REF!</v>
      </c>
      <c r="O9" s="55" t="e">
        <f t="shared" ca="1" si="24"/>
        <v>#REF!</v>
      </c>
      <c r="P9" s="55" t="e">
        <f t="shared" ca="1" si="25"/>
        <v>#REF!</v>
      </c>
      <c r="Q9" s="55" t="e">
        <f t="shared" ca="1" si="26"/>
        <v>#REF!</v>
      </c>
      <c r="R9" s="55" t="e">
        <f t="shared" ca="1" si="27"/>
        <v>#REF!</v>
      </c>
      <c r="S9" s="55" t="e">
        <f t="shared" ca="1" si="28"/>
        <v>#REF!</v>
      </c>
      <c r="T9" s="56" t="e">
        <f ca="1">INDIRECT("'"&amp;$A9&amp;"'!K36")</f>
        <v>#REF!</v>
      </c>
      <c r="U9" s="55"/>
      <c r="V9" s="55"/>
      <c r="W9" s="55"/>
      <c r="X9" s="55"/>
      <c r="Y9" s="55"/>
      <c r="Z9" s="55"/>
      <c r="AA9" s="55" t="e">
        <f ca="1">INDIRECT("'"&amp;$A9&amp;"'!J36")</f>
        <v>#REF!</v>
      </c>
      <c r="AB9" s="55" t="e">
        <f ca="1">INDIRECT("'"&amp;$A9&amp;"'!I36")</f>
        <v>#REF!</v>
      </c>
      <c r="AC9" s="55" t="e">
        <f ca="1">INDIRECT("'"&amp;$A9&amp;"'!H36")</f>
        <v>#REF!</v>
      </c>
      <c r="AD9" s="55" t="e">
        <f ca="1">IF(IF(INDIRECT("'"&amp;$A9&amp;"'!F36")="",0,INDIRECT("'"&amp;$A9&amp;"'!F36"))+IF(INDIRECT("'"&amp;$A9&amp;"'!G36")="",0,INDIRECT("'"&amp;$A9&amp;"'!G36"))=0,"",IF(INDIRECT("'"&amp;$A9&amp;"'!F36")="",0,INDIRECT("'"&amp;$A9&amp;"'!F36"))+IF(INDIRECT("'"&amp;$A9&amp;"'!G36")="",0,INDIRECT("'"&amp;$A9&amp;"'!G36")))</f>
        <v>#REF!</v>
      </c>
    </row>
    <row r="10" spans="1:44" ht="15" customHeight="1" x14ac:dyDescent="0.3">
      <c r="A10" s="120"/>
      <c r="B10" s="120" t="e">
        <f t="shared" ca="1" si="11"/>
        <v>#REF!</v>
      </c>
      <c r="C10" s="65" t="e">
        <f t="shared" ca="1" si="12"/>
        <v>#REF!</v>
      </c>
      <c r="D10" s="65" t="e">
        <f t="shared" ca="1" si="13"/>
        <v>#REF!</v>
      </c>
      <c r="E10" s="65" t="e">
        <f t="shared" ca="1" si="14"/>
        <v>#REF!</v>
      </c>
      <c r="F10" s="65" t="e">
        <f t="shared" ca="1" si="15"/>
        <v>#REF!</v>
      </c>
      <c r="G10" s="65" t="e">
        <f t="shared" ca="1" si="16"/>
        <v>#REF!</v>
      </c>
      <c r="H10" s="65" t="e">
        <f t="shared" ca="1" si="17"/>
        <v>#REF!</v>
      </c>
      <c r="I10" s="65" t="e">
        <f t="shared" ca="1" si="18"/>
        <v>#REF!</v>
      </c>
      <c r="J10" s="65" t="e">
        <f t="shared" ca="1" si="19"/>
        <v>#REF!</v>
      </c>
      <c r="K10" s="65" t="e">
        <f t="shared" ca="1" si="20"/>
        <v>#REF!</v>
      </c>
      <c r="L10" s="65" t="e">
        <f t="shared" ca="1" si="21"/>
        <v>#REF!</v>
      </c>
      <c r="M10" s="65" t="e">
        <f t="shared" ca="1" si="22"/>
        <v>#REF!</v>
      </c>
      <c r="N10" s="65" t="e">
        <f t="shared" ca="1" si="23"/>
        <v>#REF!</v>
      </c>
      <c r="O10" s="65" t="e">
        <f t="shared" ca="1" si="24"/>
        <v>#REF!</v>
      </c>
      <c r="P10" s="65" t="e">
        <f t="shared" ca="1" si="25"/>
        <v>#REF!</v>
      </c>
      <c r="Q10" s="65" t="e">
        <f t="shared" ca="1" si="26"/>
        <v>#REF!</v>
      </c>
      <c r="R10" s="65" t="e">
        <f t="shared" ca="1" si="27"/>
        <v>#REF!</v>
      </c>
      <c r="S10" s="65" t="e">
        <f t="shared" ca="1" si="28"/>
        <v>#REF!</v>
      </c>
      <c r="T10" s="66" t="e">
        <f ca="1">INDIRECT("'"&amp;$A10&amp;"'!K36")</f>
        <v>#REF!</v>
      </c>
      <c r="U10" s="65"/>
      <c r="V10" s="65"/>
      <c r="W10" s="65"/>
      <c r="X10" s="65"/>
      <c r="Y10" s="65"/>
      <c r="Z10" s="65"/>
      <c r="AA10" s="65" t="e">
        <f ca="1">INDIRECT("'"&amp;$A10&amp;"'!J36")</f>
        <v>#REF!</v>
      </c>
      <c r="AB10" s="65" t="e">
        <f ca="1">INDIRECT("'"&amp;$A10&amp;"'!I36")</f>
        <v>#REF!</v>
      </c>
      <c r="AC10" s="65" t="e">
        <f ca="1">INDIRECT("'"&amp;$A10&amp;"'!H36")</f>
        <v>#REF!</v>
      </c>
      <c r="AD10" s="65" t="e">
        <f ca="1">IF(IF(INDIRECT("'"&amp;$A10&amp;"'!F36")="",0,INDIRECT("'"&amp;$A10&amp;"'!F36"))+IF(INDIRECT("'"&amp;$A10&amp;"'!G36")="",0,INDIRECT("'"&amp;$A10&amp;"'!G36"))=0,"",IF(INDIRECT("'"&amp;$A10&amp;"'!F36")="",0,INDIRECT("'"&amp;$A10&amp;"'!F36"))+IF(INDIRECT("'"&amp;$A10&amp;"'!G36")="",0,INDIRECT("'"&amp;$A10&amp;"'!G36")))</f>
        <v>#REF!</v>
      </c>
    </row>
    <row r="11" spans="1:44" ht="15" customHeight="1" x14ac:dyDescent="0.3">
      <c r="B11" t="e">
        <f t="shared" ca="1" si="11"/>
        <v>#REF!</v>
      </c>
      <c r="C11" s="55" t="e">
        <f t="shared" ca="1" si="12"/>
        <v>#REF!</v>
      </c>
      <c r="D11" s="55" t="e">
        <f t="shared" ca="1" si="13"/>
        <v>#REF!</v>
      </c>
      <c r="E11" s="55" t="e">
        <f t="shared" ca="1" si="14"/>
        <v>#REF!</v>
      </c>
      <c r="F11" s="55" t="e">
        <f t="shared" ca="1" si="15"/>
        <v>#REF!</v>
      </c>
      <c r="G11" s="55" t="e">
        <f t="shared" ca="1" si="16"/>
        <v>#REF!</v>
      </c>
      <c r="H11" s="55" t="e">
        <f t="shared" ca="1" si="17"/>
        <v>#REF!</v>
      </c>
      <c r="I11" s="55" t="e">
        <f t="shared" ca="1" si="18"/>
        <v>#REF!</v>
      </c>
      <c r="J11" s="55" t="e">
        <f t="shared" ca="1" si="19"/>
        <v>#REF!</v>
      </c>
      <c r="K11" s="55" t="e">
        <f t="shared" ca="1" si="20"/>
        <v>#REF!</v>
      </c>
      <c r="L11" s="55" t="e">
        <f t="shared" ca="1" si="21"/>
        <v>#REF!</v>
      </c>
      <c r="M11" s="55" t="e">
        <f t="shared" ca="1" si="22"/>
        <v>#REF!</v>
      </c>
      <c r="N11" s="55" t="e">
        <f t="shared" ca="1" si="23"/>
        <v>#REF!</v>
      </c>
      <c r="O11" s="55" t="e">
        <f t="shared" ca="1" si="24"/>
        <v>#REF!</v>
      </c>
      <c r="P11" s="55" t="e">
        <f t="shared" ca="1" si="25"/>
        <v>#REF!</v>
      </c>
      <c r="Q11" s="55" t="e">
        <f t="shared" ca="1" si="26"/>
        <v>#REF!</v>
      </c>
      <c r="R11" s="55" t="e">
        <f t="shared" ca="1" si="27"/>
        <v>#REF!</v>
      </c>
      <c r="S11" s="55" t="e">
        <f t="shared" ca="1" si="28"/>
        <v>#REF!</v>
      </c>
      <c r="T11" s="56" t="e">
        <f ca="1">INDIRECT("'"&amp;$A11&amp;"'!K36")</f>
        <v>#REF!</v>
      </c>
      <c r="U11" s="55"/>
      <c r="V11" s="55"/>
      <c r="W11" s="55"/>
      <c r="X11" s="55"/>
      <c r="Y11" s="55"/>
      <c r="Z11" s="55"/>
      <c r="AA11" s="55" t="e">
        <f ca="1">INDIRECT("'"&amp;$A11&amp;"'!J36")</f>
        <v>#REF!</v>
      </c>
      <c r="AB11" s="55" t="e">
        <f ca="1">INDIRECT("'"&amp;$A11&amp;"'!I36")</f>
        <v>#REF!</v>
      </c>
      <c r="AC11" s="55" t="e">
        <f ca="1">INDIRECT("'"&amp;$A11&amp;"'!H36")</f>
        <v>#REF!</v>
      </c>
      <c r="AD11" s="55" t="e">
        <f ca="1">IF(IF(INDIRECT("'"&amp;$A11&amp;"'!F36")="",0,INDIRECT("'"&amp;$A11&amp;"'!F36"))+IF(INDIRECT("'"&amp;$A11&amp;"'!G36")="",0,INDIRECT("'"&amp;$A11&amp;"'!G36"))=0,"",IF(INDIRECT("'"&amp;$A11&amp;"'!F36")="",0,INDIRECT("'"&amp;$A11&amp;"'!F36"))+IF(INDIRECT("'"&amp;$A11&amp;"'!G36")="",0,INDIRECT("'"&amp;$A11&amp;"'!G36")))</f>
        <v>#REF!</v>
      </c>
    </row>
    <row r="12" spans="1:44" ht="15" customHeight="1" x14ac:dyDescent="0.3">
      <c r="A12" s="120"/>
      <c r="B12" s="120" t="e">
        <f t="shared" ca="1" si="11"/>
        <v>#REF!</v>
      </c>
      <c r="C12" s="65" t="e">
        <f t="shared" ca="1" si="12"/>
        <v>#REF!</v>
      </c>
      <c r="D12" s="65" t="e">
        <f t="shared" ca="1" si="13"/>
        <v>#REF!</v>
      </c>
      <c r="E12" s="65" t="e">
        <f t="shared" ca="1" si="14"/>
        <v>#REF!</v>
      </c>
      <c r="F12" s="65" t="e">
        <f t="shared" ca="1" si="15"/>
        <v>#REF!</v>
      </c>
      <c r="G12" s="65" t="e">
        <f t="shared" ca="1" si="16"/>
        <v>#REF!</v>
      </c>
      <c r="H12" s="65" t="e">
        <f t="shared" ca="1" si="17"/>
        <v>#REF!</v>
      </c>
      <c r="I12" s="65" t="e">
        <f t="shared" ca="1" si="18"/>
        <v>#REF!</v>
      </c>
      <c r="J12" s="65" t="e">
        <f t="shared" ca="1" si="19"/>
        <v>#REF!</v>
      </c>
      <c r="K12" s="65" t="e">
        <f t="shared" ca="1" si="20"/>
        <v>#REF!</v>
      </c>
      <c r="L12" s="65" t="e">
        <f t="shared" ca="1" si="21"/>
        <v>#REF!</v>
      </c>
      <c r="M12" s="65" t="e">
        <f t="shared" ca="1" si="22"/>
        <v>#REF!</v>
      </c>
      <c r="N12" s="65" t="e">
        <f t="shared" ca="1" si="23"/>
        <v>#REF!</v>
      </c>
      <c r="O12" s="65" t="e">
        <f t="shared" ca="1" si="24"/>
        <v>#REF!</v>
      </c>
      <c r="P12" s="65" t="e">
        <f t="shared" ca="1" si="25"/>
        <v>#REF!</v>
      </c>
      <c r="Q12" s="65" t="e">
        <f t="shared" ca="1" si="26"/>
        <v>#REF!</v>
      </c>
      <c r="R12" s="65" t="e">
        <f t="shared" ca="1" si="27"/>
        <v>#REF!</v>
      </c>
      <c r="S12" s="65" t="e">
        <f t="shared" ca="1" si="28"/>
        <v>#REF!</v>
      </c>
      <c r="T12" s="66" t="e">
        <f ca="1">INDIRECT("'"&amp;$A12&amp;"'!K36")</f>
        <v>#REF!</v>
      </c>
      <c r="U12" s="65"/>
      <c r="V12" s="65"/>
      <c r="W12" s="65"/>
      <c r="X12" s="65"/>
      <c r="Y12" s="65"/>
      <c r="Z12" s="65"/>
      <c r="AA12" s="65" t="e">
        <f ca="1">INDIRECT("'"&amp;$A12&amp;"'!J36")</f>
        <v>#REF!</v>
      </c>
      <c r="AB12" s="65" t="e">
        <f ca="1">INDIRECT("'"&amp;$A12&amp;"'!I36")</f>
        <v>#REF!</v>
      </c>
      <c r="AC12" s="65" t="e">
        <f ca="1">INDIRECT("'"&amp;$A12&amp;"'!H36")</f>
        <v>#REF!</v>
      </c>
      <c r="AD12" s="65" t="e">
        <f ca="1">IF(IF(INDIRECT("'"&amp;$A12&amp;"'!F36")="",0,INDIRECT("'"&amp;$A12&amp;"'!F36"))+IF(INDIRECT("'"&amp;$A12&amp;"'!G36")="",0,INDIRECT("'"&amp;$A12&amp;"'!G36"))=0,"",IF(INDIRECT("'"&amp;$A12&amp;"'!F36")="",0,INDIRECT("'"&amp;$A12&amp;"'!F36"))+IF(INDIRECT("'"&amp;$A12&amp;"'!G36")="",0,INDIRECT("'"&amp;$A12&amp;"'!G36")))</f>
        <v>#REF!</v>
      </c>
    </row>
    <row r="13" spans="1:44" ht="15" customHeight="1" x14ac:dyDescent="0.3">
      <c r="B13" t="e">
        <f t="shared" ca="1" si="11"/>
        <v>#REF!</v>
      </c>
      <c r="C13" s="55" t="e">
        <f t="shared" ca="1" si="12"/>
        <v>#REF!</v>
      </c>
      <c r="D13" s="55" t="e">
        <f t="shared" ca="1" si="13"/>
        <v>#REF!</v>
      </c>
      <c r="E13" s="55" t="e">
        <f t="shared" ca="1" si="14"/>
        <v>#REF!</v>
      </c>
      <c r="F13" s="55" t="e">
        <f t="shared" ca="1" si="15"/>
        <v>#REF!</v>
      </c>
      <c r="G13" s="55" t="e">
        <f t="shared" ca="1" si="16"/>
        <v>#REF!</v>
      </c>
      <c r="H13" s="55" t="e">
        <f t="shared" ca="1" si="17"/>
        <v>#REF!</v>
      </c>
      <c r="I13" s="55" t="e">
        <f t="shared" ca="1" si="18"/>
        <v>#REF!</v>
      </c>
      <c r="J13" s="55" t="e">
        <f t="shared" ca="1" si="19"/>
        <v>#REF!</v>
      </c>
      <c r="K13" s="55" t="e">
        <f t="shared" ca="1" si="20"/>
        <v>#REF!</v>
      </c>
      <c r="L13" s="55" t="e">
        <f t="shared" ca="1" si="21"/>
        <v>#REF!</v>
      </c>
      <c r="M13" s="55" t="e">
        <f t="shared" ca="1" si="22"/>
        <v>#REF!</v>
      </c>
      <c r="N13" s="55" t="e">
        <f t="shared" ca="1" si="23"/>
        <v>#REF!</v>
      </c>
      <c r="O13" s="55" t="e">
        <f t="shared" ca="1" si="24"/>
        <v>#REF!</v>
      </c>
      <c r="P13" s="55" t="e">
        <f t="shared" ca="1" si="25"/>
        <v>#REF!</v>
      </c>
      <c r="Q13" s="55" t="e">
        <f t="shared" ca="1" si="26"/>
        <v>#REF!</v>
      </c>
      <c r="R13" s="55" t="e">
        <f t="shared" ca="1" si="27"/>
        <v>#REF!</v>
      </c>
      <c r="S13" s="55" t="e">
        <f t="shared" ca="1" si="28"/>
        <v>#REF!</v>
      </c>
      <c r="T13" s="56" t="e">
        <f ca="1">INDIRECT("'"&amp;$A13&amp;"'!K36")</f>
        <v>#REF!</v>
      </c>
      <c r="U13" s="55"/>
      <c r="V13" s="55"/>
      <c r="W13" s="55"/>
      <c r="X13" s="55"/>
      <c r="Y13" s="55"/>
      <c r="Z13" s="55"/>
      <c r="AA13" s="55" t="e">
        <f ca="1">INDIRECT("'"&amp;$A13&amp;"'!J36")</f>
        <v>#REF!</v>
      </c>
      <c r="AB13" s="55" t="e">
        <f ca="1">INDIRECT("'"&amp;$A13&amp;"'!I36")</f>
        <v>#REF!</v>
      </c>
      <c r="AC13" s="55" t="e">
        <f ca="1">INDIRECT("'"&amp;$A13&amp;"'!H36")</f>
        <v>#REF!</v>
      </c>
      <c r="AD13" s="55" t="e">
        <f ca="1">IF(IF(INDIRECT("'"&amp;$A13&amp;"'!F36")="",0,INDIRECT("'"&amp;$A13&amp;"'!F36"))+IF(INDIRECT("'"&amp;$A13&amp;"'!G36")="",0,INDIRECT("'"&amp;$A13&amp;"'!G36"))=0,"",IF(INDIRECT("'"&amp;$A13&amp;"'!F36")="",0,INDIRECT("'"&amp;$A13&amp;"'!F36"))+IF(INDIRECT("'"&amp;$A13&amp;"'!G36")="",0,INDIRECT("'"&amp;$A13&amp;"'!G36")))</f>
        <v>#REF!</v>
      </c>
    </row>
    <row r="14" spans="1:44" ht="15" customHeight="1" x14ac:dyDescent="0.3">
      <c r="A14" s="120"/>
      <c r="B14" s="120" t="e">
        <f t="shared" ca="1" si="11"/>
        <v>#REF!</v>
      </c>
      <c r="C14" s="65" t="e">
        <f t="shared" ca="1" si="12"/>
        <v>#REF!</v>
      </c>
      <c r="D14" s="65" t="e">
        <f t="shared" ca="1" si="13"/>
        <v>#REF!</v>
      </c>
      <c r="E14" s="65" t="e">
        <f t="shared" ca="1" si="14"/>
        <v>#REF!</v>
      </c>
      <c r="F14" s="65" t="e">
        <f t="shared" ca="1" si="15"/>
        <v>#REF!</v>
      </c>
      <c r="G14" s="65" t="e">
        <f t="shared" ca="1" si="16"/>
        <v>#REF!</v>
      </c>
      <c r="H14" s="65" t="e">
        <f t="shared" ca="1" si="17"/>
        <v>#REF!</v>
      </c>
      <c r="I14" s="65" t="e">
        <f t="shared" ca="1" si="18"/>
        <v>#REF!</v>
      </c>
      <c r="J14" s="65" t="e">
        <f t="shared" ca="1" si="19"/>
        <v>#REF!</v>
      </c>
      <c r="K14" s="65" t="e">
        <f t="shared" ca="1" si="20"/>
        <v>#REF!</v>
      </c>
      <c r="L14" s="65" t="e">
        <f t="shared" ca="1" si="21"/>
        <v>#REF!</v>
      </c>
      <c r="M14" s="65" t="e">
        <f t="shared" ca="1" si="22"/>
        <v>#REF!</v>
      </c>
      <c r="N14" s="65" t="e">
        <f t="shared" ca="1" si="23"/>
        <v>#REF!</v>
      </c>
      <c r="O14" s="65" t="e">
        <f t="shared" ca="1" si="24"/>
        <v>#REF!</v>
      </c>
      <c r="P14" s="65" t="e">
        <f t="shared" ca="1" si="25"/>
        <v>#REF!</v>
      </c>
      <c r="Q14" s="65" t="e">
        <f t="shared" ca="1" si="26"/>
        <v>#REF!</v>
      </c>
      <c r="R14" s="65" t="e">
        <f t="shared" ca="1" si="27"/>
        <v>#REF!</v>
      </c>
      <c r="S14" s="65" t="e">
        <f t="shared" ca="1" si="28"/>
        <v>#REF!</v>
      </c>
      <c r="T14" s="66" t="e">
        <f ca="1">INDIRECT("'"&amp;$A14&amp;"'!K36")</f>
        <v>#REF!</v>
      </c>
      <c r="U14" s="65"/>
      <c r="V14" s="65"/>
      <c r="W14" s="65"/>
      <c r="X14" s="65"/>
      <c r="Y14" s="65"/>
      <c r="Z14" s="65"/>
      <c r="AA14" s="65" t="e">
        <f ca="1">INDIRECT("'"&amp;$A14&amp;"'!J36")</f>
        <v>#REF!</v>
      </c>
      <c r="AB14" s="65" t="e">
        <f ca="1">INDIRECT("'"&amp;$A14&amp;"'!I36")</f>
        <v>#REF!</v>
      </c>
      <c r="AC14" s="65" t="e">
        <f ca="1">INDIRECT("'"&amp;$A14&amp;"'!H36")</f>
        <v>#REF!</v>
      </c>
      <c r="AD14" s="65" t="e">
        <f ca="1">IF(IF(INDIRECT("'"&amp;$A14&amp;"'!F36")="",0,INDIRECT("'"&amp;$A14&amp;"'!F36"))+IF(INDIRECT("'"&amp;$A14&amp;"'!G36")="",0,INDIRECT("'"&amp;$A14&amp;"'!G36"))=0,"",IF(INDIRECT("'"&amp;$A14&amp;"'!F36")="",0,INDIRECT("'"&amp;$A14&amp;"'!F36"))+IF(INDIRECT("'"&amp;$A14&amp;"'!G36")="",0,INDIRECT("'"&amp;$A14&amp;"'!G36")))</f>
        <v>#REF!</v>
      </c>
    </row>
    <row r="15" spans="1:44" ht="15" customHeight="1" x14ac:dyDescent="0.3">
      <c r="B15" t="e">
        <f t="shared" ca="1" si="11"/>
        <v>#REF!</v>
      </c>
      <c r="C15" s="55" t="e">
        <f t="shared" ca="1" si="12"/>
        <v>#REF!</v>
      </c>
      <c r="D15" s="55" t="e">
        <f t="shared" ca="1" si="13"/>
        <v>#REF!</v>
      </c>
      <c r="E15" s="55" t="e">
        <f t="shared" ca="1" si="14"/>
        <v>#REF!</v>
      </c>
      <c r="F15" s="55" t="e">
        <f t="shared" ca="1" si="15"/>
        <v>#REF!</v>
      </c>
      <c r="G15" s="55" t="e">
        <f t="shared" ca="1" si="16"/>
        <v>#REF!</v>
      </c>
      <c r="H15" s="55" t="e">
        <f t="shared" ca="1" si="17"/>
        <v>#REF!</v>
      </c>
      <c r="I15" s="55" t="e">
        <f t="shared" ca="1" si="18"/>
        <v>#REF!</v>
      </c>
      <c r="J15" s="55" t="e">
        <f t="shared" ca="1" si="19"/>
        <v>#REF!</v>
      </c>
      <c r="K15" s="55" t="e">
        <f t="shared" ca="1" si="20"/>
        <v>#REF!</v>
      </c>
      <c r="L15" s="55" t="e">
        <f t="shared" ca="1" si="21"/>
        <v>#REF!</v>
      </c>
      <c r="M15" s="55" t="e">
        <f t="shared" ca="1" si="22"/>
        <v>#REF!</v>
      </c>
      <c r="N15" s="55" t="e">
        <f t="shared" ca="1" si="23"/>
        <v>#REF!</v>
      </c>
      <c r="O15" s="55" t="e">
        <f t="shared" ca="1" si="24"/>
        <v>#REF!</v>
      </c>
      <c r="P15" s="55" t="e">
        <f t="shared" ca="1" si="25"/>
        <v>#REF!</v>
      </c>
      <c r="Q15" s="55" t="e">
        <f t="shared" ca="1" si="26"/>
        <v>#REF!</v>
      </c>
      <c r="R15" s="55" t="e">
        <f t="shared" ca="1" si="27"/>
        <v>#REF!</v>
      </c>
      <c r="S15" s="55" t="e">
        <f t="shared" ca="1" si="28"/>
        <v>#REF!</v>
      </c>
      <c r="T15" s="56" t="e">
        <f ca="1">INDIRECT("'"&amp;$A15&amp;"'!K36")</f>
        <v>#REF!</v>
      </c>
      <c r="U15" s="55"/>
      <c r="V15" s="55"/>
      <c r="W15" s="55"/>
      <c r="X15" s="55"/>
      <c r="Y15" s="55"/>
      <c r="Z15" s="55"/>
      <c r="AA15" s="55" t="e">
        <f ca="1">INDIRECT("'"&amp;$A15&amp;"'!J36")</f>
        <v>#REF!</v>
      </c>
      <c r="AB15" s="55" t="e">
        <f ca="1">INDIRECT("'"&amp;$A15&amp;"'!I36")</f>
        <v>#REF!</v>
      </c>
      <c r="AC15" s="55" t="e">
        <f ca="1">INDIRECT("'"&amp;$A15&amp;"'!H36")</f>
        <v>#REF!</v>
      </c>
      <c r="AD15" s="55" t="e">
        <f ca="1">IF(IF(INDIRECT("'"&amp;$A15&amp;"'!F36")="",0,INDIRECT("'"&amp;$A15&amp;"'!F36"))+IF(INDIRECT("'"&amp;$A15&amp;"'!G36")="",0,INDIRECT("'"&amp;$A15&amp;"'!G36"))=0,"",IF(INDIRECT("'"&amp;$A15&amp;"'!F36")="",0,INDIRECT("'"&amp;$A15&amp;"'!F36"))+IF(INDIRECT("'"&amp;$A15&amp;"'!G36")="",0,INDIRECT("'"&amp;$A15&amp;"'!G36")))</f>
        <v>#REF!</v>
      </c>
    </row>
  </sheetData>
  <sheetProtection selectLockedCells="1" selectUnlockedCells="1"/>
  <mergeCells count="4">
    <mergeCell ref="A1:B1"/>
    <mergeCell ref="A2:B2"/>
    <mergeCell ref="A3:B3"/>
    <mergeCell ref="A4:B4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D24"/>
  <sheetViews>
    <sheetView zoomScale="115" zoomScaleNormal="115" workbookViewId="0">
      <selection sqref="A1:B1"/>
    </sheetView>
  </sheetViews>
  <sheetFormatPr defaultColWidth="11.5546875" defaultRowHeight="14.4" x14ac:dyDescent="0.3"/>
  <cols>
    <col min="1" max="1" width="11.77734375" customWidth="1"/>
    <col min="2" max="2" width="18.5546875" customWidth="1"/>
    <col min="3" max="24" width="3.6640625" customWidth="1"/>
    <col min="25" max="25" width="5.6640625" customWidth="1"/>
    <col min="26" max="26" width="5.6640625" hidden="1" customWidth="1"/>
    <col min="27" max="27" width="3.6640625" style="52" customWidth="1"/>
    <col min="28" max="30" width="3.6640625" customWidth="1"/>
  </cols>
  <sheetData>
    <row r="1" spans="1:30" ht="15" customHeight="1" x14ac:dyDescent="0.3">
      <c r="A1" s="380" t="s">
        <v>83</v>
      </c>
      <c r="B1" s="380"/>
      <c r="C1" s="113" t="e">
        <f ca="1">SUM(C7:C12)-MAX(C7:C12)-MIN(C7:C12)</f>
        <v>#REF!</v>
      </c>
      <c r="D1" s="113" t="e">
        <f t="shared" ref="D1:X1" ca="1" si="0">SUM(D7:D12)-MAX(D7:D12)-MIN(D7:D12)</f>
        <v>#REF!</v>
      </c>
      <c r="E1" s="113" t="e">
        <f t="shared" ca="1" si="0"/>
        <v>#REF!</v>
      </c>
      <c r="F1" s="113" t="e">
        <f t="shared" ca="1" si="0"/>
        <v>#REF!</v>
      </c>
      <c r="G1" s="113" t="e">
        <f t="shared" ca="1" si="0"/>
        <v>#REF!</v>
      </c>
      <c r="H1" s="113" t="e">
        <f t="shared" ca="1" si="0"/>
        <v>#REF!</v>
      </c>
      <c r="I1" s="113" t="e">
        <f t="shared" ca="1" si="0"/>
        <v>#REF!</v>
      </c>
      <c r="J1" s="113" t="e">
        <f t="shared" ca="1" si="0"/>
        <v>#REF!</v>
      </c>
      <c r="K1" s="113" t="e">
        <f t="shared" ca="1" si="0"/>
        <v>#REF!</v>
      </c>
      <c r="L1" s="113" t="e">
        <f t="shared" ca="1" si="0"/>
        <v>#REF!</v>
      </c>
      <c r="M1" s="113" t="e">
        <f t="shared" ca="1" si="0"/>
        <v>#REF!</v>
      </c>
      <c r="N1" s="113" t="e">
        <f t="shared" ca="1" si="0"/>
        <v>#REF!</v>
      </c>
      <c r="O1" s="113" t="e">
        <f t="shared" ca="1" si="0"/>
        <v>#REF!</v>
      </c>
      <c r="P1" s="113" t="e">
        <f t="shared" ca="1" si="0"/>
        <v>#REF!</v>
      </c>
      <c r="Q1" s="113" t="e">
        <f t="shared" ca="1" si="0"/>
        <v>#REF!</v>
      </c>
      <c r="R1" s="113" t="e">
        <f t="shared" ca="1" si="0"/>
        <v>#REF!</v>
      </c>
      <c r="S1" s="113" t="e">
        <f t="shared" ca="1" si="0"/>
        <v>#REF!</v>
      </c>
      <c r="T1" s="113" t="e">
        <f t="shared" ca="1" si="0"/>
        <v>#REF!</v>
      </c>
      <c r="U1" s="113" t="e">
        <f t="shared" ca="1" si="0"/>
        <v>#REF!</v>
      </c>
      <c r="V1" s="113" t="e">
        <f t="shared" ca="1" si="0"/>
        <v>#REF!</v>
      </c>
      <c r="W1" s="113" t="e">
        <f t="shared" ca="1" si="0"/>
        <v>#REF!</v>
      </c>
      <c r="X1" s="113" t="e">
        <f t="shared" ca="1" si="0"/>
        <v>#REF!</v>
      </c>
      <c r="Y1" s="54" t="e">
        <f ca="1">IF(SUM(AA7:AA12)&gt;0,SUM(H1:X1)/2,SUM(H1:X1))</f>
        <v>#REF!</v>
      </c>
      <c r="Z1" s="260"/>
      <c r="AA1" s="122" t="e">
        <f t="shared" ref="AA1" ca="1" si="1">SUM(AA7:AA12)-MAX(AA7:AA12)-MIN(AA7:AA12)</f>
        <v>#REF!</v>
      </c>
      <c r="AB1" s="195" t="e">
        <f t="shared" ref="AB1:AD1" ca="1" si="2">SUM(AB7:AB12)-MAX(AB7:AB12)-MIN(AB7:AB12)</f>
        <v>#REF!</v>
      </c>
      <c r="AC1" s="195" t="e">
        <f t="shared" ca="1" si="2"/>
        <v>#REF!</v>
      </c>
      <c r="AD1" s="195" t="e">
        <f t="shared" ca="1" si="2"/>
        <v>#REF!</v>
      </c>
    </row>
    <row r="2" spans="1:30" ht="15" customHeight="1" x14ac:dyDescent="0.3">
      <c r="A2" s="382" t="s">
        <v>84</v>
      </c>
      <c r="B2" s="382"/>
      <c r="C2" s="115" t="e">
        <f ca="1">AVERAGE(C7:C12)</f>
        <v>#REF!</v>
      </c>
      <c r="D2" s="115" t="e">
        <f t="shared" ref="D2:AD2" ca="1" si="3">AVERAGE(D7:D12)</f>
        <v>#REF!</v>
      </c>
      <c r="E2" s="115" t="e">
        <f t="shared" ca="1" si="3"/>
        <v>#REF!</v>
      </c>
      <c r="F2" s="115" t="e">
        <f t="shared" ca="1" si="3"/>
        <v>#REF!</v>
      </c>
      <c r="G2" s="115" t="e">
        <f t="shared" ca="1" si="3"/>
        <v>#REF!</v>
      </c>
      <c r="H2" s="115" t="e">
        <f t="shared" ca="1" si="3"/>
        <v>#REF!</v>
      </c>
      <c r="I2" s="115" t="e">
        <f t="shared" ca="1" si="3"/>
        <v>#REF!</v>
      </c>
      <c r="J2" s="115" t="e">
        <f t="shared" ca="1" si="3"/>
        <v>#REF!</v>
      </c>
      <c r="K2" s="115" t="e">
        <f t="shared" ca="1" si="3"/>
        <v>#REF!</v>
      </c>
      <c r="L2" s="115" t="e">
        <f t="shared" ca="1" si="3"/>
        <v>#REF!</v>
      </c>
      <c r="M2" s="115" t="e">
        <f t="shared" ca="1" si="3"/>
        <v>#REF!</v>
      </c>
      <c r="N2" s="115" t="e">
        <f t="shared" ca="1" si="3"/>
        <v>#REF!</v>
      </c>
      <c r="O2" s="115" t="e">
        <f t="shared" ca="1" si="3"/>
        <v>#REF!</v>
      </c>
      <c r="P2" s="115" t="e">
        <f t="shared" ca="1" si="3"/>
        <v>#REF!</v>
      </c>
      <c r="Q2" s="115" t="e">
        <f t="shared" ca="1" si="3"/>
        <v>#REF!</v>
      </c>
      <c r="R2" s="115" t="e">
        <f t="shared" ca="1" si="3"/>
        <v>#REF!</v>
      </c>
      <c r="S2" s="115" t="e">
        <f t="shared" ca="1" si="3"/>
        <v>#REF!</v>
      </c>
      <c r="T2" s="115" t="e">
        <f t="shared" ca="1" si="3"/>
        <v>#REF!</v>
      </c>
      <c r="U2" s="115" t="e">
        <f t="shared" ca="1" si="3"/>
        <v>#REF!</v>
      </c>
      <c r="V2" s="115" t="e">
        <f t="shared" ca="1" si="3"/>
        <v>#REF!</v>
      </c>
      <c r="W2" s="115" t="e">
        <f t="shared" ca="1" si="3"/>
        <v>#REF!</v>
      </c>
      <c r="X2" s="115" t="e">
        <f t="shared" ca="1" si="3"/>
        <v>#REF!</v>
      </c>
      <c r="Y2" s="152" t="e">
        <f t="shared" ca="1" si="3"/>
        <v>#REF!</v>
      </c>
      <c r="Z2" s="116"/>
      <c r="AA2" s="123" t="e">
        <f t="shared" ca="1" si="3"/>
        <v>#REF!</v>
      </c>
      <c r="AB2" s="196" t="e">
        <f t="shared" ca="1" si="3"/>
        <v>#REF!</v>
      </c>
      <c r="AC2" s="196" t="e">
        <f t="shared" ca="1" si="3"/>
        <v>#REF!</v>
      </c>
      <c r="AD2" s="196" t="e">
        <f t="shared" ca="1" si="3"/>
        <v>#REF!</v>
      </c>
    </row>
    <row r="3" spans="1:30" ht="15" customHeight="1" x14ac:dyDescent="0.3">
      <c r="A3" s="382" t="s">
        <v>85</v>
      </c>
      <c r="B3" s="382"/>
      <c r="C3" s="117" t="e">
        <f ca="1">_xlfn.STDEV.P(C7:C12)</f>
        <v>#REF!</v>
      </c>
      <c r="D3" s="117" t="e">
        <f t="shared" ref="D3:AD3" ca="1" si="4">_xlfn.STDEV.P(D7:D12)</f>
        <v>#REF!</v>
      </c>
      <c r="E3" s="117" t="e">
        <f t="shared" ca="1" si="4"/>
        <v>#REF!</v>
      </c>
      <c r="F3" s="117" t="e">
        <f t="shared" ca="1" si="4"/>
        <v>#REF!</v>
      </c>
      <c r="G3" s="117" t="e">
        <f t="shared" ca="1" si="4"/>
        <v>#REF!</v>
      </c>
      <c r="H3" s="117" t="e">
        <f t="shared" ca="1" si="4"/>
        <v>#REF!</v>
      </c>
      <c r="I3" s="117" t="e">
        <f t="shared" ca="1" si="4"/>
        <v>#REF!</v>
      </c>
      <c r="J3" s="117" t="e">
        <f t="shared" ca="1" si="4"/>
        <v>#REF!</v>
      </c>
      <c r="K3" s="117" t="e">
        <f t="shared" ca="1" si="4"/>
        <v>#REF!</v>
      </c>
      <c r="L3" s="117" t="e">
        <f t="shared" ca="1" si="4"/>
        <v>#REF!</v>
      </c>
      <c r="M3" s="117" t="e">
        <f t="shared" ca="1" si="4"/>
        <v>#REF!</v>
      </c>
      <c r="N3" s="117" t="e">
        <f t="shared" ca="1" si="4"/>
        <v>#REF!</v>
      </c>
      <c r="O3" s="117" t="e">
        <f t="shared" ca="1" si="4"/>
        <v>#REF!</v>
      </c>
      <c r="P3" s="117" t="e">
        <f t="shared" ca="1" si="4"/>
        <v>#REF!</v>
      </c>
      <c r="Q3" s="117" t="e">
        <f t="shared" ca="1" si="4"/>
        <v>#REF!</v>
      </c>
      <c r="R3" s="117" t="e">
        <f t="shared" ca="1" si="4"/>
        <v>#REF!</v>
      </c>
      <c r="S3" s="117" t="e">
        <f t="shared" ca="1" si="4"/>
        <v>#REF!</v>
      </c>
      <c r="T3" s="117" t="e">
        <f t="shared" ca="1" si="4"/>
        <v>#REF!</v>
      </c>
      <c r="U3" s="117" t="e">
        <f t="shared" ca="1" si="4"/>
        <v>#REF!</v>
      </c>
      <c r="V3" s="117" t="e">
        <f t="shared" ca="1" si="4"/>
        <v>#REF!</v>
      </c>
      <c r="W3" s="117" t="e">
        <f t="shared" ca="1" si="4"/>
        <v>#REF!</v>
      </c>
      <c r="X3" s="117" t="e">
        <f t="shared" ca="1" si="4"/>
        <v>#REF!</v>
      </c>
      <c r="Y3" s="153" t="e">
        <f t="shared" ca="1" si="4"/>
        <v>#REF!</v>
      </c>
      <c r="Z3" s="118"/>
      <c r="AA3" s="124" t="e">
        <f t="shared" ca="1" si="4"/>
        <v>#REF!</v>
      </c>
      <c r="AB3" s="197" t="e">
        <f t="shared" ca="1" si="4"/>
        <v>#REF!</v>
      </c>
      <c r="AC3" s="197" t="e">
        <f t="shared" ca="1" si="4"/>
        <v>#REF!</v>
      </c>
      <c r="AD3" s="197" t="e">
        <f t="shared" ca="1" si="4"/>
        <v>#REF!</v>
      </c>
    </row>
    <row r="4" spans="1:30" ht="15" customHeight="1" x14ac:dyDescent="0.3">
      <c r="A4" s="380" t="s">
        <v>86</v>
      </c>
      <c r="B4" s="380"/>
      <c r="C4" s="113" t="e">
        <f ca="1">MAX(C7:C12)-MIN(C7:C12)</f>
        <v>#REF!</v>
      </c>
      <c r="D4" s="113" t="e">
        <f t="shared" ref="D4:Y4" ca="1" si="5">MAX(D7:D12)-MIN(D7:D12)</f>
        <v>#REF!</v>
      </c>
      <c r="E4" s="113" t="e">
        <f t="shared" ca="1" si="5"/>
        <v>#REF!</v>
      </c>
      <c r="F4" s="113" t="e">
        <f t="shared" ca="1" si="5"/>
        <v>#REF!</v>
      </c>
      <c r="G4" s="113" t="e">
        <f t="shared" ca="1" si="5"/>
        <v>#REF!</v>
      </c>
      <c r="H4" s="113" t="e">
        <f t="shared" ca="1" si="5"/>
        <v>#REF!</v>
      </c>
      <c r="I4" s="113" t="e">
        <f t="shared" ca="1" si="5"/>
        <v>#REF!</v>
      </c>
      <c r="J4" s="113" t="e">
        <f t="shared" ca="1" si="5"/>
        <v>#REF!</v>
      </c>
      <c r="K4" s="113" t="e">
        <f t="shared" ca="1" si="5"/>
        <v>#REF!</v>
      </c>
      <c r="L4" s="113" t="e">
        <f t="shared" ca="1" si="5"/>
        <v>#REF!</v>
      </c>
      <c r="M4" s="113" t="e">
        <f t="shared" ca="1" si="5"/>
        <v>#REF!</v>
      </c>
      <c r="N4" s="113" t="e">
        <f t="shared" ca="1" si="5"/>
        <v>#REF!</v>
      </c>
      <c r="O4" s="113" t="e">
        <f t="shared" ca="1" si="5"/>
        <v>#REF!</v>
      </c>
      <c r="P4" s="113" t="e">
        <f t="shared" ca="1" si="5"/>
        <v>#REF!</v>
      </c>
      <c r="Q4" s="113" t="e">
        <f t="shared" ca="1" si="5"/>
        <v>#REF!</v>
      </c>
      <c r="R4" s="113" t="e">
        <f t="shared" ca="1" si="5"/>
        <v>#REF!</v>
      </c>
      <c r="S4" s="113" t="e">
        <f t="shared" ca="1" si="5"/>
        <v>#REF!</v>
      </c>
      <c r="T4" s="113" t="e">
        <f t="shared" ca="1" si="5"/>
        <v>#REF!</v>
      </c>
      <c r="U4" s="113" t="e">
        <f t="shared" ca="1" si="5"/>
        <v>#REF!</v>
      </c>
      <c r="V4" s="113" t="e">
        <f t="shared" ca="1" si="5"/>
        <v>#REF!</v>
      </c>
      <c r="W4" s="113" t="e">
        <f t="shared" ca="1" si="5"/>
        <v>#REF!</v>
      </c>
      <c r="X4" s="113" t="e">
        <f t="shared" ca="1" si="5"/>
        <v>#REF!</v>
      </c>
      <c r="Y4" s="151" t="e">
        <f t="shared" ca="1" si="5"/>
        <v>#REF!</v>
      </c>
      <c r="Z4" s="114"/>
      <c r="AA4" s="122" t="e">
        <f ca="1">MAX(AA7:AA12)-MIN(AA7:AA12)</f>
        <v>#REF!</v>
      </c>
      <c r="AB4" s="195" t="e">
        <f ca="1">MAX(AB7:AB15)-MIN(AB7:AB12)</f>
        <v>#REF!</v>
      </c>
      <c r="AC4" s="195" t="e">
        <f ca="1">MAX(AC7:AC15)-MIN(AC7:AC12)</f>
        <v>#REF!</v>
      </c>
      <c r="AD4" s="195" t="e">
        <f ca="1">MAX(AD7:AD15)-MIN(AD7:AD12)</f>
        <v>#REF!</v>
      </c>
    </row>
    <row r="5" spans="1:30" ht="15" customHeight="1" x14ac:dyDescent="0.3">
      <c r="A5" s="59" t="s">
        <v>87</v>
      </c>
      <c r="B5" s="67" t="e">
        <f ca="1">INDIRECT("'"&amp;$A7&amp;"'!D8") &amp; "-" &amp; INDIRECT("'"&amp;$A7&amp;"'!D9")</f>
        <v>#REF!</v>
      </c>
      <c r="Y5" s="154"/>
      <c r="Z5" s="121"/>
      <c r="AA5" s="125"/>
      <c r="AB5" s="198"/>
      <c r="AC5" s="198"/>
      <c r="AD5" s="198"/>
    </row>
    <row r="6" spans="1:30" ht="128.1" customHeight="1" x14ac:dyDescent="0.3">
      <c r="A6" s="31" t="s">
        <v>75</v>
      </c>
      <c r="B6" s="31" t="s">
        <v>76</v>
      </c>
      <c r="C6" s="61" t="s">
        <v>9</v>
      </c>
      <c r="D6" s="61" t="s">
        <v>133</v>
      </c>
      <c r="E6" s="61" t="s">
        <v>134</v>
      </c>
      <c r="F6" s="61" t="s">
        <v>135</v>
      </c>
      <c r="G6" s="61" t="s">
        <v>136</v>
      </c>
      <c r="H6" s="61" t="s">
        <v>137</v>
      </c>
      <c r="I6" s="61" t="s">
        <v>139</v>
      </c>
      <c r="J6" s="61" t="s">
        <v>140</v>
      </c>
      <c r="K6" s="61" t="s">
        <v>141</v>
      </c>
      <c r="L6" s="61" t="s">
        <v>133</v>
      </c>
      <c r="M6" s="61" t="s">
        <v>143</v>
      </c>
      <c r="N6" s="61" t="s">
        <v>134</v>
      </c>
      <c r="O6" s="61" t="s">
        <v>127</v>
      </c>
      <c r="P6" s="61" t="s">
        <v>135</v>
      </c>
      <c r="Q6" s="61" t="s">
        <v>136</v>
      </c>
      <c r="R6" s="61" t="s">
        <v>144</v>
      </c>
      <c r="S6" s="61" t="s">
        <v>137</v>
      </c>
      <c r="T6" s="61" t="s">
        <v>139</v>
      </c>
      <c r="U6" s="61" t="s">
        <v>140</v>
      </c>
      <c r="V6" s="61" t="s">
        <v>146</v>
      </c>
      <c r="W6" s="61" t="s">
        <v>119</v>
      </c>
      <c r="X6" s="61" t="s">
        <v>30</v>
      </c>
      <c r="Y6" s="62" t="s">
        <v>74</v>
      </c>
      <c r="Z6" s="63"/>
      <c r="AA6" s="119" t="s">
        <v>7</v>
      </c>
      <c r="AB6" s="199" t="s">
        <v>80</v>
      </c>
      <c r="AC6" s="199" t="s">
        <v>81</v>
      </c>
      <c r="AD6" s="199" t="s">
        <v>82</v>
      </c>
    </row>
    <row r="7" spans="1:30" ht="15" customHeight="1" x14ac:dyDescent="0.3">
      <c r="A7" s="59"/>
      <c r="B7" s="59" t="e">
        <f ca="1">INDIRECT("'"&amp;$A7&amp;"'!E5")</f>
        <v>#REF!</v>
      </c>
      <c r="C7" s="55" t="e">
        <f ca="1">INDIRECT("'"&amp;$A7&amp;"'!K13")</f>
        <v>#REF!</v>
      </c>
      <c r="D7" s="55" t="e">
        <f ca="1">INDIRECT("'"&amp;$A7&amp;"'!K14")</f>
        <v>#REF!</v>
      </c>
      <c r="E7" s="55" t="e">
        <f ca="1">INDIRECT("'"&amp;$A7&amp;"'!K15")</f>
        <v>#REF!</v>
      </c>
      <c r="F7" s="55" t="e">
        <f ca="1">INDIRECT("'"&amp;$A7&amp;"'!K16")</f>
        <v>#REF!</v>
      </c>
      <c r="G7" s="55" t="e">
        <f ca="1">INDIRECT("'"&amp;$A7&amp;"'!K17")</f>
        <v>#REF!</v>
      </c>
      <c r="H7" s="55" t="e">
        <f ca="1">INDIRECT("'"&amp;$A7&amp;"'!K18")</f>
        <v>#REF!</v>
      </c>
      <c r="I7" s="55" t="e">
        <f ca="1">INDIRECT("'"&amp;$A7&amp;"'!K19")</f>
        <v>#REF!</v>
      </c>
      <c r="J7" s="55" t="e">
        <f ca="1">INDIRECT("'"&amp;$A7&amp;"'!K20")</f>
        <v>#REF!</v>
      </c>
      <c r="K7" s="55" t="e">
        <f ca="1">INDIRECT("'"&amp;$A7&amp;"'!K21")</f>
        <v>#REF!</v>
      </c>
      <c r="L7" s="55" t="e">
        <f ca="1">INDIRECT("'"&amp;$A7&amp;"'!K22")</f>
        <v>#REF!</v>
      </c>
      <c r="M7" s="55" t="e">
        <f ca="1">INDIRECT("'"&amp;$A7&amp;"'!K23")</f>
        <v>#REF!</v>
      </c>
      <c r="N7" s="55" t="e">
        <f ca="1">INDIRECT("'"&amp;$A7&amp;"'!K24")</f>
        <v>#REF!</v>
      </c>
      <c r="O7" s="55" t="e">
        <f ca="1">INDIRECT("'"&amp;$A7&amp;"'!K25")</f>
        <v>#REF!</v>
      </c>
      <c r="P7" s="55" t="e">
        <f ca="1">INDIRECT("'"&amp;$A7&amp;"'!K26")</f>
        <v>#REF!</v>
      </c>
      <c r="Q7" s="55" t="e">
        <f ca="1">INDIRECT("'"&amp;$A7&amp;"'!K27")</f>
        <v>#REF!</v>
      </c>
      <c r="R7" s="55" t="e">
        <f ca="1">INDIRECT("'"&amp;$A7&amp;"'!K28")</f>
        <v>#REF!</v>
      </c>
      <c r="S7" s="55" t="e">
        <f ca="1">INDIRECT("'"&amp;$A7&amp;"'!K29")</f>
        <v>#REF!</v>
      </c>
      <c r="T7" s="200" t="e">
        <f ca="1">INDIRECT("'"&amp;$A7&amp;"'!K30")</f>
        <v>#REF!</v>
      </c>
      <c r="U7" s="200" t="e">
        <f ca="1">INDIRECT("'"&amp;$A7&amp;"'!K31")</f>
        <v>#REF!</v>
      </c>
      <c r="V7" s="200" t="e">
        <f ca="1">INDIRECT("'"&amp;$A7&amp;"'!K32")</f>
        <v>#REF!</v>
      </c>
      <c r="W7" s="200" t="e">
        <f ca="1">INDIRECT("'"&amp;$A7&amp;"'!K33")</f>
        <v>#REF!</v>
      </c>
      <c r="X7" s="200" t="e">
        <f ca="1">INDIRECT("'"&amp;$A7&amp;"'!K34")</f>
        <v>#REF!</v>
      </c>
      <c r="Y7" s="56" t="e">
        <f ca="1">INDIRECT("'"&amp;$A7&amp;"'!K35")</f>
        <v>#REF!</v>
      </c>
      <c r="Z7" s="200"/>
      <c r="AA7" s="55" t="e">
        <f ca="1">INDIRECT("'"&amp;$A7&amp;"'!J36")</f>
        <v>#REF!</v>
      </c>
      <c r="AB7" s="55" t="e">
        <f ca="1">INDIRECT("'"&amp;$A7&amp;"'!I36")</f>
        <v>#REF!</v>
      </c>
      <c r="AC7" s="55" t="e">
        <f ca="1">INDIRECT("'"&amp;$A7&amp;"'!H36")</f>
        <v>#REF!</v>
      </c>
      <c r="AD7" s="55" t="e">
        <f ca="1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3">
      <c r="A8" s="64"/>
      <c r="B8" s="64" t="e">
        <f ca="1">INDIRECT("'"&amp;$A8&amp;"'!E5")</f>
        <v>#REF!</v>
      </c>
      <c r="C8" s="65" t="e">
        <f t="shared" ref="C8:C15" ca="1" si="6">INDIRECT("'"&amp;$A8&amp;"'!K13")</f>
        <v>#REF!</v>
      </c>
      <c r="D8" s="65" t="e">
        <f t="shared" ref="D8:D15" ca="1" si="7">INDIRECT("'"&amp;$A8&amp;"'!K14")</f>
        <v>#REF!</v>
      </c>
      <c r="E8" s="65" t="e">
        <f t="shared" ref="E8:E15" ca="1" si="8">INDIRECT("'"&amp;$A8&amp;"'!K15")</f>
        <v>#REF!</v>
      </c>
      <c r="F8" s="65" t="e">
        <f t="shared" ref="F8:F15" ca="1" si="9">INDIRECT("'"&amp;$A8&amp;"'!K16")</f>
        <v>#REF!</v>
      </c>
      <c r="G8" s="65" t="e">
        <f t="shared" ref="G8:G15" ca="1" si="10">INDIRECT("'"&amp;$A8&amp;"'!K17")</f>
        <v>#REF!</v>
      </c>
      <c r="H8" s="65" t="e">
        <f t="shared" ref="H8:H15" ca="1" si="11">INDIRECT("'"&amp;$A8&amp;"'!K18")</f>
        <v>#REF!</v>
      </c>
      <c r="I8" s="65" t="e">
        <f t="shared" ref="I8:I15" ca="1" si="12">INDIRECT("'"&amp;$A8&amp;"'!K19")</f>
        <v>#REF!</v>
      </c>
      <c r="J8" s="65" t="e">
        <f t="shared" ref="J8:J15" ca="1" si="13">INDIRECT("'"&amp;$A8&amp;"'!K20")</f>
        <v>#REF!</v>
      </c>
      <c r="K8" s="65" t="e">
        <f t="shared" ref="K8:K15" ca="1" si="14">INDIRECT("'"&amp;$A8&amp;"'!K21")</f>
        <v>#REF!</v>
      </c>
      <c r="L8" s="65" t="e">
        <f t="shared" ref="L8:L15" ca="1" si="15">INDIRECT("'"&amp;$A8&amp;"'!K22")</f>
        <v>#REF!</v>
      </c>
      <c r="M8" s="65" t="e">
        <f t="shared" ref="M8:M15" ca="1" si="16">INDIRECT("'"&amp;$A8&amp;"'!K23")</f>
        <v>#REF!</v>
      </c>
      <c r="N8" s="65" t="e">
        <f t="shared" ref="N8:N15" ca="1" si="17">INDIRECT("'"&amp;$A8&amp;"'!K24")</f>
        <v>#REF!</v>
      </c>
      <c r="O8" s="65" t="e">
        <f t="shared" ref="O8:O15" ca="1" si="18">INDIRECT("'"&amp;$A8&amp;"'!K25")</f>
        <v>#REF!</v>
      </c>
      <c r="P8" s="65" t="e">
        <f t="shared" ref="P8:P15" ca="1" si="19">INDIRECT("'"&amp;$A8&amp;"'!K26")</f>
        <v>#REF!</v>
      </c>
      <c r="Q8" s="65" t="e">
        <f t="shared" ref="Q8:Q15" ca="1" si="20">INDIRECT("'"&amp;$A8&amp;"'!K27")</f>
        <v>#REF!</v>
      </c>
      <c r="R8" s="65" t="e">
        <f t="shared" ref="R8:R15" ca="1" si="21">INDIRECT("'"&amp;$A8&amp;"'!K28")</f>
        <v>#REF!</v>
      </c>
      <c r="S8" s="65" t="e">
        <f t="shared" ref="S8:S15" ca="1" si="22">INDIRECT("'"&amp;$A8&amp;"'!K29")</f>
        <v>#REF!</v>
      </c>
      <c r="T8" s="201" t="e">
        <f t="shared" ref="T8:T15" ca="1" si="23">INDIRECT("'"&amp;$A8&amp;"'!K30")</f>
        <v>#REF!</v>
      </c>
      <c r="U8" s="201" t="e">
        <f t="shared" ref="U8:U15" ca="1" si="24">INDIRECT("'"&amp;$A8&amp;"'!K31")</f>
        <v>#REF!</v>
      </c>
      <c r="V8" s="201" t="e">
        <f t="shared" ref="V8:V15" ca="1" si="25">INDIRECT("'"&amp;$A8&amp;"'!K32")</f>
        <v>#REF!</v>
      </c>
      <c r="W8" s="201" t="e">
        <f t="shared" ref="W8:W15" ca="1" si="26">INDIRECT("'"&amp;$A8&amp;"'!K33")</f>
        <v>#REF!</v>
      </c>
      <c r="X8" s="201" t="e">
        <f t="shared" ref="X8:X15" ca="1" si="27">INDIRECT("'"&amp;$A8&amp;"'!K34")</f>
        <v>#REF!</v>
      </c>
      <c r="Y8" s="66" t="e">
        <f t="shared" ref="Y8:Y15" ca="1" si="28">INDIRECT("'"&amp;$A8&amp;"'!K35")</f>
        <v>#REF!</v>
      </c>
      <c r="Z8" s="201"/>
      <c r="AA8" s="65" t="e">
        <f ca="1">INDIRECT("'"&amp;$A8&amp;"'!J36")</f>
        <v>#REF!</v>
      </c>
      <c r="AB8" s="65" t="e">
        <f ca="1">INDIRECT("'"&amp;$A8&amp;"'!I36")</f>
        <v>#REF!</v>
      </c>
      <c r="AC8" s="65" t="e">
        <f ca="1">INDIRECT("'"&amp;$A8&amp;"'!H36")</f>
        <v>#REF!</v>
      </c>
      <c r="AD8" s="65" t="e">
        <f ca="1">IF(IF(INDIRECT("'"&amp;$A8&amp;"'!F36")="",0,INDIRECT("'"&amp;$A8&amp;"'!F36"))+IF(INDIRECT("'"&amp;$A8&amp;"'!G36")="",0,INDIRECT("'"&amp;$A8&amp;"'!G36"))=0,"",IF(INDIRECT("'"&amp;$A8&amp;"'!F36")="",0,INDIRECT("'"&amp;$A8&amp;"'!F36"))+IF(INDIRECT("'"&amp;$A8&amp;"'!G36")="",0,INDIRECT("'"&amp;$A8&amp;"'!G36")))</f>
        <v>#REF!</v>
      </c>
    </row>
    <row r="9" spans="1:30" ht="15" customHeight="1" x14ac:dyDescent="0.3">
      <c r="A9" s="59"/>
      <c r="B9" s="59" t="e">
        <f t="shared" ref="B9:B15" ca="1" si="29">INDIRECT("'"&amp;$A9&amp;"'!E5")</f>
        <v>#REF!</v>
      </c>
      <c r="C9" s="55" t="e">
        <f t="shared" ca="1" si="6"/>
        <v>#REF!</v>
      </c>
      <c r="D9" s="55" t="e">
        <f t="shared" ca="1" si="7"/>
        <v>#REF!</v>
      </c>
      <c r="E9" s="55" t="e">
        <f t="shared" ca="1" si="8"/>
        <v>#REF!</v>
      </c>
      <c r="F9" s="55" t="e">
        <f t="shared" ca="1" si="9"/>
        <v>#REF!</v>
      </c>
      <c r="G9" s="55" t="e">
        <f t="shared" ca="1" si="10"/>
        <v>#REF!</v>
      </c>
      <c r="H9" s="55" t="e">
        <f t="shared" ca="1" si="11"/>
        <v>#REF!</v>
      </c>
      <c r="I9" s="55" t="e">
        <f t="shared" ca="1" si="12"/>
        <v>#REF!</v>
      </c>
      <c r="J9" s="55" t="e">
        <f t="shared" ca="1" si="13"/>
        <v>#REF!</v>
      </c>
      <c r="K9" s="55" t="e">
        <f t="shared" ca="1" si="14"/>
        <v>#REF!</v>
      </c>
      <c r="L9" s="55" t="e">
        <f t="shared" ca="1" si="15"/>
        <v>#REF!</v>
      </c>
      <c r="M9" s="55" t="e">
        <f t="shared" ca="1" si="16"/>
        <v>#REF!</v>
      </c>
      <c r="N9" s="55" t="e">
        <f t="shared" ca="1" si="17"/>
        <v>#REF!</v>
      </c>
      <c r="O9" s="55" t="e">
        <f t="shared" ca="1" si="18"/>
        <v>#REF!</v>
      </c>
      <c r="P9" s="55" t="e">
        <f t="shared" ca="1" si="19"/>
        <v>#REF!</v>
      </c>
      <c r="Q9" s="55" t="e">
        <f t="shared" ca="1" si="20"/>
        <v>#REF!</v>
      </c>
      <c r="R9" s="55" t="e">
        <f t="shared" ca="1" si="21"/>
        <v>#REF!</v>
      </c>
      <c r="S9" s="55" t="e">
        <f t="shared" ca="1" si="22"/>
        <v>#REF!</v>
      </c>
      <c r="T9" s="200" t="e">
        <f t="shared" ca="1" si="23"/>
        <v>#REF!</v>
      </c>
      <c r="U9" s="200" t="e">
        <f t="shared" ca="1" si="24"/>
        <v>#REF!</v>
      </c>
      <c r="V9" s="200" t="e">
        <f t="shared" ca="1" si="25"/>
        <v>#REF!</v>
      </c>
      <c r="W9" s="200" t="e">
        <f t="shared" ca="1" si="26"/>
        <v>#REF!</v>
      </c>
      <c r="X9" s="200" t="e">
        <f t="shared" ca="1" si="27"/>
        <v>#REF!</v>
      </c>
      <c r="Y9" s="56" t="e">
        <f t="shared" ca="1" si="28"/>
        <v>#REF!</v>
      </c>
      <c r="Z9" s="200"/>
      <c r="AA9" s="55" t="e">
        <f ca="1">INDIRECT("'"&amp;$A9&amp;"'!J36")</f>
        <v>#REF!</v>
      </c>
      <c r="AB9" s="55" t="e">
        <f ca="1">INDIRECT("'"&amp;$A9&amp;"'!I36")</f>
        <v>#REF!</v>
      </c>
      <c r="AC9" s="55" t="e">
        <f ca="1">INDIRECT("'"&amp;$A9&amp;"'!H36")</f>
        <v>#REF!</v>
      </c>
      <c r="AD9" s="55" t="e">
        <f ca="1">IF(IF(INDIRECT("'"&amp;$A9&amp;"'!F36")="",0,INDIRECT("'"&amp;$A9&amp;"'!F36"))+IF(INDIRECT("'"&amp;$A9&amp;"'!G36")="",0,INDIRECT("'"&amp;$A9&amp;"'!G36"))=0,"",IF(INDIRECT("'"&amp;$A9&amp;"'!F36")="",0,INDIRECT("'"&amp;$A9&amp;"'!F36"))+IF(INDIRECT("'"&amp;$A9&amp;"'!G36")="",0,INDIRECT("'"&amp;$A9&amp;"'!G36")))</f>
        <v>#REF!</v>
      </c>
    </row>
    <row r="10" spans="1:30" ht="15" customHeight="1" x14ac:dyDescent="0.3">
      <c r="A10" s="64"/>
      <c r="B10" s="64" t="e">
        <f t="shared" ca="1" si="29"/>
        <v>#REF!</v>
      </c>
      <c r="C10" s="65" t="e">
        <f t="shared" ca="1" si="6"/>
        <v>#REF!</v>
      </c>
      <c r="D10" s="65" t="e">
        <f t="shared" ca="1" si="7"/>
        <v>#REF!</v>
      </c>
      <c r="E10" s="65" t="e">
        <f t="shared" ca="1" si="8"/>
        <v>#REF!</v>
      </c>
      <c r="F10" s="65" t="e">
        <f t="shared" ca="1" si="9"/>
        <v>#REF!</v>
      </c>
      <c r="G10" s="65" t="e">
        <f t="shared" ca="1" si="10"/>
        <v>#REF!</v>
      </c>
      <c r="H10" s="65" t="e">
        <f t="shared" ca="1" si="11"/>
        <v>#REF!</v>
      </c>
      <c r="I10" s="65" t="e">
        <f t="shared" ca="1" si="12"/>
        <v>#REF!</v>
      </c>
      <c r="J10" s="65" t="e">
        <f t="shared" ca="1" si="13"/>
        <v>#REF!</v>
      </c>
      <c r="K10" s="65" t="e">
        <f t="shared" ca="1" si="14"/>
        <v>#REF!</v>
      </c>
      <c r="L10" s="65" t="e">
        <f t="shared" ca="1" si="15"/>
        <v>#REF!</v>
      </c>
      <c r="M10" s="65" t="e">
        <f t="shared" ca="1" si="16"/>
        <v>#REF!</v>
      </c>
      <c r="N10" s="65" t="e">
        <f t="shared" ca="1" si="17"/>
        <v>#REF!</v>
      </c>
      <c r="O10" s="65" t="e">
        <f t="shared" ca="1" si="18"/>
        <v>#REF!</v>
      </c>
      <c r="P10" s="65" t="e">
        <f t="shared" ca="1" si="19"/>
        <v>#REF!</v>
      </c>
      <c r="Q10" s="65" t="e">
        <f t="shared" ca="1" si="20"/>
        <v>#REF!</v>
      </c>
      <c r="R10" s="65" t="e">
        <f t="shared" ca="1" si="21"/>
        <v>#REF!</v>
      </c>
      <c r="S10" s="65" t="e">
        <f t="shared" ca="1" si="22"/>
        <v>#REF!</v>
      </c>
      <c r="T10" s="201" t="e">
        <f t="shared" ca="1" si="23"/>
        <v>#REF!</v>
      </c>
      <c r="U10" s="201" t="e">
        <f t="shared" ca="1" si="24"/>
        <v>#REF!</v>
      </c>
      <c r="V10" s="201" t="e">
        <f t="shared" ca="1" si="25"/>
        <v>#REF!</v>
      </c>
      <c r="W10" s="201" t="e">
        <f t="shared" ca="1" si="26"/>
        <v>#REF!</v>
      </c>
      <c r="X10" s="201" t="e">
        <f t="shared" ca="1" si="27"/>
        <v>#REF!</v>
      </c>
      <c r="Y10" s="66" t="e">
        <f t="shared" ca="1" si="28"/>
        <v>#REF!</v>
      </c>
      <c r="Z10" s="201"/>
      <c r="AA10" s="65" t="e">
        <f ca="1">INDIRECT("'"&amp;$A10&amp;"'!J36")</f>
        <v>#REF!</v>
      </c>
      <c r="AB10" s="65" t="e">
        <f ca="1">INDIRECT("'"&amp;$A10&amp;"'!I36")</f>
        <v>#REF!</v>
      </c>
      <c r="AC10" s="65" t="e">
        <f ca="1">INDIRECT("'"&amp;$A10&amp;"'!H36")</f>
        <v>#REF!</v>
      </c>
      <c r="AD10" s="65" t="e">
        <f ca="1">IF(IF(INDIRECT("'"&amp;$A10&amp;"'!F36")="",0,INDIRECT("'"&amp;$A10&amp;"'!F36"))+IF(INDIRECT("'"&amp;$A10&amp;"'!G36")="",0,INDIRECT("'"&amp;$A10&amp;"'!G36"))=0,"",IF(INDIRECT("'"&amp;$A10&amp;"'!F36")="",0,INDIRECT("'"&amp;$A10&amp;"'!F36"))+IF(INDIRECT("'"&amp;$A10&amp;"'!G36")="",0,INDIRECT("'"&amp;$A10&amp;"'!G36")))</f>
        <v>#REF!</v>
      </c>
    </row>
    <row r="11" spans="1:30" ht="15" customHeight="1" x14ac:dyDescent="0.3">
      <c r="A11" s="59"/>
      <c r="B11" s="59" t="e">
        <f t="shared" ca="1" si="29"/>
        <v>#REF!</v>
      </c>
      <c r="C11" s="55" t="e">
        <f t="shared" ca="1" si="6"/>
        <v>#REF!</v>
      </c>
      <c r="D11" s="55" t="e">
        <f t="shared" ca="1" si="7"/>
        <v>#REF!</v>
      </c>
      <c r="E11" s="55" t="e">
        <f t="shared" ca="1" si="8"/>
        <v>#REF!</v>
      </c>
      <c r="F11" s="55" t="e">
        <f t="shared" ca="1" si="9"/>
        <v>#REF!</v>
      </c>
      <c r="G11" s="55" t="e">
        <f t="shared" ca="1" si="10"/>
        <v>#REF!</v>
      </c>
      <c r="H11" s="55" t="e">
        <f t="shared" ca="1" si="11"/>
        <v>#REF!</v>
      </c>
      <c r="I11" s="55" t="e">
        <f t="shared" ca="1" si="12"/>
        <v>#REF!</v>
      </c>
      <c r="J11" s="55" t="e">
        <f t="shared" ca="1" si="13"/>
        <v>#REF!</v>
      </c>
      <c r="K11" s="55" t="e">
        <f t="shared" ca="1" si="14"/>
        <v>#REF!</v>
      </c>
      <c r="L11" s="55" t="e">
        <f t="shared" ca="1" si="15"/>
        <v>#REF!</v>
      </c>
      <c r="M11" s="55" t="e">
        <f t="shared" ca="1" si="16"/>
        <v>#REF!</v>
      </c>
      <c r="N11" s="55" t="e">
        <f t="shared" ca="1" si="17"/>
        <v>#REF!</v>
      </c>
      <c r="O11" s="55" t="e">
        <f t="shared" ca="1" si="18"/>
        <v>#REF!</v>
      </c>
      <c r="P11" s="55" t="e">
        <f t="shared" ca="1" si="19"/>
        <v>#REF!</v>
      </c>
      <c r="Q11" s="55" t="e">
        <f t="shared" ca="1" si="20"/>
        <v>#REF!</v>
      </c>
      <c r="R11" s="55" t="e">
        <f t="shared" ca="1" si="21"/>
        <v>#REF!</v>
      </c>
      <c r="S11" s="55" t="e">
        <f t="shared" ca="1" si="22"/>
        <v>#REF!</v>
      </c>
      <c r="T11" s="200" t="e">
        <f t="shared" ca="1" si="23"/>
        <v>#REF!</v>
      </c>
      <c r="U11" s="200" t="e">
        <f t="shared" ca="1" si="24"/>
        <v>#REF!</v>
      </c>
      <c r="V11" s="200" t="e">
        <f t="shared" ca="1" si="25"/>
        <v>#REF!</v>
      </c>
      <c r="W11" s="200" t="e">
        <f t="shared" ca="1" si="26"/>
        <v>#REF!</v>
      </c>
      <c r="X11" s="200" t="e">
        <f t="shared" ca="1" si="27"/>
        <v>#REF!</v>
      </c>
      <c r="Y11" s="56" t="e">
        <f t="shared" ca="1" si="28"/>
        <v>#REF!</v>
      </c>
      <c r="Z11" s="200"/>
      <c r="AA11" s="55" t="e">
        <f ca="1">INDIRECT("'"&amp;$A11&amp;"'!J36")</f>
        <v>#REF!</v>
      </c>
      <c r="AB11" s="55" t="e">
        <f ca="1">INDIRECT("'"&amp;$A11&amp;"'!I36")</f>
        <v>#REF!</v>
      </c>
      <c r="AC11" s="55" t="e">
        <f ca="1">INDIRECT("'"&amp;$A11&amp;"'!H36")</f>
        <v>#REF!</v>
      </c>
      <c r="AD11" s="55" t="e">
        <f ca="1">IF(IF(INDIRECT("'"&amp;$A11&amp;"'!F36")="",0,INDIRECT("'"&amp;$A11&amp;"'!F36"))+IF(INDIRECT("'"&amp;$A11&amp;"'!G36")="",0,INDIRECT("'"&amp;$A11&amp;"'!G36"))=0,"",IF(INDIRECT("'"&amp;$A11&amp;"'!F36")="",0,INDIRECT("'"&amp;$A11&amp;"'!F36"))+IF(INDIRECT("'"&amp;$A11&amp;"'!G36")="",0,INDIRECT("'"&amp;$A11&amp;"'!G36")))</f>
        <v>#REF!</v>
      </c>
    </row>
    <row r="12" spans="1:30" ht="15" customHeight="1" x14ac:dyDescent="0.3">
      <c r="A12" s="64"/>
      <c r="B12" s="64" t="e">
        <f t="shared" ca="1" si="29"/>
        <v>#REF!</v>
      </c>
      <c r="C12" s="65" t="e">
        <f t="shared" ca="1" si="6"/>
        <v>#REF!</v>
      </c>
      <c r="D12" s="65" t="e">
        <f t="shared" ca="1" si="7"/>
        <v>#REF!</v>
      </c>
      <c r="E12" s="65" t="e">
        <f t="shared" ca="1" si="8"/>
        <v>#REF!</v>
      </c>
      <c r="F12" s="65" t="e">
        <f t="shared" ca="1" si="9"/>
        <v>#REF!</v>
      </c>
      <c r="G12" s="65" t="e">
        <f t="shared" ca="1" si="10"/>
        <v>#REF!</v>
      </c>
      <c r="H12" s="65" t="e">
        <f t="shared" ca="1" si="11"/>
        <v>#REF!</v>
      </c>
      <c r="I12" s="65" t="e">
        <f t="shared" ca="1" si="12"/>
        <v>#REF!</v>
      </c>
      <c r="J12" s="65" t="e">
        <f t="shared" ca="1" si="13"/>
        <v>#REF!</v>
      </c>
      <c r="K12" s="65" t="e">
        <f t="shared" ca="1" si="14"/>
        <v>#REF!</v>
      </c>
      <c r="L12" s="65" t="e">
        <f t="shared" ca="1" si="15"/>
        <v>#REF!</v>
      </c>
      <c r="M12" s="65" t="e">
        <f t="shared" ca="1" si="16"/>
        <v>#REF!</v>
      </c>
      <c r="N12" s="65" t="e">
        <f t="shared" ca="1" si="17"/>
        <v>#REF!</v>
      </c>
      <c r="O12" s="65" t="e">
        <f t="shared" ca="1" si="18"/>
        <v>#REF!</v>
      </c>
      <c r="P12" s="65" t="e">
        <f t="shared" ca="1" si="19"/>
        <v>#REF!</v>
      </c>
      <c r="Q12" s="65" t="e">
        <f t="shared" ca="1" si="20"/>
        <v>#REF!</v>
      </c>
      <c r="R12" s="65" t="e">
        <f t="shared" ca="1" si="21"/>
        <v>#REF!</v>
      </c>
      <c r="S12" s="65" t="e">
        <f t="shared" ca="1" si="22"/>
        <v>#REF!</v>
      </c>
      <c r="T12" s="201" t="e">
        <f t="shared" ca="1" si="23"/>
        <v>#REF!</v>
      </c>
      <c r="U12" s="201" t="e">
        <f t="shared" ca="1" si="24"/>
        <v>#REF!</v>
      </c>
      <c r="V12" s="201" t="e">
        <f t="shared" ca="1" si="25"/>
        <v>#REF!</v>
      </c>
      <c r="W12" s="201" t="e">
        <f t="shared" ca="1" si="26"/>
        <v>#REF!</v>
      </c>
      <c r="X12" s="201" t="e">
        <f t="shared" ca="1" si="27"/>
        <v>#REF!</v>
      </c>
      <c r="Y12" s="66" t="e">
        <f t="shared" ca="1" si="28"/>
        <v>#REF!</v>
      </c>
      <c r="Z12" s="201"/>
      <c r="AA12" s="65" t="e">
        <f ca="1">INDIRECT("'"&amp;$A12&amp;"'!J36")</f>
        <v>#REF!</v>
      </c>
      <c r="AB12" s="65" t="e">
        <f ca="1">INDIRECT("'"&amp;$A12&amp;"'!I36")</f>
        <v>#REF!</v>
      </c>
      <c r="AC12" s="65" t="e">
        <f ca="1">INDIRECT("'"&amp;$A12&amp;"'!H36")</f>
        <v>#REF!</v>
      </c>
      <c r="AD12" s="65" t="e">
        <f ca="1">IF(IF(INDIRECT("'"&amp;$A12&amp;"'!F36")="",0,INDIRECT("'"&amp;$A12&amp;"'!F36"))+IF(INDIRECT("'"&amp;$A12&amp;"'!G36")="",0,INDIRECT("'"&amp;$A12&amp;"'!G36"))=0,"",IF(INDIRECT("'"&amp;$A12&amp;"'!F36")="",0,INDIRECT("'"&amp;$A12&amp;"'!F36"))+IF(INDIRECT("'"&amp;$A12&amp;"'!G36")="",0,INDIRECT("'"&amp;$A12&amp;"'!G36")))</f>
        <v>#REF!</v>
      </c>
    </row>
    <row r="13" spans="1:30" ht="15" customHeight="1" x14ac:dyDescent="0.3">
      <c r="A13" s="59"/>
      <c r="B13" s="59" t="e">
        <f t="shared" ca="1" si="29"/>
        <v>#REF!</v>
      </c>
      <c r="C13" s="55" t="e">
        <f t="shared" ca="1" si="6"/>
        <v>#REF!</v>
      </c>
      <c r="D13" s="55" t="e">
        <f t="shared" ca="1" si="7"/>
        <v>#REF!</v>
      </c>
      <c r="E13" s="55" t="e">
        <f t="shared" ca="1" si="8"/>
        <v>#REF!</v>
      </c>
      <c r="F13" s="55" t="e">
        <f t="shared" ca="1" si="9"/>
        <v>#REF!</v>
      </c>
      <c r="G13" s="55" t="e">
        <f t="shared" ca="1" si="10"/>
        <v>#REF!</v>
      </c>
      <c r="H13" s="55" t="e">
        <f t="shared" ca="1" si="11"/>
        <v>#REF!</v>
      </c>
      <c r="I13" s="55" t="e">
        <f t="shared" ca="1" si="12"/>
        <v>#REF!</v>
      </c>
      <c r="J13" s="55" t="e">
        <f t="shared" ca="1" si="13"/>
        <v>#REF!</v>
      </c>
      <c r="K13" s="55" t="e">
        <f t="shared" ca="1" si="14"/>
        <v>#REF!</v>
      </c>
      <c r="L13" s="55" t="e">
        <f t="shared" ca="1" si="15"/>
        <v>#REF!</v>
      </c>
      <c r="M13" s="55" t="e">
        <f t="shared" ca="1" si="16"/>
        <v>#REF!</v>
      </c>
      <c r="N13" s="55" t="e">
        <f t="shared" ca="1" si="17"/>
        <v>#REF!</v>
      </c>
      <c r="O13" s="55" t="e">
        <f t="shared" ca="1" si="18"/>
        <v>#REF!</v>
      </c>
      <c r="P13" s="55" t="e">
        <f t="shared" ca="1" si="19"/>
        <v>#REF!</v>
      </c>
      <c r="Q13" s="55" t="e">
        <f t="shared" ca="1" si="20"/>
        <v>#REF!</v>
      </c>
      <c r="R13" s="55" t="e">
        <f t="shared" ca="1" si="21"/>
        <v>#REF!</v>
      </c>
      <c r="S13" s="55" t="e">
        <f t="shared" ca="1" si="22"/>
        <v>#REF!</v>
      </c>
      <c r="T13" s="200" t="e">
        <f t="shared" ca="1" si="23"/>
        <v>#REF!</v>
      </c>
      <c r="U13" s="200" t="e">
        <f t="shared" ca="1" si="24"/>
        <v>#REF!</v>
      </c>
      <c r="V13" s="200" t="e">
        <f t="shared" ca="1" si="25"/>
        <v>#REF!</v>
      </c>
      <c r="W13" s="200" t="e">
        <f t="shared" ca="1" si="26"/>
        <v>#REF!</v>
      </c>
      <c r="X13" s="200" t="e">
        <f t="shared" ca="1" si="27"/>
        <v>#REF!</v>
      </c>
      <c r="Y13" s="56" t="e">
        <f t="shared" ca="1" si="28"/>
        <v>#REF!</v>
      </c>
      <c r="Z13" s="200"/>
      <c r="AA13" s="55" t="e">
        <f ca="1">INDIRECT("'"&amp;$A13&amp;"'!J36")</f>
        <v>#REF!</v>
      </c>
      <c r="AB13" s="55" t="e">
        <f ca="1">INDIRECT("'"&amp;$A13&amp;"'!I36")</f>
        <v>#REF!</v>
      </c>
      <c r="AC13" s="55" t="e">
        <f ca="1">INDIRECT("'"&amp;$A13&amp;"'!H36")</f>
        <v>#REF!</v>
      </c>
      <c r="AD13" s="55" t="e">
        <f ca="1">IF(IF(INDIRECT("'"&amp;$A13&amp;"'!F36")="",0,INDIRECT("'"&amp;$A13&amp;"'!F36"))+IF(INDIRECT("'"&amp;$A13&amp;"'!G36")="",0,INDIRECT("'"&amp;$A13&amp;"'!G36"))=0,"",IF(INDIRECT("'"&amp;$A13&amp;"'!F36")="",0,INDIRECT("'"&amp;$A13&amp;"'!F36"))+IF(INDIRECT("'"&amp;$A13&amp;"'!G36")="",0,INDIRECT("'"&amp;$A13&amp;"'!G36")))</f>
        <v>#REF!</v>
      </c>
    </row>
    <row r="14" spans="1:30" ht="15" customHeight="1" x14ac:dyDescent="0.3">
      <c r="A14" s="64"/>
      <c r="B14" s="64" t="e">
        <f t="shared" ca="1" si="29"/>
        <v>#REF!</v>
      </c>
      <c r="C14" s="65" t="e">
        <f t="shared" ca="1" si="6"/>
        <v>#REF!</v>
      </c>
      <c r="D14" s="65" t="e">
        <f t="shared" ca="1" si="7"/>
        <v>#REF!</v>
      </c>
      <c r="E14" s="65" t="e">
        <f t="shared" ca="1" si="8"/>
        <v>#REF!</v>
      </c>
      <c r="F14" s="65" t="e">
        <f t="shared" ca="1" si="9"/>
        <v>#REF!</v>
      </c>
      <c r="G14" s="65" t="e">
        <f t="shared" ca="1" si="10"/>
        <v>#REF!</v>
      </c>
      <c r="H14" s="65" t="e">
        <f t="shared" ca="1" si="11"/>
        <v>#REF!</v>
      </c>
      <c r="I14" s="65" t="e">
        <f t="shared" ca="1" si="12"/>
        <v>#REF!</v>
      </c>
      <c r="J14" s="65" t="e">
        <f t="shared" ca="1" si="13"/>
        <v>#REF!</v>
      </c>
      <c r="K14" s="65" t="e">
        <f t="shared" ca="1" si="14"/>
        <v>#REF!</v>
      </c>
      <c r="L14" s="65" t="e">
        <f t="shared" ca="1" si="15"/>
        <v>#REF!</v>
      </c>
      <c r="M14" s="65" t="e">
        <f t="shared" ca="1" si="16"/>
        <v>#REF!</v>
      </c>
      <c r="N14" s="65" t="e">
        <f t="shared" ca="1" si="17"/>
        <v>#REF!</v>
      </c>
      <c r="O14" s="65" t="e">
        <f t="shared" ca="1" si="18"/>
        <v>#REF!</v>
      </c>
      <c r="P14" s="65" t="e">
        <f t="shared" ca="1" si="19"/>
        <v>#REF!</v>
      </c>
      <c r="Q14" s="65" t="e">
        <f t="shared" ca="1" si="20"/>
        <v>#REF!</v>
      </c>
      <c r="R14" s="65" t="e">
        <f t="shared" ca="1" si="21"/>
        <v>#REF!</v>
      </c>
      <c r="S14" s="65" t="e">
        <f t="shared" ca="1" si="22"/>
        <v>#REF!</v>
      </c>
      <c r="T14" s="201" t="e">
        <f t="shared" ca="1" si="23"/>
        <v>#REF!</v>
      </c>
      <c r="U14" s="201" t="e">
        <f t="shared" ca="1" si="24"/>
        <v>#REF!</v>
      </c>
      <c r="V14" s="201" t="e">
        <f t="shared" ca="1" si="25"/>
        <v>#REF!</v>
      </c>
      <c r="W14" s="201" t="e">
        <f t="shared" ca="1" si="26"/>
        <v>#REF!</v>
      </c>
      <c r="X14" s="201" t="e">
        <f t="shared" ca="1" si="27"/>
        <v>#REF!</v>
      </c>
      <c r="Y14" s="66" t="e">
        <f t="shared" ca="1" si="28"/>
        <v>#REF!</v>
      </c>
      <c r="Z14" s="201"/>
      <c r="AA14" s="65" t="e">
        <f ca="1">INDIRECT("'"&amp;$A14&amp;"'!J36")</f>
        <v>#REF!</v>
      </c>
      <c r="AB14" s="65" t="e">
        <f ca="1">INDIRECT("'"&amp;$A14&amp;"'!I36")</f>
        <v>#REF!</v>
      </c>
      <c r="AC14" s="65" t="e">
        <f ca="1">INDIRECT("'"&amp;$A14&amp;"'!H36")</f>
        <v>#REF!</v>
      </c>
      <c r="AD14" s="65" t="e">
        <f ca="1">IF(IF(INDIRECT("'"&amp;$A14&amp;"'!F36")="",0,INDIRECT("'"&amp;$A14&amp;"'!F36"))+IF(INDIRECT("'"&amp;$A14&amp;"'!G36")="",0,INDIRECT("'"&amp;$A14&amp;"'!G36"))=0,"",IF(INDIRECT("'"&amp;$A14&amp;"'!F36")="",0,INDIRECT("'"&amp;$A14&amp;"'!F36"))+IF(INDIRECT("'"&amp;$A14&amp;"'!G36")="",0,INDIRECT("'"&amp;$A14&amp;"'!G36")))</f>
        <v>#REF!</v>
      </c>
    </row>
    <row r="15" spans="1:30" ht="15" customHeight="1" x14ac:dyDescent="0.3">
      <c r="A15" s="59"/>
      <c r="B15" s="59" t="e">
        <f t="shared" ca="1" si="29"/>
        <v>#REF!</v>
      </c>
      <c r="C15" s="55" t="e">
        <f t="shared" ca="1" si="6"/>
        <v>#REF!</v>
      </c>
      <c r="D15" s="55" t="e">
        <f t="shared" ca="1" si="7"/>
        <v>#REF!</v>
      </c>
      <c r="E15" s="55" t="e">
        <f t="shared" ca="1" si="8"/>
        <v>#REF!</v>
      </c>
      <c r="F15" s="55" t="e">
        <f t="shared" ca="1" si="9"/>
        <v>#REF!</v>
      </c>
      <c r="G15" s="55" t="e">
        <f t="shared" ca="1" si="10"/>
        <v>#REF!</v>
      </c>
      <c r="H15" s="55" t="e">
        <f t="shared" ca="1" si="11"/>
        <v>#REF!</v>
      </c>
      <c r="I15" s="55" t="e">
        <f t="shared" ca="1" si="12"/>
        <v>#REF!</v>
      </c>
      <c r="J15" s="55" t="e">
        <f t="shared" ca="1" si="13"/>
        <v>#REF!</v>
      </c>
      <c r="K15" s="55" t="e">
        <f t="shared" ca="1" si="14"/>
        <v>#REF!</v>
      </c>
      <c r="L15" s="55" t="e">
        <f t="shared" ca="1" si="15"/>
        <v>#REF!</v>
      </c>
      <c r="M15" s="55" t="e">
        <f t="shared" ca="1" si="16"/>
        <v>#REF!</v>
      </c>
      <c r="N15" s="55" t="e">
        <f t="shared" ca="1" si="17"/>
        <v>#REF!</v>
      </c>
      <c r="O15" s="55" t="e">
        <f t="shared" ca="1" si="18"/>
        <v>#REF!</v>
      </c>
      <c r="P15" s="55" t="e">
        <f t="shared" ca="1" si="19"/>
        <v>#REF!</v>
      </c>
      <c r="Q15" s="55" t="e">
        <f t="shared" ca="1" si="20"/>
        <v>#REF!</v>
      </c>
      <c r="R15" s="55" t="e">
        <f t="shared" ca="1" si="21"/>
        <v>#REF!</v>
      </c>
      <c r="S15" s="55" t="e">
        <f t="shared" ca="1" si="22"/>
        <v>#REF!</v>
      </c>
      <c r="T15" s="200" t="e">
        <f t="shared" ca="1" si="23"/>
        <v>#REF!</v>
      </c>
      <c r="U15" s="200" t="e">
        <f t="shared" ca="1" si="24"/>
        <v>#REF!</v>
      </c>
      <c r="V15" s="200" t="e">
        <f t="shared" ca="1" si="25"/>
        <v>#REF!</v>
      </c>
      <c r="W15" s="200" t="e">
        <f t="shared" ca="1" si="26"/>
        <v>#REF!</v>
      </c>
      <c r="X15" s="200" t="e">
        <f t="shared" ca="1" si="27"/>
        <v>#REF!</v>
      </c>
      <c r="Y15" s="56" t="e">
        <f t="shared" ca="1" si="28"/>
        <v>#REF!</v>
      </c>
      <c r="Z15" s="200"/>
      <c r="AA15" s="55" t="e">
        <f ca="1">INDIRECT("'"&amp;$A15&amp;"'!J36")</f>
        <v>#REF!</v>
      </c>
      <c r="AB15" s="55" t="e">
        <f ca="1">INDIRECT("'"&amp;$A15&amp;"'!I36")</f>
        <v>#REF!</v>
      </c>
      <c r="AC15" s="55" t="e">
        <f ca="1">INDIRECT("'"&amp;$A15&amp;"'!H36")</f>
        <v>#REF!</v>
      </c>
      <c r="AD15" s="55" t="e">
        <f ca="1">IF(IF(INDIRECT("'"&amp;$A15&amp;"'!F36")="",0,INDIRECT("'"&amp;$A15&amp;"'!F36"))+IF(INDIRECT("'"&amp;$A15&amp;"'!G36")="",0,INDIRECT("'"&amp;$A15&amp;"'!G36"))=0,"",IF(INDIRECT("'"&amp;$A15&amp;"'!F36")="",0,INDIRECT("'"&amp;$A15&amp;"'!F36"))+IF(INDIRECT("'"&amp;$A15&amp;"'!G36")="",0,INDIRECT("'"&amp;$A15&amp;"'!G36")))</f>
        <v>#REF!</v>
      </c>
    </row>
    <row r="16" spans="1:30" ht="15" customHeight="1" x14ac:dyDescent="0.3"/>
    <row r="24" spans="28:28" x14ac:dyDescent="0.3">
      <c r="AB24" s="202"/>
    </row>
  </sheetData>
  <sheetProtection selectLockedCells="1" selectUnlockedCells="1"/>
  <mergeCells count="4">
    <mergeCell ref="A1:B1"/>
    <mergeCell ref="A2:B2"/>
    <mergeCell ref="A3:B3"/>
    <mergeCell ref="A4:B4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D16"/>
  <sheetViews>
    <sheetView zoomScale="115" zoomScaleNormal="115" workbookViewId="0">
      <selection sqref="A1:B1"/>
    </sheetView>
  </sheetViews>
  <sheetFormatPr defaultColWidth="11.5546875" defaultRowHeight="14.4" x14ac:dyDescent="0.3"/>
  <cols>
    <col min="1" max="1" width="11.77734375" customWidth="1"/>
    <col min="2" max="2" width="14.88671875" customWidth="1"/>
    <col min="3" max="25" width="3.6640625" customWidth="1"/>
    <col min="26" max="26" width="5.6640625" customWidth="1"/>
    <col min="27" max="27" width="3.6640625" style="52" customWidth="1"/>
    <col min="28" max="30" width="3.6640625" customWidth="1"/>
  </cols>
  <sheetData>
    <row r="1" spans="1:30" ht="15" customHeight="1" x14ac:dyDescent="0.3">
      <c r="A1" s="380" t="s">
        <v>170</v>
      </c>
      <c r="B1" s="380"/>
      <c r="C1" s="53" t="e">
        <f ca="1">SUM(C7:C12)-MAX(C7:C12)-MIN(C7:C12)</f>
        <v>#REF!</v>
      </c>
      <c r="D1" s="53" t="e">
        <f t="shared" ref="D1:Y1" ca="1" si="0">SUM(D7:D12)-MAX(D7:D12)-MIN(D7:D12)</f>
        <v>#REF!</v>
      </c>
      <c r="E1" s="53" t="e">
        <f t="shared" ca="1" si="0"/>
        <v>#REF!</v>
      </c>
      <c r="F1" s="53" t="e">
        <f t="shared" ca="1" si="0"/>
        <v>#REF!</v>
      </c>
      <c r="G1" s="53" t="e">
        <f t="shared" ca="1" si="0"/>
        <v>#REF!</v>
      </c>
      <c r="H1" s="53" t="e">
        <f t="shared" ca="1" si="0"/>
        <v>#REF!</v>
      </c>
      <c r="I1" s="53" t="e">
        <f t="shared" ca="1" si="0"/>
        <v>#REF!</v>
      </c>
      <c r="J1" s="53" t="e">
        <f t="shared" ca="1" si="0"/>
        <v>#REF!</v>
      </c>
      <c r="K1" s="53" t="e">
        <f t="shared" ca="1" si="0"/>
        <v>#REF!</v>
      </c>
      <c r="L1" s="53" t="e">
        <f t="shared" ca="1" si="0"/>
        <v>#REF!</v>
      </c>
      <c r="M1" s="53" t="e">
        <f t="shared" ca="1" si="0"/>
        <v>#REF!</v>
      </c>
      <c r="N1" s="53" t="e">
        <f t="shared" ca="1" si="0"/>
        <v>#REF!</v>
      </c>
      <c r="O1" s="53" t="e">
        <f t="shared" ca="1" si="0"/>
        <v>#REF!</v>
      </c>
      <c r="P1" s="53" t="e">
        <f t="shared" ca="1" si="0"/>
        <v>#REF!</v>
      </c>
      <c r="Q1" s="53" t="e">
        <f t="shared" ca="1" si="0"/>
        <v>#REF!</v>
      </c>
      <c r="R1" s="53" t="e">
        <f t="shared" ca="1" si="0"/>
        <v>#REF!</v>
      </c>
      <c r="S1" s="53" t="e">
        <f t="shared" ca="1" si="0"/>
        <v>#REF!</v>
      </c>
      <c r="T1" s="53" t="e">
        <f t="shared" ca="1" si="0"/>
        <v>#REF!</v>
      </c>
      <c r="U1" s="53" t="e">
        <f t="shared" ca="1" si="0"/>
        <v>#REF!</v>
      </c>
      <c r="V1" s="53" t="e">
        <f t="shared" ca="1" si="0"/>
        <v>#REF!</v>
      </c>
      <c r="W1" s="53" t="e">
        <f t="shared" ca="1" si="0"/>
        <v>#REF!</v>
      </c>
      <c r="X1" s="53" t="e">
        <f t="shared" ca="1" si="0"/>
        <v>#REF!</v>
      </c>
      <c r="Y1" s="53" t="e">
        <f t="shared" ca="1" si="0"/>
        <v>#REF!</v>
      </c>
      <c r="Z1" s="54" t="e">
        <f ca="1">IF(SUM(AA7:AA12)&gt;0,SUM(I1:Y1)/2,SUM(I1:Y1))</f>
        <v>#REF!</v>
      </c>
      <c r="AA1" s="122" t="e">
        <f t="shared" ref="AA1" ca="1" si="1">SUM(AA7:AA12)-MAX(AA7:AA12)-MIN(AA7:AA12)</f>
        <v>#REF!</v>
      </c>
      <c r="AB1" s="53" t="e">
        <f t="shared" ref="AB1:AD1" ca="1" si="2">SUM(AB7:AB12)-MAX(AB7:AB12)-MIN(AB7:AB12)</f>
        <v>#REF!</v>
      </c>
      <c r="AC1" s="53" t="e">
        <f t="shared" ca="1" si="2"/>
        <v>#REF!</v>
      </c>
      <c r="AD1" s="53" t="e">
        <f t="shared" ca="1" si="2"/>
        <v>#REF!</v>
      </c>
    </row>
    <row r="2" spans="1:30" ht="15" customHeight="1" x14ac:dyDescent="0.3">
      <c r="A2" s="382" t="s">
        <v>84</v>
      </c>
      <c r="B2" s="382"/>
      <c r="C2" s="55" t="e">
        <f ca="1">AVERAGE(C7:C12)</f>
        <v>#REF!</v>
      </c>
      <c r="D2" s="55" t="e">
        <f t="shared" ref="D2:Y2" ca="1" si="3">AVERAGE(D7:D12)</f>
        <v>#REF!</v>
      </c>
      <c r="E2" s="55" t="e">
        <f t="shared" ca="1" si="3"/>
        <v>#REF!</v>
      </c>
      <c r="F2" s="55" t="e">
        <f t="shared" ca="1" si="3"/>
        <v>#REF!</v>
      </c>
      <c r="G2" s="55" t="e">
        <f t="shared" ca="1" si="3"/>
        <v>#REF!</v>
      </c>
      <c r="H2" s="55" t="e">
        <f t="shared" ca="1" si="3"/>
        <v>#REF!</v>
      </c>
      <c r="I2" s="55" t="e">
        <f t="shared" ca="1" si="3"/>
        <v>#REF!</v>
      </c>
      <c r="J2" s="55" t="e">
        <f t="shared" ca="1" si="3"/>
        <v>#REF!</v>
      </c>
      <c r="K2" s="55" t="e">
        <f t="shared" ca="1" si="3"/>
        <v>#REF!</v>
      </c>
      <c r="L2" s="55" t="e">
        <f t="shared" ca="1" si="3"/>
        <v>#REF!</v>
      </c>
      <c r="M2" s="55" t="e">
        <f t="shared" ca="1" si="3"/>
        <v>#REF!</v>
      </c>
      <c r="N2" s="55" t="e">
        <f t="shared" ca="1" si="3"/>
        <v>#REF!</v>
      </c>
      <c r="O2" s="55" t="e">
        <f t="shared" ca="1" si="3"/>
        <v>#REF!</v>
      </c>
      <c r="P2" s="55" t="e">
        <f t="shared" ca="1" si="3"/>
        <v>#REF!</v>
      </c>
      <c r="Q2" s="55" t="e">
        <f t="shared" ca="1" si="3"/>
        <v>#REF!</v>
      </c>
      <c r="R2" s="55" t="e">
        <f t="shared" ca="1" si="3"/>
        <v>#REF!</v>
      </c>
      <c r="S2" s="55" t="e">
        <f t="shared" ca="1" si="3"/>
        <v>#REF!</v>
      </c>
      <c r="T2" s="55" t="e">
        <f t="shared" ca="1" si="3"/>
        <v>#REF!</v>
      </c>
      <c r="U2" s="55" t="e">
        <f t="shared" ca="1" si="3"/>
        <v>#REF!</v>
      </c>
      <c r="V2" s="55" t="e">
        <f t="shared" ca="1" si="3"/>
        <v>#REF!</v>
      </c>
      <c r="W2" s="55" t="e">
        <f t="shared" ca="1" si="3"/>
        <v>#REF!</v>
      </c>
      <c r="X2" s="55" t="e">
        <f t="shared" ca="1" si="3"/>
        <v>#REF!</v>
      </c>
      <c r="Y2" s="55" t="e">
        <f t="shared" ca="1" si="3"/>
        <v>#REF!</v>
      </c>
      <c r="Z2" s="56" t="e">
        <f ca="1">AVERAGE(Z7:Z12)</f>
        <v>#REF!</v>
      </c>
      <c r="AA2" s="123" t="e">
        <f t="shared" ref="AA2" ca="1" si="4">AVERAGE(AA7:AA12)</f>
        <v>#REF!</v>
      </c>
      <c r="AB2" s="55" t="e">
        <f t="shared" ref="AB2:AD2" ca="1" si="5">AVERAGE(AB7:AB12)</f>
        <v>#REF!</v>
      </c>
      <c r="AC2" s="55" t="e">
        <f t="shared" ca="1" si="5"/>
        <v>#REF!</v>
      </c>
      <c r="AD2" s="55" t="e">
        <f t="shared" ca="1" si="5"/>
        <v>#REF!</v>
      </c>
    </row>
    <row r="3" spans="1:30" ht="15" customHeight="1" x14ac:dyDescent="0.3">
      <c r="A3" s="382" t="s">
        <v>85</v>
      </c>
      <c r="B3" s="382"/>
      <c r="C3" s="57" t="e">
        <f ca="1">_xlfn.STDEV.P(C7:C12)</f>
        <v>#REF!</v>
      </c>
      <c r="D3" s="57" t="e">
        <f t="shared" ref="D3:Y3" ca="1" si="6">_xlfn.STDEV.P(D7:D12)</f>
        <v>#REF!</v>
      </c>
      <c r="E3" s="57" t="e">
        <f t="shared" ca="1" si="6"/>
        <v>#REF!</v>
      </c>
      <c r="F3" s="57" t="e">
        <f t="shared" ca="1" si="6"/>
        <v>#REF!</v>
      </c>
      <c r="G3" s="57" t="e">
        <f t="shared" ca="1" si="6"/>
        <v>#REF!</v>
      </c>
      <c r="H3" s="57" t="e">
        <f t="shared" ca="1" si="6"/>
        <v>#REF!</v>
      </c>
      <c r="I3" s="57" t="e">
        <f t="shared" ca="1" si="6"/>
        <v>#REF!</v>
      </c>
      <c r="J3" s="57" t="e">
        <f t="shared" ca="1" si="6"/>
        <v>#REF!</v>
      </c>
      <c r="K3" s="57" t="e">
        <f t="shared" ca="1" si="6"/>
        <v>#REF!</v>
      </c>
      <c r="L3" s="57" t="e">
        <f t="shared" ca="1" si="6"/>
        <v>#REF!</v>
      </c>
      <c r="M3" s="57" t="e">
        <f t="shared" ca="1" si="6"/>
        <v>#REF!</v>
      </c>
      <c r="N3" s="57" t="e">
        <f t="shared" ca="1" si="6"/>
        <v>#REF!</v>
      </c>
      <c r="O3" s="57" t="e">
        <f t="shared" ca="1" si="6"/>
        <v>#REF!</v>
      </c>
      <c r="P3" s="57" t="e">
        <f t="shared" ca="1" si="6"/>
        <v>#REF!</v>
      </c>
      <c r="Q3" s="57" t="e">
        <f t="shared" ca="1" si="6"/>
        <v>#REF!</v>
      </c>
      <c r="R3" s="57" t="e">
        <f t="shared" ca="1" si="6"/>
        <v>#REF!</v>
      </c>
      <c r="S3" s="57" t="e">
        <f t="shared" ca="1" si="6"/>
        <v>#REF!</v>
      </c>
      <c r="T3" s="57" t="e">
        <f t="shared" ca="1" si="6"/>
        <v>#REF!</v>
      </c>
      <c r="U3" s="57" t="e">
        <f t="shared" ca="1" si="6"/>
        <v>#REF!</v>
      </c>
      <c r="V3" s="57" t="e">
        <f t="shared" ca="1" si="6"/>
        <v>#REF!</v>
      </c>
      <c r="W3" s="57" t="e">
        <f t="shared" ca="1" si="6"/>
        <v>#REF!</v>
      </c>
      <c r="X3" s="57" t="e">
        <f t="shared" ca="1" si="6"/>
        <v>#REF!</v>
      </c>
      <c r="Y3" s="57" t="e">
        <f t="shared" ca="1" si="6"/>
        <v>#REF!</v>
      </c>
      <c r="Z3" s="58" t="e">
        <f ca="1">_xlfn.STDEV.P(Z7:Z12)</f>
        <v>#REF!</v>
      </c>
      <c r="AA3" s="124" t="e">
        <f t="shared" ref="AA3" ca="1" si="7">_xlfn.STDEV.P(AA7:AA12)</f>
        <v>#REF!</v>
      </c>
      <c r="AB3" s="57" t="e">
        <f t="shared" ref="AB3:AD3" ca="1" si="8">_xlfn.STDEV.P(AB7:AB12)</f>
        <v>#REF!</v>
      </c>
      <c r="AC3" s="57" t="e">
        <f t="shared" ca="1" si="8"/>
        <v>#REF!</v>
      </c>
      <c r="AD3" s="57" t="e">
        <f t="shared" ca="1" si="8"/>
        <v>#REF!</v>
      </c>
    </row>
    <row r="4" spans="1:30" ht="15" customHeight="1" x14ac:dyDescent="0.3">
      <c r="A4" s="382" t="s">
        <v>86</v>
      </c>
      <c r="B4" s="382"/>
      <c r="C4" s="53" t="e">
        <f ca="1">MAX(C7:C12)-MIN(C7:C12)</f>
        <v>#REF!</v>
      </c>
      <c r="D4" s="53" t="e">
        <f t="shared" ref="D4:Y4" ca="1" si="9">MAX(D7:D12)-MIN(D7:D12)</f>
        <v>#REF!</v>
      </c>
      <c r="E4" s="53" t="e">
        <f t="shared" ca="1" si="9"/>
        <v>#REF!</v>
      </c>
      <c r="F4" s="53" t="e">
        <f t="shared" ca="1" si="9"/>
        <v>#REF!</v>
      </c>
      <c r="G4" s="53" t="e">
        <f t="shared" ca="1" si="9"/>
        <v>#REF!</v>
      </c>
      <c r="H4" s="53" t="e">
        <f t="shared" ca="1" si="9"/>
        <v>#REF!</v>
      </c>
      <c r="I4" s="53" t="e">
        <f t="shared" ca="1" si="9"/>
        <v>#REF!</v>
      </c>
      <c r="J4" s="53" t="e">
        <f t="shared" ca="1" si="9"/>
        <v>#REF!</v>
      </c>
      <c r="K4" s="53" t="e">
        <f t="shared" ca="1" si="9"/>
        <v>#REF!</v>
      </c>
      <c r="L4" s="53" t="e">
        <f t="shared" ca="1" si="9"/>
        <v>#REF!</v>
      </c>
      <c r="M4" s="53" t="e">
        <f t="shared" ca="1" si="9"/>
        <v>#REF!</v>
      </c>
      <c r="N4" s="53" t="e">
        <f t="shared" ca="1" si="9"/>
        <v>#REF!</v>
      </c>
      <c r="O4" s="53" t="e">
        <f t="shared" ca="1" si="9"/>
        <v>#REF!</v>
      </c>
      <c r="P4" s="53" t="e">
        <f t="shared" ca="1" si="9"/>
        <v>#REF!</v>
      </c>
      <c r="Q4" s="53" t="e">
        <f t="shared" ca="1" si="9"/>
        <v>#REF!</v>
      </c>
      <c r="R4" s="53" t="e">
        <f t="shared" ca="1" si="9"/>
        <v>#REF!</v>
      </c>
      <c r="S4" s="53" t="e">
        <f t="shared" ca="1" si="9"/>
        <v>#REF!</v>
      </c>
      <c r="T4" s="53" t="e">
        <f t="shared" ca="1" si="9"/>
        <v>#REF!</v>
      </c>
      <c r="U4" s="53" t="e">
        <f t="shared" ca="1" si="9"/>
        <v>#REF!</v>
      </c>
      <c r="V4" s="53" t="e">
        <f t="shared" ca="1" si="9"/>
        <v>#REF!</v>
      </c>
      <c r="W4" s="53" t="e">
        <f t="shared" ca="1" si="9"/>
        <v>#REF!</v>
      </c>
      <c r="X4" s="53" t="e">
        <f t="shared" ca="1" si="9"/>
        <v>#REF!</v>
      </c>
      <c r="Y4" s="53" t="e">
        <f t="shared" ca="1" si="9"/>
        <v>#REF!</v>
      </c>
      <c r="Z4" s="54" t="e">
        <f ca="1">MAX(Z7:Z12)-MIN(Z7:Z12)</f>
        <v>#REF!</v>
      </c>
      <c r="AA4" s="122" t="e">
        <f ca="1">MAX(AA7:AA12)-MIN(AA7:AA12)</f>
        <v>#REF!</v>
      </c>
      <c r="AB4" s="53" t="e">
        <f ca="1">MAX(AB7:AB12)-MIN(AB7:AB12)</f>
        <v>#REF!</v>
      </c>
      <c r="AC4" s="53" t="e">
        <f ca="1">MAX(AC7:AC12)-MIN(AC7:AC12)</f>
        <v>#REF!</v>
      </c>
      <c r="AD4" s="53" t="e">
        <f ca="1">MAX(AD7:AD12)-MIN(AD7:AD12)</f>
        <v>#REF!</v>
      </c>
    </row>
    <row r="5" spans="1:30" ht="15" customHeight="1" x14ac:dyDescent="0.3">
      <c r="A5" s="59" t="s">
        <v>87</v>
      </c>
      <c r="B5" s="67" t="e">
        <f ca="1">INDIRECT("'"&amp;$A7&amp;"'!C8") &amp; "-" &amp; INDIRECT("'"&amp;$A7&amp;"'!C9")</f>
        <v>#REF!</v>
      </c>
      <c r="Z5" s="154"/>
      <c r="AA5" s="125"/>
      <c r="AB5" s="59"/>
      <c r="AC5" s="59"/>
      <c r="AD5" s="59"/>
    </row>
    <row r="6" spans="1:30" ht="128.1" customHeight="1" x14ac:dyDescent="0.3">
      <c r="A6" s="31" t="s">
        <v>75</v>
      </c>
      <c r="B6" s="31" t="s">
        <v>76</v>
      </c>
      <c r="C6" s="61" t="s">
        <v>9</v>
      </c>
      <c r="D6" s="61" t="s">
        <v>133</v>
      </c>
      <c r="E6" s="61" t="s">
        <v>149</v>
      </c>
      <c r="F6" s="61" t="s">
        <v>150</v>
      </c>
      <c r="G6" s="61" t="s">
        <v>151</v>
      </c>
      <c r="H6" s="61" t="s">
        <v>152</v>
      </c>
      <c r="I6" s="61" t="s">
        <v>153</v>
      </c>
      <c r="J6" s="61" t="s">
        <v>154</v>
      </c>
      <c r="K6" s="61" t="s">
        <v>121</v>
      </c>
      <c r="L6" s="61" t="s">
        <v>156</v>
      </c>
      <c r="M6" s="61" t="s">
        <v>157</v>
      </c>
      <c r="N6" s="61" t="s">
        <v>158</v>
      </c>
      <c r="O6" s="61" t="s">
        <v>159</v>
      </c>
      <c r="P6" s="61" t="s">
        <v>134</v>
      </c>
      <c r="Q6" s="61" t="s">
        <v>160</v>
      </c>
      <c r="R6" s="61" t="s">
        <v>161</v>
      </c>
      <c r="S6" s="61" t="s">
        <v>163</v>
      </c>
      <c r="T6" s="61" t="s">
        <v>164</v>
      </c>
      <c r="U6" s="61" t="s">
        <v>165</v>
      </c>
      <c r="V6" s="61" t="s">
        <v>167</v>
      </c>
      <c r="W6" s="61" t="s">
        <v>168</v>
      </c>
      <c r="X6" s="61" t="s">
        <v>169</v>
      </c>
      <c r="Y6" s="61" t="s">
        <v>30</v>
      </c>
      <c r="Z6" s="62" t="s">
        <v>74</v>
      </c>
      <c r="AA6" s="119" t="s">
        <v>7</v>
      </c>
      <c r="AB6" s="63" t="s">
        <v>80</v>
      </c>
      <c r="AC6" s="61" t="s">
        <v>81</v>
      </c>
      <c r="AD6" s="61" t="s">
        <v>82</v>
      </c>
    </row>
    <row r="7" spans="1:30" ht="15" customHeight="1" x14ac:dyDescent="0.3">
      <c r="A7" s="59"/>
      <c r="B7" s="59" t="e">
        <f ca="1">INDIRECT("'"&amp;$A7&amp;"'!D5")</f>
        <v>#REF!</v>
      </c>
      <c r="C7" s="55" t="e">
        <f ca="1">INDIRECT("'"&amp;$A7&amp;"'!K13")</f>
        <v>#REF!</v>
      </c>
      <c r="D7" s="55" t="e">
        <f ca="1">INDIRECT("'"&amp;$A7&amp;"'!K14")</f>
        <v>#REF!</v>
      </c>
      <c r="E7" s="55" t="e">
        <f ca="1">INDIRECT("'"&amp;$A7&amp;"'!K15")</f>
        <v>#REF!</v>
      </c>
      <c r="F7" s="55" t="e">
        <f ca="1">INDIRECT("'"&amp;$A7&amp;"'!K16")</f>
        <v>#REF!</v>
      </c>
      <c r="G7" s="55" t="e">
        <f ca="1">INDIRECT("'"&amp;$A7&amp;"'!K17")</f>
        <v>#REF!</v>
      </c>
      <c r="H7" s="55" t="e">
        <f ca="1">INDIRECT("'"&amp;$A7&amp;"'!K18")</f>
        <v>#REF!</v>
      </c>
      <c r="I7" s="55" t="e">
        <f ca="1">INDIRECT("'"&amp;$A7&amp;"'!K19")</f>
        <v>#REF!</v>
      </c>
      <c r="J7" s="55" t="e">
        <f ca="1">INDIRECT("'"&amp;$A7&amp;"'!K20")</f>
        <v>#REF!</v>
      </c>
      <c r="K7" s="55" t="e">
        <f ca="1">INDIRECT("'"&amp;$A7&amp;"'!K21")</f>
        <v>#REF!</v>
      </c>
      <c r="L7" s="55" t="e">
        <f ca="1">INDIRECT("'"&amp;$A7&amp;"'!K22")</f>
        <v>#REF!</v>
      </c>
      <c r="M7" s="55" t="e">
        <f ca="1">INDIRECT("'"&amp;$A7&amp;"'!K23")</f>
        <v>#REF!</v>
      </c>
      <c r="N7" s="55" t="e">
        <f ca="1">INDIRECT("'"&amp;$A7&amp;"'!K24")</f>
        <v>#REF!</v>
      </c>
      <c r="O7" s="55" t="e">
        <f ca="1">INDIRECT("'"&amp;$A7&amp;"'!K25")</f>
        <v>#REF!</v>
      </c>
      <c r="P7" s="55" t="e">
        <f ca="1">INDIRECT("'"&amp;$A7&amp;"'!K26")</f>
        <v>#REF!</v>
      </c>
      <c r="Q7" s="55" t="e">
        <f ca="1">INDIRECT("'"&amp;$A7&amp;"'!K27")</f>
        <v>#REF!</v>
      </c>
      <c r="R7" s="55" t="e">
        <f ca="1">INDIRECT("'"&amp;$A7&amp;"'!K28")</f>
        <v>#REF!</v>
      </c>
      <c r="S7" s="55" t="e">
        <f ca="1">INDIRECT("'"&amp;$A7&amp;"'!K29")</f>
        <v>#REF!</v>
      </c>
      <c r="T7" s="200" t="e">
        <f ca="1">INDIRECT("'"&amp;$A7&amp;"'!K30")</f>
        <v>#REF!</v>
      </c>
      <c r="U7" s="200" t="e">
        <f ca="1">INDIRECT("'"&amp;$A7&amp;"'!K31")</f>
        <v>#REF!</v>
      </c>
      <c r="V7" s="200" t="e">
        <f ca="1">INDIRECT("'"&amp;$A7&amp;"'!K32")</f>
        <v>#REF!</v>
      </c>
      <c r="W7" s="200" t="e">
        <f ca="1">INDIRECT("'"&amp;$A7&amp;"'!K33")</f>
        <v>#REF!</v>
      </c>
      <c r="X7" s="200" t="e">
        <f ca="1">INDIRECT("'"&amp;$A7&amp;"'!K34")</f>
        <v>#REF!</v>
      </c>
      <c r="Y7" s="200" t="e">
        <f ca="1">INDIRECT("'"&amp;$A7&amp;"'!K35")</f>
        <v>#REF!</v>
      </c>
      <c r="Z7" s="56" t="e">
        <f ca="1">INDIRECT("'"&amp;$A7&amp;"'!K36")</f>
        <v>#REF!</v>
      </c>
      <c r="AA7" s="55" t="e">
        <f ca="1">INDIRECT("'"&amp;$A7&amp;"'!J36")</f>
        <v>#REF!</v>
      </c>
      <c r="AB7" s="55" t="e">
        <f ca="1">INDIRECT("'"&amp;$A7&amp;"'!I36")</f>
        <v>#REF!</v>
      </c>
      <c r="AC7" s="55" t="e">
        <f ca="1">INDIRECT("'"&amp;$A7&amp;"'!H36")</f>
        <v>#REF!</v>
      </c>
      <c r="AD7" s="55" t="e">
        <f ca="1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3">
      <c r="A8" s="64"/>
      <c r="B8" s="64" t="e">
        <f t="shared" ref="B8:B15" ca="1" si="10">INDIRECT("'"&amp;$A8&amp;"'!D5")</f>
        <v>#REF!</v>
      </c>
      <c r="C8" s="65" t="e">
        <f t="shared" ref="C8:C15" ca="1" si="11">INDIRECT("'"&amp;$A8&amp;"'!K13")</f>
        <v>#REF!</v>
      </c>
      <c r="D8" s="65" t="e">
        <f t="shared" ref="D8:D15" ca="1" si="12">INDIRECT("'"&amp;$A8&amp;"'!K14")</f>
        <v>#REF!</v>
      </c>
      <c r="E8" s="65" t="e">
        <f t="shared" ref="E8:E15" ca="1" si="13">INDIRECT("'"&amp;$A8&amp;"'!K15")</f>
        <v>#REF!</v>
      </c>
      <c r="F8" s="65" t="e">
        <f t="shared" ref="F8:F15" ca="1" si="14">INDIRECT("'"&amp;$A8&amp;"'!K16")</f>
        <v>#REF!</v>
      </c>
      <c r="G8" s="65" t="e">
        <f t="shared" ref="G8:G15" ca="1" si="15">INDIRECT("'"&amp;$A8&amp;"'!K17")</f>
        <v>#REF!</v>
      </c>
      <c r="H8" s="65" t="e">
        <f t="shared" ref="H8:H15" ca="1" si="16">INDIRECT("'"&amp;$A8&amp;"'!K18")</f>
        <v>#REF!</v>
      </c>
      <c r="I8" s="65" t="e">
        <f t="shared" ref="I8:I15" ca="1" si="17">INDIRECT("'"&amp;$A8&amp;"'!K19")</f>
        <v>#REF!</v>
      </c>
      <c r="J8" s="65" t="e">
        <f t="shared" ref="J8:J15" ca="1" si="18">INDIRECT("'"&amp;$A8&amp;"'!K20")</f>
        <v>#REF!</v>
      </c>
      <c r="K8" s="65" t="e">
        <f t="shared" ref="K8:K15" ca="1" si="19">INDIRECT("'"&amp;$A8&amp;"'!K21")</f>
        <v>#REF!</v>
      </c>
      <c r="L8" s="65" t="e">
        <f t="shared" ref="L8:L15" ca="1" si="20">INDIRECT("'"&amp;$A8&amp;"'!K22")</f>
        <v>#REF!</v>
      </c>
      <c r="M8" s="65" t="e">
        <f t="shared" ref="M8:M15" ca="1" si="21">INDIRECT("'"&amp;$A8&amp;"'!K23")</f>
        <v>#REF!</v>
      </c>
      <c r="N8" s="65" t="e">
        <f t="shared" ref="N8:N15" ca="1" si="22">INDIRECT("'"&amp;$A8&amp;"'!K24")</f>
        <v>#REF!</v>
      </c>
      <c r="O8" s="65" t="e">
        <f t="shared" ref="O8:O15" ca="1" si="23">INDIRECT("'"&amp;$A8&amp;"'!K25")</f>
        <v>#REF!</v>
      </c>
      <c r="P8" s="65" t="e">
        <f t="shared" ref="P8:P15" ca="1" si="24">INDIRECT("'"&amp;$A8&amp;"'!K26")</f>
        <v>#REF!</v>
      </c>
      <c r="Q8" s="65" t="e">
        <f t="shared" ref="Q8:Q15" ca="1" si="25">INDIRECT("'"&amp;$A8&amp;"'!K27")</f>
        <v>#REF!</v>
      </c>
      <c r="R8" s="65" t="e">
        <f t="shared" ref="R8:R15" ca="1" si="26">INDIRECT("'"&amp;$A8&amp;"'!K28")</f>
        <v>#REF!</v>
      </c>
      <c r="S8" s="65" t="e">
        <f t="shared" ref="S8:S15" ca="1" si="27">INDIRECT("'"&amp;$A8&amp;"'!K29")</f>
        <v>#REF!</v>
      </c>
      <c r="T8" s="201" t="e">
        <f t="shared" ref="T8:T15" ca="1" si="28">INDIRECT("'"&amp;$A8&amp;"'!K30")</f>
        <v>#REF!</v>
      </c>
      <c r="U8" s="201" t="e">
        <f t="shared" ref="U8:U15" ca="1" si="29">INDIRECT("'"&amp;$A8&amp;"'!K31")</f>
        <v>#REF!</v>
      </c>
      <c r="V8" s="201" t="e">
        <f t="shared" ref="V8:V15" ca="1" si="30">INDIRECT("'"&amp;$A8&amp;"'!K32")</f>
        <v>#REF!</v>
      </c>
      <c r="W8" s="201" t="e">
        <f t="shared" ref="W8:W15" ca="1" si="31">INDIRECT("'"&amp;$A8&amp;"'!K33")</f>
        <v>#REF!</v>
      </c>
      <c r="X8" s="201" t="e">
        <f t="shared" ref="X8:X15" ca="1" si="32">INDIRECT("'"&amp;$A8&amp;"'!K34")</f>
        <v>#REF!</v>
      </c>
      <c r="Y8" s="201" t="e">
        <f t="shared" ref="Y8:Y15" ca="1" si="33">INDIRECT("'"&amp;$A8&amp;"'!K35")</f>
        <v>#REF!</v>
      </c>
      <c r="Z8" s="66" t="e">
        <f t="shared" ref="Z8:Z15" ca="1" si="34">INDIRECT("'"&amp;$A8&amp;"'!K36")</f>
        <v>#REF!</v>
      </c>
      <c r="AA8" s="65" t="e">
        <f ca="1">INDIRECT("'"&amp;$A8&amp;"'!J36")</f>
        <v>#REF!</v>
      </c>
      <c r="AB8" s="65" t="e">
        <f ca="1">INDIRECT("'"&amp;$A8&amp;"'!I36")</f>
        <v>#REF!</v>
      </c>
      <c r="AC8" s="65" t="e">
        <f ca="1">INDIRECT("'"&amp;$A8&amp;"'!H36")</f>
        <v>#REF!</v>
      </c>
      <c r="AD8" s="65" t="e">
        <f ca="1">IF(IF(INDIRECT("'"&amp;$A8&amp;"'!F36")="",0,INDIRECT("'"&amp;$A8&amp;"'!F36"))+IF(INDIRECT("'"&amp;$A8&amp;"'!G36")="",0,INDIRECT("'"&amp;$A8&amp;"'!G36"))=0,"",IF(INDIRECT("'"&amp;$A8&amp;"'!F36")="",0,INDIRECT("'"&amp;$A8&amp;"'!F36"))+IF(INDIRECT("'"&amp;$A8&amp;"'!G36")="",0,INDIRECT("'"&amp;$A8&amp;"'!G36")))</f>
        <v>#REF!</v>
      </c>
    </row>
    <row r="9" spans="1:30" ht="15" customHeight="1" x14ac:dyDescent="0.3">
      <c r="A9" s="59"/>
      <c r="B9" s="59" t="e">
        <f t="shared" ca="1" si="10"/>
        <v>#REF!</v>
      </c>
      <c r="C9" s="55" t="e">
        <f t="shared" ca="1" si="11"/>
        <v>#REF!</v>
      </c>
      <c r="D9" s="55" t="e">
        <f t="shared" ca="1" si="12"/>
        <v>#REF!</v>
      </c>
      <c r="E9" s="55" t="e">
        <f t="shared" ca="1" si="13"/>
        <v>#REF!</v>
      </c>
      <c r="F9" s="55" t="e">
        <f t="shared" ca="1" si="14"/>
        <v>#REF!</v>
      </c>
      <c r="G9" s="55" t="e">
        <f t="shared" ca="1" si="15"/>
        <v>#REF!</v>
      </c>
      <c r="H9" s="55" t="e">
        <f t="shared" ca="1" si="16"/>
        <v>#REF!</v>
      </c>
      <c r="I9" s="55" t="e">
        <f t="shared" ca="1" si="17"/>
        <v>#REF!</v>
      </c>
      <c r="J9" s="55" t="e">
        <f t="shared" ca="1" si="18"/>
        <v>#REF!</v>
      </c>
      <c r="K9" s="55" t="e">
        <f t="shared" ca="1" si="19"/>
        <v>#REF!</v>
      </c>
      <c r="L9" s="55" t="e">
        <f t="shared" ca="1" si="20"/>
        <v>#REF!</v>
      </c>
      <c r="M9" s="55" t="e">
        <f t="shared" ca="1" si="21"/>
        <v>#REF!</v>
      </c>
      <c r="N9" s="55" t="e">
        <f t="shared" ca="1" si="22"/>
        <v>#REF!</v>
      </c>
      <c r="O9" s="55" t="e">
        <f t="shared" ca="1" si="23"/>
        <v>#REF!</v>
      </c>
      <c r="P9" s="55" t="e">
        <f t="shared" ca="1" si="24"/>
        <v>#REF!</v>
      </c>
      <c r="Q9" s="55" t="e">
        <f t="shared" ca="1" si="25"/>
        <v>#REF!</v>
      </c>
      <c r="R9" s="55" t="e">
        <f t="shared" ca="1" si="26"/>
        <v>#REF!</v>
      </c>
      <c r="S9" s="55" t="e">
        <f t="shared" ca="1" si="27"/>
        <v>#REF!</v>
      </c>
      <c r="T9" s="200" t="e">
        <f t="shared" ca="1" si="28"/>
        <v>#REF!</v>
      </c>
      <c r="U9" s="200" t="e">
        <f t="shared" ca="1" si="29"/>
        <v>#REF!</v>
      </c>
      <c r="V9" s="200" t="e">
        <f t="shared" ca="1" si="30"/>
        <v>#REF!</v>
      </c>
      <c r="W9" s="200" t="e">
        <f t="shared" ca="1" si="31"/>
        <v>#REF!</v>
      </c>
      <c r="X9" s="200" t="e">
        <f t="shared" ca="1" si="32"/>
        <v>#REF!</v>
      </c>
      <c r="Y9" s="200" t="e">
        <f t="shared" ca="1" si="33"/>
        <v>#REF!</v>
      </c>
      <c r="Z9" s="56" t="e">
        <f t="shared" ca="1" si="34"/>
        <v>#REF!</v>
      </c>
      <c r="AA9" s="55" t="e">
        <f ca="1">INDIRECT("'"&amp;$A9&amp;"'!J36")</f>
        <v>#REF!</v>
      </c>
      <c r="AB9" s="55" t="e">
        <f ca="1">INDIRECT("'"&amp;$A9&amp;"'!I36")</f>
        <v>#REF!</v>
      </c>
      <c r="AC9" s="55" t="e">
        <f ca="1">INDIRECT("'"&amp;$A9&amp;"'!H36")</f>
        <v>#REF!</v>
      </c>
      <c r="AD9" s="55" t="e">
        <f ca="1">IF(IF(INDIRECT("'"&amp;$A9&amp;"'!F36")="",0,INDIRECT("'"&amp;$A9&amp;"'!F36"))+IF(INDIRECT("'"&amp;$A9&amp;"'!G36")="",0,INDIRECT("'"&amp;$A9&amp;"'!G36"))=0,"",IF(INDIRECT("'"&amp;$A9&amp;"'!F36")="",0,INDIRECT("'"&amp;$A9&amp;"'!F36"))+IF(INDIRECT("'"&amp;$A9&amp;"'!G36")="",0,INDIRECT("'"&amp;$A9&amp;"'!G36")))</f>
        <v>#REF!</v>
      </c>
    </row>
    <row r="10" spans="1:30" ht="15" customHeight="1" x14ac:dyDescent="0.3">
      <c r="A10" s="64"/>
      <c r="B10" s="64" t="e">
        <f t="shared" ca="1" si="10"/>
        <v>#REF!</v>
      </c>
      <c r="C10" s="65" t="e">
        <f t="shared" ca="1" si="11"/>
        <v>#REF!</v>
      </c>
      <c r="D10" s="65" t="e">
        <f t="shared" ca="1" si="12"/>
        <v>#REF!</v>
      </c>
      <c r="E10" s="65" t="e">
        <f t="shared" ca="1" si="13"/>
        <v>#REF!</v>
      </c>
      <c r="F10" s="65" t="e">
        <f t="shared" ca="1" si="14"/>
        <v>#REF!</v>
      </c>
      <c r="G10" s="65" t="e">
        <f t="shared" ca="1" si="15"/>
        <v>#REF!</v>
      </c>
      <c r="H10" s="65" t="e">
        <f t="shared" ca="1" si="16"/>
        <v>#REF!</v>
      </c>
      <c r="I10" s="65" t="e">
        <f t="shared" ca="1" si="17"/>
        <v>#REF!</v>
      </c>
      <c r="J10" s="65" t="e">
        <f t="shared" ca="1" si="18"/>
        <v>#REF!</v>
      </c>
      <c r="K10" s="65" t="e">
        <f t="shared" ca="1" si="19"/>
        <v>#REF!</v>
      </c>
      <c r="L10" s="65" t="e">
        <f t="shared" ca="1" si="20"/>
        <v>#REF!</v>
      </c>
      <c r="M10" s="65" t="e">
        <f t="shared" ca="1" si="21"/>
        <v>#REF!</v>
      </c>
      <c r="N10" s="65" t="e">
        <f t="shared" ca="1" si="22"/>
        <v>#REF!</v>
      </c>
      <c r="O10" s="65" t="e">
        <f t="shared" ca="1" si="23"/>
        <v>#REF!</v>
      </c>
      <c r="P10" s="65" t="e">
        <f t="shared" ca="1" si="24"/>
        <v>#REF!</v>
      </c>
      <c r="Q10" s="65" t="e">
        <f t="shared" ca="1" si="25"/>
        <v>#REF!</v>
      </c>
      <c r="R10" s="65" t="e">
        <f t="shared" ca="1" si="26"/>
        <v>#REF!</v>
      </c>
      <c r="S10" s="65" t="e">
        <f t="shared" ca="1" si="27"/>
        <v>#REF!</v>
      </c>
      <c r="T10" s="201" t="e">
        <f t="shared" ca="1" si="28"/>
        <v>#REF!</v>
      </c>
      <c r="U10" s="201" t="e">
        <f t="shared" ca="1" si="29"/>
        <v>#REF!</v>
      </c>
      <c r="V10" s="201" t="e">
        <f t="shared" ca="1" si="30"/>
        <v>#REF!</v>
      </c>
      <c r="W10" s="201" t="e">
        <f t="shared" ca="1" si="31"/>
        <v>#REF!</v>
      </c>
      <c r="X10" s="201" t="e">
        <f t="shared" ca="1" si="32"/>
        <v>#REF!</v>
      </c>
      <c r="Y10" s="201" t="e">
        <f t="shared" ca="1" si="33"/>
        <v>#REF!</v>
      </c>
      <c r="Z10" s="66" t="e">
        <f t="shared" ca="1" si="34"/>
        <v>#REF!</v>
      </c>
      <c r="AA10" s="65" t="e">
        <f ca="1">INDIRECT("'"&amp;$A10&amp;"'!J36")</f>
        <v>#REF!</v>
      </c>
      <c r="AB10" s="65" t="e">
        <f ca="1">INDIRECT("'"&amp;$A10&amp;"'!I36")</f>
        <v>#REF!</v>
      </c>
      <c r="AC10" s="65" t="e">
        <f ca="1">INDIRECT("'"&amp;$A10&amp;"'!H36")</f>
        <v>#REF!</v>
      </c>
      <c r="AD10" s="65" t="e">
        <f ca="1">IF(IF(INDIRECT("'"&amp;$A10&amp;"'!F36")="",0,INDIRECT("'"&amp;$A10&amp;"'!F36"))+IF(INDIRECT("'"&amp;$A10&amp;"'!G36")="",0,INDIRECT("'"&amp;$A10&amp;"'!G36"))=0,"",IF(INDIRECT("'"&amp;$A10&amp;"'!F36")="",0,INDIRECT("'"&amp;$A10&amp;"'!F36"))+IF(INDIRECT("'"&amp;$A10&amp;"'!G36")="",0,INDIRECT("'"&amp;$A10&amp;"'!G36")))</f>
        <v>#REF!</v>
      </c>
    </row>
    <row r="11" spans="1:30" ht="15" customHeight="1" x14ac:dyDescent="0.3">
      <c r="A11" s="59"/>
      <c r="B11" s="59" t="e">
        <f t="shared" ca="1" si="10"/>
        <v>#REF!</v>
      </c>
      <c r="C11" s="55" t="e">
        <f t="shared" ca="1" si="11"/>
        <v>#REF!</v>
      </c>
      <c r="D11" s="55" t="e">
        <f t="shared" ca="1" si="12"/>
        <v>#REF!</v>
      </c>
      <c r="E11" s="55" t="e">
        <f t="shared" ca="1" si="13"/>
        <v>#REF!</v>
      </c>
      <c r="F11" s="55" t="e">
        <f t="shared" ca="1" si="14"/>
        <v>#REF!</v>
      </c>
      <c r="G11" s="55" t="e">
        <f t="shared" ca="1" si="15"/>
        <v>#REF!</v>
      </c>
      <c r="H11" s="55" t="e">
        <f t="shared" ca="1" si="16"/>
        <v>#REF!</v>
      </c>
      <c r="I11" s="55" t="e">
        <f t="shared" ca="1" si="17"/>
        <v>#REF!</v>
      </c>
      <c r="J11" s="55" t="e">
        <f t="shared" ca="1" si="18"/>
        <v>#REF!</v>
      </c>
      <c r="K11" s="55" t="e">
        <f t="shared" ca="1" si="19"/>
        <v>#REF!</v>
      </c>
      <c r="L11" s="55" t="e">
        <f t="shared" ca="1" si="20"/>
        <v>#REF!</v>
      </c>
      <c r="M11" s="55" t="e">
        <f t="shared" ca="1" si="21"/>
        <v>#REF!</v>
      </c>
      <c r="N11" s="55" t="e">
        <f t="shared" ca="1" si="22"/>
        <v>#REF!</v>
      </c>
      <c r="O11" s="55" t="e">
        <f t="shared" ca="1" si="23"/>
        <v>#REF!</v>
      </c>
      <c r="P11" s="55" t="e">
        <f t="shared" ca="1" si="24"/>
        <v>#REF!</v>
      </c>
      <c r="Q11" s="55" t="e">
        <f t="shared" ca="1" si="25"/>
        <v>#REF!</v>
      </c>
      <c r="R11" s="55" t="e">
        <f t="shared" ca="1" si="26"/>
        <v>#REF!</v>
      </c>
      <c r="S11" s="55" t="e">
        <f t="shared" ca="1" si="27"/>
        <v>#REF!</v>
      </c>
      <c r="T11" s="200" t="e">
        <f t="shared" ca="1" si="28"/>
        <v>#REF!</v>
      </c>
      <c r="U11" s="200" t="e">
        <f t="shared" ca="1" si="29"/>
        <v>#REF!</v>
      </c>
      <c r="V11" s="200" t="e">
        <f t="shared" ca="1" si="30"/>
        <v>#REF!</v>
      </c>
      <c r="W11" s="200" t="e">
        <f t="shared" ca="1" si="31"/>
        <v>#REF!</v>
      </c>
      <c r="X11" s="200" t="e">
        <f t="shared" ca="1" si="32"/>
        <v>#REF!</v>
      </c>
      <c r="Y11" s="200" t="e">
        <f t="shared" ca="1" si="33"/>
        <v>#REF!</v>
      </c>
      <c r="Z11" s="56" t="e">
        <f t="shared" ca="1" si="34"/>
        <v>#REF!</v>
      </c>
      <c r="AA11" s="55" t="e">
        <f ca="1">INDIRECT("'"&amp;$A11&amp;"'!J36")</f>
        <v>#REF!</v>
      </c>
      <c r="AB11" s="55" t="e">
        <f ca="1">INDIRECT("'"&amp;$A11&amp;"'!I36")</f>
        <v>#REF!</v>
      </c>
      <c r="AC11" s="55" t="e">
        <f ca="1">INDIRECT("'"&amp;$A11&amp;"'!H36")</f>
        <v>#REF!</v>
      </c>
      <c r="AD11" s="55" t="e">
        <f ca="1">IF(IF(INDIRECT("'"&amp;$A11&amp;"'!F36")="",0,INDIRECT("'"&amp;$A11&amp;"'!F36"))+IF(INDIRECT("'"&amp;$A11&amp;"'!G36")="",0,INDIRECT("'"&amp;$A11&amp;"'!G36"))=0,"",IF(INDIRECT("'"&amp;$A11&amp;"'!F36")="",0,INDIRECT("'"&amp;$A11&amp;"'!F36"))+IF(INDIRECT("'"&amp;$A11&amp;"'!G36")="",0,INDIRECT("'"&amp;$A11&amp;"'!G36")))</f>
        <v>#REF!</v>
      </c>
    </row>
    <row r="12" spans="1:30" ht="15" customHeight="1" x14ac:dyDescent="0.3">
      <c r="A12" s="64"/>
      <c r="B12" s="64" t="e">
        <f t="shared" ca="1" si="10"/>
        <v>#REF!</v>
      </c>
      <c r="C12" s="65" t="e">
        <f t="shared" ca="1" si="11"/>
        <v>#REF!</v>
      </c>
      <c r="D12" s="65" t="e">
        <f t="shared" ca="1" si="12"/>
        <v>#REF!</v>
      </c>
      <c r="E12" s="65" t="e">
        <f t="shared" ca="1" si="13"/>
        <v>#REF!</v>
      </c>
      <c r="F12" s="65" t="e">
        <f t="shared" ca="1" si="14"/>
        <v>#REF!</v>
      </c>
      <c r="G12" s="65" t="e">
        <f t="shared" ca="1" si="15"/>
        <v>#REF!</v>
      </c>
      <c r="H12" s="65" t="e">
        <f t="shared" ca="1" si="16"/>
        <v>#REF!</v>
      </c>
      <c r="I12" s="65" t="e">
        <f t="shared" ca="1" si="17"/>
        <v>#REF!</v>
      </c>
      <c r="J12" s="65" t="e">
        <f t="shared" ca="1" si="18"/>
        <v>#REF!</v>
      </c>
      <c r="K12" s="65" t="e">
        <f t="shared" ca="1" si="19"/>
        <v>#REF!</v>
      </c>
      <c r="L12" s="65" t="e">
        <f t="shared" ca="1" si="20"/>
        <v>#REF!</v>
      </c>
      <c r="M12" s="65" t="e">
        <f t="shared" ca="1" si="21"/>
        <v>#REF!</v>
      </c>
      <c r="N12" s="65" t="e">
        <f t="shared" ca="1" si="22"/>
        <v>#REF!</v>
      </c>
      <c r="O12" s="65" t="e">
        <f t="shared" ca="1" si="23"/>
        <v>#REF!</v>
      </c>
      <c r="P12" s="65" t="e">
        <f t="shared" ca="1" si="24"/>
        <v>#REF!</v>
      </c>
      <c r="Q12" s="65" t="e">
        <f t="shared" ca="1" si="25"/>
        <v>#REF!</v>
      </c>
      <c r="R12" s="65" t="e">
        <f t="shared" ca="1" si="26"/>
        <v>#REF!</v>
      </c>
      <c r="S12" s="65" t="e">
        <f t="shared" ca="1" si="27"/>
        <v>#REF!</v>
      </c>
      <c r="T12" s="201" t="e">
        <f t="shared" ca="1" si="28"/>
        <v>#REF!</v>
      </c>
      <c r="U12" s="201" t="e">
        <f t="shared" ca="1" si="29"/>
        <v>#REF!</v>
      </c>
      <c r="V12" s="201" t="e">
        <f t="shared" ca="1" si="30"/>
        <v>#REF!</v>
      </c>
      <c r="W12" s="201" t="e">
        <f t="shared" ca="1" si="31"/>
        <v>#REF!</v>
      </c>
      <c r="X12" s="201" t="e">
        <f t="shared" ca="1" si="32"/>
        <v>#REF!</v>
      </c>
      <c r="Y12" s="201" t="e">
        <f t="shared" ca="1" si="33"/>
        <v>#REF!</v>
      </c>
      <c r="Z12" s="66" t="e">
        <f t="shared" ca="1" si="34"/>
        <v>#REF!</v>
      </c>
      <c r="AA12" s="65" t="e">
        <f ca="1">INDIRECT("'"&amp;$A12&amp;"'!J36")</f>
        <v>#REF!</v>
      </c>
      <c r="AB12" s="65" t="e">
        <f ca="1">INDIRECT("'"&amp;$A12&amp;"'!I36")</f>
        <v>#REF!</v>
      </c>
      <c r="AC12" s="65" t="e">
        <f ca="1">INDIRECT("'"&amp;$A12&amp;"'!H36")</f>
        <v>#REF!</v>
      </c>
      <c r="AD12" s="65" t="e">
        <f ca="1">IF(IF(INDIRECT("'"&amp;$A12&amp;"'!F36")="",0,INDIRECT("'"&amp;$A12&amp;"'!F36"))+IF(INDIRECT("'"&amp;$A12&amp;"'!G36")="",0,INDIRECT("'"&amp;$A12&amp;"'!G36"))=0,"",IF(INDIRECT("'"&amp;$A12&amp;"'!F36")="",0,INDIRECT("'"&amp;$A12&amp;"'!F36"))+IF(INDIRECT("'"&amp;$A12&amp;"'!G36")="",0,INDIRECT("'"&amp;$A12&amp;"'!G36")))</f>
        <v>#REF!</v>
      </c>
    </row>
    <row r="13" spans="1:30" ht="15" customHeight="1" x14ac:dyDescent="0.3">
      <c r="A13" s="59"/>
      <c r="B13" s="59" t="e">
        <f t="shared" ca="1" si="10"/>
        <v>#REF!</v>
      </c>
      <c r="C13" s="55" t="e">
        <f t="shared" ca="1" si="11"/>
        <v>#REF!</v>
      </c>
      <c r="D13" s="55" t="e">
        <f t="shared" ca="1" si="12"/>
        <v>#REF!</v>
      </c>
      <c r="E13" s="55" t="e">
        <f t="shared" ca="1" si="13"/>
        <v>#REF!</v>
      </c>
      <c r="F13" s="55" t="e">
        <f t="shared" ca="1" si="14"/>
        <v>#REF!</v>
      </c>
      <c r="G13" s="55" t="e">
        <f t="shared" ca="1" si="15"/>
        <v>#REF!</v>
      </c>
      <c r="H13" s="55" t="e">
        <f t="shared" ca="1" si="16"/>
        <v>#REF!</v>
      </c>
      <c r="I13" s="55" t="e">
        <f t="shared" ca="1" si="17"/>
        <v>#REF!</v>
      </c>
      <c r="J13" s="55" t="e">
        <f t="shared" ca="1" si="18"/>
        <v>#REF!</v>
      </c>
      <c r="K13" s="55" t="e">
        <f t="shared" ca="1" si="19"/>
        <v>#REF!</v>
      </c>
      <c r="L13" s="55" t="e">
        <f t="shared" ca="1" si="20"/>
        <v>#REF!</v>
      </c>
      <c r="M13" s="55" t="e">
        <f t="shared" ca="1" si="21"/>
        <v>#REF!</v>
      </c>
      <c r="N13" s="55" t="e">
        <f t="shared" ca="1" si="22"/>
        <v>#REF!</v>
      </c>
      <c r="O13" s="55" t="e">
        <f t="shared" ca="1" si="23"/>
        <v>#REF!</v>
      </c>
      <c r="P13" s="55" t="e">
        <f t="shared" ca="1" si="24"/>
        <v>#REF!</v>
      </c>
      <c r="Q13" s="55" t="e">
        <f t="shared" ca="1" si="25"/>
        <v>#REF!</v>
      </c>
      <c r="R13" s="55" t="e">
        <f t="shared" ca="1" si="26"/>
        <v>#REF!</v>
      </c>
      <c r="S13" s="55" t="e">
        <f t="shared" ca="1" si="27"/>
        <v>#REF!</v>
      </c>
      <c r="T13" s="200" t="e">
        <f t="shared" ca="1" si="28"/>
        <v>#REF!</v>
      </c>
      <c r="U13" s="200" t="e">
        <f t="shared" ca="1" si="29"/>
        <v>#REF!</v>
      </c>
      <c r="V13" s="200" t="e">
        <f t="shared" ca="1" si="30"/>
        <v>#REF!</v>
      </c>
      <c r="W13" s="200" t="e">
        <f t="shared" ca="1" si="31"/>
        <v>#REF!</v>
      </c>
      <c r="X13" s="200" t="e">
        <f t="shared" ca="1" si="32"/>
        <v>#REF!</v>
      </c>
      <c r="Y13" s="200" t="e">
        <f t="shared" ca="1" si="33"/>
        <v>#REF!</v>
      </c>
      <c r="Z13" s="56" t="e">
        <f t="shared" ca="1" si="34"/>
        <v>#REF!</v>
      </c>
      <c r="AA13" s="55" t="e">
        <f ca="1">INDIRECT("'"&amp;$A13&amp;"'!J36")</f>
        <v>#REF!</v>
      </c>
      <c r="AB13" s="55" t="e">
        <f ca="1">INDIRECT("'"&amp;$A13&amp;"'!I36")</f>
        <v>#REF!</v>
      </c>
      <c r="AC13" s="55" t="e">
        <f ca="1">INDIRECT("'"&amp;$A13&amp;"'!H36")</f>
        <v>#REF!</v>
      </c>
      <c r="AD13" s="55" t="e">
        <f ca="1">IF(IF(INDIRECT("'"&amp;$A13&amp;"'!F36")="",0,INDIRECT("'"&amp;$A13&amp;"'!F36"))+IF(INDIRECT("'"&amp;$A13&amp;"'!G36")="",0,INDIRECT("'"&amp;$A13&amp;"'!G36"))=0,"",IF(INDIRECT("'"&amp;$A13&amp;"'!F36")="",0,INDIRECT("'"&amp;$A13&amp;"'!F36"))+IF(INDIRECT("'"&amp;$A13&amp;"'!G36")="",0,INDIRECT("'"&amp;$A13&amp;"'!G36")))</f>
        <v>#REF!</v>
      </c>
    </row>
    <row r="14" spans="1:30" ht="15" customHeight="1" x14ac:dyDescent="0.3">
      <c r="A14" s="64"/>
      <c r="B14" s="64" t="e">
        <f t="shared" ca="1" si="10"/>
        <v>#REF!</v>
      </c>
      <c r="C14" s="65" t="e">
        <f t="shared" ca="1" si="11"/>
        <v>#REF!</v>
      </c>
      <c r="D14" s="65" t="e">
        <f t="shared" ca="1" si="12"/>
        <v>#REF!</v>
      </c>
      <c r="E14" s="65" t="e">
        <f t="shared" ca="1" si="13"/>
        <v>#REF!</v>
      </c>
      <c r="F14" s="65" t="e">
        <f t="shared" ca="1" si="14"/>
        <v>#REF!</v>
      </c>
      <c r="G14" s="65" t="e">
        <f t="shared" ca="1" si="15"/>
        <v>#REF!</v>
      </c>
      <c r="H14" s="65" t="e">
        <f t="shared" ca="1" si="16"/>
        <v>#REF!</v>
      </c>
      <c r="I14" s="65" t="e">
        <f t="shared" ca="1" si="17"/>
        <v>#REF!</v>
      </c>
      <c r="J14" s="65" t="e">
        <f t="shared" ca="1" si="18"/>
        <v>#REF!</v>
      </c>
      <c r="K14" s="65" t="e">
        <f t="shared" ca="1" si="19"/>
        <v>#REF!</v>
      </c>
      <c r="L14" s="65" t="e">
        <f t="shared" ca="1" si="20"/>
        <v>#REF!</v>
      </c>
      <c r="M14" s="65" t="e">
        <f t="shared" ca="1" si="21"/>
        <v>#REF!</v>
      </c>
      <c r="N14" s="65" t="e">
        <f t="shared" ca="1" si="22"/>
        <v>#REF!</v>
      </c>
      <c r="O14" s="65" t="e">
        <f t="shared" ca="1" si="23"/>
        <v>#REF!</v>
      </c>
      <c r="P14" s="65" t="e">
        <f t="shared" ca="1" si="24"/>
        <v>#REF!</v>
      </c>
      <c r="Q14" s="65" t="e">
        <f t="shared" ca="1" si="25"/>
        <v>#REF!</v>
      </c>
      <c r="R14" s="65" t="e">
        <f t="shared" ca="1" si="26"/>
        <v>#REF!</v>
      </c>
      <c r="S14" s="65" t="e">
        <f t="shared" ca="1" si="27"/>
        <v>#REF!</v>
      </c>
      <c r="T14" s="201" t="e">
        <f t="shared" ca="1" si="28"/>
        <v>#REF!</v>
      </c>
      <c r="U14" s="201" t="e">
        <f t="shared" ca="1" si="29"/>
        <v>#REF!</v>
      </c>
      <c r="V14" s="201" t="e">
        <f t="shared" ca="1" si="30"/>
        <v>#REF!</v>
      </c>
      <c r="W14" s="201" t="e">
        <f t="shared" ca="1" si="31"/>
        <v>#REF!</v>
      </c>
      <c r="X14" s="201" t="e">
        <f t="shared" ca="1" si="32"/>
        <v>#REF!</v>
      </c>
      <c r="Y14" s="201" t="e">
        <f t="shared" ca="1" si="33"/>
        <v>#REF!</v>
      </c>
      <c r="Z14" s="66" t="e">
        <f t="shared" ca="1" si="34"/>
        <v>#REF!</v>
      </c>
      <c r="AA14" s="65" t="e">
        <f ca="1">INDIRECT("'"&amp;$A14&amp;"'!J36")</f>
        <v>#REF!</v>
      </c>
      <c r="AB14" s="65" t="e">
        <f ca="1">INDIRECT("'"&amp;$A14&amp;"'!I36")</f>
        <v>#REF!</v>
      </c>
      <c r="AC14" s="65" t="e">
        <f ca="1">INDIRECT("'"&amp;$A14&amp;"'!H36")</f>
        <v>#REF!</v>
      </c>
      <c r="AD14" s="65" t="e">
        <f ca="1">IF(IF(INDIRECT("'"&amp;$A14&amp;"'!F36")="",0,INDIRECT("'"&amp;$A14&amp;"'!F36"))+IF(INDIRECT("'"&amp;$A14&amp;"'!G36")="",0,INDIRECT("'"&amp;$A14&amp;"'!G36"))=0,"",IF(INDIRECT("'"&amp;$A14&amp;"'!F36")="",0,INDIRECT("'"&amp;$A14&amp;"'!F36"))+IF(INDIRECT("'"&amp;$A14&amp;"'!G36")="",0,INDIRECT("'"&amp;$A14&amp;"'!G36")))</f>
        <v>#REF!</v>
      </c>
    </row>
    <row r="15" spans="1:30" ht="15" customHeight="1" x14ac:dyDescent="0.3">
      <c r="A15" s="59"/>
      <c r="B15" s="59" t="e">
        <f t="shared" ca="1" si="10"/>
        <v>#REF!</v>
      </c>
      <c r="C15" s="55" t="e">
        <f t="shared" ca="1" si="11"/>
        <v>#REF!</v>
      </c>
      <c r="D15" s="55" t="e">
        <f t="shared" ca="1" si="12"/>
        <v>#REF!</v>
      </c>
      <c r="E15" s="55" t="e">
        <f t="shared" ca="1" si="13"/>
        <v>#REF!</v>
      </c>
      <c r="F15" s="55" t="e">
        <f t="shared" ca="1" si="14"/>
        <v>#REF!</v>
      </c>
      <c r="G15" s="55" t="e">
        <f t="shared" ca="1" si="15"/>
        <v>#REF!</v>
      </c>
      <c r="H15" s="55" t="e">
        <f t="shared" ca="1" si="16"/>
        <v>#REF!</v>
      </c>
      <c r="I15" s="55" t="e">
        <f t="shared" ca="1" si="17"/>
        <v>#REF!</v>
      </c>
      <c r="J15" s="55" t="e">
        <f t="shared" ca="1" si="18"/>
        <v>#REF!</v>
      </c>
      <c r="K15" s="55" t="e">
        <f t="shared" ca="1" si="19"/>
        <v>#REF!</v>
      </c>
      <c r="L15" s="55" t="e">
        <f t="shared" ca="1" si="20"/>
        <v>#REF!</v>
      </c>
      <c r="M15" s="55" t="e">
        <f t="shared" ca="1" si="21"/>
        <v>#REF!</v>
      </c>
      <c r="N15" s="55" t="e">
        <f t="shared" ca="1" si="22"/>
        <v>#REF!</v>
      </c>
      <c r="O15" s="55" t="e">
        <f t="shared" ca="1" si="23"/>
        <v>#REF!</v>
      </c>
      <c r="P15" s="55" t="e">
        <f t="shared" ca="1" si="24"/>
        <v>#REF!</v>
      </c>
      <c r="Q15" s="55" t="e">
        <f t="shared" ca="1" si="25"/>
        <v>#REF!</v>
      </c>
      <c r="R15" s="55" t="e">
        <f t="shared" ca="1" si="26"/>
        <v>#REF!</v>
      </c>
      <c r="S15" s="55" t="e">
        <f t="shared" ca="1" si="27"/>
        <v>#REF!</v>
      </c>
      <c r="T15" s="200" t="e">
        <f t="shared" ca="1" si="28"/>
        <v>#REF!</v>
      </c>
      <c r="U15" s="200" t="e">
        <f t="shared" ca="1" si="29"/>
        <v>#REF!</v>
      </c>
      <c r="V15" s="200" t="e">
        <f t="shared" ca="1" si="30"/>
        <v>#REF!</v>
      </c>
      <c r="W15" s="200" t="e">
        <f t="shared" ca="1" si="31"/>
        <v>#REF!</v>
      </c>
      <c r="X15" s="200" t="e">
        <f t="shared" ca="1" si="32"/>
        <v>#REF!</v>
      </c>
      <c r="Y15" s="200" t="e">
        <f t="shared" ca="1" si="33"/>
        <v>#REF!</v>
      </c>
      <c r="Z15" s="56" t="e">
        <f t="shared" ca="1" si="34"/>
        <v>#REF!</v>
      </c>
      <c r="AA15" s="55" t="e">
        <f ca="1">INDIRECT("'"&amp;$A15&amp;"'!J36")</f>
        <v>#REF!</v>
      </c>
      <c r="AB15" s="55" t="e">
        <f ca="1">INDIRECT("'"&amp;$A15&amp;"'!I36")</f>
        <v>#REF!</v>
      </c>
      <c r="AC15" s="55" t="e">
        <f ca="1">INDIRECT("'"&amp;$A15&amp;"'!H36")</f>
        <v>#REF!</v>
      </c>
      <c r="AD15" s="55" t="e">
        <f ca="1">IF(IF(INDIRECT("'"&amp;$A15&amp;"'!F36")="",0,INDIRECT("'"&amp;$A15&amp;"'!F36"))+IF(INDIRECT("'"&amp;$A15&amp;"'!G36")="",0,INDIRECT("'"&amp;$A15&amp;"'!G36"))=0,"",IF(INDIRECT("'"&amp;$A15&amp;"'!F36")="",0,INDIRECT("'"&amp;$A15&amp;"'!F36"))+IF(INDIRECT("'"&amp;$A15&amp;"'!G36")="",0,INDIRECT("'"&amp;$A15&amp;"'!G36")))</f>
        <v>#REF!</v>
      </c>
    </row>
    <row r="16" spans="1:30" ht="15" customHeight="1" x14ac:dyDescent="0.3"/>
  </sheetData>
  <sheetProtection selectLockedCells="1" selectUnlockedCells="1"/>
  <mergeCells count="4">
    <mergeCell ref="A1:B1"/>
    <mergeCell ref="A2:B2"/>
    <mergeCell ref="A3:B3"/>
    <mergeCell ref="A4:B4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D16"/>
  <sheetViews>
    <sheetView zoomScale="115" zoomScaleNormal="115" workbookViewId="0">
      <selection sqref="A1:B1"/>
    </sheetView>
  </sheetViews>
  <sheetFormatPr defaultColWidth="11.5546875" defaultRowHeight="14.4" x14ac:dyDescent="0.3"/>
  <cols>
    <col min="1" max="1" width="11.77734375" customWidth="1"/>
    <col min="2" max="2" width="14.88671875" customWidth="1"/>
    <col min="3" max="25" width="3.6640625" customWidth="1"/>
    <col min="26" max="26" width="5.6640625" customWidth="1"/>
    <col min="27" max="27" width="3.6640625" style="52" customWidth="1"/>
    <col min="28" max="30" width="3.6640625" customWidth="1"/>
  </cols>
  <sheetData>
    <row r="1" spans="1:30" ht="15" customHeight="1" x14ac:dyDescent="0.3">
      <c r="A1" s="380" t="s">
        <v>83</v>
      </c>
      <c r="B1" s="380"/>
      <c r="C1" s="260" t="e">
        <f ca="1">SUM(C7:C12)-MAX(C7:C12)-MIN(C7:C12)</f>
        <v>#REF!</v>
      </c>
      <c r="D1" s="260" t="e">
        <f t="shared" ref="D1:Y1" ca="1" si="0">SUM(D7:D12)-MAX(D7:D12)-MIN(D7:D12)</f>
        <v>#REF!</v>
      </c>
      <c r="E1" s="260" t="e">
        <f t="shared" ca="1" si="0"/>
        <v>#REF!</v>
      </c>
      <c r="F1" s="260" t="e">
        <f t="shared" ca="1" si="0"/>
        <v>#REF!</v>
      </c>
      <c r="G1" s="260" t="e">
        <f t="shared" ca="1" si="0"/>
        <v>#REF!</v>
      </c>
      <c r="H1" s="260" t="e">
        <f t="shared" ca="1" si="0"/>
        <v>#REF!</v>
      </c>
      <c r="I1" s="260" t="e">
        <f t="shared" ca="1" si="0"/>
        <v>#REF!</v>
      </c>
      <c r="J1" s="260" t="e">
        <f t="shared" ca="1" si="0"/>
        <v>#REF!</v>
      </c>
      <c r="K1" s="260" t="e">
        <f t="shared" ca="1" si="0"/>
        <v>#REF!</v>
      </c>
      <c r="L1" s="260" t="e">
        <f t="shared" ca="1" si="0"/>
        <v>#REF!</v>
      </c>
      <c r="M1" s="260" t="e">
        <f t="shared" ca="1" si="0"/>
        <v>#REF!</v>
      </c>
      <c r="N1" s="260" t="e">
        <f t="shared" ca="1" si="0"/>
        <v>#REF!</v>
      </c>
      <c r="O1" s="260" t="e">
        <f t="shared" ca="1" si="0"/>
        <v>#REF!</v>
      </c>
      <c r="P1" s="260" t="e">
        <f t="shared" ca="1" si="0"/>
        <v>#REF!</v>
      </c>
      <c r="Q1" s="260" t="e">
        <f t="shared" ref="Q1" ca="1" si="1">SUM(Q7:Q12)-MAX(Q7:Q12)-MIN(Q7:Q12)</f>
        <v>#REF!</v>
      </c>
      <c r="R1" s="260" t="e">
        <f t="shared" ca="1" si="0"/>
        <v>#REF!</v>
      </c>
      <c r="S1" s="260" t="e">
        <f t="shared" ca="1" si="0"/>
        <v>#REF!</v>
      </c>
      <c r="T1" s="260" t="e">
        <f t="shared" ca="1" si="0"/>
        <v>#REF!</v>
      </c>
      <c r="U1" s="260" t="e">
        <f t="shared" ca="1" si="0"/>
        <v>#REF!</v>
      </c>
      <c r="V1" s="260" t="e">
        <f t="shared" ca="1" si="0"/>
        <v>#REF!</v>
      </c>
      <c r="W1" s="260" t="e">
        <f t="shared" ca="1" si="0"/>
        <v>#REF!</v>
      </c>
      <c r="X1" s="260" t="e">
        <f t="shared" ca="1" si="0"/>
        <v>#REF!</v>
      </c>
      <c r="Y1" s="260" t="e">
        <f t="shared" ca="1" si="0"/>
        <v>#REF!</v>
      </c>
      <c r="Z1" s="54" t="e">
        <f ca="1">IF(SUM(AA7:AA12)&gt;0,SUM(I1:Y1)/2,SUM(I1:Y1))</f>
        <v>#REF!</v>
      </c>
      <c r="AA1" s="122" t="e">
        <f t="shared" ref="AA1" ca="1" si="2">SUM(AA7:AA12)-MAX(AA7:AA12)-MIN(AA7:AA12)</f>
        <v>#REF!</v>
      </c>
      <c r="AB1" s="53" t="e">
        <f t="shared" ref="AB1:AD1" ca="1" si="3">SUM(AB7:AB12)-MAX(AB7:AB12)-MIN(AB7:AB12)</f>
        <v>#REF!</v>
      </c>
      <c r="AC1" s="53" t="e">
        <f t="shared" ca="1" si="3"/>
        <v>#REF!</v>
      </c>
      <c r="AD1" s="53" t="e">
        <f t="shared" ca="1" si="3"/>
        <v>#REF!</v>
      </c>
    </row>
    <row r="2" spans="1:30" ht="15" customHeight="1" x14ac:dyDescent="0.3">
      <c r="A2" s="382" t="s">
        <v>84</v>
      </c>
      <c r="B2" s="382"/>
      <c r="C2" s="200" t="e">
        <f t="shared" ref="C2:Y2" ca="1" si="4">AVERAGE(C7:C12)</f>
        <v>#REF!</v>
      </c>
      <c r="D2" s="200" t="e">
        <f t="shared" ca="1" si="4"/>
        <v>#REF!</v>
      </c>
      <c r="E2" s="200" t="e">
        <f t="shared" ca="1" si="4"/>
        <v>#REF!</v>
      </c>
      <c r="F2" s="200" t="e">
        <f t="shared" ca="1" si="4"/>
        <v>#REF!</v>
      </c>
      <c r="G2" s="200" t="e">
        <f t="shared" ca="1" si="4"/>
        <v>#REF!</v>
      </c>
      <c r="H2" s="200" t="e">
        <f t="shared" ca="1" si="4"/>
        <v>#REF!</v>
      </c>
      <c r="I2" s="200" t="e">
        <f t="shared" ca="1" si="4"/>
        <v>#REF!</v>
      </c>
      <c r="J2" s="200" t="e">
        <f t="shared" ca="1" si="4"/>
        <v>#REF!</v>
      </c>
      <c r="K2" s="200" t="e">
        <f t="shared" ca="1" si="4"/>
        <v>#REF!</v>
      </c>
      <c r="L2" s="200" t="e">
        <f t="shared" ca="1" si="4"/>
        <v>#REF!</v>
      </c>
      <c r="M2" s="200" t="e">
        <f t="shared" ca="1" si="4"/>
        <v>#REF!</v>
      </c>
      <c r="N2" s="200" t="e">
        <f t="shared" ca="1" si="4"/>
        <v>#REF!</v>
      </c>
      <c r="O2" s="200" t="e">
        <f t="shared" ca="1" si="4"/>
        <v>#REF!</v>
      </c>
      <c r="P2" s="200" t="e">
        <f t="shared" ca="1" si="4"/>
        <v>#REF!</v>
      </c>
      <c r="Q2" s="200" t="e">
        <f t="shared" ca="1" si="4"/>
        <v>#REF!</v>
      </c>
      <c r="R2" s="200" t="e">
        <f t="shared" ca="1" si="4"/>
        <v>#REF!</v>
      </c>
      <c r="S2" s="200" t="e">
        <f t="shared" ca="1" si="4"/>
        <v>#REF!</v>
      </c>
      <c r="T2" s="200" t="e">
        <f t="shared" ca="1" si="4"/>
        <v>#REF!</v>
      </c>
      <c r="U2" s="200" t="e">
        <f t="shared" ca="1" si="4"/>
        <v>#REF!</v>
      </c>
      <c r="V2" s="200" t="e">
        <f t="shared" ca="1" si="4"/>
        <v>#REF!</v>
      </c>
      <c r="W2" s="200" t="e">
        <f t="shared" ca="1" si="4"/>
        <v>#REF!</v>
      </c>
      <c r="X2" s="200" t="e">
        <f t="shared" ca="1" si="4"/>
        <v>#REF!</v>
      </c>
      <c r="Y2" s="200" t="e">
        <f t="shared" ca="1" si="4"/>
        <v>#REF!</v>
      </c>
      <c r="Z2" s="56" t="e">
        <f ca="1">AVERAGE(Z7:Z12)</f>
        <v>#REF!</v>
      </c>
      <c r="AA2" s="123" t="e">
        <f t="shared" ref="AA2" ca="1" si="5">AVERAGE(AA7:AA12)</f>
        <v>#REF!</v>
      </c>
      <c r="AB2" s="55" t="e">
        <f t="shared" ref="AB2:AD2" ca="1" si="6">AVERAGE(AB7:AB12)</f>
        <v>#REF!</v>
      </c>
      <c r="AC2" s="55" t="e">
        <f t="shared" ca="1" si="6"/>
        <v>#REF!</v>
      </c>
      <c r="AD2" s="55" t="e">
        <f t="shared" ca="1" si="6"/>
        <v>#REF!</v>
      </c>
    </row>
    <row r="3" spans="1:30" ht="15" customHeight="1" x14ac:dyDescent="0.3">
      <c r="A3" s="382" t="s">
        <v>85</v>
      </c>
      <c r="B3" s="382"/>
      <c r="C3" s="261" t="e">
        <f t="shared" ref="C3:Y3" ca="1" si="7">_xlfn.STDEV.P(C7:C12)</f>
        <v>#REF!</v>
      </c>
      <c r="D3" s="261" t="e">
        <f t="shared" ca="1" si="7"/>
        <v>#REF!</v>
      </c>
      <c r="E3" s="261" t="e">
        <f t="shared" ca="1" si="7"/>
        <v>#REF!</v>
      </c>
      <c r="F3" s="261" t="e">
        <f t="shared" ca="1" si="7"/>
        <v>#REF!</v>
      </c>
      <c r="G3" s="261" t="e">
        <f t="shared" ca="1" si="7"/>
        <v>#REF!</v>
      </c>
      <c r="H3" s="261" t="e">
        <f t="shared" ca="1" si="7"/>
        <v>#REF!</v>
      </c>
      <c r="I3" s="261" t="e">
        <f t="shared" ca="1" si="7"/>
        <v>#REF!</v>
      </c>
      <c r="J3" s="261" t="e">
        <f t="shared" ca="1" si="7"/>
        <v>#REF!</v>
      </c>
      <c r="K3" s="261" t="e">
        <f t="shared" ca="1" si="7"/>
        <v>#REF!</v>
      </c>
      <c r="L3" s="261" t="e">
        <f t="shared" ca="1" si="7"/>
        <v>#REF!</v>
      </c>
      <c r="M3" s="261" t="e">
        <f t="shared" ca="1" si="7"/>
        <v>#REF!</v>
      </c>
      <c r="N3" s="261" t="e">
        <f t="shared" ca="1" si="7"/>
        <v>#REF!</v>
      </c>
      <c r="O3" s="261" t="e">
        <f t="shared" ca="1" si="7"/>
        <v>#REF!</v>
      </c>
      <c r="P3" s="261" t="e">
        <f t="shared" ca="1" si="7"/>
        <v>#REF!</v>
      </c>
      <c r="Q3" s="261" t="e">
        <f t="shared" ca="1" si="7"/>
        <v>#REF!</v>
      </c>
      <c r="R3" s="261" t="e">
        <f t="shared" ca="1" si="7"/>
        <v>#REF!</v>
      </c>
      <c r="S3" s="261" t="e">
        <f t="shared" ca="1" si="7"/>
        <v>#REF!</v>
      </c>
      <c r="T3" s="261" t="e">
        <f t="shared" ca="1" si="7"/>
        <v>#REF!</v>
      </c>
      <c r="U3" s="261" t="e">
        <f t="shared" ca="1" si="7"/>
        <v>#REF!</v>
      </c>
      <c r="V3" s="261" t="e">
        <f t="shared" ca="1" si="7"/>
        <v>#REF!</v>
      </c>
      <c r="W3" s="261" t="e">
        <f t="shared" ca="1" si="7"/>
        <v>#REF!</v>
      </c>
      <c r="X3" s="261" t="e">
        <f t="shared" ca="1" si="7"/>
        <v>#REF!</v>
      </c>
      <c r="Y3" s="261" t="e">
        <f t="shared" ca="1" si="7"/>
        <v>#REF!</v>
      </c>
      <c r="Z3" s="58" t="e">
        <f ca="1">_xlfn.STDEV.P(Z7:Z12)</f>
        <v>#REF!</v>
      </c>
      <c r="AA3" s="124" t="e">
        <f t="shared" ref="AA3" ca="1" si="8">_xlfn.STDEV.P(AA7:AA12)</f>
        <v>#REF!</v>
      </c>
      <c r="AB3" s="57" t="e">
        <f t="shared" ref="AB3:AD3" ca="1" si="9">_xlfn.STDEV.P(AB7:AB12)</f>
        <v>#REF!</v>
      </c>
      <c r="AC3" s="57" t="e">
        <f t="shared" ca="1" si="9"/>
        <v>#REF!</v>
      </c>
      <c r="AD3" s="57" t="e">
        <f t="shared" ca="1" si="9"/>
        <v>#REF!</v>
      </c>
    </row>
    <row r="4" spans="1:30" ht="15" customHeight="1" x14ac:dyDescent="0.3">
      <c r="A4" s="382" t="s">
        <v>86</v>
      </c>
      <c r="B4" s="382"/>
      <c r="C4" s="260" t="e">
        <f t="shared" ref="C4:Y4" ca="1" si="10">MAX(C7:C12)-MIN(C7:C12)</f>
        <v>#REF!</v>
      </c>
      <c r="D4" s="260" t="e">
        <f t="shared" ca="1" si="10"/>
        <v>#REF!</v>
      </c>
      <c r="E4" s="260" t="e">
        <f t="shared" ca="1" si="10"/>
        <v>#REF!</v>
      </c>
      <c r="F4" s="260" t="e">
        <f t="shared" ca="1" si="10"/>
        <v>#REF!</v>
      </c>
      <c r="G4" s="260" t="e">
        <f t="shared" ca="1" si="10"/>
        <v>#REF!</v>
      </c>
      <c r="H4" s="260" t="e">
        <f t="shared" ca="1" si="10"/>
        <v>#REF!</v>
      </c>
      <c r="I4" s="260" t="e">
        <f t="shared" ca="1" si="10"/>
        <v>#REF!</v>
      </c>
      <c r="J4" s="260" t="e">
        <f t="shared" ca="1" si="10"/>
        <v>#REF!</v>
      </c>
      <c r="K4" s="260" t="e">
        <f t="shared" ca="1" si="10"/>
        <v>#REF!</v>
      </c>
      <c r="L4" s="260" t="e">
        <f t="shared" ca="1" si="10"/>
        <v>#REF!</v>
      </c>
      <c r="M4" s="260" t="e">
        <f t="shared" ca="1" si="10"/>
        <v>#REF!</v>
      </c>
      <c r="N4" s="260" t="e">
        <f t="shared" ca="1" si="10"/>
        <v>#REF!</v>
      </c>
      <c r="O4" s="260" t="e">
        <f t="shared" ca="1" si="10"/>
        <v>#REF!</v>
      </c>
      <c r="P4" s="260" t="e">
        <f t="shared" ca="1" si="10"/>
        <v>#REF!</v>
      </c>
      <c r="Q4" s="260" t="e">
        <f t="shared" ca="1" si="10"/>
        <v>#REF!</v>
      </c>
      <c r="R4" s="260" t="e">
        <f t="shared" ca="1" si="10"/>
        <v>#REF!</v>
      </c>
      <c r="S4" s="260" t="e">
        <f t="shared" ca="1" si="10"/>
        <v>#REF!</v>
      </c>
      <c r="T4" s="260" t="e">
        <f t="shared" ca="1" si="10"/>
        <v>#REF!</v>
      </c>
      <c r="U4" s="260" t="e">
        <f t="shared" ca="1" si="10"/>
        <v>#REF!</v>
      </c>
      <c r="V4" s="260" t="e">
        <f t="shared" ca="1" si="10"/>
        <v>#REF!</v>
      </c>
      <c r="W4" s="260" t="e">
        <f t="shared" ca="1" si="10"/>
        <v>#REF!</v>
      </c>
      <c r="X4" s="260" t="e">
        <f t="shared" ca="1" si="10"/>
        <v>#REF!</v>
      </c>
      <c r="Y4" s="260" t="e">
        <f t="shared" ca="1" si="10"/>
        <v>#REF!</v>
      </c>
      <c r="Z4" s="54" t="e">
        <f ca="1">MAX(Z7:Z12)-MIN(Z7:Z12)</f>
        <v>#REF!</v>
      </c>
      <c r="AA4" s="122" t="e">
        <f ca="1">MAX(AA7:AA12)-MIN(AA7:AA12)</f>
        <v>#REF!</v>
      </c>
      <c r="AB4" s="53" t="e">
        <f ca="1">MAX(AB7:AB12)-MIN(AB7:AB12)</f>
        <v>#REF!</v>
      </c>
      <c r="AC4" s="53" t="e">
        <f ca="1">MAX(AC7:AC12)-MIN(AC7:AC12)</f>
        <v>#REF!</v>
      </c>
      <c r="AD4" s="53" t="e">
        <f ca="1">MAX(AD7:AD12)-MIN(AD7:AD12)</f>
        <v>#REF!</v>
      </c>
    </row>
    <row r="5" spans="1:30" ht="15" customHeight="1" x14ac:dyDescent="0.3">
      <c r="A5" s="59" t="s">
        <v>87</v>
      </c>
      <c r="B5" s="67" t="e">
        <f ca="1">INDIRECT("'"&amp;$A7&amp;"'!C8") &amp; "-" &amp; INDIRECT("'"&amp;$A7&amp;"'!C9")</f>
        <v>#REF!</v>
      </c>
      <c r="Z5" s="60"/>
      <c r="AA5" s="125"/>
      <c r="AB5" s="59"/>
      <c r="AC5" s="59"/>
      <c r="AD5" s="59"/>
    </row>
    <row r="6" spans="1:30" ht="128.1" customHeight="1" x14ac:dyDescent="0.3">
      <c r="A6" s="31" t="s">
        <v>75</v>
      </c>
      <c r="B6" s="31" t="s">
        <v>76</v>
      </c>
      <c r="C6" s="61" t="s">
        <v>9</v>
      </c>
      <c r="D6" s="61" t="s">
        <v>174</v>
      </c>
      <c r="E6" s="61" t="s">
        <v>175</v>
      </c>
      <c r="F6" s="61" t="s">
        <v>176</v>
      </c>
      <c r="G6" s="61" t="s">
        <v>177</v>
      </c>
      <c r="H6" s="61" t="s">
        <v>178</v>
      </c>
      <c r="I6" s="61" t="s">
        <v>179</v>
      </c>
      <c r="J6" s="61" t="s">
        <v>180</v>
      </c>
      <c r="K6" s="61" t="s">
        <v>196</v>
      </c>
      <c r="L6" s="61" t="s">
        <v>182</v>
      </c>
      <c r="M6" s="61" t="s">
        <v>197</v>
      </c>
      <c r="N6" s="61" t="s">
        <v>184</v>
      </c>
      <c r="O6" s="61" t="s">
        <v>198</v>
      </c>
      <c r="P6" s="61" t="s">
        <v>199</v>
      </c>
      <c r="Q6" s="61" t="s">
        <v>187</v>
      </c>
      <c r="R6" s="61" t="s">
        <v>189</v>
      </c>
      <c r="S6" s="61" t="s">
        <v>190</v>
      </c>
      <c r="T6" s="61" t="s">
        <v>191</v>
      </c>
      <c r="U6" s="61" t="s">
        <v>192</v>
      </c>
      <c r="V6" s="61" t="s">
        <v>193</v>
      </c>
      <c r="W6" s="61" t="s">
        <v>194</v>
      </c>
      <c r="X6" s="61" t="s">
        <v>195</v>
      </c>
      <c r="Y6" s="61" t="s">
        <v>30</v>
      </c>
      <c r="Z6" s="62" t="s">
        <v>74</v>
      </c>
      <c r="AA6" s="119" t="s">
        <v>7</v>
      </c>
      <c r="AB6" s="63" t="s">
        <v>80</v>
      </c>
      <c r="AC6" s="61" t="s">
        <v>81</v>
      </c>
      <c r="AD6" s="61" t="s">
        <v>82</v>
      </c>
    </row>
    <row r="7" spans="1:30" ht="15" customHeight="1" x14ac:dyDescent="0.3">
      <c r="B7" t="e">
        <f ca="1">INDIRECT("'"&amp;$A7&amp;"'!D5")</f>
        <v>#REF!</v>
      </c>
      <c r="C7" s="55" t="e">
        <f ca="1">INDIRECT("'"&amp;$A7&amp;"'!K13")</f>
        <v>#REF!</v>
      </c>
      <c r="D7" s="55" t="e">
        <f ca="1">INDIRECT("'"&amp;$A7&amp;"'!K14")</f>
        <v>#REF!</v>
      </c>
      <c r="E7" s="55" t="e">
        <f ca="1">INDIRECT("'"&amp;$A7&amp;"'!K15")</f>
        <v>#REF!</v>
      </c>
      <c r="F7" s="55" t="e">
        <f ca="1">INDIRECT("'"&amp;$A7&amp;"'!K16")</f>
        <v>#REF!</v>
      </c>
      <c r="G7" s="55" t="e">
        <f ca="1">INDIRECT("'"&amp;$A7&amp;"'!K17")</f>
        <v>#REF!</v>
      </c>
      <c r="H7" s="55" t="e">
        <f ca="1">INDIRECT("'"&amp;$A7&amp;"'!K18")</f>
        <v>#REF!</v>
      </c>
      <c r="I7" s="55" t="e">
        <f ca="1">INDIRECT("'"&amp;$A7&amp;"'!K19")</f>
        <v>#REF!</v>
      </c>
      <c r="J7" s="55" t="e">
        <f ca="1">INDIRECT("'"&amp;$A7&amp;"'!K20")</f>
        <v>#REF!</v>
      </c>
      <c r="K7" s="55" t="e">
        <f ca="1">INDIRECT("'"&amp;$A7&amp;"'!K21")</f>
        <v>#REF!</v>
      </c>
      <c r="L7" s="55" t="e">
        <f ca="1">INDIRECT("'"&amp;$A7&amp;"'!K22")</f>
        <v>#REF!</v>
      </c>
      <c r="M7" s="55" t="e">
        <f ca="1">INDIRECT("'"&amp;$A7&amp;"'!K23")</f>
        <v>#REF!</v>
      </c>
      <c r="N7" s="55" t="e">
        <f ca="1">INDIRECT("'"&amp;$A7&amp;"'!K24")</f>
        <v>#REF!</v>
      </c>
      <c r="O7" s="55" t="e">
        <f ca="1">INDIRECT("'"&amp;$A7&amp;"'!K25")</f>
        <v>#REF!</v>
      </c>
      <c r="P7" s="55" t="e">
        <f ca="1">INDIRECT("'"&amp;$A7&amp;"'!K26")</f>
        <v>#REF!</v>
      </c>
      <c r="Q7" s="55" t="e">
        <f ca="1">INDIRECT("'"&amp;$A7&amp;"'!K27")</f>
        <v>#REF!</v>
      </c>
      <c r="R7" s="55" t="e">
        <f ca="1">INDIRECT("'"&amp;$A7&amp;"'!K28")</f>
        <v>#REF!</v>
      </c>
      <c r="S7" s="55" t="e">
        <f ca="1">INDIRECT("'"&amp;$A7&amp;"'!K29")</f>
        <v>#REF!</v>
      </c>
      <c r="T7" s="200" t="e">
        <f ca="1">INDIRECT("'"&amp;$A7&amp;"'!K30")</f>
        <v>#REF!</v>
      </c>
      <c r="U7" s="200" t="e">
        <f ca="1">INDIRECT("'"&amp;$A7&amp;"'!K31")</f>
        <v>#REF!</v>
      </c>
      <c r="V7" s="200" t="e">
        <f ca="1">INDIRECT("'"&amp;$A7&amp;"'!K32")</f>
        <v>#REF!</v>
      </c>
      <c r="W7" s="200" t="e">
        <f ca="1">INDIRECT("'"&amp;$A7&amp;"'!K33")</f>
        <v>#REF!</v>
      </c>
      <c r="X7" s="200" t="e">
        <f ca="1">INDIRECT("'"&amp;$A7&amp;"'!K34")</f>
        <v>#REF!</v>
      </c>
      <c r="Y7" s="200" t="e">
        <f ca="1">INDIRECT("'"&amp;$A7&amp;"'!K35")</f>
        <v>#REF!</v>
      </c>
      <c r="Z7" s="56" t="e">
        <f ca="1">INDIRECT("'"&amp;$A7&amp;"'!K36")</f>
        <v>#REF!</v>
      </c>
      <c r="AA7" s="55" t="e">
        <f ca="1">INDIRECT("'"&amp;$A7&amp;"'!J36")</f>
        <v>#REF!</v>
      </c>
      <c r="AB7" s="55" t="e">
        <f ca="1">INDIRECT("'"&amp;$A7&amp;"'!I36")</f>
        <v>#REF!</v>
      </c>
      <c r="AC7" s="55" t="e">
        <f ca="1">INDIRECT("'"&amp;$A7&amp;"'!H36")</f>
        <v>#REF!</v>
      </c>
      <c r="AD7" s="55" t="e">
        <f ca="1">IF(IF(INDIRECT("'"&amp;$A7&amp;"'!F36")="",0,INDIRECT("'"&amp;$A7&amp;"'!F36"))+IF(INDIRECT("'"&amp;$A7&amp;"'!G36")="",0,INDIRECT("'"&amp;$A7&amp;"'!G36"))=0,"",IF(INDIRECT("'"&amp;$A7&amp;"'!F36")="",0,INDIRECT("'"&amp;$A7&amp;"'!F36"))+IF(INDIRECT("'"&amp;$A7&amp;"'!G36")="",0,INDIRECT("'"&amp;$A7&amp;"'!G36")))</f>
        <v>#REF!</v>
      </c>
    </row>
    <row r="8" spans="1:30" ht="15" customHeight="1" x14ac:dyDescent="0.3">
      <c r="A8" s="120"/>
      <c r="B8" s="120" t="e">
        <f t="shared" ref="B8:B15" ca="1" si="11">INDIRECT("'"&amp;$A8&amp;"'!D5")</f>
        <v>#REF!</v>
      </c>
      <c r="C8" s="65" t="e">
        <f t="shared" ref="C8:C15" ca="1" si="12">INDIRECT("'"&amp;$A8&amp;"'!K13")</f>
        <v>#REF!</v>
      </c>
      <c r="D8" s="65" t="e">
        <f t="shared" ref="D8:D15" ca="1" si="13">INDIRECT("'"&amp;$A8&amp;"'!K14")</f>
        <v>#REF!</v>
      </c>
      <c r="E8" s="65" t="e">
        <f t="shared" ref="E8:E15" ca="1" si="14">INDIRECT("'"&amp;$A8&amp;"'!K15")</f>
        <v>#REF!</v>
      </c>
      <c r="F8" s="65" t="e">
        <f t="shared" ref="F8:F15" ca="1" si="15">INDIRECT("'"&amp;$A8&amp;"'!K16")</f>
        <v>#REF!</v>
      </c>
      <c r="G8" s="65" t="e">
        <f t="shared" ref="G8:G15" ca="1" si="16">INDIRECT("'"&amp;$A8&amp;"'!K17")</f>
        <v>#REF!</v>
      </c>
      <c r="H8" s="65" t="e">
        <f t="shared" ref="H8:H15" ca="1" si="17">INDIRECT("'"&amp;$A8&amp;"'!K18")</f>
        <v>#REF!</v>
      </c>
      <c r="I8" s="65" t="e">
        <f t="shared" ref="I8:I15" ca="1" si="18">INDIRECT("'"&amp;$A8&amp;"'!K19")</f>
        <v>#REF!</v>
      </c>
      <c r="J8" s="65" t="e">
        <f t="shared" ref="J8:J15" ca="1" si="19">INDIRECT("'"&amp;$A8&amp;"'!K20")</f>
        <v>#REF!</v>
      </c>
      <c r="K8" s="65" t="e">
        <f t="shared" ref="K8:K15" ca="1" si="20">INDIRECT("'"&amp;$A8&amp;"'!K21")</f>
        <v>#REF!</v>
      </c>
      <c r="L8" s="65" t="e">
        <f t="shared" ref="L8:L15" ca="1" si="21">INDIRECT("'"&amp;$A8&amp;"'!K22")</f>
        <v>#REF!</v>
      </c>
      <c r="M8" s="65" t="e">
        <f t="shared" ref="M8:M15" ca="1" si="22">INDIRECT("'"&amp;$A8&amp;"'!K23")</f>
        <v>#REF!</v>
      </c>
      <c r="N8" s="65" t="e">
        <f t="shared" ref="N8:N15" ca="1" si="23">INDIRECT("'"&amp;$A8&amp;"'!K24")</f>
        <v>#REF!</v>
      </c>
      <c r="O8" s="65" t="e">
        <f t="shared" ref="O8:O15" ca="1" si="24">INDIRECT("'"&amp;$A8&amp;"'!K25")</f>
        <v>#REF!</v>
      </c>
      <c r="P8" s="65" t="e">
        <f t="shared" ref="P8:P15" ca="1" si="25">INDIRECT("'"&amp;$A8&amp;"'!K26")</f>
        <v>#REF!</v>
      </c>
      <c r="Q8" s="65" t="e">
        <f t="shared" ref="Q8:Q15" ca="1" si="26">INDIRECT("'"&amp;$A8&amp;"'!K27")</f>
        <v>#REF!</v>
      </c>
      <c r="R8" s="65" t="e">
        <f t="shared" ref="R8:R15" ca="1" si="27">INDIRECT("'"&amp;$A8&amp;"'!K28")</f>
        <v>#REF!</v>
      </c>
      <c r="S8" s="65" t="e">
        <f t="shared" ref="S8:S15" ca="1" si="28">INDIRECT("'"&amp;$A8&amp;"'!K29")</f>
        <v>#REF!</v>
      </c>
      <c r="T8" s="201" t="e">
        <f t="shared" ref="T8:T15" ca="1" si="29">INDIRECT("'"&amp;$A8&amp;"'!K30")</f>
        <v>#REF!</v>
      </c>
      <c r="U8" s="201" t="e">
        <f t="shared" ref="U8:U15" ca="1" si="30">INDIRECT("'"&amp;$A8&amp;"'!K31")</f>
        <v>#REF!</v>
      </c>
      <c r="V8" s="201" t="e">
        <f t="shared" ref="V8:V15" ca="1" si="31">INDIRECT("'"&amp;$A8&amp;"'!K32")</f>
        <v>#REF!</v>
      </c>
      <c r="W8" s="201" t="e">
        <f t="shared" ref="W8:W15" ca="1" si="32">INDIRECT("'"&amp;$A8&amp;"'!K33")</f>
        <v>#REF!</v>
      </c>
      <c r="X8" s="201" t="e">
        <f t="shared" ref="X8:X15" ca="1" si="33">INDIRECT("'"&amp;$A8&amp;"'!K34")</f>
        <v>#REF!</v>
      </c>
      <c r="Y8" s="201" t="e">
        <f t="shared" ref="Y8:Y15" ca="1" si="34">INDIRECT("'"&amp;$A8&amp;"'!K35")</f>
        <v>#REF!</v>
      </c>
      <c r="Z8" s="66" t="e">
        <f t="shared" ref="Z8:Z15" ca="1" si="35">INDIRECT("'"&amp;$A8&amp;"'!K36")</f>
        <v>#REF!</v>
      </c>
      <c r="AA8" s="65" t="e">
        <f ca="1">INDIRECT("'"&amp;$A8&amp;"'!J36")</f>
        <v>#REF!</v>
      </c>
      <c r="AB8" s="65" t="e">
        <f ca="1">INDIRECT("'"&amp;$A8&amp;"'!I36")</f>
        <v>#REF!</v>
      </c>
      <c r="AC8" s="65" t="e">
        <f ca="1">INDIRECT("'"&amp;$A8&amp;"'!H36")</f>
        <v>#REF!</v>
      </c>
      <c r="AD8" s="65" t="e">
        <f ca="1">IF(IF(INDIRECT("'"&amp;$A8&amp;"'!F36")="",0,INDIRECT("'"&amp;$A8&amp;"'!F36"))+IF(INDIRECT("'"&amp;$A8&amp;"'!G36")="",0,INDIRECT("'"&amp;$A8&amp;"'!G36"))=0,"",IF(INDIRECT("'"&amp;$A8&amp;"'!F36")="",0,INDIRECT("'"&amp;$A8&amp;"'!F36"))+IF(INDIRECT("'"&amp;$A8&amp;"'!G36")="",0,INDIRECT("'"&amp;$A8&amp;"'!G36")))</f>
        <v>#REF!</v>
      </c>
    </row>
    <row r="9" spans="1:30" ht="15" customHeight="1" x14ac:dyDescent="0.3">
      <c r="B9" t="e">
        <f t="shared" ca="1" si="11"/>
        <v>#REF!</v>
      </c>
      <c r="C9" s="55" t="e">
        <f t="shared" ca="1" si="12"/>
        <v>#REF!</v>
      </c>
      <c r="D9" s="55" t="e">
        <f t="shared" ca="1" si="13"/>
        <v>#REF!</v>
      </c>
      <c r="E9" s="55" t="e">
        <f t="shared" ca="1" si="14"/>
        <v>#REF!</v>
      </c>
      <c r="F9" s="55" t="e">
        <f t="shared" ca="1" si="15"/>
        <v>#REF!</v>
      </c>
      <c r="G9" s="55" t="e">
        <f t="shared" ca="1" si="16"/>
        <v>#REF!</v>
      </c>
      <c r="H9" s="55" t="e">
        <f t="shared" ca="1" si="17"/>
        <v>#REF!</v>
      </c>
      <c r="I9" s="55" t="e">
        <f t="shared" ca="1" si="18"/>
        <v>#REF!</v>
      </c>
      <c r="J9" s="55" t="e">
        <f t="shared" ca="1" si="19"/>
        <v>#REF!</v>
      </c>
      <c r="K9" s="55" t="e">
        <f t="shared" ca="1" si="20"/>
        <v>#REF!</v>
      </c>
      <c r="L9" s="55" t="e">
        <f t="shared" ca="1" si="21"/>
        <v>#REF!</v>
      </c>
      <c r="M9" s="55" t="e">
        <f t="shared" ca="1" si="22"/>
        <v>#REF!</v>
      </c>
      <c r="N9" s="55" t="e">
        <f t="shared" ca="1" si="23"/>
        <v>#REF!</v>
      </c>
      <c r="O9" s="55" t="e">
        <f t="shared" ca="1" si="24"/>
        <v>#REF!</v>
      </c>
      <c r="P9" s="55" t="e">
        <f t="shared" ca="1" si="25"/>
        <v>#REF!</v>
      </c>
      <c r="Q9" s="55" t="e">
        <f t="shared" ca="1" si="26"/>
        <v>#REF!</v>
      </c>
      <c r="R9" s="55" t="e">
        <f t="shared" ca="1" si="27"/>
        <v>#REF!</v>
      </c>
      <c r="S9" s="55" t="e">
        <f t="shared" ca="1" si="28"/>
        <v>#REF!</v>
      </c>
      <c r="T9" s="200" t="e">
        <f t="shared" ca="1" si="29"/>
        <v>#REF!</v>
      </c>
      <c r="U9" s="200" t="e">
        <f t="shared" ca="1" si="30"/>
        <v>#REF!</v>
      </c>
      <c r="V9" s="200" t="e">
        <f t="shared" ca="1" si="31"/>
        <v>#REF!</v>
      </c>
      <c r="W9" s="200" t="e">
        <f t="shared" ca="1" si="32"/>
        <v>#REF!</v>
      </c>
      <c r="X9" s="200" t="e">
        <f t="shared" ca="1" si="33"/>
        <v>#REF!</v>
      </c>
      <c r="Y9" s="200" t="e">
        <f t="shared" ca="1" si="34"/>
        <v>#REF!</v>
      </c>
      <c r="Z9" s="56" t="e">
        <f t="shared" ca="1" si="35"/>
        <v>#REF!</v>
      </c>
      <c r="AA9" s="55" t="e">
        <f ca="1">INDIRECT("'"&amp;$A9&amp;"'!J36")</f>
        <v>#REF!</v>
      </c>
      <c r="AB9" s="55" t="e">
        <f ca="1">INDIRECT("'"&amp;$A9&amp;"'!I36")</f>
        <v>#REF!</v>
      </c>
      <c r="AC9" s="55" t="e">
        <f ca="1">INDIRECT("'"&amp;$A9&amp;"'!H36")</f>
        <v>#REF!</v>
      </c>
      <c r="AD9" s="55" t="e">
        <f ca="1">IF(IF(INDIRECT("'"&amp;$A9&amp;"'!F36")="",0,INDIRECT("'"&amp;$A9&amp;"'!F36"))+IF(INDIRECT("'"&amp;$A9&amp;"'!G36")="",0,INDIRECT("'"&amp;$A9&amp;"'!G36"))=0,"",IF(INDIRECT("'"&amp;$A9&amp;"'!F36")="",0,INDIRECT("'"&amp;$A9&amp;"'!F36"))+IF(INDIRECT("'"&amp;$A9&amp;"'!G36")="",0,INDIRECT("'"&amp;$A9&amp;"'!G36")))</f>
        <v>#REF!</v>
      </c>
    </row>
    <row r="10" spans="1:30" ht="15" customHeight="1" x14ac:dyDescent="0.3">
      <c r="A10" s="120"/>
      <c r="B10" s="120" t="e">
        <f t="shared" ca="1" si="11"/>
        <v>#REF!</v>
      </c>
      <c r="C10" s="65" t="e">
        <f t="shared" ca="1" si="12"/>
        <v>#REF!</v>
      </c>
      <c r="D10" s="65" t="e">
        <f t="shared" ca="1" si="13"/>
        <v>#REF!</v>
      </c>
      <c r="E10" s="65" t="e">
        <f t="shared" ca="1" si="14"/>
        <v>#REF!</v>
      </c>
      <c r="F10" s="65" t="e">
        <f t="shared" ca="1" si="15"/>
        <v>#REF!</v>
      </c>
      <c r="G10" s="65" t="e">
        <f t="shared" ca="1" si="16"/>
        <v>#REF!</v>
      </c>
      <c r="H10" s="65" t="e">
        <f t="shared" ca="1" si="17"/>
        <v>#REF!</v>
      </c>
      <c r="I10" s="65" t="e">
        <f t="shared" ca="1" si="18"/>
        <v>#REF!</v>
      </c>
      <c r="J10" s="65" t="e">
        <f t="shared" ca="1" si="19"/>
        <v>#REF!</v>
      </c>
      <c r="K10" s="65" t="e">
        <f t="shared" ca="1" si="20"/>
        <v>#REF!</v>
      </c>
      <c r="L10" s="65" t="e">
        <f t="shared" ca="1" si="21"/>
        <v>#REF!</v>
      </c>
      <c r="M10" s="65" t="e">
        <f t="shared" ca="1" si="22"/>
        <v>#REF!</v>
      </c>
      <c r="N10" s="65" t="e">
        <f t="shared" ca="1" si="23"/>
        <v>#REF!</v>
      </c>
      <c r="O10" s="65" t="e">
        <f t="shared" ca="1" si="24"/>
        <v>#REF!</v>
      </c>
      <c r="P10" s="65" t="e">
        <f t="shared" ca="1" si="25"/>
        <v>#REF!</v>
      </c>
      <c r="Q10" s="65" t="e">
        <f t="shared" ca="1" si="26"/>
        <v>#REF!</v>
      </c>
      <c r="R10" s="65" t="e">
        <f t="shared" ca="1" si="27"/>
        <v>#REF!</v>
      </c>
      <c r="S10" s="65" t="e">
        <f t="shared" ca="1" si="28"/>
        <v>#REF!</v>
      </c>
      <c r="T10" s="201" t="e">
        <f t="shared" ca="1" si="29"/>
        <v>#REF!</v>
      </c>
      <c r="U10" s="201" t="e">
        <f t="shared" ca="1" si="30"/>
        <v>#REF!</v>
      </c>
      <c r="V10" s="201" t="e">
        <f t="shared" ca="1" si="31"/>
        <v>#REF!</v>
      </c>
      <c r="W10" s="201" t="e">
        <f t="shared" ca="1" si="32"/>
        <v>#REF!</v>
      </c>
      <c r="X10" s="201" t="e">
        <f t="shared" ca="1" si="33"/>
        <v>#REF!</v>
      </c>
      <c r="Y10" s="201" t="e">
        <f t="shared" ca="1" si="34"/>
        <v>#REF!</v>
      </c>
      <c r="Z10" s="66" t="e">
        <f t="shared" ca="1" si="35"/>
        <v>#REF!</v>
      </c>
      <c r="AA10" s="65" t="e">
        <f ca="1">INDIRECT("'"&amp;$A10&amp;"'!J36")</f>
        <v>#REF!</v>
      </c>
      <c r="AB10" s="65" t="e">
        <f ca="1">INDIRECT("'"&amp;$A10&amp;"'!I36")</f>
        <v>#REF!</v>
      </c>
      <c r="AC10" s="65" t="e">
        <f ca="1">INDIRECT("'"&amp;$A10&amp;"'!H36")</f>
        <v>#REF!</v>
      </c>
      <c r="AD10" s="65" t="e">
        <f ca="1">IF(IF(INDIRECT("'"&amp;$A10&amp;"'!F36")="",0,INDIRECT("'"&amp;$A10&amp;"'!F36"))+IF(INDIRECT("'"&amp;$A10&amp;"'!G36")="",0,INDIRECT("'"&amp;$A10&amp;"'!G36"))=0,"",IF(INDIRECT("'"&amp;$A10&amp;"'!F36")="",0,INDIRECT("'"&amp;$A10&amp;"'!F36"))+IF(INDIRECT("'"&amp;$A10&amp;"'!G36")="",0,INDIRECT("'"&amp;$A10&amp;"'!G36")))</f>
        <v>#REF!</v>
      </c>
    </row>
    <row r="11" spans="1:30" ht="15" customHeight="1" x14ac:dyDescent="0.3">
      <c r="B11" t="e">
        <f t="shared" ca="1" si="11"/>
        <v>#REF!</v>
      </c>
      <c r="C11" s="55" t="e">
        <f t="shared" ca="1" si="12"/>
        <v>#REF!</v>
      </c>
      <c r="D11" s="55" t="e">
        <f t="shared" ca="1" si="13"/>
        <v>#REF!</v>
      </c>
      <c r="E11" s="55" t="e">
        <f t="shared" ca="1" si="14"/>
        <v>#REF!</v>
      </c>
      <c r="F11" s="55" t="e">
        <f t="shared" ca="1" si="15"/>
        <v>#REF!</v>
      </c>
      <c r="G11" s="55" t="e">
        <f t="shared" ca="1" si="16"/>
        <v>#REF!</v>
      </c>
      <c r="H11" s="55" t="e">
        <f t="shared" ca="1" si="17"/>
        <v>#REF!</v>
      </c>
      <c r="I11" s="55" t="e">
        <f t="shared" ca="1" si="18"/>
        <v>#REF!</v>
      </c>
      <c r="J11" s="55" t="e">
        <f t="shared" ca="1" si="19"/>
        <v>#REF!</v>
      </c>
      <c r="K11" s="55" t="e">
        <f t="shared" ca="1" si="20"/>
        <v>#REF!</v>
      </c>
      <c r="L11" s="55" t="e">
        <f t="shared" ca="1" si="21"/>
        <v>#REF!</v>
      </c>
      <c r="M11" s="55" t="e">
        <f t="shared" ca="1" si="22"/>
        <v>#REF!</v>
      </c>
      <c r="N11" s="55" t="e">
        <f t="shared" ca="1" si="23"/>
        <v>#REF!</v>
      </c>
      <c r="O11" s="55" t="e">
        <f t="shared" ca="1" si="24"/>
        <v>#REF!</v>
      </c>
      <c r="P11" s="55" t="e">
        <f t="shared" ca="1" si="25"/>
        <v>#REF!</v>
      </c>
      <c r="Q11" s="55" t="e">
        <f t="shared" ca="1" si="26"/>
        <v>#REF!</v>
      </c>
      <c r="R11" s="55" t="e">
        <f t="shared" ca="1" si="27"/>
        <v>#REF!</v>
      </c>
      <c r="S11" s="55" t="e">
        <f t="shared" ca="1" si="28"/>
        <v>#REF!</v>
      </c>
      <c r="T11" s="200" t="e">
        <f t="shared" ca="1" si="29"/>
        <v>#REF!</v>
      </c>
      <c r="U11" s="200" t="e">
        <f t="shared" ca="1" si="30"/>
        <v>#REF!</v>
      </c>
      <c r="V11" s="200" t="e">
        <f t="shared" ca="1" si="31"/>
        <v>#REF!</v>
      </c>
      <c r="W11" s="200" t="e">
        <f t="shared" ca="1" si="32"/>
        <v>#REF!</v>
      </c>
      <c r="X11" s="200" t="e">
        <f t="shared" ca="1" si="33"/>
        <v>#REF!</v>
      </c>
      <c r="Y11" s="200" t="e">
        <f t="shared" ca="1" si="34"/>
        <v>#REF!</v>
      </c>
      <c r="Z11" s="56" t="e">
        <f t="shared" ca="1" si="35"/>
        <v>#REF!</v>
      </c>
      <c r="AA11" s="55" t="e">
        <f ca="1">INDIRECT("'"&amp;$A11&amp;"'!J36")</f>
        <v>#REF!</v>
      </c>
      <c r="AB11" s="55" t="e">
        <f ca="1">INDIRECT("'"&amp;$A11&amp;"'!I36")</f>
        <v>#REF!</v>
      </c>
      <c r="AC11" s="55" t="e">
        <f ca="1">INDIRECT("'"&amp;$A11&amp;"'!H36")</f>
        <v>#REF!</v>
      </c>
      <c r="AD11" s="55" t="e">
        <f ca="1">IF(IF(INDIRECT("'"&amp;$A11&amp;"'!F36")="",0,INDIRECT("'"&amp;$A11&amp;"'!F36"))+IF(INDIRECT("'"&amp;$A11&amp;"'!G36")="",0,INDIRECT("'"&amp;$A11&amp;"'!G36"))=0,"",IF(INDIRECT("'"&amp;$A11&amp;"'!F36")="",0,INDIRECT("'"&amp;$A11&amp;"'!F36"))+IF(INDIRECT("'"&amp;$A11&amp;"'!G36")="",0,INDIRECT("'"&amp;$A11&amp;"'!G36")))</f>
        <v>#REF!</v>
      </c>
    </row>
    <row r="12" spans="1:30" ht="15" customHeight="1" x14ac:dyDescent="0.3">
      <c r="A12" s="120"/>
      <c r="B12" s="120" t="e">
        <f t="shared" ca="1" si="11"/>
        <v>#REF!</v>
      </c>
      <c r="C12" s="65" t="e">
        <f t="shared" ca="1" si="12"/>
        <v>#REF!</v>
      </c>
      <c r="D12" s="65" t="e">
        <f t="shared" ca="1" si="13"/>
        <v>#REF!</v>
      </c>
      <c r="E12" s="65" t="e">
        <f t="shared" ca="1" si="14"/>
        <v>#REF!</v>
      </c>
      <c r="F12" s="65" t="e">
        <f t="shared" ca="1" si="15"/>
        <v>#REF!</v>
      </c>
      <c r="G12" s="65" t="e">
        <f t="shared" ca="1" si="16"/>
        <v>#REF!</v>
      </c>
      <c r="H12" s="65" t="e">
        <f t="shared" ca="1" si="17"/>
        <v>#REF!</v>
      </c>
      <c r="I12" s="65" t="e">
        <f t="shared" ca="1" si="18"/>
        <v>#REF!</v>
      </c>
      <c r="J12" s="65" t="e">
        <f t="shared" ca="1" si="19"/>
        <v>#REF!</v>
      </c>
      <c r="K12" s="65" t="e">
        <f t="shared" ca="1" si="20"/>
        <v>#REF!</v>
      </c>
      <c r="L12" s="65" t="e">
        <f t="shared" ca="1" si="21"/>
        <v>#REF!</v>
      </c>
      <c r="M12" s="65" t="e">
        <f t="shared" ca="1" si="22"/>
        <v>#REF!</v>
      </c>
      <c r="N12" s="65" t="e">
        <f t="shared" ca="1" si="23"/>
        <v>#REF!</v>
      </c>
      <c r="O12" s="65" t="e">
        <f t="shared" ca="1" si="24"/>
        <v>#REF!</v>
      </c>
      <c r="P12" s="65" t="e">
        <f t="shared" ca="1" si="25"/>
        <v>#REF!</v>
      </c>
      <c r="Q12" s="65" t="e">
        <f t="shared" ca="1" si="26"/>
        <v>#REF!</v>
      </c>
      <c r="R12" s="65" t="e">
        <f t="shared" ca="1" si="27"/>
        <v>#REF!</v>
      </c>
      <c r="S12" s="65" t="e">
        <f t="shared" ca="1" si="28"/>
        <v>#REF!</v>
      </c>
      <c r="T12" s="201" t="e">
        <f t="shared" ca="1" si="29"/>
        <v>#REF!</v>
      </c>
      <c r="U12" s="201" t="e">
        <f t="shared" ca="1" si="30"/>
        <v>#REF!</v>
      </c>
      <c r="V12" s="201" t="e">
        <f t="shared" ca="1" si="31"/>
        <v>#REF!</v>
      </c>
      <c r="W12" s="201" t="e">
        <f t="shared" ca="1" si="32"/>
        <v>#REF!</v>
      </c>
      <c r="X12" s="201" t="e">
        <f t="shared" ca="1" si="33"/>
        <v>#REF!</v>
      </c>
      <c r="Y12" s="201" t="e">
        <f t="shared" ca="1" si="34"/>
        <v>#REF!</v>
      </c>
      <c r="Z12" s="66" t="e">
        <f t="shared" ca="1" si="35"/>
        <v>#REF!</v>
      </c>
      <c r="AA12" s="65" t="e">
        <f ca="1">INDIRECT("'"&amp;$A12&amp;"'!J36")</f>
        <v>#REF!</v>
      </c>
      <c r="AB12" s="65" t="e">
        <f ca="1">INDIRECT("'"&amp;$A12&amp;"'!I36")</f>
        <v>#REF!</v>
      </c>
      <c r="AC12" s="65" t="e">
        <f ca="1">INDIRECT("'"&amp;$A12&amp;"'!H36")</f>
        <v>#REF!</v>
      </c>
      <c r="AD12" s="65" t="e">
        <f ca="1">IF(IF(INDIRECT("'"&amp;$A12&amp;"'!F36")="",0,INDIRECT("'"&amp;$A12&amp;"'!F36"))+IF(INDIRECT("'"&amp;$A12&amp;"'!G36")="",0,INDIRECT("'"&amp;$A12&amp;"'!G36"))=0,"",IF(INDIRECT("'"&amp;$A12&amp;"'!F36")="",0,INDIRECT("'"&amp;$A12&amp;"'!F36"))+IF(INDIRECT("'"&amp;$A12&amp;"'!G36")="",0,INDIRECT("'"&amp;$A12&amp;"'!G36")))</f>
        <v>#REF!</v>
      </c>
    </row>
    <row r="13" spans="1:30" ht="15" customHeight="1" x14ac:dyDescent="0.3">
      <c r="B13" t="e">
        <f t="shared" ca="1" si="11"/>
        <v>#REF!</v>
      </c>
      <c r="C13" s="55" t="e">
        <f t="shared" ca="1" si="12"/>
        <v>#REF!</v>
      </c>
      <c r="D13" s="55" t="e">
        <f t="shared" ca="1" si="13"/>
        <v>#REF!</v>
      </c>
      <c r="E13" s="55" t="e">
        <f t="shared" ca="1" si="14"/>
        <v>#REF!</v>
      </c>
      <c r="F13" s="55" t="e">
        <f t="shared" ca="1" si="15"/>
        <v>#REF!</v>
      </c>
      <c r="G13" s="55" t="e">
        <f t="shared" ca="1" si="16"/>
        <v>#REF!</v>
      </c>
      <c r="H13" s="55" t="e">
        <f t="shared" ca="1" si="17"/>
        <v>#REF!</v>
      </c>
      <c r="I13" s="55" t="e">
        <f t="shared" ca="1" si="18"/>
        <v>#REF!</v>
      </c>
      <c r="J13" s="55" t="e">
        <f t="shared" ca="1" si="19"/>
        <v>#REF!</v>
      </c>
      <c r="K13" s="55" t="e">
        <f t="shared" ca="1" si="20"/>
        <v>#REF!</v>
      </c>
      <c r="L13" s="55" t="e">
        <f t="shared" ca="1" si="21"/>
        <v>#REF!</v>
      </c>
      <c r="M13" s="55" t="e">
        <f t="shared" ca="1" si="22"/>
        <v>#REF!</v>
      </c>
      <c r="N13" s="55" t="e">
        <f t="shared" ca="1" si="23"/>
        <v>#REF!</v>
      </c>
      <c r="O13" s="55" t="e">
        <f t="shared" ca="1" si="24"/>
        <v>#REF!</v>
      </c>
      <c r="P13" s="55" t="e">
        <f t="shared" ca="1" si="25"/>
        <v>#REF!</v>
      </c>
      <c r="Q13" s="55" t="e">
        <f t="shared" ca="1" si="26"/>
        <v>#REF!</v>
      </c>
      <c r="R13" s="55" t="e">
        <f t="shared" ca="1" si="27"/>
        <v>#REF!</v>
      </c>
      <c r="S13" s="55" t="e">
        <f t="shared" ca="1" si="28"/>
        <v>#REF!</v>
      </c>
      <c r="T13" s="200" t="e">
        <f t="shared" ca="1" si="29"/>
        <v>#REF!</v>
      </c>
      <c r="U13" s="200" t="e">
        <f t="shared" ca="1" si="30"/>
        <v>#REF!</v>
      </c>
      <c r="V13" s="200" t="e">
        <f t="shared" ca="1" si="31"/>
        <v>#REF!</v>
      </c>
      <c r="W13" s="200" t="e">
        <f t="shared" ca="1" si="32"/>
        <v>#REF!</v>
      </c>
      <c r="X13" s="200" t="e">
        <f t="shared" ca="1" si="33"/>
        <v>#REF!</v>
      </c>
      <c r="Y13" s="200" t="e">
        <f t="shared" ca="1" si="34"/>
        <v>#REF!</v>
      </c>
      <c r="Z13" s="56" t="e">
        <f t="shared" ca="1" si="35"/>
        <v>#REF!</v>
      </c>
      <c r="AA13" s="55" t="e">
        <f ca="1">INDIRECT("'"&amp;$A13&amp;"'!J36")</f>
        <v>#REF!</v>
      </c>
      <c r="AB13" s="55" t="e">
        <f ca="1">INDIRECT("'"&amp;$A13&amp;"'!I36")</f>
        <v>#REF!</v>
      </c>
      <c r="AC13" s="55" t="e">
        <f ca="1">INDIRECT("'"&amp;$A13&amp;"'!H36")</f>
        <v>#REF!</v>
      </c>
      <c r="AD13" s="55" t="e">
        <f ca="1">IF(IF(INDIRECT("'"&amp;$A13&amp;"'!F36")="",0,INDIRECT("'"&amp;$A13&amp;"'!F36"))+IF(INDIRECT("'"&amp;$A13&amp;"'!G36")="",0,INDIRECT("'"&amp;$A13&amp;"'!G36"))=0,"",IF(INDIRECT("'"&amp;$A13&amp;"'!F36")="",0,INDIRECT("'"&amp;$A13&amp;"'!F36"))+IF(INDIRECT("'"&amp;$A13&amp;"'!G36")="",0,INDIRECT("'"&amp;$A13&amp;"'!G36")))</f>
        <v>#REF!</v>
      </c>
    </row>
    <row r="14" spans="1:30" ht="15" customHeight="1" x14ac:dyDescent="0.3">
      <c r="A14" s="120"/>
      <c r="B14" s="120" t="e">
        <f t="shared" ca="1" si="11"/>
        <v>#REF!</v>
      </c>
      <c r="C14" s="65" t="e">
        <f t="shared" ca="1" si="12"/>
        <v>#REF!</v>
      </c>
      <c r="D14" s="65" t="e">
        <f t="shared" ca="1" si="13"/>
        <v>#REF!</v>
      </c>
      <c r="E14" s="65" t="e">
        <f t="shared" ca="1" si="14"/>
        <v>#REF!</v>
      </c>
      <c r="F14" s="65" t="e">
        <f t="shared" ca="1" si="15"/>
        <v>#REF!</v>
      </c>
      <c r="G14" s="65" t="e">
        <f t="shared" ca="1" si="16"/>
        <v>#REF!</v>
      </c>
      <c r="H14" s="65" t="e">
        <f t="shared" ca="1" si="17"/>
        <v>#REF!</v>
      </c>
      <c r="I14" s="65" t="e">
        <f t="shared" ca="1" si="18"/>
        <v>#REF!</v>
      </c>
      <c r="J14" s="65" t="e">
        <f t="shared" ca="1" si="19"/>
        <v>#REF!</v>
      </c>
      <c r="K14" s="65" t="e">
        <f t="shared" ca="1" si="20"/>
        <v>#REF!</v>
      </c>
      <c r="L14" s="65" t="e">
        <f t="shared" ca="1" si="21"/>
        <v>#REF!</v>
      </c>
      <c r="M14" s="65" t="e">
        <f t="shared" ca="1" si="22"/>
        <v>#REF!</v>
      </c>
      <c r="N14" s="65" t="e">
        <f t="shared" ca="1" si="23"/>
        <v>#REF!</v>
      </c>
      <c r="O14" s="65" t="e">
        <f t="shared" ca="1" si="24"/>
        <v>#REF!</v>
      </c>
      <c r="P14" s="65" t="e">
        <f t="shared" ca="1" si="25"/>
        <v>#REF!</v>
      </c>
      <c r="Q14" s="65" t="e">
        <f t="shared" ca="1" si="26"/>
        <v>#REF!</v>
      </c>
      <c r="R14" s="65" t="e">
        <f t="shared" ca="1" si="27"/>
        <v>#REF!</v>
      </c>
      <c r="S14" s="65" t="e">
        <f t="shared" ca="1" si="28"/>
        <v>#REF!</v>
      </c>
      <c r="T14" s="201" t="e">
        <f t="shared" ca="1" si="29"/>
        <v>#REF!</v>
      </c>
      <c r="U14" s="201" t="e">
        <f t="shared" ca="1" si="30"/>
        <v>#REF!</v>
      </c>
      <c r="V14" s="201" t="e">
        <f t="shared" ca="1" si="31"/>
        <v>#REF!</v>
      </c>
      <c r="W14" s="201" t="e">
        <f t="shared" ca="1" si="32"/>
        <v>#REF!</v>
      </c>
      <c r="X14" s="201" t="e">
        <f t="shared" ca="1" si="33"/>
        <v>#REF!</v>
      </c>
      <c r="Y14" s="201" t="e">
        <f t="shared" ca="1" si="34"/>
        <v>#REF!</v>
      </c>
      <c r="Z14" s="66" t="e">
        <f t="shared" ca="1" si="35"/>
        <v>#REF!</v>
      </c>
      <c r="AA14" s="65" t="e">
        <f ca="1">INDIRECT("'"&amp;$A14&amp;"'!J36")</f>
        <v>#REF!</v>
      </c>
      <c r="AB14" s="65" t="e">
        <f ca="1">INDIRECT("'"&amp;$A14&amp;"'!I36")</f>
        <v>#REF!</v>
      </c>
      <c r="AC14" s="65" t="e">
        <f ca="1">INDIRECT("'"&amp;$A14&amp;"'!H36")</f>
        <v>#REF!</v>
      </c>
      <c r="AD14" s="65" t="e">
        <f ca="1">IF(IF(INDIRECT("'"&amp;$A14&amp;"'!F36")="",0,INDIRECT("'"&amp;$A14&amp;"'!F36"))+IF(INDIRECT("'"&amp;$A14&amp;"'!G36")="",0,INDIRECT("'"&amp;$A14&amp;"'!G36"))=0,"",IF(INDIRECT("'"&amp;$A14&amp;"'!F36")="",0,INDIRECT("'"&amp;$A14&amp;"'!F36"))+IF(INDIRECT("'"&amp;$A14&amp;"'!G36")="",0,INDIRECT("'"&amp;$A14&amp;"'!G36")))</f>
        <v>#REF!</v>
      </c>
    </row>
    <row r="15" spans="1:30" ht="15" customHeight="1" x14ac:dyDescent="0.3">
      <c r="B15" t="e">
        <f t="shared" ca="1" si="11"/>
        <v>#REF!</v>
      </c>
      <c r="C15" s="55" t="e">
        <f t="shared" ca="1" si="12"/>
        <v>#REF!</v>
      </c>
      <c r="D15" s="55" t="e">
        <f t="shared" ca="1" si="13"/>
        <v>#REF!</v>
      </c>
      <c r="E15" s="55" t="e">
        <f t="shared" ca="1" si="14"/>
        <v>#REF!</v>
      </c>
      <c r="F15" s="55" t="e">
        <f t="shared" ca="1" si="15"/>
        <v>#REF!</v>
      </c>
      <c r="G15" s="55" t="e">
        <f t="shared" ca="1" si="16"/>
        <v>#REF!</v>
      </c>
      <c r="H15" s="55" t="e">
        <f t="shared" ca="1" si="17"/>
        <v>#REF!</v>
      </c>
      <c r="I15" s="55" t="e">
        <f t="shared" ca="1" si="18"/>
        <v>#REF!</v>
      </c>
      <c r="J15" s="55" t="e">
        <f t="shared" ca="1" si="19"/>
        <v>#REF!</v>
      </c>
      <c r="K15" s="55" t="e">
        <f t="shared" ca="1" si="20"/>
        <v>#REF!</v>
      </c>
      <c r="L15" s="55" t="e">
        <f t="shared" ca="1" si="21"/>
        <v>#REF!</v>
      </c>
      <c r="M15" s="55" t="e">
        <f t="shared" ca="1" si="22"/>
        <v>#REF!</v>
      </c>
      <c r="N15" s="55" t="e">
        <f t="shared" ca="1" si="23"/>
        <v>#REF!</v>
      </c>
      <c r="O15" s="55" t="e">
        <f t="shared" ca="1" si="24"/>
        <v>#REF!</v>
      </c>
      <c r="P15" s="55" t="e">
        <f t="shared" ca="1" si="25"/>
        <v>#REF!</v>
      </c>
      <c r="Q15" s="55" t="e">
        <f t="shared" ca="1" si="26"/>
        <v>#REF!</v>
      </c>
      <c r="R15" s="55" t="e">
        <f t="shared" ca="1" si="27"/>
        <v>#REF!</v>
      </c>
      <c r="S15" s="55" t="e">
        <f t="shared" ca="1" si="28"/>
        <v>#REF!</v>
      </c>
      <c r="T15" s="200" t="e">
        <f t="shared" ca="1" si="29"/>
        <v>#REF!</v>
      </c>
      <c r="U15" s="200" t="e">
        <f t="shared" ca="1" si="30"/>
        <v>#REF!</v>
      </c>
      <c r="V15" s="200" t="e">
        <f t="shared" ca="1" si="31"/>
        <v>#REF!</v>
      </c>
      <c r="W15" s="200" t="e">
        <f t="shared" ca="1" si="32"/>
        <v>#REF!</v>
      </c>
      <c r="X15" s="200" t="e">
        <f t="shared" ca="1" si="33"/>
        <v>#REF!</v>
      </c>
      <c r="Y15" s="200" t="e">
        <f t="shared" ca="1" si="34"/>
        <v>#REF!</v>
      </c>
      <c r="Z15" s="56" t="e">
        <f t="shared" ca="1" si="35"/>
        <v>#REF!</v>
      </c>
      <c r="AA15" s="55" t="e">
        <f ca="1">INDIRECT("'"&amp;$A15&amp;"'!J36")</f>
        <v>#REF!</v>
      </c>
      <c r="AB15" s="55" t="e">
        <f ca="1">INDIRECT("'"&amp;$A15&amp;"'!I36")</f>
        <v>#REF!</v>
      </c>
      <c r="AC15" s="55" t="e">
        <f ca="1">INDIRECT("'"&amp;$A15&amp;"'!H36")</f>
        <v>#REF!</v>
      </c>
      <c r="AD15" s="55" t="e">
        <f ca="1">IF(IF(INDIRECT("'"&amp;$A15&amp;"'!F36")="",0,INDIRECT("'"&amp;$A15&amp;"'!F36"))+IF(INDIRECT("'"&amp;$A15&amp;"'!G36")="",0,INDIRECT("'"&amp;$A15&amp;"'!G36"))=0,"",IF(INDIRECT("'"&amp;$A15&amp;"'!F36")="",0,INDIRECT("'"&amp;$A15&amp;"'!F36"))+IF(INDIRECT("'"&amp;$A15&amp;"'!G36")="",0,INDIRECT("'"&amp;$A15&amp;"'!G36")))</f>
        <v>#REF!</v>
      </c>
    </row>
    <row r="16" spans="1:30" ht="15" customHeight="1" x14ac:dyDescent="0.3"/>
  </sheetData>
  <sheetProtection selectLockedCells="1" selectUnlockedCells="1"/>
  <mergeCells count="4">
    <mergeCell ref="A1:B1"/>
    <mergeCell ref="A2:B2"/>
    <mergeCell ref="A3:B3"/>
    <mergeCell ref="A4:B4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21"/>
  <sheetViews>
    <sheetView workbookViewId="0">
      <selection activeCell="A19" sqref="A19"/>
    </sheetView>
  </sheetViews>
  <sheetFormatPr defaultColWidth="11.5546875" defaultRowHeight="14.4" x14ac:dyDescent="0.3"/>
  <sheetData>
    <row r="1" spans="1:3" x14ac:dyDescent="0.3">
      <c r="A1" t="s">
        <v>43</v>
      </c>
      <c r="B1" t="s">
        <v>44</v>
      </c>
    </row>
    <row r="2" spans="1:3" x14ac:dyDescent="0.3">
      <c r="A2" t="s">
        <v>45</v>
      </c>
      <c r="B2" t="s">
        <v>46</v>
      </c>
    </row>
    <row r="3" spans="1:3" x14ac:dyDescent="0.3">
      <c r="A3" t="s">
        <v>47</v>
      </c>
    </row>
    <row r="5" spans="1:3" x14ac:dyDescent="0.3">
      <c r="A5" t="s">
        <v>48</v>
      </c>
      <c r="B5" t="s">
        <v>49</v>
      </c>
    </row>
    <row r="6" spans="1:3" x14ac:dyDescent="0.3">
      <c r="B6" t="s">
        <v>55</v>
      </c>
      <c r="C6" t="s">
        <v>50</v>
      </c>
    </row>
    <row r="7" spans="1:3" x14ac:dyDescent="0.3">
      <c r="B7" t="s">
        <v>53</v>
      </c>
      <c r="C7" t="s">
        <v>51</v>
      </c>
    </row>
    <row r="8" spans="1:3" x14ac:dyDescent="0.3">
      <c r="B8" t="s">
        <v>54</v>
      </c>
      <c r="C8" t="s">
        <v>52</v>
      </c>
    </row>
    <row r="9" spans="1:3" x14ac:dyDescent="0.3">
      <c r="B9" t="s">
        <v>56</v>
      </c>
      <c r="C9" t="s">
        <v>60</v>
      </c>
    </row>
    <row r="10" spans="1:3" x14ac:dyDescent="0.3">
      <c r="B10" t="s">
        <v>57</v>
      </c>
      <c r="C10" t="s">
        <v>61</v>
      </c>
    </row>
    <row r="11" spans="1:3" x14ac:dyDescent="0.3">
      <c r="B11" t="s">
        <v>58</v>
      </c>
      <c r="C11" t="s">
        <v>62</v>
      </c>
    </row>
    <row r="12" spans="1:3" x14ac:dyDescent="0.3">
      <c r="B12" t="s">
        <v>59</v>
      </c>
      <c r="C12" t="s">
        <v>63</v>
      </c>
    </row>
    <row r="13" spans="1:3" x14ac:dyDescent="0.3">
      <c r="B13" t="s">
        <v>64</v>
      </c>
      <c r="C13" t="s">
        <v>68</v>
      </c>
    </row>
    <row r="14" spans="1:3" x14ac:dyDescent="0.3">
      <c r="B14" t="s">
        <v>65</v>
      </c>
      <c r="C14" t="s">
        <v>69</v>
      </c>
    </row>
    <row r="15" spans="1:3" x14ac:dyDescent="0.3">
      <c r="B15" t="s">
        <v>66</v>
      </c>
      <c r="C15" t="s">
        <v>70</v>
      </c>
    </row>
    <row r="16" spans="1:3" x14ac:dyDescent="0.3">
      <c r="B16" t="s">
        <v>67</v>
      </c>
      <c r="C16" t="s">
        <v>71</v>
      </c>
    </row>
    <row r="17" spans="1:3" x14ac:dyDescent="0.3">
      <c r="B17" t="s">
        <v>72</v>
      </c>
      <c r="C17" t="s">
        <v>73</v>
      </c>
    </row>
    <row r="19" spans="1:3" x14ac:dyDescent="0.3">
      <c r="A19" t="s">
        <v>77</v>
      </c>
    </row>
    <row r="20" spans="1:3" x14ac:dyDescent="0.3">
      <c r="B20" t="s">
        <v>78</v>
      </c>
    </row>
    <row r="21" spans="1:3" x14ac:dyDescent="0.3">
      <c r="B21" t="s">
        <v>79</v>
      </c>
    </row>
  </sheetData>
  <pageMargins left="0.7" right="0.7" top="0.78740157499999996" bottom="0.78740157499999996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1 Nage</vt:lpstr>
      <vt:lpstr>2 Katame</vt:lpstr>
      <vt:lpstr>3 Ju</vt:lpstr>
      <vt:lpstr>4 Kime</vt:lpstr>
      <vt:lpstr>5 Goshin</vt:lpstr>
      <vt:lpstr>6 Koshiki</vt:lpstr>
      <vt:lpstr>1 Nage A</vt:lpstr>
      <vt:lpstr>2 Katame A</vt:lpstr>
      <vt:lpstr>3 Ju A</vt:lpstr>
      <vt:lpstr>3 Kime A</vt:lpstr>
      <vt:lpstr>5 Goshin A</vt:lpstr>
      <vt:lpstr>6 Koshiki A</vt:lpstr>
      <vt:lpstr>Doku</vt:lpstr>
      <vt:lpstr>'1 Nage'!Print_Area</vt:lpstr>
      <vt:lpstr>'1 Nage A'!Print_Area</vt:lpstr>
      <vt:lpstr>'2 Katame'!Print_Area</vt:lpstr>
      <vt:lpstr>'2 Katame A'!Print_Area</vt:lpstr>
      <vt:lpstr>'3 Ju'!Print_Area</vt:lpstr>
      <vt:lpstr>'3 Ju A'!Print_Area</vt:lpstr>
      <vt:lpstr>'3 Kime A'!Print_Area</vt:lpstr>
      <vt:lpstr>'4 Kime'!Print_Area</vt:lpstr>
      <vt:lpstr>'5 Goshin'!Print_Area</vt:lpstr>
      <vt:lpstr>'5 Goshin A'!Print_Area</vt:lpstr>
      <vt:lpstr>'6 Koshiki'!Print_Area</vt:lpstr>
      <vt:lpstr>'6 Koshiki A'!Print_Area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2016-11-29T17:17:41Z</cp:lastPrinted>
  <dcterms:created xsi:type="dcterms:W3CDTF">2016-05-27T20:14:04Z</dcterms:created>
  <dcterms:modified xsi:type="dcterms:W3CDTF">2016-11-29T17:40:41Z</dcterms:modified>
</cp:coreProperties>
</file>