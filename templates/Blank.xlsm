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9188" yWindow="-12" windowWidth="19236" windowHeight="13176" tabRatio="840"/>
  </bookViews>
  <sheets>
    <sheet name="1 Nage" sheetId="1" r:id="rId1"/>
    <sheet name="2 Katame" sheetId="4" r:id="rId2"/>
    <sheet name="3 Ju" sheetId="6" r:id="rId3"/>
    <sheet name="4 Kime" sheetId="8" r:id="rId4"/>
    <sheet name="5 Goshin" sheetId="10" r:id="rId5"/>
    <sheet name="6 Koshiki" sheetId="12" r:id="rId6"/>
    <sheet name="7 NageU18" sheetId="14" r:id="rId7"/>
    <sheet name="8 Integration1" sheetId="16" r:id="rId8"/>
    <sheet name="9 Integration2" sheetId="18" r:id="rId9"/>
    <sheet name="1 Nage A" sheetId="17" r:id="rId10"/>
    <sheet name="2 Katame A" sheetId="5" r:id="rId11"/>
    <sheet name="3 Ju A" sheetId="7" r:id="rId12"/>
    <sheet name="4 Kime A" sheetId="9" r:id="rId13"/>
    <sheet name="5 Goshin A" sheetId="11" r:id="rId14"/>
    <sheet name="6 Koshiki A" sheetId="13" r:id="rId15"/>
    <sheet name="7 NageU18 A" sheetId="20" r:id="rId16"/>
    <sheet name="8 Integration1 A" sheetId="21" r:id="rId17"/>
    <sheet name="9 Integration2 A" sheetId="22" r:id="rId18"/>
    <sheet name="Doku" sheetId="3" r:id="rId19"/>
  </sheets>
  <definedNames>
    <definedName name="_xlnm.Print_Area" localSheetId="0">'1 Nage'!$A$1:$K$37</definedName>
    <definedName name="_xlnm.Print_Area" localSheetId="9">'1 Nage A'!$A$1:$AE$16</definedName>
    <definedName name="_xlnm.Print_Area" localSheetId="1">'2 Katame'!$A$1:$K$37</definedName>
    <definedName name="_xlnm.Print_Area" localSheetId="10">'2 Katame A'!$A$1:$AE$11</definedName>
    <definedName name="_xlnm.Print_Area" localSheetId="2">'3 Ju'!$A$1:$K$37</definedName>
    <definedName name="_xlnm.Print_Area" localSheetId="11">'3 Ju A'!$A$1:$AE$11</definedName>
    <definedName name="_xlnm.Print_Area" localSheetId="3">'4 Kime'!$A$1:$K$37</definedName>
    <definedName name="_xlnm.Print_Area" localSheetId="12">'4 Kime A'!$A$1:$AE$11</definedName>
    <definedName name="_xlnm.Print_Area" localSheetId="4">'5 Goshin'!$A$1:$K$37</definedName>
    <definedName name="_xlnm.Print_Area" localSheetId="13">'5 Goshin A'!$A$1:$AE$11</definedName>
    <definedName name="_xlnm.Print_Area" localSheetId="5">'6 Koshiki'!$A$1:$K$37</definedName>
    <definedName name="_xlnm.Print_Area" localSheetId="14">'6 Koshiki A'!$A$1:$AE$11</definedName>
    <definedName name="_xlnm.Print_Area" localSheetId="6">'7 NageU18'!$A$1:$K$37</definedName>
    <definedName name="_xlnm.Print_Area" localSheetId="15">'7 NageU18 A'!$A$1:$AE$16</definedName>
    <definedName name="_xlnm.Print_Area" localSheetId="7">'8 Integration1'!$A$1:$K$37</definedName>
    <definedName name="_xlnm.Print_Area" localSheetId="16">'8 Integration1 A'!$A$1:$AE$16</definedName>
    <definedName name="_xlnm.Print_Area" localSheetId="8">'9 Integration2'!$A$1:$K$37</definedName>
    <definedName name="_xlnm.Print_Area" localSheetId="17">'9 Integration2 A'!$A$1:$AE$16</definedName>
  </definedNames>
  <calcPr calcId="145621"/>
</workbook>
</file>

<file path=xl/calcChain.xml><?xml version="1.0" encoding="utf-8"?>
<calcChain xmlns="http://schemas.openxmlformats.org/spreadsheetml/2006/main">
  <c r="A30" i="22" l="1"/>
  <c r="A29" i="22"/>
  <c r="A27" i="22"/>
  <c r="A26" i="22"/>
  <c r="A25" i="22"/>
  <c r="A24" i="22"/>
  <c r="A23" i="22"/>
  <c r="A22" i="22"/>
  <c r="A5" i="22"/>
  <c r="A4" i="22"/>
  <c r="A3" i="22"/>
  <c r="AE2" i="22"/>
  <c r="AD2" i="22"/>
  <c r="AC2" i="22"/>
  <c r="AB2" i="22"/>
  <c r="Z2" i="22"/>
  <c r="Y2" i="22"/>
  <c r="C2" i="22"/>
  <c r="B2" i="22"/>
  <c r="A2" i="22"/>
  <c r="A1" i="22"/>
  <c r="AE16" i="22"/>
  <c r="H16" i="22"/>
  <c r="AD15" i="22"/>
  <c r="G15" i="22"/>
  <c r="AC13" i="22"/>
  <c r="F13" i="22"/>
  <c r="AB12" i="22"/>
  <c r="E12" i="22"/>
  <c r="D11" i="22"/>
  <c r="Z10" i="22"/>
  <c r="C10" i="22"/>
  <c r="Y9" i="22"/>
  <c r="B9" i="22"/>
  <c r="I8" i="22"/>
  <c r="AE7" i="22"/>
  <c r="G7" i="22"/>
  <c r="Y10" i="22"/>
  <c r="H8" i="22"/>
  <c r="F7" i="22"/>
  <c r="B1" i="22"/>
  <c r="B12" i="22"/>
  <c r="H10" i="22"/>
  <c r="AC8" i="22"/>
  <c r="AB7" i="22"/>
  <c r="D16" i="22"/>
  <c r="Y13" i="22"/>
  <c r="AE11" i="22"/>
  <c r="G10" i="22"/>
  <c r="AB8" i="22"/>
  <c r="C7" i="22"/>
  <c r="E11" i="22"/>
  <c r="Y8" i="22"/>
  <c r="AD16" i="22"/>
  <c r="G16" i="22"/>
  <c r="AC15" i="22"/>
  <c r="F15" i="22"/>
  <c r="AB13" i="22"/>
  <c r="E13" i="22"/>
  <c r="D12" i="22"/>
  <c r="Z11" i="22"/>
  <c r="C11" i="22"/>
  <c r="B10" i="22"/>
  <c r="I9" i="22"/>
  <c r="AE8" i="22"/>
  <c r="AD7" i="22"/>
  <c r="G9" i="22"/>
  <c r="Z15" i="22"/>
  <c r="B13" i="22"/>
  <c r="H11" i="22"/>
  <c r="AC9" i="22"/>
  <c r="E8" i="22"/>
  <c r="AB11" i="22"/>
  <c r="Z9" i="22"/>
  <c r="H7" i="22"/>
  <c r="AC16" i="22"/>
  <c r="F16" i="22"/>
  <c r="AB15" i="22"/>
  <c r="E15" i="22"/>
  <c r="D13" i="22"/>
  <c r="Z12" i="22"/>
  <c r="C12" i="22"/>
  <c r="Y11" i="22"/>
  <c r="B11" i="22"/>
  <c r="I10" i="22"/>
  <c r="AE9" i="22"/>
  <c r="H9" i="22"/>
  <c r="AD8" i="22"/>
  <c r="G8" i="22"/>
  <c r="AC7" i="22"/>
  <c r="E7" i="22"/>
  <c r="AB16" i="22"/>
  <c r="E16" i="22"/>
  <c r="D15" i="22"/>
  <c r="Z13" i="22"/>
  <c r="C13" i="22"/>
  <c r="Y12" i="22"/>
  <c r="I11" i="22"/>
  <c r="AE10" i="22"/>
  <c r="AD9" i="22"/>
  <c r="F8" i="22"/>
  <c r="D7" i="22"/>
  <c r="C15" i="22"/>
  <c r="I12" i="22"/>
  <c r="AD10" i="22"/>
  <c r="F9" i="22"/>
  <c r="Z7" i="22"/>
  <c r="D10" i="22"/>
  <c r="Z16" i="22"/>
  <c r="C16" i="22"/>
  <c r="Y15" i="22"/>
  <c r="B15" i="22"/>
  <c r="I13" i="22"/>
  <c r="AE12" i="22"/>
  <c r="H12" i="22"/>
  <c r="AD11" i="22"/>
  <c r="G11" i="22"/>
  <c r="AC10" i="22"/>
  <c r="F10" i="22"/>
  <c r="AB9" i="22"/>
  <c r="E9" i="22"/>
  <c r="D8" i="22"/>
  <c r="Y7" i="22"/>
  <c r="B7" i="22"/>
  <c r="Y16" i="22"/>
  <c r="B16" i="22"/>
  <c r="I15" i="22"/>
  <c r="AE13" i="22"/>
  <c r="H13" i="22"/>
  <c r="AD12" i="22"/>
  <c r="G12" i="22"/>
  <c r="AC11" i="22"/>
  <c r="F11" i="22"/>
  <c r="AB10" i="22"/>
  <c r="E10" i="22"/>
  <c r="D9" i="22"/>
  <c r="Z8" i="22"/>
  <c r="C8" i="22"/>
  <c r="I7" i="22"/>
  <c r="I16" i="22"/>
  <c r="AE15" i="22"/>
  <c r="H15" i="22"/>
  <c r="AD13" i="22"/>
  <c r="G13" i="22"/>
  <c r="AC12" i="22"/>
  <c r="F12" i="22"/>
  <c r="C9" i="22"/>
  <c r="B8" i="22"/>
  <c r="F10" i="21"/>
  <c r="B22" i="22" l="1"/>
  <c r="C4" i="22"/>
  <c r="C3" i="22"/>
  <c r="Z4" i="22"/>
  <c r="B30" i="22"/>
  <c r="D4" i="22"/>
  <c r="D3" i="22"/>
  <c r="B29" i="22"/>
  <c r="F3" i="22"/>
  <c r="F4" i="22"/>
  <c r="G3" i="22"/>
  <c r="G4" i="22"/>
  <c r="AD3" i="22"/>
  <c r="AD4" i="22"/>
  <c r="AD5" i="22"/>
  <c r="B25" i="22"/>
  <c r="E3" i="22"/>
  <c r="E4" i="22"/>
  <c r="B27" i="22"/>
  <c r="AE4" i="22"/>
  <c r="AE3" i="22"/>
  <c r="AE5" i="22"/>
  <c r="B24" i="22"/>
  <c r="Y4" i="22"/>
  <c r="Y3" i="22"/>
  <c r="AB4" i="22"/>
  <c r="AB5" i="22"/>
  <c r="AB3" i="22"/>
  <c r="AC5" i="22"/>
  <c r="AC3" i="22"/>
  <c r="AC4" i="22"/>
  <c r="B26" i="22"/>
  <c r="H3" i="22"/>
  <c r="H4" i="22"/>
  <c r="I3" i="22"/>
  <c r="I4" i="22"/>
  <c r="B23" i="22"/>
  <c r="A30" i="21"/>
  <c r="A29" i="21"/>
  <c r="A27" i="21"/>
  <c r="A26" i="21"/>
  <c r="A25" i="21"/>
  <c r="A24" i="21"/>
  <c r="A23" i="21"/>
  <c r="A22" i="21"/>
  <c r="A5" i="21"/>
  <c r="A4" i="21"/>
  <c r="A3" i="21"/>
  <c r="AE2" i="21"/>
  <c r="AD2" i="21"/>
  <c r="AC2" i="21"/>
  <c r="AB2" i="21"/>
  <c r="Z2" i="21"/>
  <c r="Y2" i="21"/>
  <c r="C2" i="21"/>
  <c r="B2" i="21"/>
  <c r="A2" i="21"/>
  <c r="A1" i="21"/>
  <c r="A30" i="20"/>
  <c r="A29" i="20"/>
  <c r="A27" i="20"/>
  <c r="A26" i="20"/>
  <c r="A25" i="20"/>
  <c r="A24" i="20"/>
  <c r="A23" i="20"/>
  <c r="A22" i="20"/>
  <c r="A5" i="20"/>
  <c r="A4" i="20"/>
  <c r="A3" i="20"/>
  <c r="AE2" i="20"/>
  <c r="AD2" i="20"/>
  <c r="AC2" i="20"/>
  <c r="AB2" i="20"/>
  <c r="Z2" i="20"/>
  <c r="Y2" i="20"/>
  <c r="C2" i="20"/>
  <c r="B2" i="20"/>
  <c r="A2" i="20"/>
  <c r="A1" i="20"/>
  <c r="AE16" i="21"/>
  <c r="I16" i="21"/>
  <c r="AE15" i="21"/>
  <c r="I15" i="21"/>
  <c r="AE13" i="21"/>
  <c r="I13" i="21"/>
  <c r="AE12" i="21"/>
  <c r="I12" i="21"/>
  <c r="AE11" i="21"/>
  <c r="I11" i="21"/>
  <c r="AE10" i="21"/>
  <c r="I10" i="21"/>
  <c r="AE9" i="21"/>
  <c r="I9" i="21"/>
  <c r="AE8" i="21"/>
  <c r="I8" i="21"/>
  <c r="AE7" i="21"/>
  <c r="H7" i="21"/>
  <c r="F16" i="21"/>
  <c r="F15" i="21"/>
  <c r="F11" i="21"/>
  <c r="AB8" i="21"/>
  <c r="E7" i="21"/>
  <c r="AD16" i="21"/>
  <c r="H16" i="21"/>
  <c r="AD15" i="21"/>
  <c r="H15" i="21"/>
  <c r="AD13" i="21"/>
  <c r="H13" i="21"/>
  <c r="AD12" i="21"/>
  <c r="H12" i="21"/>
  <c r="AD11" i="21"/>
  <c r="H11" i="21"/>
  <c r="AD10" i="21"/>
  <c r="H10" i="21"/>
  <c r="AD9" i="21"/>
  <c r="H9" i="21"/>
  <c r="AD8" i="21"/>
  <c r="H8" i="21"/>
  <c r="AD7" i="21"/>
  <c r="G7" i="21"/>
  <c r="AB16" i="21"/>
  <c r="F13" i="21"/>
  <c r="AB11" i="21"/>
  <c r="AB10" i="21"/>
  <c r="E16" i="21"/>
  <c r="AC16" i="21"/>
  <c r="G16" i="21"/>
  <c r="AC15" i="21"/>
  <c r="G15" i="21"/>
  <c r="AC13" i="21"/>
  <c r="G13" i="21"/>
  <c r="AC12" i="21"/>
  <c r="G12" i="21"/>
  <c r="AC11" i="21"/>
  <c r="G11" i="21"/>
  <c r="AC10" i="21"/>
  <c r="G10" i="21"/>
  <c r="AC9" i="21"/>
  <c r="G9" i="21"/>
  <c r="AC8" i="21"/>
  <c r="G8" i="21"/>
  <c r="AC7" i="21"/>
  <c r="F7" i="21"/>
  <c r="AB15" i="21"/>
  <c r="AB13" i="21"/>
  <c r="AB12" i="21"/>
  <c r="F12" i="21"/>
  <c r="AB9" i="21"/>
  <c r="F9" i="21"/>
  <c r="F8" i="21"/>
  <c r="AB7" i="21"/>
  <c r="E15" i="21"/>
  <c r="Z16" i="21"/>
  <c r="D16" i="21"/>
  <c r="Z15" i="21"/>
  <c r="D15" i="21"/>
  <c r="Z13" i="21"/>
  <c r="D13" i="21"/>
  <c r="Z12" i="21"/>
  <c r="D12" i="21"/>
  <c r="Z11" i="21"/>
  <c r="D11" i="21"/>
  <c r="Z10" i="21"/>
  <c r="D10" i="21"/>
  <c r="Z9" i="21"/>
  <c r="D9" i="21"/>
  <c r="Z8" i="21"/>
  <c r="D8" i="21"/>
  <c r="Y7" i="21"/>
  <c r="C7" i="21"/>
  <c r="B1" i="21"/>
  <c r="Y16" i="21"/>
  <c r="C16" i="21"/>
  <c r="Y15" i="21"/>
  <c r="C15" i="21"/>
  <c r="Y13" i="21"/>
  <c r="C13" i="21"/>
  <c r="Y12" i="21"/>
  <c r="C12" i="21"/>
  <c r="Y11" i="21"/>
  <c r="C11" i="21"/>
  <c r="Y10" i="21"/>
  <c r="C10" i="21"/>
  <c r="Y9" i="21"/>
  <c r="C9" i="21"/>
  <c r="Y8" i="21"/>
  <c r="C8" i="21"/>
  <c r="B7" i="21"/>
  <c r="E12" i="21"/>
  <c r="E8" i="21"/>
  <c r="B16" i="21"/>
  <c r="E10" i="21"/>
  <c r="B12" i="21"/>
  <c r="B8" i="21"/>
  <c r="B13" i="21"/>
  <c r="B9" i="21"/>
  <c r="D7" i="21"/>
  <c r="B15" i="21"/>
  <c r="B11" i="21"/>
  <c r="E13" i="21"/>
  <c r="E9" i="21"/>
  <c r="Z7" i="21"/>
  <c r="B10" i="21"/>
  <c r="I7" i="21"/>
  <c r="E11" i="21"/>
  <c r="AE16" i="20"/>
  <c r="Q16" i="20"/>
  <c r="I16" i="20"/>
  <c r="AE15" i="20"/>
  <c r="Q15" i="20"/>
  <c r="I15" i="20"/>
  <c r="AE13" i="20"/>
  <c r="Q13" i="20"/>
  <c r="I13" i="20"/>
  <c r="AE12" i="20"/>
  <c r="Q12" i="20"/>
  <c r="I12" i="20"/>
  <c r="AE11" i="20"/>
  <c r="Q11" i="20"/>
  <c r="I11" i="20"/>
  <c r="AE10" i="20"/>
  <c r="Q10" i="20"/>
  <c r="I10" i="20"/>
  <c r="AE9" i="20"/>
  <c r="Q9" i="20"/>
  <c r="I9" i="20"/>
  <c r="AE8" i="20"/>
  <c r="Q8" i="20"/>
  <c r="I8" i="20"/>
  <c r="AE7" i="20"/>
  <c r="P7" i="20"/>
  <c r="H7" i="20"/>
  <c r="O16" i="20"/>
  <c r="AC15" i="20"/>
  <c r="G15" i="20"/>
  <c r="O13" i="20"/>
  <c r="AC12" i="20"/>
  <c r="G12" i="20"/>
  <c r="O11" i="20"/>
  <c r="AC10" i="20"/>
  <c r="G10" i="20"/>
  <c r="O9" i="20"/>
  <c r="AC8" i="20"/>
  <c r="G8" i="20"/>
  <c r="N7" i="20"/>
  <c r="N16" i="20"/>
  <c r="AB15" i="20"/>
  <c r="F15" i="20"/>
  <c r="AD16" i="20"/>
  <c r="P16" i="20"/>
  <c r="H16" i="20"/>
  <c r="AD15" i="20"/>
  <c r="P15" i="20"/>
  <c r="H15" i="20"/>
  <c r="AD13" i="20"/>
  <c r="P13" i="20"/>
  <c r="H13" i="20"/>
  <c r="AD12" i="20"/>
  <c r="P12" i="20"/>
  <c r="H12" i="20"/>
  <c r="AD11" i="20"/>
  <c r="P11" i="20"/>
  <c r="H11" i="20"/>
  <c r="AD10" i="20"/>
  <c r="P10" i="20"/>
  <c r="H10" i="20"/>
  <c r="AD9" i="20"/>
  <c r="P9" i="20"/>
  <c r="H9" i="20"/>
  <c r="AD8" i="20"/>
  <c r="P8" i="20"/>
  <c r="H8" i="20"/>
  <c r="AD7" i="20"/>
  <c r="O7" i="20"/>
  <c r="G7" i="20"/>
  <c r="AC16" i="20"/>
  <c r="G16" i="20"/>
  <c r="O15" i="20"/>
  <c r="AC13" i="20"/>
  <c r="G13" i="20"/>
  <c r="O12" i="20"/>
  <c r="AC11" i="20"/>
  <c r="G11" i="20"/>
  <c r="O10" i="20"/>
  <c r="AC9" i="20"/>
  <c r="G9" i="20"/>
  <c r="O8" i="20"/>
  <c r="AC7" i="20"/>
  <c r="F7" i="20"/>
  <c r="AB16" i="20"/>
  <c r="F16" i="20"/>
  <c r="N15" i="20"/>
  <c r="M16" i="20"/>
  <c r="E16" i="20"/>
  <c r="M15" i="20"/>
  <c r="E15" i="20"/>
  <c r="M13" i="20"/>
  <c r="E13" i="20"/>
  <c r="M12" i="20"/>
  <c r="E12" i="20"/>
  <c r="M11" i="20"/>
  <c r="E11" i="20"/>
  <c r="M10" i="20"/>
  <c r="E10" i="20"/>
  <c r="M9" i="20"/>
  <c r="E9" i="20"/>
  <c r="M8" i="20"/>
  <c r="E8" i="20"/>
  <c r="Z7" i="20"/>
  <c r="L7" i="20"/>
  <c r="D7" i="20"/>
  <c r="K16" i="20"/>
  <c r="K15" i="20"/>
  <c r="Y13" i="20"/>
  <c r="C13" i="20"/>
  <c r="K12" i="20"/>
  <c r="Y11" i="20"/>
  <c r="C11" i="20"/>
  <c r="K10" i="20"/>
  <c r="Y9" i="20"/>
  <c r="C9" i="20"/>
  <c r="K8" i="20"/>
  <c r="R7" i="20"/>
  <c r="B7" i="20"/>
  <c r="J16" i="20"/>
  <c r="R15" i="20"/>
  <c r="B15" i="20"/>
  <c r="J13" i="20"/>
  <c r="R12" i="20"/>
  <c r="B12" i="20"/>
  <c r="J11" i="20"/>
  <c r="R10" i="20"/>
  <c r="B10" i="20"/>
  <c r="J9" i="20"/>
  <c r="R8" i="20"/>
  <c r="B8" i="20"/>
  <c r="Z16" i="20"/>
  <c r="L16" i="20"/>
  <c r="D16" i="20"/>
  <c r="Z15" i="20"/>
  <c r="L15" i="20"/>
  <c r="D15" i="20"/>
  <c r="Z13" i="20"/>
  <c r="L13" i="20"/>
  <c r="D13" i="20"/>
  <c r="Z12" i="20"/>
  <c r="L12" i="20"/>
  <c r="D12" i="20"/>
  <c r="Z11" i="20"/>
  <c r="L11" i="20"/>
  <c r="D11" i="20"/>
  <c r="Z10" i="20"/>
  <c r="L10" i="20"/>
  <c r="D10" i="20"/>
  <c r="Z9" i="20"/>
  <c r="L9" i="20"/>
  <c r="D9" i="20"/>
  <c r="Z8" i="20"/>
  <c r="L8" i="20"/>
  <c r="D8" i="20"/>
  <c r="Y7" i="20"/>
  <c r="K7" i="20"/>
  <c r="C7" i="20"/>
  <c r="B1" i="20"/>
  <c r="Y16" i="20"/>
  <c r="C16" i="20"/>
  <c r="Y15" i="20"/>
  <c r="C15" i="20"/>
  <c r="K13" i="20"/>
  <c r="Y12" i="20"/>
  <c r="C12" i="20"/>
  <c r="K11" i="20"/>
  <c r="Y10" i="20"/>
  <c r="C10" i="20"/>
  <c r="K9" i="20"/>
  <c r="Y8" i="20"/>
  <c r="C8" i="20"/>
  <c r="J7" i="20"/>
  <c r="R16" i="20"/>
  <c r="B16" i="20"/>
  <c r="J15" i="20"/>
  <c r="R13" i="20"/>
  <c r="B13" i="20"/>
  <c r="J12" i="20"/>
  <c r="R11" i="20"/>
  <c r="B11" i="20"/>
  <c r="J10" i="20"/>
  <c r="R9" i="20"/>
  <c r="B9" i="20"/>
  <c r="J8" i="20"/>
  <c r="AB13" i="20"/>
  <c r="F11" i="20"/>
  <c r="N8" i="20"/>
  <c r="F13" i="20"/>
  <c r="N13" i="20"/>
  <c r="AB10" i="20"/>
  <c r="F8" i="20"/>
  <c r="N10" i="20"/>
  <c r="AB7" i="20"/>
  <c r="F10" i="20"/>
  <c r="AB11" i="20"/>
  <c r="AB8" i="20"/>
  <c r="AB12" i="20"/>
  <c r="Q7" i="20"/>
  <c r="E7" i="20"/>
  <c r="N11" i="20"/>
  <c r="N12" i="20"/>
  <c r="AB9" i="20"/>
  <c r="M7" i="20"/>
  <c r="F12" i="20"/>
  <c r="N9" i="20"/>
  <c r="I7" i="20"/>
  <c r="F9" i="20"/>
  <c r="L10" i="13"/>
  <c r="L9" i="13"/>
  <c r="Z3" i="22" l="1"/>
  <c r="Z5" i="22" s="1"/>
  <c r="G26" i="22"/>
  <c r="G22" i="22"/>
  <c r="G30" i="22"/>
  <c r="G25" i="22"/>
  <c r="G29" i="22"/>
  <c r="G24" i="22"/>
  <c r="G5" i="22"/>
  <c r="G27" i="22"/>
  <c r="G23" i="22"/>
  <c r="H26" i="22"/>
  <c r="H22" i="22"/>
  <c r="H24" i="22"/>
  <c r="H30" i="22"/>
  <c r="H25" i="22"/>
  <c r="H29" i="22"/>
  <c r="H5" i="22"/>
  <c r="H27" i="22"/>
  <c r="H23" i="22"/>
  <c r="D29" i="22"/>
  <c r="D24" i="22"/>
  <c r="D5" i="22"/>
  <c r="D26" i="22"/>
  <c r="D22" i="22"/>
  <c r="D27" i="22"/>
  <c r="D23" i="22"/>
  <c r="D30" i="22"/>
  <c r="D25" i="22"/>
  <c r="I30" i="22"/>
  <c r="I25" i="22"/>
  <c r="I29" i="22"/>
  <c r="I24" i="22"/>
  <c r="I5" i="22"/>
  <c r="I27" i="22"/>
  <c r="I23" i="22"/>
  <c r="I26" i="22"/>
  <c r="I22" i="22"/>
  <c r="Y30" i="22"/>
  <c r="Y25" i="22"/>
  <c r="Y5" i="22"/>
  <c r="Y27" i="22"/>
  <c r="Y29" i="22"/>
  <c r="Y24" i="22"/>
  <c r="Y23" i="22"/>
  <c r="Y26" i="22"/>
  <c r="Y22" i="22"/>
  <c r="C29" i="22"/>
  <c r="C24" i="22"/>
  <c r="C5" i="22"/>
  <c r="C27" i="22"/>
  <c r="C23" i="22"/>
  <c r="C26" i="22"/>
  <c r="C22" i="22"/>
  <c r="C30" i="22"/>
  <c r="C25" i="22"/>
  <c r="E5" i="22"/>
  <c r="E27" i="22"/>
  <c r="E23" i="22"/>
  <c r="E26" i="22"/>
  <c r="E22" i="22"/>
  <c r="E30" i="22"/>
  <c r="E25" i="22"/>
  <c r="E29" i="22"/>
  <c r="E24" i="22"/>
  <c r="F27" i="22"/>
  <c r="F23" i="22"/>
  <c r="F30" i="22"/>
  <c r="F26" i="22"/>
  <c r="F22" i="22"/>
  <c r="F25" i="22"/>
  <c r="F5" i="22"/>
  <c r="F29" i="22"/>
  <c r="F24" i="22"/>
  <c r="B24" i="21"/>
  <c r="B25" i="21"/>
  <c r="B29" i="21"/>
  <c r="B23" i="21"/>
  <c r="B27" i="21"/>
  <c r="B22" i="21"/>
  <c r="B26" i="21"/>
  <c r="B30" i="21"/>
  <c r="E3" i="21"/>
  <c r="E4" i="21"/>
  <c r="C4" i="21"/>
  <c r="C3" i="21"/>
  <c r="Y3" i="21"/>
  <c r="Y4" i="21"/>
  <c r="D3" i="21"/>
  <c r="D4" i="21"/>
  <c r="Z4" i="21"/>
  <c r="F4" i="21"/>
  <c r="F3" i="21"/>
  <c r="G3" i="21"/>
  <c r="G4" i="21"/>
  <c r="AC4" i="21"/>
  <c r="AC5" i="21"/>
  <c r="AC3" i="21"/>
  <c r="H3" i="21"/>
  <c r="H4" i="21"/>
  <c r="AD5" i="21"/>
  <c r="AD3" i="21"/>
  <c r="AD4" i="21"/>
  <c r="AB3" i="21"/>
  <c r="AB4" i="21"/>
  <c r="AB5" i="21"/>
  <c r="I4" i="21"/>
  <c r="I3" i="21"/>
  <c r="AE3" i="21"/>
  <c r="AE4" i="21"/>
  <c r="AE5" i="21"/>
  <c r="AB3" i="20"/>
  <c r="AB4" i="20"/>
  <c r="AB5" i="20"/>
  <c r="F4" i="20"/>
  <c r="F3" i="20"/>
  <c r="N4" i="20"/>
  <c r="N3" i="20"/>
  <c r="J4" i="20"/>
  <c r="J3" i="20"/>
  <c r="B23" i="20"/>
  <c r="B25" i="20"/>
  <c r="B27" i="20"/>
  <c r="B30" i="20"/>
  <c r="C3" i="20"/>
  <c r="C4" i="20"/>
  <c r="Y3" i="20"/>
  <c r="Y4" i="20"/>
  <c r="D4" i="20"/>
  <c r="D3" i="20"/>
  <c r="L3" i="20"/>
  <c r="L4" i="20"/>
  <c r="Z4" i="20"/>
  <c r="B22" i="20"/>
  <c r="R4" i="20"/>
  <c r="R3" i="20"/>
  <c r="B24" i="20"/>
  <c r="B26" i="20"/>
  <c r="B29" i="20"/>
  <c r="K3" i="20"/>
  <c r="K4" i="20"/>
  <c r="E3" i="20"/>
  <c r="E4" i="20"/>
  <c r="M3" i="20"/>
  <c r="M4" i="20"/>
  <c r="O3" i="20"/>
  <c r="O4" i="20"/>
  <c r="H3" i="20"/>
  <c r="H4" i="20"/>
  <c r="P4" i="20"/>
  <c r="P3" i="20"/>
  <c r="AD5" i="20"/>
  <c r="AD3" i="20"/>
  <c r="AD4" i="20"/>
  <c r="G3" i="20"/>
  <c r="G4" i="20"/>
  <c r="AC4" i="20"/>
  <c r="AC5" i="20"/>
  <c r="AC3" i="20"/>
  <c r="I3" i="20"/>
  <c r="I4" i="20"/>
  <c r="Q3" i="20"/>
  <c r="Q4" i="20"/>
  <c r="Z3" i="20"/>
  <c r="Z5" i="20" s="1"/>
  <c r="AE3" i="20"/>
  <c r="AE4" i="20"/>
  <c r="AE5" i="20"/>
  <c r="A30" i="13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M9" i="11"/>
  <c r="G10" i="9"/>
  <c r="AA16" i="22" l="1"/>
  <c r="AA15" i="22"/>
  <c r="AA13" i="22"/>
  <c r="AA12" i="22"/>
  <c r="AA10" i="22"/>
  <c r="AA11" i="22"/>
  <c r="AA8" i="22"/>
  <c r="AA9" i="22"/>
  <c r="Z3" i="21"/>
  <c r="Z5" i="21" s="1"/>
  <c r="H22" i="21"/>
  <c r="H27" i="21"/>
  <c r="H30" i="21"/>
  <c r="H24" i="21"/>
  <c r="H26" i="21"/>
  <c r="H23" i="21"/>
  <c r="H29" i="21"/>
  <c r="H5" i="21"/>
  <c r="H25" i="21"/>
  <c r="D26" i="21"/>
  <c r="D22" i="21"/>
  <c r="D23" i="21"/>
  <c r="D25" i="21"/>
  <c r="D5" i="21"/>
  <c r="D29" i="21"/>
  <c r="D27" i="21"/>
  <c r="D24" i="21"/>
  <c r="D30" i="21"/>
  <c r="E23" i="21"/>
  <c r="E29" i="21"/>
  <c r="E25" i="21"/>
  <c r="E5" i="21"/>
  <c r="E22" i="21"/>
  <c r="E27" i="21"/>
  <c r="E24" i="21"/>
  <c r="E30" i="21"/>
  <c r="E26" i="21"/>
  <c r="G25" i="21"/>
  <c r="G5" i="21"/>
  <c r="G24" i="21"/>
  <c r="G30" i="21"/>
  <c r="G22" i="21"/>
  <c r="G27" i="21"/>
  <c r="G26" i="21"/>
  <c r="G23" i="21"/>
  <c r="G29" i="21"/>
  <c r="F29" i="21"/>
  <c r="F27" i="21"/>
  <c r="F25" i="21"/>
  <c r="F5" i="21"/>
  <c r="F24" i="21"/>
  <c r="F22" i="21"/>
  <c r="F30" i="21"/>
  <c r="F26" i="21"/>
  <c r="F23" i="21"/>
  <c r="Y30" i="21"/>
  <c r="Y29" i="21"/>
  <c r="Y26" i="21"/>
  <c r="Y23" i="21"/>
  <c r="Y25" i="21"/>
  <c r="Y22" i="21"/>
  <c r="Y27" i="21"/>
  <c r="Y24" i="21"/>
  <c r="Y5" i="21"/>
  <c r="I27" i="21"/>
  <c r="I23" i="21"/>
  <c r="I24" i="21"/>
  <c r="I26" i="21"/>
  <c r="I30" i="21"/>
  <c r="I29" i="21"/>
  <c r="I25" i="21"/>
  <c r="I5" i="21"/>
  <c r="I22" i="21"/>
  <c r="C30" i="21"/>
  <c r="C25" i="21"/>
  <c r="C26" i="21"/>
  <c r="C29" i="21"/>
  <c r="C23" i="21"/>
  <c r="C22" i="21"/>
  <c r="C27" i="21"/>
  <c r="C5" i="21"/>
  <c r="C24" i="21"/>
  <c r="E23" i="20"/>
  <c r="E22" i="20"/>
  <c r="E29" i="20"/>
  <c r="E25" i="20"/>
  <c r="E5" i="20"/>
  <c r="E27" i="20"/>
  <c r="E30" i="20"/>
  <c r="E24" i="20"/>
  <c r="E26" i="20"/>
  <c r="N29" i="20"/>
  <c r="N25" i="20"/>
  <c r="N5" i="20"/>
  <c r="N22" i="20"/>
  <c r="N27" i="20"/>
  <c r="N24" i="20"/>
  <c r="N23" i="20"/>
  <c r="N30" i="20"/>
  <c r="N26" i="20"/>
  <c r="C30" i="20"/>
  <c r="AA16" i="20" s="1"/>
  <c r="C23" i="20"/>
  <c r="AA9" i="20" s="1"/>
  <c r="C26" i="20"/>
  <c r="AA12" i="20" s="1"/>
  <c r="C29" i="20"/>
  <c r="AA15" i="20" s="1"/>
  <c r="C25" i="20"/>
  <c r="AA11" i="20" s="1"/>
  <c r="C5" i="20"/>
  <c r="C27" i="20"/>
  <c r="AA13" i="20" s="1"/>
  <c r="C24" i="20"/>
  <c r="AA10" i="20" s="1"/>
  <c r="C22" i="20"/>
  <c r="AA8" i="20" s="1"/>
  <c r="Y30" i="20"/>
  <c r="Y23" i="20"/>
  <c r="Y26" i="20"/>
  <c r="Y29" i="20"/>
  <c r="Y25" i="20"/>
  <c r="Y5" i="20"/>
  <c r="Y27" i="20"/>
  <c r="Y24" i="20"/>
  <c r="Y22" i="20"/>
  <c r="H22" i="20"/>
  <c r="H30" i="20"/>
  <c r="H27" i="20"/>
  <c r="H24" i="20"/>
  <c r="H26" i="20"/>
  <c r="H23" i="20"/>
  <c r="H29" i="20"/>
  <c r="H25" i="20"/>
  <c r="H5" i="20"/>
  <c r="K30" i="20"/>
  <c r="K26" i="20"/>
  <c r="K23" i="20"/>
  <c r="K29" i="20"/>
  <c r="K25" i="20"/>
  <c r="K5" i="20"/>
  <c r="K22" i="20"/>
  <c r="K27" i="20"/>
  <c r="K24" i="20"/>
  <c r="F29" i="20"/>
  <c r="F22" i="20"/>
  <c r="F25" i="20"/>
  <c r="F5" i="20"/>
  <c r="F27" i="20"/>
  <c r="F24" i="20"/>
  <c r="F26" i="20"/>
  <c r="F30" i="20"/>
  <c r="F23" i="20"/>
  <c r="P22" i="20"/>
  <c r="P24" i="20"/>
  <c r="P27" i="20"/>
  <c r="P30" i="20"/>
  <c r="P26" i="20"/>
  <c r="P25" i="20"/>
  <c r="P23" i="20"/>
  <c r="P29" i="20"/>
  <c r="P5" i="20"/>
  <c r="G25" i="20"/>
  <c r="G5" i="20"/>
  <c r="G27" i="20"/>
  <c r="G24" i="20"/>
  <c r="G22" i="20"/>
  <c r="G30" i="20"/>
  <c r="G26" i="20"/>
  <c r="G23" i="20"/>
  <c r="G29" i="20"/>
  <c r="D26" i="20"/>
  <c r="D29" i="20"/>
  <c r="D25" i="20"/>
  <c r="D23" i="20"/>
  <c r="D22" i="20"/>
  <c r="D30" i="20"/>
  <c r="D27" i="20"/>
  <c r="D24" i="20"/>
  <c r="D5" i="20"/>
  <c r="L26" i="20"/>
  <c r="L25" i="20"/>
  <c r="L23" i="20"/>
  <c r="L29" i="20"/>
  <c r="L22" i="20"/>
  <c r="L24" i="20"/>
  <c r="L27" i="20"/>
  <c r="L30" i="20"/>
  <c r="L5" i="20"/>
  <c r="Q27" i="20"/>
  <c r="Q24" i="20"/>
  <c r="Q30" i="20"/>
  <c r="Q26" i="20"/>
  <c r="Q23" i="20"/>
  <c r="Q22" i="20"/>
  <c r="Q29" i="20"/>
  <c r="Q25" i="20"/>
  <c r="Q5" i="20"/>
  <c r="O25" i="20"/>
  <c r="O5" i="20"/>
  <c r="O22" i="20"/>
  <c r="O27" i="20"/>
  <c r="O24" i="20"/>
  <c r="O30" i="20"/>
  <c r="O23" i="20"/>
  <c r="O26" i="20"/>
  <c r="O29" i="20"/>
  <c r="I27" i="20"/>
  <c r="I30" i="20"/>
  <c r="I24" i="20"/>
  <c r="I26" i="20"/>
  <c r="I23" i="20"/>
  <c r="I25" i="20"/>
  <c r="I29" i="20"/>
  <c r="I5" i="20"/>
  <c r="I22" i="20"/>
  <c r="M23" i="20"/>
  <c r="M25" i="20"/>
  <c r="M5" i="20"/>
  <c r="M22" i="20"/>
  <c r="M29" i="20"/>
  <c r="M27" i="20"/>
  <c r="M26" i="20"/>
  <c r="M24" i="20"/>
  <c r="M30" i="20"/>
  <c r="R24" i="20"/>
  <c r="R30" i="20"/>
  <c r="R26" i="20"/>
  <c r="R23" i="20"/>
  <c r="R29" i="20"/>
  <c r="R22" i="20"/>
  <c r="R27" i="20"/>
  <c r="R25" i="20"/>
  <c r="R5" i="20"/>
  <c r="J24" i="20"/>
  <c r="J26" i="20"/>
  <c r="J23" i="20"/>
  <c r="J30" i="20"/>
  <c r="J29" i="20"/>
  <c r="J25" i="20"/>
  <c r="J5" i="20"/>
  <c r="J22" i="20"/>
  <c r="J27" i="20"/>
  <c r="A30" i="9"/>
  <c r="A29" i="9"/>
  <c r="A27" i="9"/>
  <c r="A26" i="9"/>
  <c r="A25" i="9"/>
  <c r="A24" i="9"/>
  <c r="A23" i="9"/>
  <c r="A22" i="9"/>
  <c r="A30" i="7"/>
  <c r="A29" i="7"/>
  <c r="A27" i="7"/>
  <c r="A26" i="7"/>
  <c r="A25" i="7"/>
  <c r="A24" i="7"/>
  <c r="A23" i="7"/>
  <c r="A22" i="7"/>
  <c r="D9" i="5"/>
  <c r="G8" i="5"/>
  <c r="F9" i="5"/>
  <c r="C8" i="5"/>
  <c r="AA16" i="21" l="1"/>
  <c r="AA15" i="21"/>
  <c r="AA13" i="21"/>
  <c r="AA8" i="21"/>
  <c r="AA10" i="21"/>
  <c r="AA9" i="21"/>
  <c r="AA12" i="21"/>
  <c r="AA11" i="21"/>
  <c r="A30" i="5"/>
  <c r="A29" i="5"/>
  <c r="A27" i="5"/>
  <c r="A26" i="5"/>
  <c r="A25" i="5"/>
  <c r="A24" i="5"/>
  <c r="A23" i="5"/>
  <c r="A22" i="5"/>
  <c r="A30" i="17"/>
  <c r="A29" i="17"/>
  <c r="H9" i="17"/>
  <c r="A27" i="17"/>
  <c r="A26" i="17"/>
  <c r="A25" i="17"/>
  <c r="A24" i="17"/>
  <c r="A23" i="17"/>
  <c r="A22" i="17"/>
  <c r="K35" i="12" l="1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13" i="8"/>
  <c r="J36" i="18"/>
  <c r="I36" i="18"/>
  <c r="H36" i="18"/>
  <c r="G36" i="18"/>
  <c r="F36" i="18"/>
  <c r="J36" i="16"/>
  <c r="I36" i="16"/>
  <c r="H36" i="16"/>
  <c r="G36" i="16"/>
  <c r="F36" i="16"/>
  <c r="J36" i="14"/>
  <c r="I36" i="14"/>
  <c r="H36" i="14"/>
  <c r="G36" i="14"/>
  <c r="F36" i="14"/>
  <c r="J36" i="12"/>
  <c r="I36" i="12"/>
  <c r="H36" i="12"/>
  <c r="G36" i="12"/>
  <c r="F36" i="12"/>
  <c r="J36" i="10"/>
  <c r="I36" i="10"/>
  <c r="H36" i="10"/>
  <c r="G36" i="10"/>
  <c r="F36" i="10"/>
  <c r="J36" i="8"/>
  <c r="I36" i="8"/>
  <c r="H36" i="8"/>
  <c r="G36" i="8"/>
  <c r="F36" i="8"/>
  <c r="J36" i="6"/>
  <c r="I36" i="6"/>
  <c r="H36" i="6"/>
  <c r="G36" i="6"/>
  <c r="F36" i="6"/>
  <c r="J36" i="4"/>
  <c r="I36" i="4"/>
  <c r="H36" i="4"/>
  <c r="G36" i="4"/>
  <c r="F36" i="4"/>
  <c r="K29" i="18"/>
  <c r="K19" i="18"/>
  <c r="K18" i="18"/>
  <c r="K17" i="18"/>
  <c r="K16" i="18"/>
  <c r="K15" i="18"/>
  <c r="K14" i="18"/>
  <c r="K13" i="18"/>
  <c r="K29" i="16"/>
  <c r="K19" i="16"/>
  <c r="K18" i="16"/>
  <c r="K17" i="16"/>
  <c r="K16" i="16"/>
  <c r="K15" i="16"/>
  <c r="K14" i="16"/>
  <c r="K13" i="16"/>
  <c r="K29" i="14"/>
  <c r="K28" i="14"/>
  <c r="K27" i="14"/>
  <c r="K26" i="14"/>
  <c r="K25" i="14"/>
  <c r="K24" i="14"/>
  <c r="K23" i="14"/>
  <c r="K22" i="14"/>
  <c r="K21" i="14"/>
  <c r="K20" i="14"/>
  <c r="K19" i="14"/>
  <c r="K18" i="14"/>
  <c r="K17" i="14"/>
  <c r="K16" i="14"/>
  <c r="K15" i="14"/>
  <c r="K14" i="14"/>
  <c r="K13" i="14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13" i="1"/>
  <c r="I36" i="1"/>
  <c r="J36" i="1"/>
  <c r="H36" i="1"/>
  <c r="F36" i="1"/>
  <c r="B1" i="11"/>
  <c r="B1" i="5"/>
  <c r="B1" i="7"/>
  <c r="B1" i="9"/>
  <c r="B1" i="13"/>
  <c r="AE2" i="13" l="1"/>
  <c r="AD2" i="13"/>
  <c r="AC2" i="13"/>
  <c r="AB2" i="13"/>
  <c r="AE2" i="11"/>
  <c r="AD2" i="11"/>
  <c r="AC2" i="11"/>
  <c r="AB2" i="11"/>
  <c r="AE2" i="9"/>
  <c r="AD2" i="9"/>
  <c r="AC2" i="9"/>
  <c r="AB2" i="9"/>
  <c r="AE2" i="7"/>
  <c r="AD2" i="7"/>
  <c r="AC2" i="7"/>
  <c r="AB2" i="7"/>
  <c r="AE2" i="5"/>
  <c r="AD2" i="5"/>
  <c r="AC2" i="5"/>
  <c r="AB2" i="5"/>
  <c r="A5" i="13" l="1"/>
  <c r="A4" i="13"/>
  <c r="A3" i="13"/>
  <c r="A5" i="11"/>
  <c r="A4" i="11"/>
  <c r="A3" i="11"/>
  <c r="A5" i="9"/>
  <c r="A4" i="9"/>
  <c r="A3" i="9"/>
  <c r="A5" i="7"/>
  <c r="A4" i="7"/>
  <c r="A3" i="7"/>
  <c r="A5" i="5"/>
  <c r="A4" i="5"/>
  <c r="A3" i="5"/>
  <c r="AE2" i="17"/>
  <c r="AD2" i="17"/>
  <c r="AC2" i="17"/>
  <c r="AB2" i="17"/>
  <c r="K36" i="18"/>
  <c r="G36" i="1"/>
  <c r="Z2" i="17" l="1"/>
  <c r="Y2" i="17"/>
  <c r="C2" i="17"/>
  <c r="B2" i="17"/>
  <c r="A2" i="17"/>
  <c r="A1" i="17"/>
  <c r="A4" i="17"/>
  <c r="A5" i="17"/>
  <c r="A3" i="17"/>
  <c r="F37" i="18"/>
  <c r="A37" i="18"/>
  <c r="A36" i="18"/>
  <c r="A12" i="18"/>
  <c r="K11" i="18"/>
  <c r="J11" i="18"/>
  <c r="I11" i="18"/>
  <c r="H11" i="18"/>
  <c r="F11" i="18"/>
  <c r="K7" i="18"/>
  <c r="I7" i="18"/>
  <c r="F7" i="18"/>
  <c r="D7" i="18"/>
  <c r="J5" i="18"/>
  <c r="G5" i="18"/>
  <c r="A5" i="18"/>
  <c r="A2" i="18"/>
  <c r="A1" i="18"/>
  <c r="F37" i="16" l="1"/>
  <c r="A37" i="16"/>
  <c r="A36" i="16"/>
  <c r="A12" i="16"/>
  <c r="K11" i="16"/>
  <c r="J11" i="16"/>
  <c r="I11" i="16"/>
  <c r="H11" i="16"/>
  <c r="F11" i="16"/>
  <c r="K7" i="16"/>
  <c r="I7" i="16"/>
  <c r="F7" i="16"/>
  <c r="D7" i="16"/>
  <c r="J5" i="16"/>
  <c r="G5" i="16"/>
  <c r="A5" i="16"/>
  <c r="A2" i="16"/>
  <c r="A1" i="16"/>
  <c r="F37" i="14"/>
  <c r="A37" i="14"/>
  <c r="A36" i="14"/>
  <c r="A12" i="14"/>
  <c r="K11" i="14"/>
  <c r="J11" i="14"/>
  <c r="I11" i="14"/>
  <c r="H11" i="14"/>
  <c r="F11" i="14"/>
  <c r="K7" i="14"/>
  <c r="I7" i="14"/>
  <c r="F7" i="14"/>
  <c r="D7" i="14"/>
  <c r="J5" i="14"/>
  <c r="G5" i="14"/>
  <c r="A5" i="14"/>
  <c r="A2" i="14"/>
  <c r="A1" i="14"/>
  <c r="K36" i="14" l="1"/>
  <c r="K36" i="16"/>
  <c r="A1" i="13"/>
  <c r="A1" i="11"/>
  <c r="A1" i="9"/>
  <c r="A1" i="7"/>
  <c r="A1" i="5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J5" i="6"/>
  <c r="G5" i="6"/>
  <c r="A5" i="6"/>
  <c r="A36" i="6"/>
  <c r="A37" i="6"/>
  <c r="J5" i="4"/>
  <c r="G5" i="4"/>
  <c r="A5" i="4"/>
  <c r="A36" i="4"/>
  <c r="A37" i="4"/>
  <c r="A37" i="1"/>
  <c r="A36" i="1"/>
  <c r="J5" i="1"/>
  <c r="G5" i="1"/>
  <c r="A5" i="1"/>
  <c r="Y2" i="9"/>
  <c r="Y2" i="7"/>
  <c r="Y2" i="5"/>
  <c r="Y2" i="11"/>
  <c r="Y2" i="13"/>
  <c r="Z2" i="5"/>
  <c r="Z2" i="7"/>
  <c r="Z2" i="9" l="1"/>
  <c r="Z2" i="11"/>
  <c r="C2" i="5"/>
  <c r="B2" i="5"/>
  <c r="A2" i="5"/>
  <c r="C2" i="7"/>
  <c r="B2" i="7"/>
  <c r="A2" i="7"/>
  <c r="C2" i="9"/>
  <c r="B2" i="9"/>
  <c r="A2" i="9"/>
  <c r="C2" i="11"/>
  <c r="B2" i="11"/>
  <c r="A2" i="11"/>
  <c r="C2" i="13"/>
  <c r="B2" i="13"/>
  <c r="A2" i="13"/>
  <c r="Z2" i="13"/>
  <c r="F37" i="1"/>
  <c r="F37" i="4"/>
  <c r="F37" i="6"/>
  <c r="F37" i="8"/>
  <c r="F37" i="10"/>
  <c r="A12" i="1"/>
  <c r="K11" i="1"/>
  <c r="J11" i="1"/>
  <c r="I11" i="1"/>
  <c r="H11" i="1"/>
  <c r="F11" i="1"/>
  <c r="A12" i="4"/>
  <c r="K11" i="4"/>
  <c r="J11" i="4"/>
  <c r="I11" i="4"/>
  <c r="H11" i="4"/>
  <c r="F11" i="4"/>
  <c r="A12" i="6"/>
  <c r="K11" i="6"/>
  <c r="J11" i="6"/>
  <c r="I11" i="6"/>
  <c r="H11" i="6"/>
  <c r="F11" i="6"/>
  <c r="A12" i="8"/>
  <c r="K11" i="8"/>
  <c r="J11" i="8"/>
  <c r="I11" i="8"/>
  <c r="H11" i="8"/>
  <c r="F11" i="8"/>
  <c r="A12" i="10"/>
  <c r="K11" i="10"/>
  <c r="J11" i="10"/>
  <c r="I11" i="10"/>
  <c r="H11" i="10"/>
  <c r="F11" i="10"/>
  <c r="K7" i="1"/>
  <c r="I7" i="1"/>
  <c r="F7" i="1"/>
  <c r="D7" i="1"/>
  <c r="K7" i="4"/>
  <c r="I7" i="4"/>
  <c r="F7" i="4"/>
  <c r="D7" i="4"/>
  <c r="K7" i="6"/>
  <c r="I7" i="6"/>
  <c r="F7" i="6"/>
  <c r="D7" i="6"/>
  <c r="K7" i="8"/>
  <c r="I7" i="8"/>
  <c r="F7" i="8"/>
  <c r="D7" i="8"/>
  <c r="K7" i="10"/>
  <c r="I7" i="10"/>
  <c r="F7" i="10"/>
  <c r="D7" i="10"/>
  <c r="A2" i="1"/>
  <c r="A1" i="1"/>
  <c r="A2" i="4"/>
  <c r="A1" i="4"/>
  <c r="A2" i="6"/>
  <c r="A1" i="6"/>
  <c r="A2" i="8"/>
  <c r="A1" i="8"/>
  <c r="A2" i="10"/>
  <c r="A1" i="10"/>
  <c r="F37" i="12"/>
  <c r="K11" i="12"/>
  <c r="J11" i="12"/>
  <c r="I11" i="12"/>
  <c r="H11" i="12"/>
  <c r="F11" i="12"/>
  <c r="A12" i="12"/>
  <c r="K7" i="12"/>
  <c r="I7" i="12"/>
  <c r="F7" i="12"/>
  <c r="D7" i="12"/>
  <c r="A2" i="12"/>
  <c r="A1" i="12"/>
  <c r="O8" i="11"/>
  <c r="H16" i="17"/>
  <c r="L16" i="13"/>
  <c r="I9" i="7"/>
  <c r="Q9" i="17"/>
  <c r="C9" i="17"/>
  <c r="AC11" i="7"/>
  <c r="H10" i="13"/>
  <c r="S13" i="11"/>
  <c r="T11" i="13"/>
  <c r="L12" i="11"/>
  <c r="AB13" i="17"/>
  <c r="S8" i="9"/>
  <c r="N7" i="5"/>
  <c r="T8" i="9"/>
  <c r="E10" i="13"/>
  <c r="R16" i="7"/>
  <c r="E15" i="7"/>
  <c r="X12" i="11"/>
  <c r="N13" i="5"/>
  <c r="D11" i="11"/>
  <c r="B10" i="11"/>
  <c r="Y16" i="5"/>
  <c r="G8" i="11"/>
  <c r="AD13" i="11"/>
  <c r="L13" i="17"/>
  <c r="X12" i="13"/>
  <c r="C13" i="11"/>
  <c r="B12" i="5"/>
  <c r="U13" i="13"/>
  <c r="I9" i="17"/>
  <c r="P7" i="7"/>
  <c r="Q9" i="7"/>
  <c r="V10" i="9"/>
  <c r="R11" i="11"/>
  <c r="AB16" i="5"/>
  <c r="C11" i="11"/>
  <c r="O12" i="7"/>
  <c r="B12" i="13"/>
  <c r="G10" i="11"/>
  <c r="E8" i="7"/>
  <c r="AD8" i="5"/>
  <c r="AB9" i="13"/>
  <c r="R8" i="5"/>
  <c r="F11" i="11"/>
  <c r="J9" i="11"/>
  <c r="X16" i="13"/>
  <c r="AD10" i="5"/>
  <c r="X9" i="11"/>
  <c r="K9" i="17"/>
  <c r="P9" i="11"/>
  <c r="P15" i="5"/>
  <c r="N9" i="17"/>
  <c r="B11" i="9"/>
  <c r="P11" i="5"/>
  <c r="L9" i="11"/>
  <c r="B10" i="13"/>
  <c r="Q10" i="5"/>
  <c r="Q10" i="7"/>
  <c r="Y13" i="5"/>
  <c r="F15" i="17"/>
  <c r="N11" i="7"/>
  <c r="U9" i="9"/>
  <c r="G7" i="7"/>
  <c r="M15" i="17"/>
  <c r="O10" i="7"/>
  <c r="AB8" i="5"/>
  <c r="G16" i="11"/>
  <c r="P9" i="17"/>
  <c r="F15" i="11"/>
  <c r="J7" i="7"/>
  <c r="R13" i="5"/>
  <c r="P15" i="13"/>
  <c r="E11" i="11"/>
  <c r="M13" i="7"/>
  <c r="M7" i="7"/>
  <c r="D15" i="13"/>
  <c r="Y11" i="17"/>
  <c r="M10" i="5"/>
  <c r="Q13" i="17"/>
  <c r="H10" i="17"/>
  <c r="AC12" i="13"/>
  <c r="AC10" i="7"/>
  <c r="B9" i="7"/>
  <c r="J9" i="7"/>
  <c r="N15" i="11"/>
  <c r="K10" i="17"/>
  <c r="D11" i="7"/>
  <c r="Z11" i="11"/>
  <c r="E15" i="13"/>
  <c r="Y10" i="17"/>
  <c r="D16" i="13"/>
  <c r="D12" i="13"/>
  <c r="O9" i="17"/>
  <c r="H13" i="5"/>
  <c r="V10" i="11"/>
  <c r="Z8" i="7"/>
  <c r="AD11" i="13"/>
  <c r="E7" i="17"/>
  <c r="C16" i="5"/>
  <c r="Y10" i="5"/>
  <c r="G15" i="13"/>
  <c r="H12" i="13"/>
  <c r="D10" i="5"/>
  <c r="W9" i="11"/>
  <c r="L9" i="7"/>
  <c r="U8" i="9"/>
  <c r="L7" i="17"/>
  <c r="I10" i="13"/>
  <c r="G15" i="11"/>
  <c r="Z12" i="7"/>
  <c r="H15" i="17"/>
  <c r="M7" i="5"/>
  <c r="S10" i="9"/>
  <c r="L11" i="7"/>
  <c r="D16" i="7"/>
  <c r="AB7" i="17"/>
  <c r="AE15" i="17"/>
  <c r="I12" i="5"/>
  <c r="K8" i="17"/>
  <c r="Y13" i="13"/>
  <c r="G11" i="7"/>
  <c r="L11" i="13"/>
  <c r="O15" i="11"/>
  <c r="K10" i="5"/>
  <c r="V11" i="13"/>
  <c r="W10" i="11"/>
  <c r="L12" i="5"/>
  <c r="W15" i="9"/>
  <c r="E16" i="13"/>
  <c r="AB10" i="13"/>
  <c r="P10" i="7"/>
  <c r="G7" i="5"/>
  <c r="J16" i="5"/>
  <c r="B13" i="9"/>
  <c r="E16" i="17"/>
  <c r="Q16" i="13"/>
  <c r="E12" i="13"/>
  <c r="Y12" i="5"/>
  <c r="J8" i="11"/>
  <c r="Q9" i="11"/>
  <c r="AD10" i="13"/>
  <c r="B16" i="5"/>
  <c r="R16" i="17"/>
  <c r="M16" i="13"/>
  <c r="AB13" i="7"/>
  <c r="AD13" i="9"/>
  <c r="U12" i="13"/>
  <c r="L13" i="5"/>
  <c r="AE7" i="7"/>
  <c r="AC10" i="11"/>
  <c r="P10" i="11"/>
  <c r="L11" i="5"/>
  <c r="R8" i="11"/>
  <c r="K12" i="17"/>
  <c r="R12" i="5"/>
  <c r="K16" i="11"/>
  <c r="AB8" i="11"/>
  <c r="D10" i="17"/>
  <c r="G13" i="5"/>
  <c r="W16" i="13"/>
  <c r="Q11" i="11"/>
  <c r="O13" i="13"/>
  <c r="L15" i="17"/>
  <c r="R15" i="13"/>
  <c r="AE15" i="11"/>
  <c r="T16" i="9"/>
  <c r="Q13" i="5"/>
  <c r="D12" i="11"/>
  <c r="AB10" i="7"/>
  <c r="O8" i="7"/>
  <c r="AD8" i="7"/>
  <c r="H7" i="17"/>
  <c r="I12" i="7"/>
  <c r="M9" i="7"/>
  <c r="AB13" i="5"/>
  <c r="AE7" i="9"/>
  <c r="Y16" i="13"/>
  <c r="J10" i="5"/>
  <c r="F9" i="11"/>
  <c r="H10" i="7"/>
  <c r="S16" i="13"/>
  <c r="J10" i="17"/>
  <c r="N12" i="11"/>
  <c r="Y8" i="5"/>
  <c r="Y12" i="17"/>
  <c r="L16" i="5"/>
  <c r="U11" i="9"/>
  <c r="AB8" i="13"/>
  <c r="B13" i="11"/>
  <c r="S10" i="11"/>
  <c r="M15" i="5"/>
  <c r="N12" i="7"/>
  <c r="AB16" i="17"/>
  <c r="AB15" i="5"/>
  <c r="AC16" i="5"/>
  <c r="X11" i="13"/>
  <c r="H13" i="11"/>
  <c r="AB7" i="7"/>
  <c r="AE15" i="5"/>
  <c r="P13" i="13"/>
  <c r="H7" i="5"/>
  <c r="F7" i="5"/>
  <c r="G11" i="11"/>
  <c r="M16" i="7"/>
  <c r="G15" i="17"/>
  <c r="R10" i="17"/>
  <c r="I8" i="5"/>
  <c r="Y9" i="11"/>
  <c r="L9" i="5"/>
  <c r="AE11" i="17"/>
  <c r="O8" i="5"/>
  <c r="H9" i="11"/>
  <c r="H12" i="5"/>
  <c r="AD12" i="17"/>
  <c r="B11" i="5"/>
  <c r="S12" i="11"/>
  <c r="J16" i="7"/>
  <c r="AE7" i="11"/>
  <c r="N11" i="13"/>
  <c r="U10" i="9"/>
  <c r="R7" i="17"/>
  <c r="AD7" i="13"/>
  <c r="H12" i="7"/>
  <c r="D15" i="17"/>
  <c r="AB11" i="17"/>
  <c r="Z8" i="5"/>
  <c r="K11" i="7"/>
  <c r="B15" i="17"/>
  <c r="I10" i="17"/>
  <c r="I8" i="11"/>
  <c r="AC11" i="11"/>
  <c r="Y8" i="11"/>
  <c r="P11" i="17"/>
  <c r="AD16" i="9"/>
  <c r="L7" i="7"/>
  <c r="D7" i="5"/>
  <c r="W12" i="13"/>
  <c r="N16" i="17"/>
  <c r="Q12" i="5"/>
  <c r="AE9" i="17"/>
  <c r="O11" i="11"/>
  <c r="Q16" i="17"/>
  <c r="AE8" i="11"/>
  <c r="I15" i="5"/>
  <c r="C12" i="13"/>
  <c r="P11" i="13"/>
  <c r="J13" i="13"/>
  <c r="L8" i="7"/>
  <c r="K15" i="17"/>
  <c r="J16" i="13"/>
  <c r="E16" i="5"/>
  <c r="M11" i="5"/>
  <c r="P10" i="17"/>
  <c r="N8" i="17"/>
  <c r="T15" i="11"/>
  <c r="E10" i="11"/>
  <c r="R12" i="17"/>
  <c r="X13" i="13"/>
  <c r="R9" i="7"/>
  <c r="E9" i="7"/>
  <c r="AC8" i="13"/>
  <c r="Y12" i="9"/>
  <c r="AB7" i="11"/>
  <c r="R9" i="11"/>
  <c r="U11" i="11"/>
  <c r="E15" i="17"/>
  <c r="J16" i="17"/>
  <c r="V8" i="11"/>
  <c r="AD15" i="13"/>
  <c r="AD7" i="17"/>
  <c r="U12" i="11"/>
  <c r="Y11" i="9"/>
  <c r="B10" i="7"/>
  <c r="N11" i="11"/>
  <c r="F15" i="5"/>
  <c r="D10" i="7"/>
  <c r="G15" i="5"/>
  <c r="Q11" i="13"/>
  <c r="G13" i="17"/>
  <c r="AB16" i="7"/>
  <c r="AC16" i="9"/>
  <c r="D13" i="7"/>
  <c r="X10" i="13"/>
  <c r="I12" i="17"/>
  <c r="C10" i="11"/>
  <c r="K9" i="11"/>
  <c r="H15" i="13"/>
  <c r="U12" i="9"/>
  <c r="AE15" i="13"/>
  <c r="P8" i="7"/>
  <c r="Z11" i="7"/>
  <c r="AB10" i="17"/>
  <c r="AD11" i="7"/>
  <c r="X15" i="13"/>
  <c r="L15" i="7"/>
  <c r="H16" i="7"/>
  <c r="C12" i="17"/>
  <c r="K13" i="13"/>
  <c r="Z15" i="17"/>
  <c r="Q15" i="13"/>
  <c r="O16" i="7"/>
  <c r="U16" i="11"/>
  <c r="K10" i="7"/>
  <c r="AD8" i="9"/>
  <c r="F7" i="7"/>
  <c r="K11" i="13"/>
  <c r="AD16" i="17"/>
  <c r="AC16" i="17"/>
  <c r="Z15" i="13"/>
  <c r="F12" i="11"/>
  <c r="AE8" i="9"/>
  <c r="H13" i="17"/>
  <c r="O15" i="7"/>
  <c r="AB8" i="7"/>
  <c r="T12" i="11"/>
  <c r="H8" i="7"/>
  <c r="Y13" i="11"/>
  <c r="H11" i="7"/>
  <c r="J13" i="5"/>
  <c r="U8" i="11"/>
  <c r="E10" i="5"/>
  <c r="M15" i="13"/>
  <c r="V15" i="11"/>
  <c r="O8" i="17"/>
  <c r="P15" i="11"/>
  <c r="M11" i="11"/>
  <c r="K7" i="7"/>
  <c r="E16" i="7"/>
  <c r="I10" i="7"/>
  <c r="O16" i="17"/>
  <c r="P15" i="17"/>
  <c r="L12" i="13"/>
  <c r="G9" i="5"/>
  <c r="C15" i="5"/>
  <c r="J15" i="17"/>
  <c r="B9" i="11"/>
  <c r="K16" i="17"/>
  <c r="J12" i="7"/>
  <c r="AC7" i="9"/>
  <c r="R15" i="5"/>
  <c r="R16" i="13"/>
  <c r="O12" i="5"/>
  <c r="AE10" i="7"/>
  <c r="E13" i="5"/>
  <c r="AC11" i="5"/>
  <c r="J10" i="7"/>
  <c r="I7" i="7"/>
  <c r="Q13" i="11"/>
  <c r="Y7" i="7"/>
  <c r="R16" i="11"/>
  <c r="M16" i="17"/>
  <c r="N12" i="5"/>
  <c r="O12" i="17"/>
  <c r="U15" i="13"/>
  <c r="R13" i="11"/>
  <c r="Q7" i="17"/>
  <c r="D13" i="5"/>
  <c r="W10" i="9"/>
  <c r="D8" i="7"/>
  <c r="AE8" i="13"/>
  <c r="L11" i="17"/>
  <c r="D16" i="11"/>
  <c r="AC10" i="9"/>
  <c r="O7" i="17"/>
  <c r="C16" i="11"/>
  <c r="V12" i="9"/>
  <c r="Y15" i="9"/>
  <c r="AD13" i="17"/>
  <c r="AE10" i="5"/>
  <c r="Y7" i="17"/>
  <c r="P16" i="7"/>
  <c r="P7" i="17"/>
  <c r="J12" i="5"/>
  <c r="AD12" i="7"/>
  <c r="AD12" i="9"/>
  <c r="Z10" i="5"/>
  <c r="O15" i="13"/>
  <c r="AE7" i="5"/>
  <c r="T9" i="11"/>
  <c r="AC7" i="5"/>
  <c r="AD11" i="9"/>
  <c r="C11" i="13"/>
  <c r="B11" i="7"/>
  <c r="P15" i="7"/>
  <c r="J11" i="11"/>
  <c r="D13" i="13"/>
  <c r="Y9" i="9"/>
  <c r="D15" i="5"/>
  <c r="B7" i="11"/>
  <c r="B16" i="7"/>
  <c r="B10" i="5"/>
  <c r="C9" i="11"/>
  <c r="H9" i="5"/>
  <c r="C10" i="13"/>
  <c r="D15" i="11"/>
  <c r="G10" i="5"/>
  <c r="J11" i="17"/>
  <c r="M8" i="7"/>
  <c r="P8" i="5"/>
  <c r="B13" i="5"/>
  <c r="AE10" i="9"/>
  <c r="N12" i="17"/>
  <c r="S13" i="13"/>
  <c r="U10" i="13"/>
  <c r="P10" i="13"/>
  <c r="E15" i="11"/>
  <c r="B15" i="7"/>
  <c r="E12" i="17"/>
  <c r="E12" i="11"/>
  <c r="J12" i="13"/>
  <c r="U9" i="11"/>
  <c r="AC7" i="7"/>
  <c r="R12" i="7"/>
  <c r="AC10" i="17"/>
  <c r="C8" i="7"/>
  <c r="G11" i="17"/>
  <c r="B11" i="11"/>
  <c r="I16" i="5"/>
  <c r="C7" i="17"/>
  <c r="F7" i="17"/>
  <c r="Z10" i="7"/>
  <c r="F15" i="13"/>
  <c r="K8" i="11"/>
  <c r="T16" i="13"/>
  <c r="Y11" i="11"/>
  <c r="K16" i="13"/>
  <c r="Q8" i="7"/>
  <c r="O16" i="11"/>
  <c r="AD13" i="13"/>
  <c r="O10" i="5"/>
  <c r="AC12" i="9"/>
  <c r="K10" i="11"/>
  <c r="P13" i="7"/>
  <c r="Y15" i="11"/>
  <c r="J10" i="11"/>
  <c r="Y13" i="7"/>
  <c r="E10" i="7"/>
  <c r="AC16" i="13"/>
  <c r="H8" i="11"/>
  <c r="AC8" i="11"/>
  <c r="Y10" i="11"/>
  <c r="AB11" i="7"/>
  <c r="B16" i="17"/>
  <c r="I16" i="11"/>
  <c r="H11" i="5"/>
  <c r="N12" i="13"/>
  <c r="AC9" i="9"/>
  <c r="O13" i="17"/>
  <c r="AE12" i="11"/>
  <c r="U10" i="11"/>
  <c r="S10" i="13"/>
  <c r="AB12" i="17"/>
  <c r="W15" i="11"/>
  <c r="V16" i="11"/>
  <c r="W16" i="11"/>
  <c r="P12" i="13"/>
  <c r="I15" i="7"/>
  <c r="AC9" i="7"/>
  <c r="Q12" i="17"/>
  <c r="R12" i="11"/>
  <c r="H8" i="17"/>
  <c r="O16" i="5"/>
  <c r="S16" i="11"/>
  <c r="O10" i="11"/>
  <c r="E13" i="11"/>
  <c r="Z12" i="5"/>
  <c r="AE11" i="9"/>
  <c r="B12" i="11"/>
  <c r="C13" i="17"/>
  <c r="T10" i="9"/>
  <c r="N10" i="17"/>
  <c r="AD9" i="9"/>
  <c r="O13" i="11"/>
  <c r="AE13" i="7"/>
  <c r="AE10" i="11"/>
  <c r="P13" i="17"/>
  <c r="AE10" i="13"/>
  <c r="AD9" i="11"/>
  <c r="O9" i="11"/>
  <c r="R8" i="7"/>
  <c r="Y11" i="7"/>
  <c r="C10" i="5"/>
  <c r="K11" i="11"/>
  <c r="M13" i="13"/>
  <c r="Y13" i="17"/>
  <c r="N9" i="11"/>
  <c r="AE13" i="11"/>
  <c r="Z13" i="5"/>
  <c r="W11" i="13"/>
  <c r="AC9" i="5"/>
  <c r="O15" i="17"/>
  <c r="AD11" i="17"/>
  <c r="G12" i="13"/>
  <c r="AD13" i="7"/>
  <c r="AC15" i="17"/>
  <c r="P12" i="17"/>
  <c r="T13" i="9"/>
  <c r="N10" i="13"/>
  <c r="Y10" i="9"/>
  <c r="B15" i="11"/>
  <c r="W13" i="11"/>
  <c r="AC9" i="17"/>
  <c r="R8" i="17"/>
  <c r="R11" i="13"/>
  <c r="K9" i="5"/>
  <c r="AB15" i="7"/>
  <c r="O11" i="5"/>
  <c r="Z13" i="7"/>
  <c r="Q12" i="7"/>
  <c r="I15" i="13"/>
  <c r="AD7" i="7"/>
  <c r="AC15" i="7"/>
  <c r="K7" i="5"/>
  <c r="P8" i="17"/>
  <c r="V13" i="11"/>
  <c r="AE9" i="5"/>
  <c r="AD15" i="9"/>
  <c r="J15" i="7"/>
  <c r="E12" i="5"/>
  <c r="AB12" i="5"/>
  <c r="AD7" i="5"/>
  <c r="P11" i="11"/>
  <c r="B8" i="17"/>
  <c r="AD8" i="13"/>
  <c r="AE12" i="7"/>
  <c r="N13" i="11"/>
  <c r="C15" i="17"/>
  <c r="Z13" i="11"/>
  <c r="R10" i="7"/>
  <c r="AC15" i="5"/>
  <c r="V16" i="13"/>
  <c r="J13" i="11"/>
  <c r="AB16" i="13"/>
  <c r="C12" i="5"/>
  <c r="F8" i="11"/>
  <c r="E13" i="13"/>
  <c r="C7" i="5"/>
  <c r="V12" i="13"/>
  <c r="G12" i="11"/>
  <c r="L8" i="17"/>
  <c r="G13" i="7"/>
  <c r="D10" i="13"/>
  <c r="AD9" i="17"/>
  <c r="N10" i="7"/>
  <c r="T16" i="11"/>
  <c r="I10" i="11"/>
  <c r="G9" i="17"/>
  <c r="V16" i="9"/>
  <c r="W11" i="11"/>
  <c r="D16" i="17"/>
  <c r="F16" i="13"/>
  <c r="F10" i="17"/>
  <c r="I11" i="17"/>
  <c r="AC11" i="13"/>
  <c r="AE12" i="5"/>
  <c r="R11" i="17"/>
  <c r="E8" i="5"/>
  <c r="I12" i="13"/>
  <c r="M12" i="11"/>
  <c r="S9" i="11"/>
  <c r="M7" i="17"/>
  <c r="I15" i="11"/>
  <c r="AD16" i="11"/>
  <c r="P12" i="11"/>
  <c r="AC11" i="17"/>
  <c r="B8" i="11"/>
  <c r="E11" i="17"/>
  <c r="R15" i="11"/>
  <c r="AE16" i="9"/>
  <c r="L15" i="5"/>
  <c r="C15" i="11"/>
  <c r="Q11" i="5"/>
  <c r="R11" i="7"/>
  <c r="N8" i="11"/>
  <c r="Y15" i="5"/>
  <c r="N9" i="5"/>
  <c r="B7" i="13"/>
  <c r="S11" i="9"/>
  <c r="H11" i="13"/>
  <c r="D13" i="11"/>
  <c r="M12" i="13"/>
  <c r="AD10" i="11"/>
  <c r="B8" i="5"/>
  <c r="R9" i="5"/>
  <c r="Q8" i="17"/>
  <c r="D9" i="11"/>
  <c r="L15" i="13"/>
  <c r="E9" i="11"/>
  <c r="W13" i="9"/>
  <c r="Q15" i="11"/>
  <c r="C11" i="5"/>
  <c r="AC16" i="7"/>
  <c r="H10" i="5"/>
  <c r="Y10" i="13"/>
  <c r="AC15" i="13"/>
  <c r="C12" i="11"/>
  <c r="B15" i="5"/>
  <c r="F16" i="17"/>
  <c r="H16" i="11"/>
  <c r="Y12" i="7"/>
  <c r="Y13" i="9"/>
  <c r="W8" i="11"/>
  <c r="V11" i="9"/>
  <c r="AD11" i="11"/>
  <c r="Q8" i="11"/>
  <c r="AE9" i="7"/>
  <c r="AB11" i="11"/>
  <c r="K12" i="7"/>
  <c r="G10" i="7"/>
  <c r="X11" i="11"/>
  <c r="AC7" i="13"/>
  <c r="AE16" i="17"/>
  <c r="L7" i="5"/>
  <c r="AD12" i="11"/>
  <c r="K10" i="13"/>
  <c r="AD10" i="17"/>
  <c r="Y8" i="9"/>
  <c r="U15" i="11"/>
  <c r="G9" i="7"/>
  <c r="R16" i="5"/>
  <c r="Y16" i="11"/>
  <c r="G16" i="7"/>
  <c r="AC7" i="11"/>
  <c r="AC12" i="5"/>
  <c r="Y16" i="17"/>
  <c r="I11" i="5"/>
  <c r="AB12" i="13"/>
  <c r="AE10" i="17"/>
  <c r="AD11" i="5"/>
  <c r="T11" i="9"/>
  <c r="Y7" i="11"/>
  <c r="B13" i="13"/>
  <c r="W13" i="13"/>
  <c r="J13" i="17"/>
  <c r="P10" i="5"/>
  <c r="L11" i="11"/>
  <c r="B15" i="13"/>
  <c r="R9" i="17"/>
  <c r="E13" i="17"/>
  <c r="P9" i="7"/>
  <c r="C16" i="17"/>
  <c r="K12" i="11"/>
  <c r="K15" i="13"/>
  <c r="AC15" i="9"/>
  <c r="R13" i="13"/>
  <c r="H10" i="11"/>
  <c r="X8" i="11"/>
  <c r="I13" i="7"/>
  <c r="E10" i="17"/>
  <c r="H16" i="5"/>
  <c r="L8" i="5"/>
  <c r="R13" i="7"/>
  <c r="Q11" i="17"/>
  <c r="M13" i="5"/>
  <c r="D7" i="17"/>
  <c r="O11" i="13"/>
  <c r="C10" i="17"/>
  <c r="M10" i="11"/>
  <c r="K16" i="7"/>
  <c r="D11" i="5"/>
  <c r="E12" i="7"/>
  <c r="S9" i="9"/>
  <c r="L15" i="11"/>
  <c r="M10" i="7"/>
  <c r="M11" i="17"/>
  <c r="P13" i="5"/>
  <c r="C15" i="7"/>
  <c r="J16" i="11"/>
  <c r="AD9" i="5"/>
  <c r="D10" i="11"/>
  <c r="O9" i="7"/>
  <c r="E11" i="13"/>
  <c r="AB16" i="9"/>
  <c r="K12" i="13"/>
  <c r="Y12" i="13"/>
  <c r="AD16" i="13"/>
  <c r="I13" i="5"/>
  <c r="Y11" i="13"/>
  <c r="AB7" i="5"/>
  <c r="K11" i="17"/>
  <c r="AE8" i="5"/>
  <c r="AC13" i="17"/>
  <c r="R10" i="5"/>
  <c r="H7" i="7"/>
  <c r="AB15" i="11"/>
  <c r="AB13" i="13"/>
  <c r="H9" i="7"/>
  <c r="N15" i="17"/>
  <c r="AB15" i="17"/>
  <c r="C11" i="17"/>
  <c r="D7" i="7"/>
  <c r="D8" i="17"/>
  <c r="P9" i="5"/>
  <c r="Y7" i="5"/>
  <c r="K13" i="11"/>
  <c r="H15" i="11"/>
  <c r="AB15" i="13"/>
  <c r="M16" i="5"/>
  <c r="Z15" i="11"/>
  <c r="L16" i="7"/>
  <c r="Q16" i="7"/>
  <c r="D8" i="5"/>
  <c r="G12" i="7"/>
  <c r="U13" i="11"/>
  <c r="Q10" i="17"/>
  <c r="AB9" i="7"/>
  <c r="L16" i="17"/>
  <c r="J9" i="5"/>
  <c r="Y12" i="11"/>
  <c r="AD15" i="11"/>
  <c r="M12" i="5"/>
  <c r="N11" i="17"/>
  <c r="F9" i="17"/>
  <c r="G16" i="17"/>
  <c r="AE11" i="11"/>
  <c r="M9" i="17"/>
  <c r="G7" i="17"/>
  <c r="Y9" i="7"/>
  <c r="M12" i="17"/>
  <c r="I16" i="17"/>
  <c r="B12" i="17"/>
  <c r="W12" i="11"/>
  <c r="AC7" i="17"/>
  <c r="F16" i="5"/>
  <c r="F10" i="5"/>
  <c r="H15" i="7"/>
  <c r="Q7" i="5"/>
  <c r="I11" i="11"/>
  <c r="T9" i="9"/>
  <c r="Y8" i="7"/>
  <c r="P16" i="17"/>
  <c r="I7" i="5"/>
  <c r="D15" i="7"/>
  <c r="AC13" i="5"/>
  <c r="M11" i="13"/>
  <c r="AD7" i="9"/>
  <c r="D11" i="13"/>
  <c r="N9" i="13"/>
  <c r="C7" i="13"/>
  <c r="R9" i="13"/>
  <c r="J9" i="13"/>
  <c r="H7" i="13"/>
  <c r="Q9" i="13"/>
  <c r="P8" i="13"/>
  <c r="Y9" i="13"/>
  <c r="H9" i="13"/>
  <c r="T13" i="13"/>
  <c r="Q16" i="11"/>
  <c r="E15" i="5"/>
  <c r="N7" i="17"/>
  <c r="Z9" i="11"/>
  <c r="Y15" i="17"/>
  <c r="V15" i="9"/>
  <c r="B10" i="9"/>
  <c r="F16" i="7"/>
  <c r="AB15" i="9"/>
  <c r="F12" i="7"/>
  <c r="Q7" i="7"/>
  <c r="P16" i="13"/>
  <c r="L10" i="7"/>
  <c r="K8" i="7"/>
  <c r="L10" i="11"/>
  <c r="Z15" i="5"/>
  <c r="M15" i="11"/>
  <c r="X16" i="11"/>
  <c r="P12" i="7"/>
  <c r="B9" i="13"/>
  <c r="AC13" i="13"/>
  <c r="F16" i="11"/>
  <c r="F13" i="5"/>
  <c r="I13" i="13"/>
  <c r="K16" i="5"/>
  <c r="C8" i="17"/>
  <c r="C16" i="7"/>
  <c r="N7" i="7"/>
  <c r="J15" i="11"/>
  <c r="M11" i="7"/>
  <c r="R11" i="5"/>
  <c r="G13" i="11"/>
  <c r="B15" i="9"/>
  <c r="N15" i="5"/>
  <c r="S13" i="9"/>
  <c r="G16" i="13"/>
  <c r="G15" i="7"/>
  <c r="AE11" i="5"/>
  <c r="AD9" i="13"/>
  <c r="AC8" i="17"/>
  <c r="I16" i="7"/>
  <c r="G16" i="5"/>
  <c r="W15" i="13"/>
  <c r="E11" i="5"/>
  <c r="X13" i="11"/>
  <c r="B7" i="9"/>
  <c r="I10" i="5"/>
  <c r="AB13" i="9"/>
  <c r="B11" i="13"/>
  <c r="K13" i="5"/>
  <c r="I8" i="17"/>
  <c r="C9" i="5"/>
  <c r="W11" i="9"/>
  <c r="E16" i="11"/>
  <c r="O11" i="7"/>
  <c r="O15" i="5"/>
  <c r="E11" i="7"/>
  <c r="S16" i="9"/>
  <c r="K9" i="7"/>
  <c r="G8" i="7"/>
  <c r="M9" i="5"/>
  <c r="D12" i="17"/>
  <c r="G12" i="17"/>
  <c r="Q16" i="5"/>
  <c r="R7" i="5"/>
  <c r="D12" i="5"/>
  <c r="L13" i="13"/>
  <c r="D9" i="7"/>
  <c r="I15" i="17"/>
  <c r="G7" i="13"/>
  <c r="M8" i="13"/>
  <c r="F9" i="13"/>
  <c r="L7" i="13"/>
  <c r="D8" i="13"/>
  <c r="Y7" i="13"/>
  <c r="H8" i="13"/>
  <c r="G9" i="13"/>
  <c r="B8" i="9"/>
  <c r="F10" i="11"/>
  <c r="G13" i="13"/>
  <c r="I13" i="11"/>
  <c r="H11" i="11"/>
  <c r="Q10" i="11"/>
  <c r="AC12" i="17"/>
  <c r="AB10" i="9"/>
  <c r="F8" i="5"/>
  <c r="M8" i="5"/>
  <c r="E7" i="5"/>
  <c r="AB8" i="9"/>
  <c r="Q10" i="13"/>
  <c r="P13" i="11"/>
  <c r="AD15" i="17"/>
  <c r="B16" i="11"/>
  <c r="F11" i="17"/>
  <c r="Q15" i="17"/>
  <c r="N11" i="5"/>
  <c r="G11" i="13"/>
  <c r="E7" i="7"/>
  <c r="C7" i="7"/>
  <c r="AE12" i="17"/>
  <c r="Z16" i="5"/>
  <c r="T11" i="11"/>
  <c r="B1" i="17"/>
  <c r="AB8" i="17"/>
  <c r="I13" i="17"/>
  <c r="H12" i="11"/>
  <c r="N13" i="17"/>
  <c r="B8" i="7"/>
  <c r="T8" i="11"/>
  <c r="K15" i="7"/>
  <c r="H12" i="17"/>
  <c r="F13" i="11"/>
  <c r="M13" i="17"/>
  <c r="K13" i="7"/>
  <c r="AD16" i="7"/>
  <c r="I9" i="5"/>
  <c r="AE15" i="7"/>
  <c r="Z16" i="11"/>
  <c r="AB9" i="9"/>
  <c r="J11" i="7"/>
  <c r="AD16" i="5"/>
  <c r="AD13" i="5"/>
  <c r="B7" i="17"/>
  <c r="H11" i="17"/>
  <c r="AB11" i="13"/>
  <c r="R13" i="17"/>
  <c r="H16" i="13"/>
  <c r="T15" i="9"/>
  <c r="AD10" i="9"/>
  <c r="J7" i="17"/>
  <c r="Z12" i="11"/>
  <c r="G9" i="11"/>
  <c r="Z11" i="13"/>
  <c r="R10" i="13"/>
  <c r="H8" i="5"/>
  <c r="R15" i="17"/>
  <c r="I9" i="11"/>
  <c r="C8" i="11"/>
  <c r="AD15" i="7"/>
  <c r="O10" i="13"/>
  <c r="AC13" i="9"/>
  <c r="K12" i="5"/>
  <c r="Z16" i="13"/>
  <c r="J11" i="5"/>
  <c r="AC16" i="11"/>
  <c r="S15" i="11"/>
  <c r="AB9" i="11"/>
  <c r="N10" i="5"/>
  <c r="J12" i="17"/>
  <c r="AB10" i="5"/>
  <c r="AD9" i="7"/>
  <c r="I11" i="13"/>
  <c r="AB9" i="17"/>
  <c r="Q8" i="5"/>
  <c r="B16" i="13"/>
  <c r="U7" i="13"/>
  <c r="F7" i="13"/>
  <c r="Q8" i="13"/>
  <c r="R7" i="13"/>
  <c r="Y8" i="13"/>
  <c r="J7" i="13"/>
  <c r="C8" i="13"/>
  <c r="C9" i="13"/>
  <c r="M8" i="11"/>
  <c r="Z9" i="5"/>
  <c r="J15" i="13"/>
  <c r="AB12" i="9"/>
  <c r="D16" i="5"/>
  <c r="AE16" i="5"/>
  <c r="Q15" i="5"/>
  <c r="Y10" i="7"/>
  <c r="V13" i="13"/>
  <c r="Z12" i="13"/>
  <c r="F11" i="13"/>
  <c r="V9" i="9"/>
  <c r="O16" i="13"/>
  <c r="AE7" i="13"/>
  <c r="AD8" i="11"/>
  <c r="Y15" i="7"/>
  <c r="N8" i="7"/>
  <c r="E8" i="11"/>
  <c r="J15" i="5"/>
  <c r="J13" i="7"/>
  <c r="Z16" i="7"/>
  <c r="O11" i="17"/>
  <c r="M13" i="11"/>
  <c r="O10" i="17"/>
  <c r="Z8" i="11"/>
  <c r="Y11" i="5"/>
  <c r="N13" i="13"/>
  <c r="B13" i="7"/>
  <c r="AC10" i="5"/>
  <c r="O12" i="13"/>
  <c r="C16" i="13"/>
  <c r="F15" i="7"/>
  <c r="L16" i="11"/>
  <c r="X10" i="11"/>
  <c r="P7" i="5"/>
  <c r="AD12" i="13"/>
  <c r="Y16" i="7"/>
  <c r="AE8" i="17"/>
  <c r="AB11" i="5"/>
  <c r="Z13" i="13"/>
  <c r="Z7" i="7"/>
  <c r="AB10" i="11"/>
  <c r="AB7" i="13"/>
  <c r="AE16" i="7"/>
  <c r="N16" i="11"/>
  <c r="M12" i="7"/>
  <c r="AE11" i="7"/>
  <c r="F8" i="7"/>
  <c r="AE13" i="13"/>
  <c r="S8" i="11"/>
  <c r="V9" i="11"/>
  <c r="L12" i="17"/>
  <c r="B9" i="9"/>
  <c r="T10" i="11"/>
  <c r="O7" i="7"/>
  <c r="W7" i="13"/>
  <c r="E7" i="13"/>
  <c r="W9" i="13"/>
  <c r="I8" i="13"/>
  <c r="L8" i="13"/>
  <c r="AE9" i="9"/>
  <c r="N16" i="13"/>
  <c r="S15" i="9"/>
  <c r="C9" i="7"/>
  <c r="N9" i="7"/>
  <c r="F9" i="7"/>
  <c r="S11" i="11"/>
  <c r="U13" i="9"/>
  <c r="W8" i="9"/>
  <c r="F12" i="5"/>
  <c r="AE12" i="9"/>
  <c r="C13" i="7"/>
  <c r="F8" i="13"/>
  <c r="S8" i="13"/>
  <c r="F11" i="7"/>
  <c r="F13" i="17"/>
  <c r="V15" i="13"/>
  <c r="U16" i="13"/>
  <c r="N8" i="13"/>
  <c r="S9" i="13"/>
  <c r="Z15" i="7"/>
  <c r="X15" i="11"/>
  <c r="AE9" i="11"/>
  <c r="W10" i="13"/>
  <c r="I9" i="13"/>
  <c r="O8" i="13"/>
  <c r="O9" i="5"/>
  <c r="Q12" i="13"/>
  <c r="AB11" i="9"/>
  <c r="AC8" i="9"/>
  <c r="Q9" i="5"/>
  <c r="L9" i="17"/>
  <c r="U8" i="13"/>
  <c r="B8" i="13"/>
  <c r="B9" i="5"/>
  <c r="K8" i="5"/>
  <c r="I7" i="17"/>
  <c r="AE13" i="9"/>
  <c r="Q15" i="7"/>
  <c r="U16" i="9"/>
  <c r="F12" i="17"/>
  <c r="AD15" i="5"/>
  <c r="L13" i="11"/>
  <c r="U15" i="9"/>
  <c r="AE13" i="17"/>
  <c r="AE12" i="13"/>
  <c r="K13" i="17"/>
  <c r="G10" i="13"/>
  <c r="Z9" i="7"/>
  <c r="O7" i="5"/>
  <c r="AB7" i="9"/>
  <c r="AC12" i="7"/>
  <c r="B13" i="17"/>
  <c r="V13" i="9"/>
  <c r="S12" i="13"/>
  <c r="AB12" i="7"/>
  <c r="W12" i="9"/>
  <c r="F10" i="7"/>
  <c r="C12" i="7"/>
  <c r="J8" i="5"/>
  <c r="AB13" i="11"/>
  <c r="AB16" i="11"/>
  <c r="Z7" i="5"/>
  <c r="AB12" i="11"/>
  <c r="U9" i="13"/>
  <c r="N7" i="13"/>
  <c r="O9" i="13"/>
  <c r="Q7" i="13"/>
  <c r="I7" i="13"/>
  <c r="L10" i="5"/>
  <c r="O12" i="11"/>
  <c r="J11" i="13"/>
  <c r="F12" i="13"/>
  <c r="N15" i="13"/>
  <c r="I16" i="13"/>
  <c r="P8" i="11"/>
  <c r="Q13" i="13"/>
  <c r="P11" i="7"/>
  <c r="AD10" i="7"/>
  <c r="R12" i="13"/>
  <c r="L12" i="7"/>
  <c r="Z11" i="5"/>
  <c r="G8" i="13"/>
  <c r="K7" i="13"/>
  <c r="K9" i="13"/>
  <c r="N16" i="5"/>
  <c r="E9" i="5"/>
  <c r="AC13" i="7"/>
  <c r="F13" i="13"/>
  <c r="AE8" i="7"/>
  <c r="AD7" i="11"/>
  <c r="B12" i="7"/>
  <c r="T13" i="11"/>
  <c r="X9" i="13"/>
  <c r="E8" i="13"/>
  <c r="W16" i="9"/>
  <c r="Y9" i="17"/>
  <c r="AE16" i="11"/>
  <c r="R15" i="7"/>
  <c r="M16" i="11"/>
  <c r="G11" i="5"/>
  <c r="X7" i="11"/>
  <c r="P9" i="13"/>
  <c r="Q12" i="11"/>
  <c r="W9" i="9"/>
  <c r="AC8" i="5"/>
  <c r="AE16" i="13"/>
  <c r="X7" i="13"/>
  <c r="V9" i="13"/>
  <c r="AE13" i="5"/>
  <c r="C11" i="7"/>
  <c r="H13" i="7"/>
  <c r="AC9" i="11"/>
  <c r="M10" i="13"/>
  <c r="Y15" i="13"/>
  <c r="AB9" i="5"/>
  <c r="K7" i="17"/>
  <c r="H15" i="5"/>
  <c r="Q13" i="7"/>
  <c r="H13" i="13"/>
  <c r="F10" i="13"/>
  <c r="D13" i="17"/>
  <c r="B11" i="17"/>
  <c r="N15" i="7"/>
  <c r="I8" i="7"/>
  <c r="M10" i="17"/>
  <c r="N8" i="5"/>
  <c r="J8" i="7"/>
  <c r="P16" i="5"/>
  <c r="T12" i="13"/>
  <c r="N16" i="7"/>
  <c r="V11" i="11"/>
  <c r="K15" i="11"/>
  <c r="B7" i="7"/>
  <c r="AC12" i="11"/>
  <c r="K8" i="13"/>
  <c r="W8" i="13"/>
  <c r="T9" i="13"/>
  <c r="J8" i="13"/>
  <c r="R8" i="13"/>
  <c r="AE7" i="17"/>
  <c r="V12" i="11"/>
  <c r="AC11" i="9"/>
  <c r="D9" i="17"/>
  <c r="Z10" i="11"/>
  <c r="T15" i="13"/>
  <c r="B10" i="17"/>
  <c r="U11" i="13"/>
  <c r="O13" i="5"/>
  <c r="T12" i="9"/>
  <c r="G12" i="5"/>
  <c r="B12" i="9"/>
  <c r="AC9" i="13"/>
  <c r="AC13" i="11"/>
  <c r="V8" i="9"/>
  <c r="M9" i="13"/>
  <c r="P7" i="13"/>
  <c r="D9" i="13"/>
  <c r="C13" i="13"/>
  <c r="S12" i="9"/>
  <c r="K11" i="5"/>
  <c r="N13" i="7"/>
  <c r="Q11" i="7"/>
  <c r="AC10" i="13"/>
  <c r="J7" i="5"/>
  <c r="J8" i="17"/>
  <c r="R7" i="7"/>
  <c r="V8" i="13"/>
  <c r="B16" i="9"/>
  <c r="I11" i="7"/>
  <c r="C13" i="5"/>
  <c r="D8" i="11"/>
  <c r="J9" i="17"/>
  <c r="M7" i="13"/>
  <c r="N10" i="11"/>
  <c r="V10" i="13"/>
  <c r="AC15" i="11"/>
  <c r="L13" i="7"/>
  <c r="S15" i="13"/>
  <c r="AE11" i="13"/>
  <c r="F13" i="7"/>
  <c r="S7" i="13"/>
  <c r="X8" i="13"/>
  <c r="P16" i="11"/>
  <c r="E9" i="17"/>
  <c r="C15" i="13"/>
  <c r="J12" i="11"/>
  <c r="T10" i="13"/>
  <c r="D11" i="17"/>
  <c r="L8" i="11"/>
  <c r="E13" i="7"/>
  <c r="E9" i="13"/>
  <c r="D7" i="13"/>
  <c r="AD12" i="5"/>
  <c r="K15" i="5"/>
  <c r="Y9" i="5"/>
  <c r="F11" i="5"/>
  <c r="O13" i="7"/>
  <c r="V7" i="13"/>
  <c r="Y16" i="9"/>
  <c r="AE9" i="13"/>
  <c r="P12" i="5"/>
  <c r="S11" i="13"/>
  <c r="AD8" i="17"/>
  <c r="C10" i="7"/>
  <c r="I12" i="11"/>
  <c r="AE15" i="9"/>
  <c r="B9" i="17"/>
  <c r="T7" i="13"/>
  <c r="T8" i="13"/>
  <c r="Z16" i="17"/>
  <c r="B7" i="5"/>
  <c r="AC8" i="7"/>
  <c r="M15" i="7"/>
  <c r="Z10" i="13"/>
  <c r="J10" i="13"/>
  <c r="G10" i="17"/>
  <c r="D12" i="7"/>
  <c r="L10" i="17"/>
  <c r="R10" i="11"/>
  <c r="O7" i="13"/>
  <c r="B22" i="13" l="1"/>
  <c r="B30" i="13"/>
  <c r="B25" i="13"/>
  <c r="B23" i="13"/>
  <c r="B29" i="13"/>
  <c r="B27" i="13"/>
  <c r="B24" i="13"/>
  <c r="B26" i="13"/>
  <c r="B30" i="11"/>
  <c r="B22" i="11"/>
  <c r="B29" i="11"/>
  <c r="B26" i="11"/>
  <c r="B25" i="11"/>
  <c r="B23" i="11"/>
  <c r="B27" i="11"/>
  <c r="B24" i="11"/>
  <c r="B30" i="9"/>
  <c r="B26" i="9"/>
  <c r="B23" i="9"/>
  <c r="B22" i="9"/>
  <c r="B29" i="9"/>
  <c r="B24" i="9"/>
  <c r="B27" i="9"/>
  <c r="B25" i="9"/>
  <c r="B26" i="7"/>
  <c r="B27" i="7"/>
  <c r="B22" i="7"/>
  <c r="B29" i="7"/>
  <c r="B30" i="7"/>
  <c r="B25" i="7"/>
  <c r="B24" i="7"/>
  <c r="B23" i="7"/>
  <c r="B23" i="5"/>
  <c r="B29" i="5"/>
  <c r="B22" i="5"/>
  <c r="B27" i="5"/>
  <c r="B24" i="5"/>
  <c r="B25" i="5"/>
  <c r="B30" i="5"/>
  <c r="B26" i="5"/>
  <c r="B24" i="17"/>
  <c r="B25" i="17"/>
  <c r="B27" i="17"/>
  <c r="B26" i="17"/>
  <c r="B30" i="17"/>
  <c r="B29" i="17"/>
  <c r="B23" i="17"/>
  <c r="B22" i="17"/>
  <c r="C4" i="17"/>
  <c r="D4" i="17"/>
  <c r="Q3" i="5"/>
  <c r="Q4" i="5"/>
  <c r="Y3" i="7"/>
  <c r="Y4" i="7"/>
  <c r="J4" i="5"/>
  <c r="J3" i="5"/>
  <c r="L3" i="11"/>
  <c r="L4" i="11"/>
  <c r="G3" i="7"/>
  <c r="G4" i="7"/>
  <c r="AC4" i="5"/>
  <c r="AC5" i="5"/>
  <c r="AC3" i="5"/>
  <c r="J3" i="7"/>
  <c r="J4" i="7"/>
  <c r="C4" i="11"/>
  <c r="C3" i="11"/>
  <c r="N4" i="5"/>
  <c r="N3" i="5"/>
  <c r="S3" i="11"/>
  <c r="S4" i="11"/>
  <c r="AE4" i="7"/>
  <c r="AE3" i="7"/>
  <c r="AE5" i="7"/>
  <c r="H3" i="5"/>
  <c r="H4" i="5"/>
  <c r="F3" i="7"/>
  <c r="F4" i="7"/>
  <c r="D3" i="11"/>
  <c r="D4" i="11"/>
  <c r="I4" i="7"/>
  <c r="I3" i="7"/>
  <c r="L3" i="5"/>
  <c r="L4" i="5"/>
  <c r="J4" i="17"/>
  <c r="J3" i="17"/>
  <c r="I4" i="17"/>
  <c r="I3" i="17"/>
  <c r="X3" i="11"/>
  <c r="X4" i="11"/>
  <c r="AD5" i="17"/>
  <c r="AD3" i="17"/>
  <c r="AD4" i="17"/>
  <c r="P4" i="11"/>
  <c r="P3" i="11"/>
  <c r="M4" i="5"/>
  <c r="M3" i="5"/>
  <c r="Q3" i="17"/>
  <c r="Q4" i="17"/>
  <c r="F4" i="5"/>
  <c r="F3" i="5"/>
  <c r="AC4" i="17"/>
  <c r="AC5" i="17"/>
  <c r="AC3" i="17"/>
  <c r="P4" i="17"/>
  <c r="P3" i="17"/>
  <c r="AC4" i="11"/>
  <c r="AC5" i="11"/>
  <c r="AC3" i="11"/>
  <c r="D3" i="5"/>
  <c r="D4" i="5"/>
  <c r="H3" i="11"/>
  <c r="H4" i="11"/>
  <c r="AC3" i="9"/>
  <c r="AC4" i="9"/>
  <c r="AC5" i="9"/>
  <c r="G3" i="5"/>
  <c r="G4" i="5"/>
  <c r="N3" i="11"/>
  <c r="N4" i="11"/>
  <c r="D3" i="17"/>
  <c r="Q4" i="7"/>
  <c r="Q3" i="7"/>
  <c r="R3" i="17"/>
  <c r="R4" i="17"/>
  <c r="Z4" i="11"/>
  <c r="K4" i="11"/>
  <c r="K3" i="11"/>
  <c r="C3" i="17"/>
  <c r="T4" i="11"/>
  <c r="T3" i="11"/>
  <c r="E3" i="5"/>
  <c r="E4" i="5"/>
  <c r="AC3" i="7"/>
  <c r="AC5" i="7"/>
  <c r="AC4" i="7"/>
  <c r="AE3" i="13"/>
  <c r="AE5" i="13"/>
  <c r="AE4" i="13"/>
  <c r="U4" i="11"/>
  <c r="U3" i="11"/>
  <c r="D4" i="7"/>
  <c r="D3" i="7"/>
  <c r="H3" i="7"/>
  <c r="H4" i="7"/>
  <c r="Y4" i="11"/>
  <c r="Y3" i="11"/>
  <c r="R4" i="11"/>
  <c r="R3" i="11"/>
  <c r="AB5" i="7"/>
  <c r="AB4" i="7"/>
  <c r="AB3" i="7"/>
  <c r="I4" i="11"/>
  <c r="I3" i="11"/>
  <c r="C3" i="7"/>
  <c r="C4" i="7"/>
  <c r="AE3" i="9"/>
  <c r="AE5" i="9"/>
  <c r="AE4" i="9"/>
  <c r="Z4" i="5"/>
  <c r="AB4" i="5"/>
  <c r="AB5" i="5"/>
  <c r="AB3" i="5"/>
  <c r="E4" i="11"/>
  <c r="E3" i="11"/>
  <c r="N3" i="7"/>
  <c r="N4" i="7"/>
  <c r="AD3" i="9"/>
  <c r="AD5" i="9"/>
  <c r="AD4" i="9"/>
  <c r="R4" i="7"/>
  <c r="R3" i="7"/>
  <c r="AE5" i="17"/>
  <c r="AE4" i="17"/>
  <c r="AE3" i="17"/>
  <c r="J4" i="11"/>
  <c r="J3" i="11"/>
  <c r="O4" i="5"/>
  <c r="O3" i="5"/>
  <c r="AE5" i="5"/>
  <c r="AE3" i="5"/>
  <c r="AE4" i="5"/>
  <c r="AD5" i="11"/>
  <c r="AD4" i="11"/>
  <c r="AD3" i="11"/>
  <c r="I4" i="5"/>
  <c r="I3" i="5"/>
  <c r="L4" i="17"/>
  <c r="L3" i="17"/>
  <c r="P4" i="5"/>
  <c r="P3" i="5"/>
  <c r="M3" i="7"/>
  <c r="M4" i="7"/>
  <c r="P4" i="7"/>
  <c r="P3" i="7"/>
  <c r="F3" i="11"/>
  <c r="F4" i="11"/>
  <c r="R3" i="5"/>
  <c r="R4" i="5"/>
  <c r="K3" i="17"/>
  <c r="K4" i="17"/>
  <c r="AD5" i="5"/>
  <c r="AD4" i="5"/>
  <c r="AD3" i="5"/>
  <c r="E3" i="7"/>
  <c r="E4" i="7"/>
  <c r="K4" i="7"/>
  <c r="K3" i="7"/>
  <c r="AB5" i="13"/>
  <c r="AB4" i="13"/>
  <c r="AB3" i="13"/>
  <c r="Y4" i="5"/>
  <c r="Y3" i="5"/>
  <c r="K4" i="5"/>
  <c r="K3" i="5"/>
  <c r="V3" i="11"/>
  <c r="V4" i="11"/>
  <c r="H3" i="17"/>
  <c r="H4" i="17"/>
  <c r="Q4" i="11"/>
  <c r="Q3" i="11"/>
  <c r="G3" i="11"/>
  <c r="G4" i="11"/>
  <c r="AC5" i="13"/>
  <c r="AC4" i="13"/>
  <c r="AC3" i="13"/>
  <c r="Z4" i="7"/>
  <c r="AD4" i="13"/>
  <c r="AD5" i="13"/>
  <c r="AD3" i="13"/>
  <c r="AD5" i="7"/>
  <c r="AD4" i="7"/>
  <c r="AD3" i="7"/>
  <c r="O4" i="7"/>
  <c r="O3" i="7"/>
  <c r="W3" i="11"/>
  <c r="W4" i="11"/>
  <c r="N4" i="17"/>
  <c r="N3" i="17"/>
  <c r="C4" i="5"/>
  <c r="C3" i="5"/>
  <c r="O4" i="17"/>
  <c r="O3" i="17"/>
  <c r="L3" i="7"/>
  <c r="L4" i="7"/>
  <c r="AB3" i="9"/>
  <c r="AB5" i="9"/>
  <c r="AB4" i="9"/>
  <c r="AE4" i="11"/>
  <c r="AE5" i="11"/>
  <c r="AE3" i="11"/>
  <c r="AB3" i="11"/>
  <c r="AB5" i="11"/>
  <c r="AB4" i="11"/>
  <c r="M4" i="11"/>
  <c r="M3" i="11"/>
  <c r="O4" i="11"/>
  <c r="O3" i="11"/>
  <c r="W4" i="13"/>
  <c r="C4" i="13"/>
  <c r="C3" i="13"/>
  <c r="N3" i="13"/>
  <c r="N4" i="13"/>
  <c r="X4" i="13"/>
  <c r="X3" i="13"/>
  <c r="Y3" i="13"/>
  <c r="Y4" i="13"/>
  <c r="W3" i="13"/>
  <c r="V3" i="13"/>
  <c r="V4" i="13"/>
  <c r="U3" i="13"/>
  <c r="U4" i="13"/>
  <c r="T4" i="13"/>
  <c r="T3" i="13"/>
  <c r="S3" i="13"/>
  <c r="S4" i="13"/>
  <c r="R3" i="13"/>
  <c r="R4" i="13"/>
  <c r="Q4" i="13"/>
  <c r="Q3" i="13"/>
  <c r="P3" i="13"/>
  <c r="P4" i="13"/>
  <c r="O3" i="13"/>
  <c r="O4" i="13"/>
  <c r="M4" i="13"/>
  <c r="M3" i="13"/>
  <c r="L4" i="13"/>
  <c r="L3" i="13"/>
  <c r="K4" i="13"/>
  <c r="K3" i="13"/>
  <c r="J3" i="13"/>
  <c r="J4" i="13"/>
  <c r="I3" i="13"/>
  <c r="I4" i="13"/>
  <c r="H4" i="13"/>
  <c r="H3" i="13"/>
  <c r="G4" i="13"/>
  <c r="G3" i="13"/>
  <c r="F4" i="13"/>
  <c r="F3" i="13"/>
  <c r="E4" i="13"/>
  <c r="E3" i="13"/>
  <c r="D4" i="13"/>
  <c r="D3" i="13"/>
  <c r="K36" i="12"/>
  <c r="T7" i="11"/>
  <c r="J7" i="11"/>
  <c r="Z7" i="13"/>
  <c r="N7" i="11"/>
  <c r="S7" i="11"/>
  <c r="V7" i="11"/>
  <c r="G7" i="11"/>
  <c r="K7" i="11"/>
  <c r="R7" i="11"/>
  <c r="U7" i="11"/>
  <c r="P7" i="11"/>
  <c r="E7" i="11"/>
  <c r="F7" i="11"/>
  <c r="Z8" i="13"/>
  <c r="M7" i="11"/>
  <c r="C7" i="11"/>
  <c r="I7" i="11"/>
  <c r="W7" i="11"/>
  <c r="L7" i="11"/>
  <c r="Q7" i="11"/>
  <c r="O7" i="11"/>
  <c r="H7" i="11"/>
  <c r="D7" i="11"/>
  <c r="Z9" i="13"/>
  <c r="Z3" i="13" l="1"/>
  <c r="Z5" i="13" s="1"/>
  <c r="X24" i="11"/>
  <c r="X23" i="11"/>
  <c r="X22" i="11"/>
  <c r="X30" i="11"/>
  <c r="X29" i="11"/>
  <c r="X27" i="11"/>
  <c r="X26" i="11"/>
  <c r="X25" i="11"/>
  <c r="X5" i="13"/>
  <c r="X24" i="13"/>
  <c r="X23" i="13"/>
  <c r="X22" i="13"/>
  <c r="X30" i="13"/>
  <c r="X29" i="13"/>
  <c r="X27" i="13"/>
  <c r="X26" i="13"/>
  <c r="X25" i="13"/>
  <c r="U5" i="13"/>
  <c r="U30" i="13"/>
  <c r="U29" i="13"/>
  <c r="U27" i="13"/>
  <c r="U26" i="13"/>
  <c r="U25" i="13"/>
  <c r="U23" i="13"/>
  <c r="U24" i="13"/>
  <c r="U22" i="13"/>
  <c r="E5" i="13"/>
  <c r="E30" i="13"/>
  <c r="E29" i="13"/>
  <c r="E27" i="13"/>
  <c r="E25" i="13"/>
  <c r="E23" i="13"/>
  <c r="E26" i="13"/>
  <c r="E24" i="13"/>
  <c r="E22" i="13"/>
  <c r="M5" i="13"/>
  <c r="M30" i="13"/>
  <c r="M29" i="13"/>
  <c r="M27" i="13"/>
  <c r="M26" i="13"/>
  <c r="M25" i="13"/>
  <c r="M24" i="13"/>
  <c r="M22" i="13"/>
  <c r="M23" i="13"/>
  <c r="N5" i="13"/>
  <c r="N30" i="13"/>
  <c r="N29" i="13"/>
  <c r="N27" i="13"/>
  <c r="N26" i="13"/>
  <c r="N25" i="13"/>
  <c r="N24" i="13"/>
  <c r="N23" i="13"/>
  <c r="N22" i="13"/>
  <c r="I5" i="13"/>
  <c r="I30" i="13"/>
  <c r="I29" i="13"/>
  <c r="I27" i="13"/>
  <c r="I26" i="13"/>
  <c r="I25" i="13"/>
  <c r="I24" i="13"/>
  <c r="I23" i="13"/>
  <c r="I22" i="13"/>
  <c r="R5" i="13"/>
  <c r="R30" i="13"/>
  <c r="R29" i="13"/>
  <c r="R27" i="13"/>
  <c r="R26" i="13"/>
  <c r="R25" i="13"/>
  <c r="R24" i="13"/>
  <c r="R23" i="13"/>
  <c r="R22" i="13"/>
  <c r="V5" i="13"/>
  <c r="V30" i="13"/>
  <c r="V29" i="13"/>
  <c r="V27" i="13"/>
  <c r="V26" i="13"/>
  <c r="V25" i="13"/>
  <c r="V24" i="13"/>
  <c r="V23" i="13"/>
  <c r="V22" i="13"/>
  <c r="C5" i="13"/>
  <c r="C30" i="13"/>
  <c r="C29" i="13"/>
  <c r="C27" i="13"/>
  <c r="C26" i="13"/>
  <c r="C25" i="13"/>
  <c r="C24" i="13"/>
  <c r="C23" i="13"/>
  <c r="C22" i="13"/>
  <c r="F5" i="13"/>
  <c r="F30" i="13"/>
  <c r="F29" i="13"/>
  <c r="F27" i="13"/>
  <c r="F26" i="13"/>
  <c r="F25" i="13"/>
  <c r="F24" i="13"/>
  <c r="F23" i="13"/>
  <c r="F22" i="13"/>
  <c r="W5" i="13"/>
  <c r="W30" i="13"/>
  <c r="W29" i="13"/>
  <c r="W27" i="13"/>
  <c r="W26" i="13"/>
  <c r="W25" i="13"/>
  <c r="W24" i="13"/>
  <c r="W23" i="13"/>
  <c r="W22" i="13"/>
  <c r="O5" i="13"/>
  <c r="O30" i="13"/>
  <c r="O29" i="13"/>
  <c r="O27" i="13"/>
  <c r="O26" i="13"/>
  <c r="O25" i="13"/>
  <c r="O24" i="13"/>
  <c r="O23" i="13"/>
  <c r="O22" i="13"/>
  <c r="G5" i="13"/>
  <c r="G30" i="13"/>
  <c r="G29" i="13"/>
  <c r="G27" i="13"/>
  <c r="G26" i="13"/>
  <c r="G25" i="13"/>
  <c r="G24" i="13"/>
  <c r="G23" i="13"/>
  <c r="G22" i="13"/>
  <c r="Y5" i="13"/>
  <c r="Y30" i="13"/>
  <c r="Y29" i="13"/>
  <c r="Y27" i="13"/>
  <c r="Y26" i="13"/>
  <c r="Y25" i="13"/>
  <c r="Y24" i="13"/>
  <c r="Y23" i="13"/>
  <c r="Y22" i="13"/>
  <c r="P5" i="13"/>
  <c r="P30" i="13"/>
  <c r="P29" i="13"/>
  <c r="P27" i="13"/>
  <c r="P26" i="13"/>
  <c r="P25" i="13"/>
  <c r="P24" i="13"/>
  <c r="P23" i="13"/>
  <c r="P22" i="13"/>
  <c r="J5" i="13"/>
  <c r="J30" i="13"/>
  <c r="J29" i="13"/>
  <c r="J27" i="13"/>
  <c r="J26" i="13"/>
  <c r="J25" i="13"/>
  <c r="J24" i="13"/>
  <c r="J23" i="13"/>
  <c r="J22" i="13"/>
  <c r="S5" i="13"/>
  <c r="S30" i="13"/>
  <c r="S29" i="13"/>
  <c r="S27" i="13"/>
  <c r="S26" i="13"/>
  <c r="S25" i="13"/>
  <c r="S24" i="13"/>
  <c r="S23" i="13"/>
  <c r="S22" i="13"/>
  <c r="K5" i="13"/>
  <c r="K30" i="13"/>
  <c r="K29" i="13"/>
  <c r="K27" i="13"/>
  <c r="K26" i="13"/>
  <c r="K25" i="13"/>
  <c r="K24" i="13"/>
  <c r="K23" i="13"/>
  <c r="K22" i="13"/>
  <c r="T5" i="13"/>
  <c r="T29" i="13"/>
  <c r="T26" i="13"/>
  <c r="T24" i="13"/>
  <c r="T30" i="13"/>
  <c r="T27" i="13"/>
  <c r="T25" i="13"/>
  <c r="T23" i="13"/>
  <c r="T22" i="13"/>
  <c r="D5" i="13"/>
  <c r="D29" i="13"/>
  <c r="D26" i="13"/>
  <c r="D24" i="13"/>
  <c r="D23" i="13"/>
  <c r="D30" i="13"/>
  <c r="D27" i="13"/>
  <c r="D25" i="13"/>
  <c r="D22" i="13"/>
  <c r="H5" i="13"/>
  <c r="H30" i="13"/>
  <c r="H29" i="13"/>
  <c r="H27" i="13"/>
  <c r="H26" i="13"/>
  <c r="H25" i="13"/>
  <c r="H24" i="13"/>
  <c r="H23" i="13"/>
  <c r="H22" i="13"/>
  <c r="L5" i="13"/>
  <c r="L23" i="13"/>
  <c r="L30" i="13"/>
  <c r="L27" i="13"/>
  <c r="L25" i="13"/>
  <c r="L22" i="13"/>
  <c r="L29" i="13"/>
  <c r="L26" i="13"/>
  <c r="L24" i="13"/>
  <c r="Q5" i="13"/>
  <c r="Q23" i="13"/>
  <c r="Q22" i="13"/>
  <c r="Q30" i="13"/>
  <c r="Q29" i="13"/>
  <c r="Q27" i="13"/>
  <c r="Q26" i="13"/>
  <c r="Q25" i="13"/>
  <c r="Q24" i="13"/>
  <c r="T30" i="11"/>
  <c r="T29" i="11"/>
  <c r="T27" i="11"/>
  <c r="T26" i="11"/>
  <c r="T25" i="11"/>
  <c r="T24" i="11"/>
  <c r="T23" i="11"/>
  <c r="T22" i="11"/>
  <c r="O30" i="11"/>
  <c r="O29" i="11"/>
  <c r="O27" i="11"/>
  <c r="O26" i="11"/>
  <c r="O25" i="11"/>
  <c r="O24" i="11"/>
  <c r="O23" i="11"/>
  <c r="O22" i="11"/>
  <c r="P30" i="11"/>
  <c r="P29" i="11"/>
  <c r="P27" i="11"/>
  <c r="P26" i="11"/>
  <c r="P25" i="11"/>
  <c r="P24" i="11"/>
  <c r="P23" i="11"/>
  <c r="P22" i="11"/>
  <c r="D30" i="11"/>
  <c r="D29" i="11"/>
  <c r="D27" i="11"/>
  <c r="D26" i="11"/>
  <c r="D25" i="11"/>
  <c r="D24" i="11"/>
  <c r="D23" i="11"/>
  <c r="D22" i="11"/>
  <c r="C30" i="11"/>
  <c r="C29" i="11"/>
  <c r="C27" i="11"/>
  <c r="C26" i="11"/>
  <c r="C25" i="11"/>
  <c r="C24" i="11"/>
  <c r="C23" i="11"/>
  <c r="C22" i="11"/>
  <c r="E29" i="11"/>
  <c r="E30" i="11"/>
  <c r="E27" i="11"/>
  <c r="E26" i="11"/>
  <c r="E25" i="11"/>
  <c r="E24" i="11"/>
  <c r="E23" i="11"/>
  <c r="E22" i="11"/>
  <c r="L30" i="11"/>
  <c r="L29" i="11"/>
  <c r="L27" i="11"/>
  <c r="L26" i="11"/>
  <c r="L25" i="11"/>
  <c r="L24" i="11"/>
  <c r="L23" i="11"/>
  <c r="L22" i="11"/>
  <c r="G30" i="11"/>
  <c r="G29" i="11"/>
  <c r="G27" i="11"/>
  <c r="G26" i="11"/>
  <c r="G25" i="11"/>
  <c r="G24" i="11"/>
  <c r="G23" i="11"/>
  <c r="G22" i="11"/>
  <c r="Q23" i="11"/>
  <c r="Q30" i="11"/>
  <c r="Q29" i="11"/>
  <c r="Q27" i="11"/>
  <c r="Q26" i="11"/>
  <c r="Q25" i="11"/>
  <c r="Q24" i="11"/>
  <c r="Q22" i="11"/>
  <c r="N24" i="11"/>
  <c r="N23" i="11"/>
  <c r="N27" i="11"/>
  <c r="N26" i="11"/>
  <c r="N25" i="11"/>
  <c r="N22" i="11"/>
  <c r="N30" i="11"/>
  <c r="N29" i="11"/>
  <c r="J30" i="11"/>
  <c r="J29" i="11"/>
  <c r="J27" i="11"/>
  <c r="J26" i="11"/>
  <c r="J25" i="11"/>
  <c r="J24" i="11"/>
  <c r="J23" i="11"/>
  <c r="J22" i="11"/>
  <c r="U27" i="11"/>
  <c r="U26" i="11"/>
  <c r="U30" i="11"/>
  <c r="U29" i="11"/>
  <c r="U25" i="11"/>
  <c r="U24" i="11"/>
  <c r="U23" i="11"/>
  <c r="U22" i="11"/>
  <c r="H30" i="11"/>
  <c r="H29" i="11"/>
  <c r="H27" i="11"/>
  <c r="H26" i="11"/>
  <c r="H25" i="11"/>
  <c r="H24" i="11"/>
  <c r="H23" i="11"/>
  <c r="H22" i="11"/>
  <c r="S30" i="11"/>
  <c r="S29" i="11"/>
  <c r="S27" i="11"/>
  <c r="S26" i="11"/>
  <c r="S25" i="11"/>
  <c r="S24" i="11"/>
  <c r="S23" i="11"/>
  <c r="S22" i="11"/>
  <c r="K30" i="11"/>
  <c r="K29" i="11"/>
  <c r="K27" i="11"/>
  <c r="K26" i="11"/>
  <c r="K25" i="11"/>
  <c r="K24" i="11"/>
  <c r="K23" i="11"/>
  <c r="K22" i="11"/>
  <c r="W30" i="11"/>
  <c r="W29" i="11"/>
  <c r="W27" i="11"/>
  <c r="W26" i="11"/>
  <c r="W25" i="11"/>
  <c r="W24" i="11"/>
  <c r="W23" i="11"/>
  <c r="W22" i="11"/>
  <c r="V25" i="11"/>
  <c r="V22" i="11"/>
  <c r="V24" i="11"/>
  <c r="V23" i="11"/>
  <c r="V30" i="11"/>
  <c r="V29" i="11"/>
  <c r="V27" i="11"/>
  <c r="V26" i="11"/>
  <c r="F27" i="11"/>
  <c r="F22" i="11"/>
  <c r="F23" i="11"/>
  <c r="F30" i="11"/>
  <c r="F29" i="11"/>
  <c r="F26" i="11"/>
  <c r="F25" i="11"/>
  <c r="F24" i="11"/>
  <c r="Y30" i="11"/>
  <c r="Y29" i="11"/>
  <c r="Y27" i="11"/>
  <c r="Y26" i="11"/>
  <c r="Y25" i="11"/>
  <c r="Y24" i="11"/>
  <c r="Y23" i="11"/>
  <c r="Y22" i="11"/>
  <c r="M30" i="11"/>
  <c r="M29" i="11"/>
  <c r="M25" i="11"/>
  <c r="M24" i="11"/>
  <c r="M23" i="11"/>
  <c r="M22" i="11"/>
  <c r="M27" i="11"/>
  <c r="M26" i="11"/>
  <c r="I25" i="11"/>
  <c r="I23" i="11"/>
  <c r="I22" i="11"/>
  <c r="I24" i="11"/>
  <c r="I30" i="11"/>
  <c r="I29" i="11"/>
  <c r="I27" i="11"/>
  <c r="I26" i="11"/>
  <c r="R30" i="11"/>
  <c r="R29" i="11"/>
  <c r="R27" i="11"/>
  <c r="R26" i="11"/>
  <c r="R25" i="11"/>
  <c r="R24" i="11"/>
  <c r="R23" i="11"/>
  <c r="R22" i="11"/>
  <c r="Z3" i="11"/>
  <c r="Z5" i="11" s="1"/>
  <c r="X5" i="11"/>
  <c r="H5" i="11"/>
  <c r="I5" i="11"/>
  <c r="P5" i="11"/>
  <c r="D5" i="11"/>
  <c r="C5" i="11"/>
  <c r="L5" i="11"/>
  <c r="G5" i="11"/>
  <c r="R5" i="11"/>
  <c r="S5" i="11"/>
  <c r="O5" i="11"/>
  <c r="V5" i="11"/>
  <c r="K5" i="11"/>
  <c r="T5" i="11"/>
  <c r="F5" i="11"/>
  <c r="M5" i="11"/>
  <c r="W5" i="11"/>
  <c r="Q5" i="11"/>
  <c r="Y5" i="11"/>
  <c r="N5" i="11"/>
  <c r="J5" i="11"/>
  <c r="E5" i="11"/>
  <c r="U5" i="11"/>
  <c r="Y5" i="7"/>
  <c r="Y25" i="7"/>
  <c r="Y24" i="7"/>
  <c r="Y23" i="7"/>
  <c r="Y22" i="7"/>
  <c r="Y30" i="7"/>
  <c r="Y29" i="7"/>
  <c r="Y27" i="7"/>
  <c r="Y26" i="7"/>
  <c r="Y24" i="5"/>
  <c r="Y23" i="5"/>
  <c r="Y22" i="5"/>
  <c r="Y30" i="5"/>
  <c r="Y29" i="5"/>
  <c r="Y27" i="5"/>
  <c r="Y26" i="5"/>
  <c r="Y25" i="5"/>
  <c r="Z3" i="7"/>
  <c r="Z5" i="7" s="1"/>
  <c r="G5" i="7"/>
  <c r="G25" i="7"/>
  <c r="G22" i="7"/>
  <c r="G24" i="7"/>
  <c r="G27" i="7"/>
  <c r="G26" i="7"/>
  <c r="G23" i="7"/>
  <c r="G29" i="7"/>
  <c r="G30" i="7"/>
  <c r="L5" i="7"/>
  <c r="L26" i="7"/>
  <c r="L25" i="7"/>
  <c r="L23" i="7"/>
  <c r="L29" i="7"/>
  <c r="L22" i="7"/>
  <c r="L27" i="7"/>
  <c r="L24" i="7"/>
  <c r="L30" i="7"/>
  <c r="M5" i="7"/>
  <c r="M23" i="7"/>
  <c r="M29" i="7"/>
  <c r="M22" i="7"/>
  <c r="M25" i="7"/>
  <c r="M24" i="7"/>
  <c r="M30" i="7"/>
  <c r="M26" i="7"/>
  <c r="M27" i="7"/>
  <c r="E5" i="7"/>
  <c r="E23" i="7"/>
  <c r="E29" i="7"/>
  <c r="E22" i="7"/>
  <c r="E25" i="7"/>
  <c r="E27" i="7"/>
  <c r="E24" i="7"/>
  <c r="E30" i="7"/>
  <c r="E26" i="7"/>
  <c r="N5" i="7"/>
  <c r="N29" i="7"/>
  <c r="N25" i="7"/>
  <c r="N27" i="7"/>
  <c r="N24" i="7"/>
  <c r="N22" i="7"/>
  <c r="N30" i="7"/>
  <c r="N26" i="7"/>
  <c r="N23" i="7"/>
  <c r="D5" i="7"/>
  <c r="D26" i="7"/>
  <c r="D23" i="7"/>
  <c r="D25" i="7"/>
  <c r="D29" i="7"/>
  <c r="D27" i="7"/>
  <c r="D24" i="7"/>
  <c r="D30" i="7"/>
  <c r="D22" i="7"/>
  <c r="C5" i="7"/>
  <c r="C30" i="7"/>
  <c r="C26" i="7"/>
  <c r="C29" i="7"/>
  <c r="C23" i="7"/>
  <c r="C22" i="7"/>
  <c r="C27" i="7"/>
  <c r="C24" i="7"/>
  <c r="C25" i="7"/>
  <c r="J5" i="7"/>
  <c r="J24" i="7"/>
  <c r="J30" i="7"/>
  <c r="J23" i="7"/>
  <c r="J26" i="7"/>
  <c r="J29" i="7"/>
  <c r="J25" i="7"/>
  <c r="J22" i="7"/>
  <c r="J27" i="7"/>
  <c r="H5" i="7"/>
  <c r="H22" i="7"/>
  <c r="H27" i="7"/>
  <c r="H30" i="7"/>
  <c r="H26" i="7"/>
  <c r="H24" i="7"/>
  <c r="H23" i="7"/>
  <c r="H29" i="7"/>
  <c r="H25" i="7"/>
  <c r="F5" i="7"/>
  <c r="F29" i="7"/>
  <c r="F25" i="7"/>
  <c r="F27" i="7"/>
  <c r="F22" i="7"/>
  <c r="F24" i="7"/>
  <c r="F30" i="7"/>
  <c r="F26" i="7"/>
  <c r="F23" i="7"/>
  <c r="P5" i="7"/>
  <c r="P22" i="7"/>
  <c r="P27" i="7"/>
  <c r="P24" i="7"/>
  <c r="P30" i="7"/>
  <c r="P23" i="7"/>
  <c r="P29" i="7"/>
  <c r="P25" i="7"/>
  <c r="P26" i="7"/>
  <c r="Q5" i="7"/>
  <c r="Q27" i="7"/>
  <c r="Q26" i="7"/>
  <c r="Q24" i="7"/>
  <c r="Q30" i="7"/>
  <c r="Q29" i="7"/>
  <c r="Q25" i="7"/>
  <c r="Q22" i="7"/>
  <c r="Q23" i="7"/>
  <c r="I5" i="7"/>
  <c r="I27" i="7"/>
  <c r="I24" i="7"/>
  <c r="I26" i="7"/>
  <c r="I23" i="7"/>
  <c r="I30" i="7"/>
  <c r="I29" i="7"/>
  <c r="I25" i="7"/>
  <c r="I22" i="7"/>
  <c r="O5" i="7"/>
  <c r="O25" i="7"/>
  <c r="O22" i="7"/>
  <c r="O24" i="7"/>
  <c r="O30" i="7"/>
  <c r="O27" i="7"/>
  <c r="O26" i="7"/>
  <c r="O23" i="7"/>
  <c r="O29" i="7"/>
  <c r="K5" i="7"/>
  <c r="K30" i="7"/>
  <c r="K29" i="7"/>
  <c r="K26" i="7"/>
  <c r="K23" i="7"/>
  <c r="K25" i="7"/>
  <c r="K22" i="7"/>
  <c r="K27" i="7"/>
  <c r="K24" i="7"/>
  <c r="R5" i="7"/>
  <c r="R24" i="7"/>
  <c r="R23" i="7"/>
  <c r="R30" i="7"/>
  <c r="R29" i="7"/>
  <c r="R26" i="7"/>
  <c r="R25" i="7"/>
  <c r="R22" i="7"/>
  <c r="R27" i="7"/>
  <c r="M5" i="5"/>
  <c r="M23" i="5"/>
  <c r="M27" i="5"/>
  <c r="M29" i="5"/>
  <c r="M22" i="5"/>
  <c r="M25" i="5"/>
  <c r="M24" i="5"/>
  <c r="M30" i="5"/>
  <c r="M26" i="5"/>
  <c r="J5" i="5"/>
  <c r="J24" i="5"/>
  <c r="J30" i="5"/>
  <c r="J26" i="5"/>
  <c r="J29" i="5"/>
  <c r="J25" i="5"/>
  <c r="J22" i="5"/>
  <c r="J27" i="5"/>
  <c r="J23" i="5"/>
  <c r="Y5" i="5"/>
  <c r="R5" i="5"/>
  <c r="R24" i="5"/>
  <c r="R23" i="5"/>
  <c r="R30" i="5"/>
  <c r="R29" i="5"/>
  <c r="R26" i="5"/>
  <c r="R25" i="5"/>
  <c r="R22" i="5"/>
  <c r="R27" i="5"/>
  <c r="Q5" i="5"/>
  <c r="Q27" i="5"/>
  <c r="Q24" i="5"/>
  <c r="Q30" i="5"/>
  <c r="Q29" i="5"/>
  <c r="Q25" i="5"/>
  <c r="Q22" i="5"/>
  <c r="Q26" i="5"/>
  <c r="Q23" i="5"/>
  <c r="C5" i="5"/>
  <c r="C30" i="5"/>
  <c r="C23" i="5"/>
  <c r="C29" i="5"/>
  <c r="C26" i="5"/>
  <c r="C22" i="5"/>
  <c r="C27" i="5"/>
  <c r="C24" i="5"/>
  <c r="C25" i="5"/>
  <c r="I5" i="5"/>
  <c r="I27" i="5"/>
  <c r="I24" i="5"/>
  <c r="I26" i="5"/>
  <c r="I23" i="5"/>
  <c r="I30" i="5"/>
  <c r="I29" i="5"/>
  <c r="I25" i="5"/>
  <c r="I22" i="5"/>
  <c r="E5" i="5"/>
  <c r="E23" i="5"/>
  <c r="E29" i="5"/>
  <c r="E27" i="5"/>
  <c r="E25" i="5"/>
  <c r="E22" i="5"/>
  <c r="E24" i="5"/>
  <c r="E30" i="5"/>
  <c r="E26" i="5"/>
  <c r="K5" i="5"/>
  <c r="K30" i="5"/>
  <c r="K26" i="5"/>
  <c r="K25" i="5"/>
  <c r="K22" i="5"/>
  <c r="K27" i="5"/>
  <c r="K24" i="5"/>
  <c r="K23" i="5"/>
  <c r="K29" i="5"/>
  <c r="L5" i="5"/>
  <c r="L26" i="5"/>
  <c r="L23" i="5"/>
  <c r="L29" i="5"/>
  <c r="L22" i="5"/>
  <c r="L27" i="5"/>
  <c r="L24" i="5"/>
  <c r="L30" i="5"/>
  <c r="L25" i="5"/>
  <c r="N5" i="5"/>
  <c r="N29" i="5"/>
  <c r="N25" i="5"/>
  <c r="N24" i="5"/>
  <c r="N30" i="5"/>
  <c r="N26" i="5"/>
  <c r="N23" i="5"/>
  <c r="N22" i="5"/>
  <c r="N27" i="5"/>
  <c r="H5" i="5"/>
  <c r="H22" i="5"/>
  <c r="H24" i="5"/>
  <c r="H30" i="5"/>
  <c r="H26" i="5"/>
  <c r="H27" i="5"/>
  <c r="H23" i="5"/>
  <c r="H29" i="5"/>
  <c r="H25" i="5"/>
  <c r="P5" i="5"/>
  <c r="P22" i="5"/>
  <c r="P27" i="5"/>
  <c r="P23" i="5"/>
  <c r="P29" i="5"/>
  <c r="P25" i="5"/>
  <c r="P24" i="5"/>
  <c r="P30" i="5"/>
  <c r="P26" i="5"/>
  <c r="D5" i="5"/>
  <c r="D26" i="5"/>
  <c r="D23" i="5"/>
  <c r="D25" i="5"/>
  <c r="D29" i="5"/>
  <c r="D27" i="5"/>
  <c r="D24" i="5"/>
  <c r="D30" i="5"/>
  <c r="D22" i="5"/>
  <c r="O5" i="5"/>
  <c r="O25" i="5"/>
  <c r="O22" i="5"/>
  <c r="O24" i="5"/>
  <c r="O27" i="5"/>
  <c r="O26" i="5"/>
  <c r="O23" i="5"/>
  <c r="O29" i="5"/>
  <c r="O30" i="5"/>
  <c r="G5" i="5"/>
  <c r="G25" i="5"/>
  <c r="G22" i="5"/>
  <c r="G30" i="5"/>
  <c r="G27" i="5"/>
  <c r="G26" i="5"/>
  <c r="G23" i="5"/>
  <c r="G29" i="5"/>
  <c r="G24" i="5"/>
  <c r="F5" i="5"/>
  <c r="F29" i="5"/>
  <c r="F22" i="5"/>
  <c r="F27" i="5"/>
  <c r="F25" i="5"/>
  <c r="F24" i="5"/>
  <c r="F30" i="5"/>
  <c r="F26" i="5"/>
  <c r="F23" i="5"/>
  <c r="Z3" i="5"/>
  <c r="Z5" i="5" s="1"/>
  <c r="N29" i="17"/>
  <c r="N30" i="17"/>
  <c r="K29" i="17"/>
  <c r="K30" i="17"/>
  <c r="J29" i="17"/>
  <c r="J30" i="17"/>
  <c r="H29" i="17"/>
  <c r="H30" i="17"/>
  <c r="D29" i="17"/>
  <c r="D30" i="17"/>
  <c r="C29" i="17"/>
  <c r="C30" i="17"/>
  <c r="L29" i="17"/>
  <c r="L30" i="17"/>
  <c r="R29" i="17"/>
  <c r="R30" i="17"/>
  <c r="Q29" i="17"/>
  <c r="Q30" i="17"/>
  <c r="I29" i="17"/>
  <c r="I30" i="17"/>
  <c r="O29" i="17"/>
  <c r="O30" i="17"/>
  <c r="P29" i="17"/>
  <c r="P30" i="17"/>
  <c r="O22" i="17"/>
  <c r="O27" i="17"/>
  <c r="O24" i="17"/>
  <c r="O26" i="17"/>
  <c r="O25" i="17"/>
  <c r="O23" i="17"/>
  <c r="P22" i="17"/>
  <c r="P25" i="17"/>
  <c r="P24" i="17"/>
  <c r="P27" i="17"/>
  <c r="P26" i="17"/>
  <c r="P23" i="17"/>
  <c r="N22" i="17"/>
  <c r="N26" i="17"/>
  <c r="N23" i="17"/>
  <c r="N25" i="17"/>
  <c r="N24" i="17"/>
  <c r="N27" i="17"/>
  <c r="K22" i="17"/>
  <c r="K23" i="17"/>
  <c r="K27" i="17"/>
  <c r="K26" i="17"/>
  <c r="K25" i="17"/>
  <c r="K24" i="17"/>
  <c r="J22" i="17"/>
  <c r="J27" i="17"/>
  <c r="J26" i="17"/>
  <c r="J25" i="17"/>
  <c r="J24" i="17"/>
  <c r="J23" i="17"/>
  <c r="H22" i="17"/>
  <c r="H27" i="17"/>
  <c r="H24" i="17"/>
  <c r="H26" i="17"/>
  <c r="H25" i="17"/>
  <c r="H23" i="17"/>
  <c r="D22" i="17"/>
  <c r="D24" i="17"/>
  <c r="D23" i="17"/>
  <c r="D27" i="17"/>
  <c r="D26" i="17"/>
  <c r="D25" i="17"/>
  <c r="C22" i="17"/>
  <c r="C23" i="17"/>
  <c r="C27" i="17"/>
  <c r="C26" i="17"/>
  <c r="C25" i="17"/>
  <c r="C24" i="17"/>
  <c r="I22" i="17"/>
  <c r="I26" i="17"/>
  <c r="I25" i="17"/>
  <c r="I27" i="17"/>
  <c r="I24" i="17"/>
  <c r="I23" i="17"/>
  <c r="L22" i="17"/>
  <c r="L24" i="17"/>
  <c r="L23" i="17"/>
  <c r="L27" i="17"/>
  <c r="L26" i="17"/>
  <c r="L25" i="17"/>
  <c r="R22" i="17"/>
  <c r="R27" i="17"/>
  <c r="R25" i="17"/>
  <c r="R24" i="17"/>
  <c r="R23" i="17"/>
  <c r="R26" i="17"/>
  <c r="Q22" i="17"/>
  <c r="Q27" i="17"/>
  <c r="Q26" i="17"/>
  <c r="Q25" i="17"/>
  <c r="Q24" i="17"/>
  <c r="Q23" i="17"/>
  <c r="I5" i="17"/>
  <c r="O5" i="17"/>
  <c r="P5" i="17"/>
  <c r="N5" i="17"/>
  <c r="K5" i="17"/>
  <c r="J5" i="17"/>
  <c r="H5" i="17"/>
  <c r="D5" i="17"/>
  <c r="C5" i="17"/>
  <c r="L5" i="17"/>
  <c r="R5" i="17"/>
  <c r="Q5" i="17"/>
  <c r="Z4" i="13"/>
  <c r="K36" i="10"/>
  <c r="M13" i="9"/>
  <c r="E10" i="9"/>
  <c r="O10" i="9"/>
  <c r="V7" i="9"/>
  <c r="E13" i="9"/>
  <c r="R11" i="9"/>
  <c r="J11" i="9"/>
  <c r="D13" i="9"/>
  <c r="D15" i="9"/>
  <c r="Q11" i="9"/>
  <c r="E12" i="9"/>
  <c r="R15" i="9"/>
  <c r="M16" i="9"/>
  <c r="Y7" i="9"/>
  <c r="N8" i="9"/>
  <c r="M12" i="9"/>
  <c r="D16" i="9"/>
  <c r="N15" i="9"/>
  <c r="D8" i="9"/>
  <c r="K16" i="9"/>
  <c r="H12" i="9"/>
  <c r="G11" i="9"/>
  <c r="H7" i="9"/>
  <c r="R12" i="9"/>
  <c r="T7" i="9"/>
  <c r="J12" i="9"/>
  <c r="O12" i="9"/>
  <c r="L9" i="9"/>
  <c r="N12" i="9"/>
  <c r="M9" i="9"/>
  <c r="P16" i="9"/>
  <c r="C12" i="9"/>
  <c r="O8" i="9"/>
  <c r="M7" i="9"/>
  <c r="H11" i="9"/>
  <c r="N7" i="9"/>
  <c r="C8" i="9"/>
  <c r="O9" i="9"/>
  <c r="Q8" i="9"/>
  <c r="L16" i="9"/>
  <c r="W7" i="9"/>
  <c r="D11" i="9"/>
  <c r="H15" i="9"/>
  <c r="P13" i="9"/>
  <c r="K12" i="9"/>
  <c r="S7" i="9"/>
  <c r="R10" i="9"/>
  <c r="C9" i="9"/>
  <c r="L7" i="9"/>
  <c r="O7" i="9"/>
  <c r="G13" i="9"/>
  <c r="R9" i="9"/>
  <c r="F12" i="9"/>
  <c r="J16" i="9"/>
  <c r="P15" i="9"/>
  <c r="N11" i="9"/>
  <c r="Q13" i="9"/>
  <c r="P10" i="9"/>
  <c r="J9" i="9"/>
  <c r="K7" i="9"/>
  <c r="K11" i="9"/>
  <c r="J7" i="9"/>
  <c r="E8" i="9"/>
  <c r="I11" i="9"/>
  <c r="D10" i="9"/>
  <c r="M15" i="9"/>
  <c r="N10" i="9"/>
  <c r="G16" i="9"/>
  <c r="P9" i="9"/>
  <c r="K10" i="9"/>
  <c r="H13" i="9"/>
  <c r="I10" i="9"/>
  <c r="H10" i="9"/>
  <c r="F10" i="9"/>
  <c r="M8" i="9"/>
  <c r="C15" i="9"/>
  <c r="L12" i="9"/>
  <c r="K15" i="9"/>
  <c r="M10" i="9"/>
  <c r="E15" i="9"/>
  <c r="C7" i="9"/>
  <c r="C11" i="9"/>
  <c r="G12" i="9"/>
  <c r="O16" i="9"/>
  <c r="K13" i="9"/>
  <c r="J13" i="9"/>
  <c r="O11" i="9"/>
  <c r="I15" i="9"/>
  <c r="D9" i="9"/>
  <c r="Q12" i="9"/>
  <c r="J15" i="9"/>
  <c r="M11" i="9"/>
  <c r="N9" i="9"/>
  <c r="O13" i="9"/>
  <c r="Q16" i="9"/>
  <c r="F9" i="9"/>
  <c r="O15" i="9"/>
  <c r="E9" i="9"/>
  <c r="F11" i="9"/>
  <c r="E16" i="9"/>
  <c r="U7" i="9"/>
  <c r="J10" i="9"/>
  <c r="G8" i="9"/>
  <c r="E7" i="9"/>
  <c r="Q10" i="9"/>
  <c r="R13" i="9"/>
  <c r="I7" i="9"/>
  <c r="P12" i="9"/>
  <c r="F8" i="9"/>
  <c r="Q9" i="9"/>
  <c r="P8" i="9"/>
  <c r="K9" i="9"/>
  <c r="N13" i="9"/>
  <c r="F15" i="9"/>
  <c r="I16" i="9"/>
  <c r="Q15" i="9"/>
  <c r="C16" i="9"/>
  <c r="K8" i="9"/>
  <c r="I8" i="9"/>
  <c r="I12" i="9"/>
  <c r="D12" i="9"/>
  <c r="L11" i="9"/>
  <c r="P11" i="9"/>
  <c r="L8" i="9"/>
  <c r="E11" i="9"/>
  <c r="C13" i="9"/>
  <c r="C10" i="9"/>
  <c r="I13" i="9"/>
  <c r="P7" i="9"/>
  <c r="Z7" i="11"/>
  <c r="G15" i="9"/>
  <c r="R16" i="9"/>
  <c r="F16" i="9"/>
  <c r="R7" i="9"/>
  <c r="H16" i="9"/>
  <c r="L15" i="9"/>
  <c r="Q7" i="9"/>
  <c r="H8" i="9"/>
  <c r="G9" i="9"/>
  <c r="R8" i="9"/>
  <c r="L10" i="9"/>
  <c r="D7" i="9"/>
  <c r="G7" i="9"/>
  <c r="H9" i="9"/>
  <c r="L13" i="9"/>
  <c r="I9" i="9"/>
  <c r="J8" i="9"/>
  <c r="N16" i="9"/>
  <c r="F13" i="9"/>
  <c r="F7" i="9"/>
  <c r="AA16" i="13" l="1"/>
  <c r="AA15" i="13"/>
  <c r="AA13" i="13"/>
  <c r="AA9" i="13"/>
  <c r="AA10" i="13"/>
  <c r="AA11" i="13"/>
  <c r="AA12" i="13"/>
  <c r="AA8" i="13"/>
  <c r="AA16" i="11"/>
  <c r="AA8" i="11"/>
  <c r="AA9" i="11"/>
  <c r="AA10" i="11"/>
  <c r="AA12" i="11"/>
  <c r="AA13" i="11"/>
  <c r="AA11" i="11"/>
  <c r="AA15" i="11"/>
  <c r="AA16" i="7"/>
  <c r="AA15" i="7"/>
  <c r="AA13" i="7"/>
  <c r="AA11" i="7"/>
  <c r="AA10" i="7"/>
  <c r="AA8" i="7"/>
  <c r="AA9" i="7"/>
  <c r="AA12" i="7"/>
  <c r="AA16" i="5"/>
  <c r="AA11" i="5"/>
  <c r="AA10" i="5"/>
  <c r="AA9" i="5"/>
  <c r="AA8" i="5"/>
  <c r="AA13" i="5"/>
  <c r="AA12" i="5"/>
  <c r="AA15" i="5"/>
  <c r="C4" i="9"/>
  <c r="C3" i="9"/>
  <c r="C5" i="9" s="1"/>
  <c r="O3" i="9"/>
  <c r="O5" i="9" s="1"/>
  <c r="O4" i="9"/>
  <c r="Y4" i="9"/>
  <c r="Y3" i="9"/>
  <c r="Y5" i="9" s="1"/>
  <c r="S3" i="9"/>
  <c r="S5" i="9" s="1"/>
  <c r="S4" i="9"/>
  <c r="T3" i="9"/>
  <c r="T5" i="9" s="1"/>
  <c r="T4" i="9"/>
  <c r="U3" i="9"/>
  <c r="U5" i="9" s="1"/>
  <c r="U4" i="9"/>
  <c r="V4" i="9"/>
  <c r="V3" i="9"/>
  <c r="V5" i="9" s="1"/>
  <c r="W3" i="9"/>
  <c r="W5" i="9" s="1"/>
  <c r="W4" i="9"/>
  <c r="R3" i="9"/>
  <c r="R5" i="9" s="1"/>
  <c r="R4" i="9"/>
  <c r="Q3" i="9"/>
  <c r="Q5" i="9" s="1"/>
  <c r="Q4" i="9"/>
  <c r="P3" i="9"/>
  <c r="P5" i="9" s="1"/>
  <c r="P4" i="9"/>
  <c r="N4" i="9"/>
  <c r="N3" i="9"/>
  <c r="N5" i="9" s="1"/>
  <c r="M4" i="9"/>
  <c r="M3" i="9"/>
  <c r="M5" i="9" s="1"/>
  <c r="L3" i="9"/>
  <c r="L5" i="9" s="1"/>
  <c r="L4" i="9"/>
  <c r="K3" i="9"/>
  <c r="K5" i="9" s="1"/>
  <c r="K4" i="9"/>
  <c r="J3" i="9"/>
  <c r="J5" i="9" s="1"/>
  <c r="J4" i="9"/>
  <c r="I3" i="9"/>
  <c r="I5" i="9" s="1"/>
  <c r="I4" i="9"/>
  <c r="H3" i="9"/>
  <c r="H5" i="9" s="1"/>
  <c r="H4" i="9"/>
  <c r="G4" i="9"/>
  <c r="G3" i="9"/>
  <c r="G5" i="9" s="1"/>
  <c r="F3" i="9"/>
  <c r="F5" i="9" s="1"/>
  <c r="F4" i="9"/>
  <c r="E4" i="9"/>
  <c r="E3" i="9"/>
  <c r="E5" i="9" s="1"/>
  <c r="D3" i="9"/>
  <c r="D5" i="9" s="1"/>
  <c r="D4" i="9"/>
  <c r="K36" i="8"/>
  <c r="Z16" i="9"/>
  <c r="Z10" i="9"/>
  <c r="Z15" i="9"/>
  <c r="Z12" i="9"/>
  <c r="Z13" i="9"/>
  <c r="Z7" i="9"/>
  <c r="Z11" i="9"/>
  <c r="Z8" i="9"/>
  <c r="Z9" i="9"/>
  <c r="Y24" i="9" l="1"/>
  <c r="Y23" i="9"/>
  <c r="Y22" i="9"/>
  <c r="Y30" i="9"/>
  <c r="Y29" i="9"/>
  <c r="Y27" i="9"/>
  <c r="Y26" i="9"/>
  <c r="Y25" i="9"/>
  <c r="W24" i="9"/>
  <c r="W23" i="9"/>
  <c r="W22" i="9"/>
  <c r="W30" i="9"/>
  <c r="W29" i="9"/>
  <c r="W27" i="9"/>
  <c r="W26" i="9"/>
  <c r="W25" i="9"/>
  <c r="V24" i="9"/>
  <c r="V23" i="9"/>
  <c r="V22" i="9"/>
  <c r="V30" i="9"/>
  <c r="V29" i="9"/>
  <c r="V27" i="9"/>
  <c r="V26" i="9"/>
  <c r="V25" i="9"/>
  <c r="U24" i="9"/>
  <c r="U23" i="9"/>
  <c r="U22" i="9"/>
  <c r="U30" i="9"/>
  <c r="U29" i="9"/>
  <c r="U27" i="9"/>
  <c r="U26" i="9"/>
  <c r="U25" i="9"/>
  <c r="T24" i="9"/>
  <c r="T23" i="9"/>
  <c r="T22" i="9"/>
  <c r="T30" i="9"/>
  <c r="T29" i="9"/>
  <c r="T27" i="9"/>
  <c r="T26" i="9"/>
  <c r="T25" i="9"/>
  <c r="S24" i="9"/>
  <c r="S23" i="9"/>
  <c r="S22" i="9"/>
  <c r="S30" i="9"/>
  <c r="S29" i="9"/>
  <c r="S27" i="9"/>
  <c r="S26" i="9"/>
  <c r="S25" i="9"/>
  <c r="F27" i="9"/>
  <c r="F23" i="9"/>
  <c r="F30" i="9"/>
  <c r="F26" i="9"/>
  <c r="F22" i="9"/>
  <c r="F29" i="9"/>
  <c r="F24" i="9"/>
  <c r="F25" i="9"/>
  <c r="H26" i="9"/>
  <c r="H22" i="9"/>
  <c r="H30" i="9"/>
  <c r="H25" i="9"/>
  <c r="H29" i="9"/>
  <c r="H24" i="9"/>
  <c r="H27" i="9"/>
  <c r="H23" i="9"/>
  <c r="J30" i="9"/>
  <c r="J25" i="9"/>
  <c r="J29" i="9"/>
  <c r="J24" i="9"/>
  <c r="J27" i="9"/>
  <c r="J26" i="9"/>
  <c r="J22" i="9"/>
  <c r="J23" i="9"/>
  <c r="L29" i="9"/>
  <c r="L24" i="9"/>
  <c r="L27" i="9"/>
  <c r="L23" i="9"/>
  <c r="L22" i="9"/>
  <c r="L26" i="9"/>
  <c r="L30" i="9"/>
  <c r="L25" i="9"/>
  <c r="Q30" i="9"/>
  <c r="Q25" i="9"/>
  <c r="Q29" i="9"/>
  <c r="Q24" i="9"/>
  <c r="Q27" i="9"/>
  <c r="Q23" i="9"/>
  <c r="Q26" i="9"/>
  <c r="Q22" i="9"/>
  <c r="O26" i="9"/>
  <c r="O22" i="9"/>
  <c r="O30" i="9"/>
  <c r="O25" i="9"/>
  <c r="O29" i="9"/>
  <c r="O24" i="9"/>
  <c r="O27" i="9"/>
  <c r="O23" i="9"/>
  <c r="G26" i="9"/>
  <c r="G22" i="9"/>
  <c r="G30" i="9"/>
  <c r="G25" i="9"/>
  <c r="G29" i="9"/>
  <c r="G24" i="9"/>
  <c r="G27" i="9"/>
  <c r="G23" i="9"/>
  <c r="C29" i="9"/>
  <c r="C24" i="9"/>
  <c r="C27" i="9"/>
  <c r="C26" i="9"/>
  <c r="C22" i="9"/>
  <c r="C30" i="9"/>
  <c r="C25" i="9"/>
  <c r="C23" i="9"/>
  <c r="E27" i="9"/>
  <c r="E23" i="9"/>
  <c r="E26" i="9"/>
  <c r="E22" i="9"/>
  <c r="E30" i="9"/>
  <c r="E25" i="9"/>
  <c r="E29" i="9"/>
  <c r="E24" i="9"/>
  <c r="M22" i="9"/>
  <c r="M27" i="9"/>
  <c r="M23" i="9"/>
  <c r="M26" i="9"/>
  <c r="M30" i="9"/>
  <c r="M25" i="9"/>
  <c r="M29" i="9"/>
  <c r="M24" i="9"/>
  <c r="D29" i="9"/>
  <c r="D24" i="9"/>
  <c r="D27" i="9"/>
  <c r="D23" i="9"/>
  <c r="D30" i="9"/>
  <c r="D25" i="9"/>
  <c r="D26" i="9"/>
  <c r="D22" i="9"/>
  <c r="N27" i="9"/>
  <c r="N23" i="9"/>
  <c r="N26" i="9"/>
  <c r="N22" i="9"/>
  <c r="N25" i="9"/>
  <c r="N29" i="9"/>
  <c r="N24" i="9"/>
  <c r="N30" i="9"/>
  <c r="P26" i="9"/>
  <c r="P22" i="9"/>
  <c r="P24" i="9"/>
  <c r="P30" i="9"/>
  <c r="P25" i="9"/>
  <c r="P29" i="9"/>
  <c r="P27" i="9"/>
  <c r="P23" i="9"/>
  <c r="I24" i="9"/>
  <c r="I30" i="9"/>
  <c r="I25" i="9"/>
  <c r="I29" i="9"/>
  <c r="I27" i="9"/>
  <c r="I23" i="9"/>
  <c r="I26" i="9"/>
  <c r="I22" i="9"/>
  <c r="K29" i="9"/>
  <c r="K24" i="9"/>
  <c r="K27" i="9"/>
  <c r="K23" i="9"/>
  <c r="K26" i="9"/>
  <c r="K22" i="9"/>
  <c r="K30" i="9"/>
  <c r="K25" i="9"/>
  <c r="R30" i="9"/>
  <c r="R25" i="9"/>
  <c r="R29" i="9"/>
  <c r="R24" i="9"/>
  <c r="R23" i="9"/>
  <c r="R26" i="9"/>
  <c r="R22" i="9"/>
  <c r="R27" i="9"/>
  <c r="Z3" i="9"/>
  <c r="Z5" i="9" s="1"/>
  <c r="Z4" i="9"/>
  <c r="K36" i="6"/>
  <c r="AA16" i="9" l="1"/>
  <c r="AA8" i="9"/>
  <c r="AA15" i="9"/>
  <c r="AA13" i="9"/>
  <c r="AA9" i="9"/>
  <c r="AA11" i="9"/>
  <c r="AA12" i="9"/>
  <c r="AA10" i="9"/>
  <c r="K36" i="4"/>
  <c r="G8" i="17"/>
  <c r="E8" i="17"/>
  <c r="M8" i="17"/>
  <c r="Y8" i="17"/>
  <c r="F8" i="17"/>
  <c r="E4" i="17" l="1"/>
  <c r="F4" i="17"/>
  <c r="E3" i="17"/>
  <c r="G4" i="17"/>
  <c r="Y3" i="17"/>
  <c r="Y4" i="17"/>
  <c r="M3" i="17"/>
  <c r="M4" i="17"/>
  <c r="G3" i="17"/>
  <c r="F3" i="17"/>
  <c r="AB4" i="17"/>
  <c r="AB3" i="17"/>
  <c r="AB5" i="17"/>
  <c r="K36" i="1"/>
  <c r="Z7" i="17"/>
  <c r="Z10" i="17"/>
  <c r="Z11" i="17"/>
  <c r="Z13" i="17"/>
  <c r="Z12" i="17"/>
  <c r="Z9" i="17"/>
  <c r="Z8" i="17"/>
  <c r="Y29" i="17" l="1"/>
  <c r="Y30" i="17"/>
  <c r="E29" i="17"/>
  <c r="E30" i="17"/>
  <c r="F29" i="17"/>
  <c r="F30" i="17"/>
  <c r="G29" i="17"/>
  <c r="G30" i="17"/>
  <c r="M29" i="17"/>
  <c r="M30" i="17"/>
  <c r="E22" i="17"/>
  <c r="E25" i="17"/>
  <c r="E24" i="17"/>
  <c r="E23" i="17"/>
  <c r="E27" i="17"/>
  <c r="E26" i="17"/>
  <c r="F22" i="17"/>
  <c r="F26" i="17"/>
  <c r="F25" i="17"/>
  <c r="F24" i="17"/>
  <c r="F23" i="17"/>
  <c r="F27" i="17"/>
  <c r="G22" i="17"/>
  <c r="G27" i="17"/>
  <c r="G24" i="17"/>
  <c r="G23" i="17"/>
  <c r="G26" i="17"/>
  <c r="G25" i="17"/>
  <c r="M22" i="17"/>
  <c r="M25" i="17"/>
  <c r="M24" i="17"/>
  <c r="M23" i="17"/>
  <c r="M27" i="17"/>
  <c r="M26" i="17"/>
  <c r="Y22" i="17"/>
  <c r="Y25" i="17"/>
  <c r="Y27" i="17"/>
  <c r="Y26" i="17"/>
  <c r="Y24" i="17"/>
  <c r="Y23" i="17"/>
  <c r="Y5" i="17"/>
  <c r="E5" i="17"/>
  <c r="F5" i="17"/>
  <c r="G5" i="17"/>
  <c r="M5" i="17"/>
  <c r="Z3" i="17"/>
  <c r="Z5" i="17" s="1"/>
  <c r="Z4" i="17"/>
  <c r="AA15" i="17" l="1"/>
  <c r="AA16" i="17"/>
  <c r="AA8" i="17"/>
  <c r="AA13" i="17"/>
  <c r="AA12" i="17"/>
  <c r="AA9" i="17"/>
  <c r="AA10" i="17"/>
  <c r="AA11" i="17"/>
</calcChain>
</file>

<file path=xl/sharedStrings.xml><?xml version="1.0" encoding="utf-8"?>
<sst xmlns="http://schemas.openxmlformats.org/spreadsheetml/2006/main" count="452" uniqueCount="229">
  <si>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</si>
  <si>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</si>
  <si>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</si>
  <si>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</si>
  <si>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</si>
  <si>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</si>
  <si>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</si>
  <si>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</si>
  <si>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</si>
  <si>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</si>
  <si>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</si>
  <si>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</si>
  <si>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</si>
  <si>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</si>
  <si>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</si>
  <si>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</si>
  <si>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</si>
  <si>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</si>
  <si>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</si>
  <si>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</si>
  <si>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</si>
  <si>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</si>
  <si>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</si>
  <si>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</si>
  <si>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</si>
  <si>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</si>
  <si>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</si>
  <si>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</si>
  <si>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</si>
  <si>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Kata Meisterschaft</t>
  </si>
  <si>
    <t>des Deutschen Judobundes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</si>
  <si>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</si>
  <si>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</si>
  <si>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</si>
  <si>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</si>
  <si>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</si>
  <si>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</si>
  <si>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</si>
  <si>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</si>
  <si>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</si>
  <si>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</si>
  <si>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</si>
  <si>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G5</t>
  </si>
  <si>
    <t>J5</t>
  </si>
  <si>
    <t>D5</t>
  </si>
  <si>
    <t>C8</t>
  </si>
  <si>
    <t>E8</t>
  </si>
  <si>
    <t>H8</t>
  </si>
  <si>
    <t>J8</t>
  </si>
  <si>
    <t>Tori Nachname</t>
  </si>
  <si>
    <t>Tori Vorname</t>
  </si>
  <si>
    <t>Tori Verein</t>
  </si>
  <si>
    <t>Tori Landesverband</t>
  </si>
  <si>
    <t>C9</t>
  </si>
  <si>
    <t>E9</t>
  </si>
  <si>
    <t>H9</t>
  </si>
  <si>
    <t>J9</t>
  </si>
  <si>
    <t>Uke Nachname</t>
  </si>
  <si>
    <t>Uke Vorname</t>
  </si>
  <si>
    <t>Uke Verein</t>
  </si>
  <si>
    <t>Uke Landesverband</t>
  </si>
  <si>
    <t>D31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</si>
  <si>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</si>
  <si>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</si>
  <si>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</si>
  <si>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</si>
  <si>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</si>
  <si>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</si>
  <si>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Der Aggregator kann Zeile 1 Auslesen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</si>
  <si>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</si>
  <si>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</si>
  <si>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</si>
  <si>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</si>
  <si>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</si>
  <si>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</si>
  <si>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</si>
  <si>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</si>
  <si>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</si>
  <si>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</si>
  <si>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</si>
  <si>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</si>
  <si>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</si>
  <si>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</si>
  <si>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</si>
  <si>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</si>
  <si>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</si>
  <si>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</si>
  <si>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</si>
  <si>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</si>
  <si>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</si>
  <si>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</si>
  <si>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</si>
  <si>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</si>
  <si>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</si>
  <si>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</si>
  <si>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</si>
  <si>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</si>
  <si>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</si>
  <si>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</si>
  <si>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</si>
  <si>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</si>
  <si>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</si>
  <si>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</si>
  <si>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</si>
  <si>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</si>
  <si>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</si>
  <si>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</si>
  <si>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</si>
  <si>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</si>
  <si>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</si>
  <si>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</si>
  <si>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</si>
  <si>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</si>
  <si>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</si>
  <si>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</si>
  <si>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</si>
  <si>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</si>
  <si>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</si>
  <si>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</si>
  <si>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</si>
  <si>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</si>
  <si>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</si>
  <si>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</si>
  <si>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</si>
  <si>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</si>
  <si>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</si>
  <si>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</si>
  <si>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</si>
  <si>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</si>
  <si>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</si>
  <si>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</si>
  <si>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</si>
  <si>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</si>
  <si>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</si>
  <si>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</si>
  <si>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</si>
  <si>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</si>
  <si>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</si>
  <si>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</si>
  <si>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</si>
  <si>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</si>
  <si>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</si>
  <si>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</si>
  <si>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</si>
  <si>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</si>
  <si>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</si>
  <si>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</si>
  <si>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</si>
  <si>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</si>
  <si>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</si>
  <si>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</si>
  <si>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</si>
  <si>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</si>
  <si>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</si>
  <si>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</si>
  <si>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</si>
  <si>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</si>
  <si>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</si>
  <si>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</si>
  <si>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</si>
  <si>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</si>
  <si>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</si>
  <si>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</si>
  <si>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</si>
  <si>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</si>
  <si>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</si>
  <si>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</si>
  <si>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</si>
  <si>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</si>
  <si>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</si>
  <si>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</si>
  <si>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</si>
  <si>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</si>
  <si>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</si>
  <si>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</si>
  <si>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</si>
  <si>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</si>
  <si>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</si>
  <si>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</si>
  <si>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</si>
  <si>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</si>
  <si>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</si>
  <si>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</si>
  <si>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</si>
  <si>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</si>
  <si>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</si>
  <si>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</si>
  <si>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</si>
  <si>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</si>
  <si>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</si>
  <si>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</si>
  <si>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</si>
  <si>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</si>
  <si>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</si>
  <si>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</si>
  <si>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</si>
  <si>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</si>
  <si>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</si>
  <si>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</si>
  <si>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</si>
  <si>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</si>
  <si>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</si>
  <si>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</si>
  <si>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</si>
  <si>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</si>
  <si>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</si>
  <si>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</si>
  <si>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</si>
  <si>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</si>
  <si>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</si>
  <si>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</si>
  <si>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</si>
  <si>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</si>
  <si>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Technik 1</t>
  </si>
  <si>
    <t>Technik 2</t>
  </si>
  <si>
    <t>Technik 4</t>
  </si>
  <si>
    <t>Technik 5</t>
  </si>
  <si>
    <t>Technik 6</t>
  </si>
  <si>
    <t>Technik 3</t>
  </si>
  <si>
    <t>Gruppe 1</t>
  </si>
  <si>
    <t>Gruppe 2</t>
  </si>
  <si>
    <t>Nage no kata Integration I</t>
  </si>
  <si>
    <t>Blanko-Seite als Template für den Generator. Die Parameter unten werden vom Generator überschrieben.</t>
  </si>
  <si>
    <t>Nage no kata Integration II</t>
  </si>
  <si>
    <t>Nage no kata U18</t>
  </si>
  <si>
    <t xml:space="preserve"> </t>
  </si>
  <si>
    <t>Prozentuale Abweichung</t>
  </si>
  <si>
    <t>Abweichungstabelle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</si>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</sst>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Lucida Console"/>
      <family val="3"/>
    </font>
    <font>
      <sz val="11"/>
      <color theme="1"/>
      <name val="Lucida Console"/>
      <family val="3"/>
    </font>
    <font>
      <sz val="13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Lucida Console"/>
      <family val="3"/>
    </font>
    <font>
      <b/>
      <sz val="11"/>
      <color rgb="FF3366FF"/>
      <name val="Calibri"/>
      <family val="2"/>
      <scheme val="minor"/>
    </font>
    <font>
      <b/>
      <sz val="11"/>
      <color rgb="FF3366FF"/>
      <name val="Lucida Console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7" fillId="0" borderId="0"/>
    <xf numFmtId="9" fontId="34" fillId="0" borderId="0" applyFont="0" applyFill="0" applyBorder="0" applyAlignment="0" applyProtection="0"/>
  </cellStyleXfs>
  <cellXfs count="387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8" fillId="2" borderId="23" xfId="0" applyFont="1" applyFill="1" applyBorder="1" applyAlignment="1" applyProtection="1">
      <alignment horizontal="center" vertical="center"/>
      <protection hidden="1"/>
    </xf>
    <xf numFmtId="0" fontId="8" fillId="2" borderId="27" xfId="0" applyFont="1" applyFill="1" applyBorder="1" applyAlignment="1" applyProtection="1">
      <alignment horizontal="center" vertical="center"/>
      <protection hidden="1"/>
    </xf>
    <xf numFmtId="0" fontId="8" fillId="2" borderId="30" xfId="0" applyFont="1" applyFill="1" applyBorder="1" applyAlignment="1" applyProtection="1">
      <alignment horizontal="center" vertical="center"/>
      <protection hidden="1"/>
    </xf>
    <xf numFmtId="0" fontId="8" fillId="2" borderId="32" xfId="0" applyFont="1" applyFill="1" applyBorder="1" applyAlignment="1" applyProtection="1">
      <alignment horizontal="center" vertical="center"/>
      <protection hidden="1"/>
    </xf>
    <xf numFmtId="0" fontId="8" fillId="2" borderId="33" xfId="0" applyFont="1" applyFill="1" applyBorder="1" applyAlignment="1" applyProtection="1">
      <alignment horizontal="center" vertical="center"/>
      <protection hidden="1"/>
    </xf>
    <xf numFmtId="0" fontId="8" fillId="2" borderId="34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Alignment="1" applyProtection="1">
      <alignment vertical="center"/>
      <protection hidden="1"/>
    </xf>
    <xf numFmtId="0" fontId="11" fillId="2" borderId="5" xfId="0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Fill="1" applyAlignment="1" applyProtection="1">
      <alignment vertical="center"/>
      <protection hidden="1"/>
    </xf>
    <xf numFmtId="0" fontId="15" fillId="0" borderId="0" xfId="0" applyFont="1" applyFill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horizontal="right" vertical="center"/>
      <protection hidden="1"/>
    </xf>
    <xf numFmtId="14" fontId="11" fillId="0" borderId="0" xfId="0" applyNumberFormat="1" applyFont="1" applyFill="1" applyBorder="1" applyAlignment="1" applyProtection="1">
      <alignment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locked="0" hidden="1"/>
    </xf>
    <xf numFmtId="0" fontId="5" fillId="0" borderId="15" xfId="0" applyFont="1" applyFill="1" applyBorder="1" applyAlignment="1" applyProtection="1">
      <alignment horizontal="center" vertical="center"/>
      <protection locked="0" hidden="1"/>
    </xf>
    <xf numFmtId="0" fontId="14" fillId="0" borderId="0" xfId="0" applyFont="1" applyProtection="1"/>
    <xf numFmtId="0" fontId="0" fillId="0" borderId="0" xfId="0" applyFont="1" applyProtection="1"/>
    <xf numFmtId="0" fontId="13" fillId="0" borderId="0" xfId="0" applyFont="1" applyProtection="1"/>
    <xf numFmtId="0" fontId="19" fillId="0" borderId="0" xfId="0" applyFont="1" applyProtection="1"/>
    <xf numFmtId="0" fontId="11" fillId="0" borderId="0" xfId="0" applyFont="1" applyFill="1" applyBorder="1" applyAlignment="1" applyProtection="1">
      <alignment vertical="center"/>
      <protection locked="0" hidden="1"/>
    </xf>
    <xf numFmtId="14" fontId="11" fillId="0" borderId="0" xfId="0" applyNumberFormat="1" applyFont="1" applyFill="1" applyBorder="1" applyAlignment="1" applyProtection="1">
      <alignment vertical="center"/>
      <protection locked="0" hidden="1"/>
    </xf>
    <xf numFmtId="0" fontId="20" fillId="0" borderId="0" xfId="0" applyFont="1" applyProtection="1"/>
    <xf numFmtId="0" fontId="12" fillId="0" borderId="0" xfId="0" applyFont="1" applyProtection="1"/>
    <xf numFmtId="0" fontId="22" fillId="0" borderId="0" xfId="0" applyFont="1"/>
    <xf numFmtId="1" fontId="4" fillId="0" borderId="39" xfId="0" applyNumberFormat="1" applyFont="1" applyFill="1" applyBorder="1" applyAlignment="1" applyProtection="1">
      <alignment horizontal="center" vertical="center"/>
      <protection hidden="1"/>
    </xf>
    <xf numFmtId="0" fontId="10" fillId="4" borderId="40" xfId="0" applyFont="1" applyFill="1" applyBorder="1" applyAlignment="1" applyProtection="1">
      <alignment horizontal="center" vertical="center"/>
      <protection hidden="1"/>
    </xf>
    <xf numFmtId="0" fontId="3" fillId="3" borderId="48" xfId="0" applyFont="1" applyFill="1" applyBorder="1" applyAlignment="1" applyProtection="1">
      <alignment horizontal="center" vertical="center"/>
      <protection locked="0" hidden="1"/>
    </xf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3" fillId="3" borderId="45" xfId="0" applyFont="1" applyFill="1" applyBorder="1" applyAlignment="1" applyProtection="1">
      <alignment horizontal="center" vertical="center"/>
      <protection locked="0" hidden="1"/>
    </xf>
    <xf numFmtId="0" fontId="23" fillId="0" borderId="0" xfId="0" applyFont="1"/>
    <xf numFmtId="1" fontId="24" fillId="0" borderId="0" xfId="0" applyNumberFormat="1" applyFont="1" applyAlignment="1">
      <alignment horizontal="right"/>
    </xf>
    <xf numFmtId="1" fontId="24" fillId="0" borderId="53" xfId="0" applyNumberFormat="1" applyFont="1" applyBorder="1" applyAlignment="1">
      <alignment horizontal="right"/>
    </xf>
    <xf numFmtId="1" fontId="25" fillId="0" borderId="0" xfId="0" applyNumberFormat="1" applyFont="1" applyAlignment="1">
      <alignment horizontal="right"/>
    </xf>
    <xf numFmtId="1" fontId="25" fillId="0" borderId="53" xfId="0" applyNumberFormat="1" applyFont="1" applyBorder="1" applyAlignment="1">
      <alignment horizontal="right"/>
    </xf>
    <xf numFmtId="0" fontId="25" fillId="0" borderId="0" xfId="0" applyFont="1" applyAlignment="1">
      <alignment horizontal="right"/>
    </xf>
    <xf numFmtId="0" fontId="25" fillId="0" borderId="53" xfId="0" applyFont="1" applyBorder="1" applyAlignment="1">
      <alignment horizontal="right"/>
    </xf>
    <xf numFmtId="0" fontId="0" fillId="0" borderId="0" xfId="0" applyFont="1"/>
    <xf numFmtId="0" fontId="0" fillId="0" borderId="53" xfId="0" applyFont="1" applyBorder="1"/>
    <xf numFmtId="0" fontId="22" fillId="0" borderId="0" xfId="0" applyFont="1" applyAlignment="1">
      <alignment textRotation="90"/>
    </xf>
    <xf numFmtId="0" fontId="22" fillId="0" borderId="53" xfId="0" applyFont="1" applyBorder="1" applyAlignment="1">
      <alignment textRotation="90"/>
    </xf>
    <xf numFmtId="0" fontId="22" fillId="0" borderId="0" xfId="0" applyFont="1" applyBorder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locked="0"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3" fillId="5" borderId="45" xfId="0" applyFont="1" applyFill="1" applyBorder="1" applyAlignment="1" applyProtection="1">
      <alignment horizontal="center" vertical="center"/>
      <protection locked="0" hidden="1"/>
    </xf>
    <xf numFmtId="0" fontId="3" fillId="5" borderId="35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3" fillId="3" borderId="49" xfId="0" applyFont="1" applyFill="1" applyBorder="1" applyAlignment="1" applyProtection="1">
      <alignment horizontal="center" vertical="center"/>
      <protection locked="0"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8" fillId="2" borderId="55" xfId="0" applyFont="1" applyFill="1" applyBorder="1" applyAlignment="1" applyProtection="1">
      <alignment horizontal="center" vertical="center"/>
      <protection hidden="1"/>
    </xf>
    <xf numFmtId="0" fontId="8" fillId="2" borderId="56" xfId="0" applyFont="1" applyFill="1" applyBorder="1" applyAlignment="1" applyProtection="1">
      <alignment horizontal="center" vertical="center"/>
      <protection hidden="1"/>
    </xf>
    <xf numFmtId="0" fontId="3" fillId="5" borderId="57" xfId="0" applyFont="1" applyFill="1" applyBorder="1" applyAlignment="1" applyProtection="1">
      <alignment horizontal="center" vertical="center"/>
      <protection locked="0" hidden="1"/>
    </xf>
    <xf numFmtId="0" fontId="8" fillId="2" borderId="58" xfId="0" applyFont="1" applyFill="1" applyBorder="1" applyAlignment="1" applyProtection="1">
      <alignment horizontal="center" vertical="center"/>
      <protection hidden="1"/>
    </xf>
    <xf numFmtId="1" fontId="4" fillId="0" borderId="40" xfId="0" applyNumberFormat="1" applyFont="1" applyFill="1" applyBorder="1" applyAlignment="1" applyProtection="1">
      <alignment horizontal="center" vertical="center"/>
      <protection hidden="1"/>
    </xf>
    <xf numFmtId="0" fontId="10" fillId="4" borderId="40" xfId="0" applyFont="1" applyFill="1" applyBorder="1" applyAlignment="1" applyProtection="1">
      <alignment horizontal="center" vertical="center"/>
      <protection locked="0" hidden="1"/>
    </xf>
    <xf numFmtId="0" fontId="0" fillId="0" borderId="0" xfId="0" applyBorder="1"/>
    <xf numFmtId="0" fontId="23" fillId="0" borderId="43" xfId="0" applyFont="1" applyBorder="1"/>
    <xf numFmtId="0" fontId="3" fillId="0" borderId="25" xfId="0" applyFont="1" applyFill="1" applyBorder="1" applyAlignment="1" applyProtection="1">
      <alignment horizontal="center" vertical="center"/>
      <protection locked="0" hidden="1"/>
    </xf>
    <xf numFmtId="0" fontId="3" fillId="0" borderId="48" xfId="0" applyFont="1" applyFill="1" applyBorder="1" applyAlignment="1" applyProtection="1">
      <alignment horizontal="center" vertical="center"/>
      <protection locked="0" hidden="1"/>
    </xf>
    <xf numFmtId="0" fontId="3" fillId="3" borderId="61" xfId="0" applyFont="1" applyFill="1" applyBorder="1" applyAlignment="1" applyProtection="1">
      <alignment horizontal="center" vertical="center"/>
      <protection locked="0" hidden="1"/>
    </xf>
    <xf numFmtId="0" fontId="3" fillId="0" borderId="45" xfId="0" applyFont="1" applyFill="1" applyBorder="1" applyAlignment="1" applyProtection="1">
      <alignment horizontal="center" vertical="center"/>
      <protection locked="0" hidden="1"/>
    </xf>
    <xf numFmtId="0" fontId="3" fillId="0" borderId="35" xfId="0" applyFont="1" applyFill="1" applyBorder="1" applyAlignment="1" applyProtection="1">
      <alignment horizontal="center" vertical="center"/>
      <protection locked="0" hidden="1"/>
    </xf>
    <xf numFmtId="0" fontId="0" fillId="0" borderId="53" xfId="0" applyBorder="1"/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locked="0" hidden="1"/>
    </xf>
    <xf numFmtId="0" fontId="3" fillId="3" borderId="31" xfId="0" applyFont="1" applyFill="1" applyBorder="1" applyAlignment="1" applyProtection="1">
      <alignment horizontal="center" vertical="center"/>
      <protection locked="0" hidden="1"/>
    </xf>
    <xf numFmtId="0" fontId="3" fillId="3" borderId="44" xfId="0" applyFont="1" applyFill="1" applyBorder="1" applyAlignment="1" applyProtection="1">
      <alignment horizontal="center" vertical="center"/>
      <protection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0" fontId="3" fillId="3" borderId="47" xfId="0" applyFont="1" applyFill="1" applyBorder="1" applyAlignment="1" applyProtection="1">
      <alignment horizontal="center" vertical="center"/>
      <protection hidden="1"/>
    </xf>
    <xf numFmtId="0" fontId="3" fillId="3" borderId="60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hidden="1"/>
    </xf>
    <xf numFmtId="0" fontId="3" fillId="0" borderId="57" xfId="0" applyFont="1" applyFill="1" applyBorder="1" applyAlignment="1" applyProtection="1">
      <alignment horizontal="center" vertical="center"/>
      <protection locked="0" hidden="1"/>
    </xf>
    <xf numFmtId="0" fontId="8" fillId="2" borderId="62" xfId="0" applyFont="1" applyFill="1" applyBorder="1" applyAlignment="1" applyProtection="1">
      <alignment horizontal="center" vertical="center"/>
      <protection hidden="1"/>
    </xf>
    <xf numFmtId="0" fontId="3" fillId="0" borderId="70" xfId="0" applyFont="1" applyFill="1" applyBorder="1" applyAlignment="1" applyProtection="1">
      <alignment horizontal="center" vertical="center"/>
      <protection locked="0" hidden="1"/>
    </xf>
    <xf numFmtId="0" fontId="3" fillId="0" borderId="69" xfId="0" applyFont="1" applyFill="1" applyBorder="1" applyAlignment="1" applyProtection="1">
      <alignment horizontal="center" vertical="center"/>
      <protection hidden="1"/>
    </xf>
    <xf numFmtId="0" fontId="18" fillId="4" borderId="40" xfId="0" applyFont="1" applyFill="1" applyBorder="1" applyAlignment="1" applyProtection="1">
      <alignment horizontal="center" vertical="center"/>
      <protection locked="0" hidden="1"/>
    </xf>
    <xf numFmtId="0" fontId="28" fillId="0" borderId="0" xfId="0" applyFont="1" applyFill="1" applyBorder="1"/>
    <xf numFmtId="1" fontId="25" fillId="0" borderId="0" xfId="0" applyNumberFormat="1" applyFont="1" applyBorder="1" applyAlignment="1">
      <alignment horizontal="right"/>
    </xf>
    <xf numFmtId="0" fontId="0" fillId="0" borderId="0" xfId="0" applyAlignment="1">
      <alignment textRotation="90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8" fillId="4" borderId="23" xfId="0" applyFont="1" applyFill="1" applyBorder="1" applyAlignment="1" applyProtection="1">
      <alignment horizontal="center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hidden="1"/>
    </xf>
    <xf numFmtId="0" fontId="3" fillId="3" borderId="31" xfId="0" applyFont="1" applyFill="1" applyBorder="1" applyAlignment="1" applyProtection="1">
      <alignment horizontal="center" vertical="center"/>
      <protection hidden="1"/>
    </xf>
    <xf numFmtId="0" fontId="3" fillId="0" borderId="48" xfId="0" applyFont="1" applyFill="1" applyBorder="1" applyAlignment="1" applyProtection="1">
      <alignment horizontal="center" vertical="center"/>
      <protection hidden="1"/>
    </xf>
    <xf numFmtId="0" fontId="3" fillId="3" borderId="48" xfId="0" applyFont="1" applyFill="1" applyBorder="1" applyAlignment="1" applyProtection="1">
      <alignment horizontal="center" vertical="center"/>
      <protection hidden="1"/>
    </xf>
    <xf numFmtId="0" fontId="8" fillId="2" borderId="72" xfId="0" applyFont="1" applyFill="1" applyBorder="1" applyAlignment="1" applyProtection="1">
      <alignment horizontal="center" vertical="center"/>
      <protection hidden="1"/>
    </xf>
    <xf numFmtId="0" fontId="3" fillId="0" borderId="25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8" fillId="4" borderId="34" xfId="0" applyFont="1" applyFill="1" applyBorder="1" applyAlignment="1" applyProtection="1">
      <alignment horizontal="center" vertical="center"/>
      <protection hidden="1"/>
    </xf>
    <xf numFmtId="0" fontId="3" fillId="3" borderId="75" xfId="0" applyFont="1" applyFill="1" applyBorder="1" applyAlignment="1" applyProtection="1">
      <alignment horizontal="center" vertical="center"/>
      <protection hidden="1"/>
    </xf>
    <xf numFmtId="0" fontId="8" fillId="4" borderId="38" xfId="0" applyFont="1" applyFill="1" applyBorder="1" applyAlignment="1" applyProtection="1">
      <alignment vertical="center"/>
      <protection hidden="1"/>
    </xf>
    <xf numFmtId="0" fontId="9" fillId="4" borderId="40" xfId="0" applyFont="1" applyFill="1" applyBorder="1" applyAlignment="1" applyProtection="1">
      <alignment horizontal="center" vertical="center"/>
      <protection hidden="1"/>
    </xf>
    <xf numFmtId="0" fontId="30" fillId="0" borderId="0" xfId="0" applyFont="1" applyProtection="1"/>
    <xf numFmtId="0" fontId="8" fillId="5" borderId="68" xfId="0" applyFont="1" applyFill="1" applyBorder="1" applyAlignment="1" applyProtection="1">
      <alignment horizontal="right" vertical="center" indent="1"/>
      <protection hidden="1"/>
    </xf>
    <xf numFmtId="0" fontId="8" fillId="5" borderId="69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/>
    <xf numFmtId="0" fontId="3" fillId="3" borderId="49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 applyProtection="1">
      <alignment horizontal="center" vertical="center"/>
      <protection hidden="1"/>
    </xf>
    <xf numFmtId="1" fontId="24" fillId="0" borderId="0" xfId="0" applyNumberFormat="1" applyFont="1" applyBorder="1" applyAlignment="1">
      <alignment horizontal="right"/>
    </xf>
    <xf numFmtId="0" fontId="25" fillId="0" borderId="0" xfId="0" applyFont="1" applyBorder="1" applyAlignment="1">
      <alignment horizontal="right"/>
    </xf>
    <xf numFmtId="0" fontId="8" fillId="2" borderId="21" xfId="0" applyFont="1" applyFill="1" applyBorder="1" applyAlignment="1" applyProtection="1">
      <alignment horizontal="center" vertical="center"/>
      <protection hidden="1"/>
    </xf>
    <xf numFmtId="0" fontId="8" fillId="2" borderId="67" xfId="0" applyFont="1" applyFill="1" applyBorder="1" applyAlignment="1" applyProtection="1">
      <alignment horizontal="center" vertical="center"/>
      <protection hidden="1"/>
    </xf>
    <xf numFmtId="0" fontId="8" fillId="2" borderId="64" xfId="0" applyFont="1" applyFill="1" applyBorder="1" applyAlignment="1" applyProtection="1">
      <alignment horizontal="center" vertical="center"/>
      <protection hidden="1"/>
    </xf>
    <xf numFmtId="0" fontId="8" fillId="2" borderId="22" xfId="0" applyFont="1" applyFill="1" applyBorder="1" applyAlignment="1" applyProtection="1">
      <alignment horizontal="center" vertical="center"/>
      <protection hidden="1"/>
    </xf>
    <xf numFmtId="0" fontId="8" fillId="2" borderId="26" xfId="0" applyFont="1" applyFill="1" applyBorder="1" applyAlignment="1" applyProtection="1">
      <alignment horizontal="center" vertical="center"/>
      <protection hidden="1"/>
    </xf>
    <xf numFmtId="0" fontId="8" fillId="4" borderId="68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8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8" fillId="0" borderId="68" xfId="0" applyFont="1" applyFill="1" applyBorder="1" applyAlignment="1" applyProtection="1">
      <alignment horizontal="right" vertical="center" indent="1"/>
      <protection hidden="1"/>
    </xf>
    <xf numFmtId="0" fontId="8" fillId="0" borderId="69" xfId="0" applyFont="1" applyFill="1" applyBorder="1" applyAlignment="1" applyProtection="1">
      <alignment horizontal="right" vertical="center" indent="1"/>
      <protection hidden="1"/>
    </xf>
    <xf numFmtId="0" fontId="8" fillId="2" borderId="76" xfId="0" applyFont="1" applyFill="1" applyBorder="1" applyAlignment="1" applyProtection="1">
      <alignment horizontal="center" vertical="center"/>
      <protection hidden="1"/>
    </xf>
    <xf numFmtId="0" fontId="8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/>
    <xf numFmtId="0" fontId="34" fillId="0" borderId="0" xfId="0" applyFont="1"/>
    <xf numFmtId="0" fontId="35" fillId="0" borderId="0" xfId="0" applyFont="1"/>
    <xf numFmtId="1" fontId="36" fillId="0" borderId="0" xfId="0" applyNumberFormat="1" applyFont="1" applyAlignment="1">
      <alignment horizontal="right"/>
    </xf>
    <xf numFmtId="1" fontId="36" fillId="0" borderId="53" xfId="0" applyNumberFormat="1" applyFont="1" applyBorder="1" applyAlignment="1">
      <alignment horizontal="right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8" fillId="5" borderId="68" xfId="0" applyFont="1" applyFill="1" applyBorder="1" applyAlignment="1" applyProtection="1">
      <alignment horizontal="right" vertical="center" indent="1"/>
      <protection hidden="1"/>
    </xf>
    <xf numFmtId="0" fontId="8" fillId="5" borderId="69" xfId="0" applyFont="1" applyFill="1" applyBorder="1" applyAlignment="1" applyProtection="1">
      <alignment horizontal="right" vertical="center" indent="1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8" fillId="5" borderId="68" xfId="0" applyFont="1" applyFill="1" applyBorder="1" applyAlignment="1" applyProtection="1">
      <alignment horizontal="right" vertical="center" indent="1"/>
      <protection hidden="1"/>
    </xf>
    <xf numFmtId="0" fontId="8" fillId="5" borderId="69" xfId="0" applyFont="1" applyFill="1" applyBorder="1" applyAlignment="1" applyProtection="1">
      <alignment horizontal="right" vertical="center" indent="1"/>
      <protection hidden="1"/>
    </xf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3" borderId="83" xfId="0" applyFont="1" applyFill="1" applyBorder="1" applyAlignment="1" applyProtection="1">
      <alignment horizontal="center" vertical="center"/>
      <protection locked="0" hidden="1"/>
    </xf>
    <xf numFmtId="0" fontId="3" fillId="5" borderId="28" xfId="0" applyFont="1" applyFill="1" applyBorder="1" applyAlignment="1" applyProtection="1">
      <alignment horizontal="center" vertical="center"/>
      <protection locked="0" hidden="1"/>
    </xf>
    <xf numFmtId="0" fontId="3" fillId="3" borderId="46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locked="0" hidden="1"/>
    </xf>
    <xf numFmtId="0" fontId="3" fillId="3" borderId="59" xfId="0" applyFont="1" applyFill="1" applyBorder="1" applyAlignment="1" applyProtection="1">
      <alignment horizontal="center" vertical="center"/>
      <protection locked="0" hidden="1"/>
    </xf>
    <xf numFmtId="0" fontId="3" fillId="5" borderId="84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3" borderId="85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locked="0" hidden="1"/>
    </xf>
    <xf numFmtId="0" fontId="3" fillId="3" borderId="47" xfId="0" applyFont="1" applyFill="1" applyBorder="1" applyAlignment="1" applyProtection="1">
      <alignment horizontal="center" vertical="center"/>
      <protection locked="0" hidden="1"/>
    </xf>
    <xf numFmtId="0" fontId="3" fillId="5" borderId="85" xfId="0" applyFont="1" applyFill="1" applyBorder="1" applyAlignment="1" applyProtection="1">
      <alignment horizontal="center" vertical="center"/>
      <protection locked="0" hidden="1"/>
    </xf>
    <xf numFmtId="0" fontId="3" fillId="3" borderId="60" xfId="0" applyFont="1" applyFill="1" applyBorder="1" applyAlignment="1" applyProtection="1">
      <alignment horizontal="center" vertical="center"/>
      <protection locked="0" hidden="1"/>
    </xf>
    <xf numFmtId="0" fontId="3" fillId="5" borderId="36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21" fillId="0" borderId="39" xfId="0" applyFont="1" applyFill="1" applyBorder="1" applyAlignment="1" applyProtection="1">
      <alignment horizontal="center" vertical="center"/>
      <protection hidden="1"/>
    </xf>
    <xf numFmtId="0" fontId="16" fillId="2" borderId="86" xfId="0" applyFont="1" applyFill="1" applyBorder="1" applyAlignment="1" applyProtection="1">
      <alignment horizontal="center" vertical="center" wrapText="1"/>
      <protection hidden="1"/>
    </xf>
    <xf numFmtId="0" fontId="11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3" borderId="87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3" borderId="71" xfId="0" applyFont="1" applyFill="1" applyBorder="1" applyAlignment="1" applyProtection="1">
      <alignment horizontal="center" vertical="center"/>
      <protection locked="0" hidden="1"/>
    </xf>
    <xf numFmtId="0" fontId="3" fillId="5" borderId="87" xfId="0" applyFont="1" applyFill="1" applyBorder="1" applyAlignment="1" applyProtection="1">
      <alignment horizontal="center" vertical="center"/>
      <protection locked="0" hidden="1"/>
    </xf>
    <xf numFmtId="0" fontId="3" fillId="3" borderId="22" xfId="0" applyFont="1" applyFill="1" applyBorder="1" applyAlignment="1" applyProtection="1">
      <alignment horizontal="center" vertical="center"/>
      <protection locked="0" hidden="1"/>
    </xf>
    <xf numFmtId="0" fontId="3" fillId="5" borderId="34" xfId="0" applyFont="1" applyFill="1" applyBorder="1" applyAlignment="1" applyProtection="1">
      <alignment horizontal="center" vertical="center"/>
      <protection locked="0" hidden="1"/>
    </xf>
    <xf numFmtId="0" fontId="3" fillId="5" borderId="88" xfId="0" applyFont="1" applyFill="1" applyBorder="1" applyAlignment="1" applyProtection="1">
      <alignment horizontal="center" vertical="center"/>
      <protection locked="0" hidden="1"/>
    </xf>
    <xf numFmtId="0" fontId="21" fillId="0" borderId="40" xfId="0" applyFont="1" applyFill="1" applyBorder="1" applyAlignment="1" applyProtection="1">
      <alignment horizontal="center" vertical="center"/>
      <protection hidden="1"/>
    </xf>
    <xf numFmtId="0" fontId="3" fillId="5" borderId="81" xfId="0" applyFont="1" applyFill="1" applyBorder="1" applyAlignment="1" applyProtection="1">
      <alignment horizontal="center" vertical="center"/>
      <protection locked="0" hidden="1"/>
    </xf>
    <xf numFmtId="0" fontId="3" fillId="5" borderId="89" xfId="0" applyFont="1" applyFill="1" applyBorder="1" applyAlignment="1" applyProtection="1">
      <alignment horizontal="center" vertical="center"/>
      <protection locked="0" hidden="1"/>
    </xf>
    <xf numFmtId="0" fontId="3" fillId="5" borderId="66" xfId="0" applyFont="1" applyFill="1" applyBorder="1" applyAlignment="1" applyProtection="1">
      <alignment horizontal="center" vertical="center"/>
      <protection locked="0" hidden="1"/>
    </xf>
    <xf numFmtId="0" fontId="3" fillId="5" borderId="90" xfId="0" applyFont="1" applyFill="1" applyBorder="1" applyAlignment="1" applyProtection="1">
      <alignment horizontal="center" vertical="center"/>
      <protection locked="0" hidden="1"/>
    </xf>
    <xf numFmtId="0" fontId="3" fillId="0" borderId="28" xfId="0" applyFont="1" applyFill="1" applyBorder="1" applyAlignment="1" applyProtection="1">
      <alignment horizontal="center" vertical="center"/>
      <protection locked="0" hidden="1"/>
    </xf>
    <xf numFmtId="0" fontId="3" fillId="0" borderId="46" xfId="0" applyFont="1" applyFill="1" applyBorder="1" applyAlignment="1" applyProtection="1">
      <alignment horizontal="center" vertical="center"/>
      <protection locked="0" hidden="1"/>
    </xf>
    <xf numFmtId="0" fontId="3" fillId="3" borderId="91" xfId="0" applyFont="1" applyFill="1" applyBorder="1" applyAlignment="1" applyProtection="1">
      <alignment horizontal="center" vertical="center"/>
      <protection locked="0" hidden="1"/>
    </xf>
    <xf numFmtId="0" fontId="3" fillId="0" borderId="83" xfId="0" applyFont="1" applyFill="1" applyBorder="1" applyAlignment="1" applyProtection="1">
      <alignment horizontal="center" vertical="center"/>
      <protection locked="0" hidden="1"/>
    </xf>
    <xf numFmtId="0" fontId="3" fillId="0" borderId="84" xfId="0" applyFont="1" applyFill="1" applyBorder="1" applyAlignment="1" applyProtection="1">
      <alignment horizontal="center" vertical="center"/>
      <protection locked="0" hidden="1"/>
    </xf>
    <xf numFmtId="0" fontId="3" fillId="0" borderId="89" xfId="0" applyFont="1" applyFill="1" applyBorder="1" applyAlignment="1" applyProtection="1">
      <alignment horizontal="center" vertical="center"/>
      <protection locked="0" hidden="1"/>
    </xf>
    <xf numFmtId="0" fontId="3" fillId="0" borderId="29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locked="0" hidden="1"/>
    </xf>
    <xf numFmtId="0" fontId="3" fillId="3" borderId="92" xfId="0" applyFont="1" applyFill="1" applyBorder="1" applyAlignment="1" applyProtection="1">
      <alignment horizontal="center" vertical="center"/>
      <protection locked="0" hidden="1"/>
    </xf>
    <xf numFmtId="0" fontId="3" fillId="0" borderId="85" xfId="0" applyFont="1" applyFill="1" applyBorder="1" applyAlignment="1" applyProtection="1">
      <alignment horizontal="center" vertical="center"/>
      <protection locked="0" hidden="1"/>
    </xf>
    <xf numFmtId="0" fontId="3" fillId="0" borderId="36" xfId="0" applyFont="1" applyFill="1" applyBorder="1" applyAlignment="1" applyProtection="1">
      <alignment horizontal="center" vertical="center"/>
      <protection locked="0" hidden="1"/>
    </xf>
    <xf numFmtId="0" fontId="3" fillId="0" borderId="26" xfId="0" applyFont="1" applyFill="1" applyBorder="1" applyAlignment="1" applyProtection="1">
      <alignment horizontal="center" vertical="center"/>
      <protection locked="0" hidden="1"/>
    </xf>
    <xf numFmtId="0" fontId="3" fillId="0" borderId="71" xfId="0" applyFont="1" applyFill="1" applyBorder="1" applyAlignment="1" applyProtection="1">
      <alignment horizontal="center" vertical="center"/>
      <protection locked="0" hidden="1"/>
    </xf>
    <xf numFmtId="0" fontId="3" fillId="3" borderId="93" xfId="0" applyFont="1" applyFill="1" applyBorder="1" applyAlignment="1" applyProtection="1">
      <alignment horizontal="center" vertical="center"/>
      <protection locked="0" hidden="1"/>
    </xf>
    <xf numFmtId="0" fontId="3" fillId="0" borderId="87" xfId="0" applyFont="1" applyFill="1" applyBorder="1" applyAlignment="1" applyProtection="1">
      <alignment horizontal="center" vertical="center"/>
      <protection locked="0" hidden="1"/>
    </xf>
    <xf numFmtId="0" fontId="3" fillId="0" borderId="34" xfId="0" applyFont="1" applyFill="1" applyBorder="1" applyAlignment="1" applyProtection="1">
      <alignment horizontal="center" vertical="center"/>
      <protection locked="0" hidden="1"/>
    </xf>
    <xf numFmtId="0" fontId="3" fillId="0" borderId="88" xfId="0" applyFont="1" applyFill="1" applyBorder="1" applyAlignment="1" applyProtection="1">
      <alignment horizontal="center" vertical="center"/>
      <protection locked="0" hidden="1"/>
    </xf>
    <xf numFmtId="0" fontId="3" fillId="0" borderId="94" xfId="0" applyFont="1" applyFill="1" applyBorder="1" applyAlignment="1" applyProtection="1">
      <alignment horizontal="center" vertical="center"/>
      <protection locked="0" hidden="1"/>
    </xf>
    <xf numFmtId="0" fontId="3" fillId="3" borderId="43" xfId="0" applyFont="1" applyFill="1" applyBorder="1" applyAlignment="1" applyProtection="1">
      <alignment horizontal="center" vertical="center"/>
      <protection locked="0" hidden="1"/>
    </xf>
    <xf numFmtId="0" fontId="3" fillId="0" borderId="43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locked="0" hidden="1"/>
    </xf>
    <xf numFmtId="0" fontId="3" fillId="0" borderId="81" xfId="0" applyFont="1" applyFill="1" applyBorder="1" applyAlignment="1" applyProtection="1">
      <alignment horizontal="center" vertical="center"/>
      <protection locked="0" hidden="1"/>
    </xf>
    <xf numFmtId="0" fontId="3" fillId="0" borderId="24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locked="0" hidden="1"/>
    </xf>
    <xf numFmtId="0" fontId="3" fillId="0" borderId="66" xfId="0" applyFont="1" applyFill="1" applyBorder="1" applyAlignment="1" applyProtection="1">
      <alignment horizontal="center" vertical="center"/>
      <protection locked="0" hidden="1"/>
    </xf>
    <xf numFmtId="0" fontId="3" fillId="0" borderId="69" xfId="0" applyFont="1" applyFill="1" applyBorder="1" applyAlignment="1" applyProtection="1">
      <alignment horizontal="center" vertical="center"/>
      <protection locked="0" hidden="1"/>
    </xf>
    <xf numFmtId="0" fontId="3" fillId="0" borderId="23" xfId="0" applyFont="1" applyFill="1" applyBorder="1" applyAlignment="1" applyProtection="1">
      <alignment horizontal="center" vertical="center"/>
      <protection locked="0" hidden="1"/>
    </xf>
    <xf numFmtId="0" fontId="3" fillId="3" borderId="62" xfId="0" applyFont="1" applyFill="1" applyBorder="1" applyAlignment="1" applyProtection="1">
      <alignment horizontal="center" vertical="center"/>
      <protection locked="0" hidden="1"/>
    </xf>
    <xf numFmtId="0" fontId="3" fillId="0" borderId="62" xfId="0" applyFont="1" applyFill="1" applyBorder="1" applyAlignment="1" applyProtection="1">
      <alignment horizontal="center" vertical="center"/>
      <protection locked="0" hidden="1"/>
    </xf>
    <xf numFmtId="0" fontId="3" fillId="0" borderId="22" xfId="0" applyFont="1" applyFill="1" applyBorder="1" applyAlignment="1" applyProtection="1">
      <alignment horizontal="center" vertical="center"/>
      <protection locked="0" hidden="1"/>
    </xf>
    <xf numFmtId="0" fontId="3" fillId="0" borderId="90" xfId="0" applyFont="1" applyFill="1" applyBorder="1" applyAlignment="1" applyProtection="1">
      <alignment horizontal="center" vertical="center"/>
      <protection locked="0" hidden="1"/>
    </xf>
    <xf numFmtId="0" fontId="3" fillId="0" borderId="94" xfId="0" applyFont="1" applyFill="1" applyBorder="1" applyAlignment="1" applyProtection="1">
      <alignment horizontal="center" vertical="center"/>
      <protection hidden="1"/>
    </xf>
    <xf numFmtId="0" fontId="3" fillId="3" borderId="43" xfId="0" applyFont="1" applyFill="1" applyBorder="1" applyAlignment="1" applyProtection="1">
      <alignment horizontal="center" vertical="center"/>
      <protection hidden="1"/>
    </xf>
    <xf numFmtId="0" fontId="3" fillId="0" borderId="46" xfId="0" applyFont="1" applyFill="1" applyBorder="1" applyAlignment="1" applyProtection="1">
      <alignment horizontal="center" vertical="center"/>
      <protection hidden="1"/>
    </xf>
    <xf numFmtId="0" fontId="3" fillId="3" borderId="46" xfId="0" applyFont="1" applyFill="1" applyBorder="1" applyAlignment="1" applyProtection="1">
      <alignment horizontal="center" vertical="center"/>
      <protection hidden="1"/>
    </xf>
    <xf numFmtId="0" fontId="3" fillId="0" borderId="28" xfId="0" applyFont="1" applyFill="1" applyBorder="1" applyAlignment="1" applyProtection="1">
      <alignment horizontal="center" vertical="center"/>
      <protection hidden="1"/>
    </xf>
    <xf numFmtId="0" fontId="3" fillId="0" borderId="59" xfId="0" applyFont="1" applyFill="1" applyBorder="1" applyAlignment="1" applyProtection="1">
      <alignment horizontal="center" vertical="center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3" borderId="95" xfId="0" applyFont="1" applyFill="1" applyBorder="1" applyAlignment="1" applyProtection="1">
      <alignment horizontal="center" vertical="center"/>
      <protection hidden="1"/>
    </xf>
    <xf numFmtId="0" fontId="3" fillId="0" borderId="24" xfId="0" applyFont="1" applyFill="1" applyBorder="1" applyAlignment="1" applyProtection="1">
      <alignment horizontal="center" vertical="center"/>
      <protection hidden="1"/>
    </xf>
    <xf numFmtId="0" fontId="3" fillId="0" borderId="29" xfId="0" applyFont="1" applyFill="1" applyBorder="1" applyAlignment="1" applyProtection="1">
      <alignment horizontal="center" vertical="center"/>
      <protection hidden="1"/>
    </xf>
    <xf numFmtId="0" fontId="3" fillId="3" borderId="74" xfId="0" applyFont="1" applyFill="1" applyBorder="1" applyAlignment="1" applyProtection="1">
      <alignment horizontal="center" vertical="center"/>
      <protection hidden="1"/>
    </xf>
    <xf numFmtId="0" fontId="3" fillId="0" borderId="23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hidden="1"/>
    </xf>
    <xf numFmtId="0" fontId="3" fillId="0" borderId="71" xfId="0" applyFont="1" applyFill="1" applyBorder="1" applyAlignment="1" applyProtection="1">
      <alignment horizontal="center" vertical="center"/>
      <protection hidden="1"/>
    </xf>
    <xf numFmtId="0" fontId="3" fillId="3" borderId="71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3" fillId="0" borderId="22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hidden="1"/>
    </xf>
    <xf numFmtId="0" fontId="3" fillId="3" borderId="56" xfId="0" applyFont="1" applyFill="1" applyBorder="1" applyAlignment="1" applyProtection="1">
      <alignment horizontal="center" vertical="center"/>
      <protection hidden="1"/>
    </xf>
    <xf numFmtId="0" fontId="3" fillId="3" borderId="59" xfId="0" applyFont="1" applyFill="1" applyBorder="1" applyAlignment="1" applyProtection="1">
      <alignment horizontal="center" vertical="center"/>
      <protection hidden="1"/>
    </xf>
    <xf numFmtId="0" fontId="3" fillId="0" borderId="95" xfId="0" applyFont="1" applyFill="1" applyBorder="1" applyAlignment="1" applyProtection="1">
      <alignment horizontal="center" vertical="center"/>
      <protection hidden="1"/>
    </xf>
    <xf numFmtId="0" fontId="3" fillId="0" borderId="74" xfId="0" applyFont="1" applyFill="1" applyBorder="1" applyAlignment="1" applyProtection="1">
      <alignment horizontal="center" vertical="center"/>
      <protection hidden="1"/>
    </xf>
    <xf numFmtId="0" fontId="3" fillId="3" borderId="22" xfId="0" applyFont="1" applyFill="1" applyBorder="1" applyAlignment="1" applyProtection="1">
      <alignment horizontal="center" vertical="center"/>
      <protection hidden="1"/>
    </xf>
    <xf numFmtId="0" fontId="3" fillId="0" borderId="56" xfId="0" applyFont="1" applyFill="1" applyBorder="1" applyAlignment="1" applyProtection="1">
      <alignment horizontal="center" vertical="center"/>
      <protection hidden="1"/>
    </xf>
    <xf numFmtId="0" fontId="35" fillId="0" borderId="0" xfId="0" applyFont="1" applyFill="1"/>
    <xf numFmtId="1" fontId="36" fillId="0" borderId="0" xfId="0" applyNumberFormat="1" applyFont="1" applyFill="1" applyAlignment="1">
      <alignment horizontal="right"/>
    </xf>
    <xf numFmtId="1" fontId="36" fillId="0" borderId="53" xfId="0" applyNumberFormat="1" applyFont="1" applyFill="1" applyBorder="1" applyAlignment="1">
      <alignment horizontal="right"/>
    </xf>
    <xf numFmtId="49" fontId="11" fillId="0" borderId="0" xfId="0" applyNumberFormat="1" applyFont="1" applyFill="1" applyBorder="1" applyAlignment="1" applyProtection="1">
      <alignment vertical="center"/>
      <protection locked="0" hidden="1"/>
    </xf>
    <xf numFmtId="0" fontId="3" fillId="4" borderId="40" xfId="0" applyFont="1" applyFill="1" applyBorder="1" applyAlignment="1" applyProtection="1">
      <alignment horizontal="center" vertical="center"/>
      <protection hidden="1"/>
    </xf>
    <xf numFmtId="164" fontId="25" fillId="0" borderId="0" xfId="0" applyNumberFormat="1" applyFont="1" applyAlignment="1">
      <alignment horizontal="right"/>
    </xf>
    <xf numFmtId="164" fontId="25" fillId="0" borderId="0" xfId="0" applyNumberFormat="1" applyFont="1" applyBorder="1" applyAlignment="1">
      <alignment horizontal="right"/>
    </xf>
    <xf numFmtId="164" fontId="25" fillId="0" borderId="53" xfId="0" applyNumberFormat="1" applyFont="1" applyBorder="1" applyAlignment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2" fontId="31" fillId="0" borderId="0" xfId="0" applyNumberFormat="1" applyFont="1" applyFill="1" applyBorder="1" applyAlignment="1" applyProtection="1">
      <alignment horizontal="center" vertical="center"/>
      <protection hidden="1"/>
    </xf>
    <xf numFmtId="2" fontId="17" fillId="0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42" xfId="0" applyFont="1" applyFill="1" applyBorder="1" applyAlignment="1" applyProtection="1">
      <alignment horizontal="right" vertical="center" indent="1"/>
      <protection hidden="1"/>
    </xf>
    <xf numFmtId="0" fontId="8" fillId="5" borderId="36" xfId="0" applyFont="1" applyFill="1" applyBorder="1" applyAlignment="1" applyProtection="1">
      <alignment horizontal="right" vertical="center" indent="1"/>
      <protection hidden="1"/>
    </xf>
    <xf numFmtId="0" fontId="9" fillId="0" borderId="37" xfId="0" applyFont="1" applyFill="1" applyBorder="1" applyAlignment="1" applyProtection="1">
      <alignment horizontal="center" vertical="center" wrapText="1"/>
      <protection hidden="1"/>
    </xf>
    <xf numFmtId="0" fontId="9" fillId="0" borderId="38" xfId="0" applyFont="1" applyFill="1" applyBorder="1" applyAlignment="1" applyProtection="1">
      <alignment horizontal="center" vertical="center" wrapText="1"/>
      <protection hidden="1"/>
    </xf>
    <xf numFmtId="0" fontId="9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8" fillId="5" borderId="28" xfId="0" applyFont="1" applyFill="1" applyBorder="1" applyAlignment="1" applyProtection="1">
      <alignment horizontal="right" vertical="center" indent="1"/>
      <protection hidden="1"/>
    </xf>
    <xf numFmtId="0" fontId="8" fillId="5" borderId="29" xfId="0" applyFont="1" applyFill="1" applyBorder="1" applyAlignment="1" applyProtection="1">
      <alignment horizontal="right" vertical="center" indent="1"/>
      <protection hidden="1"/>
    </xf>
    <xf numFmtId="0" fontId="8" fillId="3" borderId="46" xfId="0" applyFont="1" applyFill="1" applyBorder="1" applyAlignment="1" applyProtection="1">
      <alignment horizontal="right" vertical="center" indent="1"/>
      <protection hidden="1"/>
    </xf>
    <xf numFmtId="0" fontId="8" fillId="3" borderId="47" xfId="0" applyFont="1" applyFill="1" applyBorder="1" applyAlignment="1" applyProtection="1">
      <alignment horizontal="right" vertical="center" indent="1"/>
      <protection hidden="1"/>
    </xf>
    <xf numFmtId="0" fontId="8" fillId="5" borderId="43" xfId="0" applyFont="1" applyFill="1" applyBorder="1" applyAlignment="1" applyProtection="1">
      <alignment horizontal="right" vertical="center" indent="1"/>
      <protection hidden="1"/>
    </xf>
    <xf numFmtId="0" fontId="8" fillId="5" borderId="44" xfId="0" applyFont="1" applyFill="1" applyBorder="1" applyAlignment="1" applyProtection="1">
      <alignment horizontal="right" vertical="center" indent="1"/>
      <protection hidden="1"/>
    </xf>
    <xf numFmtId="0" fontId="8" fillId="3" borderId="28" xfId="0" applyFont="1" applyFill="1" applyBorder="1" applyAlignment="1" applyProtection="1">
      <alignment horizontal="right" vertical="center" indent="1"/>
      <protection hidden="1"/>
    </xf>
    <xf numFmtId="0" fontId="8" fillId="3" borderId="29" xfId="0" applyFont="1" applyFill="1" applyBorder="1" applyAlignment="1" applyProtection="1">
      <alignment horizontal="right" vertical="center" indent="1"/>
      <protection hidden="1"/>
    </xf>
    <xf numFmtId="0" fontId="8" fillId="5" borderId="46" xfId="0" applyFont="1" applyFill="1" applyBorder="1" applyAlignment="1" applyProtection="1">
      <alignment horizontal="right" vertical="center" indent="1"/>
      <protection hidden="1"/>
    </xf>
    <xf numFmtId="0" fontId="8" fillId="5" borderId="47" xfId="0" applyFont="1" applyFill="1" applyBorder="1" applyAlignment="1" applyProtection="1">
      <alignment horizontal="right" vertical="center" indent="1"/>
      <protection hidden="1"/>
    </xf>
    <xf numFmtId="0" fontId="8" fillId="3" borderId="43" xfId="0" applyFont="1" applyFill="1" applyBorder="1" applyAlignment="1" applyProtection="1">
      <alignment horizontal="right" vertical="center" indent="1"/>
      <protection hidden="1"/>
    </xf>
    <xf numFmtId="0" fontId="8" fillId="3" borderId="44" xfId="0" applyFont="1" applyFill="1" applyBorder="1" applyAlignment="1" applyProtection="1">
      <alignment horizontal="right" vertical="center" indent="1"/>
      <protection hidden="1"/>
    </xf>
    <xf numFmtId="0" fontId="7" fillId="4" borderId="17" xfId="0" applyFont="1" applyFill="1" applyBorder="1" applyAlignment="1" applyProtection="1">
      <alignment horizontal="center" vertical="center" wrapText="1"/>
      <protection hidden="1"/>
    </xf>
    <xf numFmtId="0" fontId="7" fillId="4" borderId="22" xfId="0" applyFont="1" applyFill="1" applyBorder="1" applyAlignment="1" applyProtection="1">
      <alignment horizontal="center" vertical="center" wrapText="1"/>
      <protection hidden="1"/>
    </xf>
    <xf numFmtId="0" fontId="12" fillId="2" borderId="18" xfId="0" applyFont="1" applyFill="1" applyBorder="1" applyAlignment="1" applyProtection="1">
      <alignment horizontal="center" vertical="center"/>
      <protection hidden="1"/>
    </xf>
    <xf numFmtId="0" fontId="12" fillId="2" borderId="19" xfId="0" applyFont="1" applyFill="1" applyBorder="1" applyAlignment="1" applyProtection="1">
      <alignment horizontal="center" vertical="center"/>
      <protection hidden="1"/>
    </xf>
    <xf numFmtId="0" fontId="12" fillId="2" borderId="20" xfId="0" applyFont="1" applyFill="1" applyBorder="1" applyAlignment="1" applyProtection="1">
      <alignment horizontal="center" vertical="center"/>
      <protection hidden="1"/>
    </xf>
    <xf numFmtId="0" fontId="11" fillId="2" borderId="21" xfId="0" applyFont="1" applyFill="1" applyBorder="1" applyAlignment="1" applyProtection="1">
      <alignment horizontal="center" vertical="center"/>
      <protection hidden="1"/>
    </xf>
    <xf numFmtId="0" fontId="11" fillId="2" borderId="41" xfId="0" applyFont="1" applyFill="1" applyBorder="1" applyAlignment="1" applyProtection="1">
      <alignment horizontal="center" vertical="center"/>
      <protection hidden="1"/>
    </xf>
    <xf numFmtId="0" fontId="8" fillId="4" borderId="37" xfId="0" applyFont="1" applyFill="1" applyBorder="1" applyAlignment="1" applyProtection="1">
      <alignment horizontal="right" vertical="center" indent="1"/>
      <protection hidden="1"/>
    </xf>
    <xf numFmtId="0" fontId="8" fillId="4" borderId="38" xfId="0" applyFont="1" applyFill="1" applyBorder="1" applyAlignment="1" applyProtection="1">
      <alignment horizontal="right" vertical="center" indent="1"/>
      <protection hidden="1"/>
    </xf>
    <xf numFmtId="0" fontId="8" fillId="4" borderId="39" xfId="0" applyFont="1" applyFill="1" applyBorder="1" applyAlignment="1" applyProtection="1">
      <alignment horizontal="right" vertical="center" indent="1"/>
      <protection hidden="1"/>
    </xf>
    <xf numFmtId="0" fontId="8" fillId="5" borderId="41" xfId="0" applyFont="1" applyFill="1" applyBorder="1" applyAlignment="1" applyProtection="1">
      <alignment horizontal="right" vertical="center" indent="1"/>
      <protection hidden="1"/>
    </xf>
    <xf numFmtId="0" fontId="8" fillId="5" borderId="24" xfId="0" applyFont="1" applyFill="1" applyBorder="1" applyAlignment="1" applyProtection="1">
      <alignment horizontal="right" vertical="center" indent="1"/>
      <protection hidden="1"/>
    </xf>
    <xf numFmtId="0" fontId="8" fillId="4" borderId="37" xfId="0" applyFont="1" applyFill="1" applyBorder="1" applyAlignment="1" applyProtection="1">
      <alignment horizontal="center" vertical="center"/>
      <protection hidden="1"/>
    </xf>
    <xf numFmtId="0" fontId="8" fillId="4" borderId="38" xfId="0" applyFont="1" applyFill="1" applyBorder="1" applyAlignment="1" applyProtection="1">
      <alignment horizontal="center" vertical="center"/>
      <protection hidden="1"/>
    </xf>
    <xf numFmtId="0" fontId="21" fillId="0" borderId="37" xfId="0" applyFont="1" applyFill="1" applyBorder="1" applyAlignment="1" applyProtection="1">
      <alignment horizontal="center" vertical="center"/>
      <protection hidden="1"/>
    </xf>
    <xf numFmtId="0" fontId="21" fillId="0" borderId="38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left" vertical="center" indent="1"/>
      <protection locked="0" hidden="1"/>
    </xf>
    <xf numFmtId="0" fontId="5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4" xfId="0" applyFont="1" applyFill="1" applyBorder="1" applyAlignment="1" applyProtection="1">
      <alignment horizontal="left" vertical="center" indent="1"/>
      <protection locked="0" hidden="1"/>
    </xf>
    <xf numFmtId="0" fontId="6" fillId="0" borderId="11" xfId="0" applyFont="1" applyFill="1" applyBorder="1" applyAlignment="1" applyProtection="1">
      <alignment horizontal="left" vertical="center" indent="1"/>
      <protection locked="0" hidden="1"/>
    </xf>
    <xf numFmtId="0" fontId="16" fillId="2" borderId="16" xfId="0" applyFont="1" applyFill="1" applyBorder="1" applyAlignment="1" applyProtection="1">
      <alignment horizontal="center" vertical="center" wrapText="1"/>
      <protection hidden="1"/>
    </xf>
    <xf numFmtId="0" fontId="16" fillId="2" borderId="82" xfId="0" applyFont="1" applyFill="1" applyBorder="1" applyAlignment="1" applyProtection="1">
      <alignment horizontal="center" vertical="center" wrapText="1"/>
      <protection hidden="1"/>
    </xf>
    <xf numFmtId="0" fontId="7" fillId="2" borderId="20" xfId="0" applyFont="1" applyFill="1" applyBorder="1" applyAlignment="1" applyProtection="1">
      <alignment horizontal="center" vertical="center" wrapText="1"/>
      <protection hidden="1"/>
    </xf>
    <xf numFmtId="0" fontId="7" fillId="2" borderId="60" xfId="0" applyFont="1" applyFill="1" applyBorder="1" applyAlignment="1" applyProtection="1">
      <alignment horizontal="center" vertical="center" wrapText="1"/>
      <protection hidden="1"/>
    </xf>
    <xf numFmtId="0" fontId="5" fillId="0" borderId="52" xfId="0" applyFont="1" applyFill="1" applyBorder="1" applyAlignment="1" applyProtection="1">
      <alignment horizontal="left" vertical="center" indent="1"/>
      <protection locked="0"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2" borderId="2" xfId="0" applyFont="1" applyFill="1" applyBorder="1" applyAlignment="1" applyProtection="1">
      <alignment horizontal="center" vertical="center" wrapText="1"/>
      <protection hidden="1"/>
    </xf>
    <xf numFmtId="0" fontId="11" fillId="2" borderId="3" xfId="0" applyFont="1" applyFill="1" applyBorder="1" applyAlignment="1" applyProtection="1">
      <alignment horizontal="center" vertical="center" wrapText="1"/>
      <protection hidden="1"/>
    </xf>
    <xf numFmtId="0" fontId="11" fillId="2" borderId="4" xfId="0" applyFont="1" applyFill="1" applyBorder="1" applyAlignment="1" applyProtection="1">
      <alignment horizontal="center" vertical="center" wrapText="1"/>
      <protection hidden="1"/>
    </xf>
    <xf numFmtId="0" fontId="11" fillId="2" borderId="1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left" vertical="center" indent="1"/>
      <protection locked="0" hidden="1"/>
    </xf>
    <xf numFmtId="0" fontId="5" fillId="0" borderId="8" xfId="0" applyFont="1" applyFill="1" applyBorder="1" applyAlignment="1" applyProtection="1">
      <alignment horizontal="left" vertical="center" indent="1"/>
      <protection locked="0" hidden="1"/>
    </xf>
    <xf numFmtId="0" fontId="5" fillId="0" borderId="9" xfId="0" applyFont="1" applyFill="1" applyBorder="1" applyAlignment="1" applyProtection="1">
      <alignment horizontal="left" vertical="center" indent="1"/>
      <protection locked="0" hidden="1"/>
    </xf>
    <xf numFmtId="0" fontId="6" fillId="0" borderId="6" xfId="0" applyFont="1" applyFill="1" applyBorder="1" applyAlignment="1" applyProtection="1">
      <alignment horizontal="left" vertical="center" indent="1"/>
      <protection locked="0" hidden="1"/>
    </xf>
    <xf numFmtId="0" fontId="11" fillId="2" borderId="50" xfId="0" applyFont="1" applyFill="1" applyBorder="1" applyAlignment="1" applyProtection="1">
      <alignment horizontal="center" vertical="center" wrapText="1"/>
      <protection hidden="1"/>
    </xf>
    <xf numFmtId="0" fontId="5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6" fillId="3" borderId="28" xfId="0" applyFont="1" applyFill="1" applyBorder="1" applyAlignment="1" applyProtection="1">
      <alignment horizontal="right" vertical="center" indent="1"/>
      <protection hidden="1"/>
    </xf>
    <xf numFmtId="0" fontId="26" fillId="3" borderId="29" xfId="0" applyFont="1" applyFill="1" applyBorder="1" applyAlignment="1" applyProtection="1">
      <alignment horizontal="right" vertical="center" indent="1"/>
      <protection hidden="1"/>
    </xf>
    <xf numFmtId="0" fontId="26" fillId="5" borderId="46" xfId="0" applyFont="1" applyFill="1" applyBorder="1" applyAlignment="1" applyProtection="1">
      <alignment horizontal="right" vertical="center" indent="1"/>
      <protection hidden="1"/>
    </xf>
    <xf numFmtId="0" fontId="26" fillId="5" borderId="47" xfId="0" applyFont="1" applyFill="1" applyBorder="1" applyAlignment="1" applyProtection="1">
      <alignment horizontal="right" vertical="center" indent="1"/>
      <protection hidden="1"/>
    </xf>
    <xf numFmtId="0" fontId="26" fillId="3" borderId="46" xfId="0" applyFont="1" applyFill="1" applyBorder="1" applyAlignment="1" applyProtection="1">
      <alignment horizontal="right" vertical="center" indent="1"/>
      <protection hidden="1"/>
    </xf>
    <xf numFmtId="0" fontId="26" fillId="3" borderId="47" xfId="0" applyFont="1" applyFill="1" applyBorder="1" applyAlignment="1" applyProtection="1">
      <alignment horizontal="right" vertical="center" indent="1"/>
      <protection hidden="1"/>
    </xf>
    <xf numFmtId="0" fontId="26" fillId="3" borderId="43" xfId="0" applyFont="1" applyFill="1" applyBorder="1" applyAlignment="1" applyProtection="1">
      <alignment horizontal="right" vertical="center" indent="1"/>
      <protection hidden="1"/>
    </xf>
    <xf numFmtId="0" fontId="26" fillId="3" borderId="44" xfId="0" applyFont="1" applyFill="1" applyBorder="1" applyAlignment="1" applyProtection="1">
      <alignment horizontal="right" vertical="center" indent="1"/>
      <protection hidden="1"/>
    </xf>
    <xf numFmtId="0" fontId="26" fillId="5" borderId="28" xfId="0" applyFont="1" applyFill="1" applyBorder="1" applyAlignment="1" applyProtection="1">
      <alignment horizontal="right" vertical="center" indent="1"/>
      <protection hidden="1"/>
    </xf>
    <xf numFmtId="0" fontId="26" fillId="5" borderId="29" xfId="0" applyFont="1" applyFill="1" applyBorder="1" applyAlignment="1" applyProtection="1">
      <alignment horizontal="right" vertical="center" indent="1"/>
      <protection hidden="1"/>
    </xf>
    <xf numFmtId="0" fontId="26" fillId="5" borderId="59" xfId="0" applyFont="1" applyFill="1" applyBorder="1" applyAlignment="1" applyProtection="1">
      <alignment horizontal="right" vertical="center" indent="1"/>
      <protection hidden="1"/>
    </xf>
    <xf numFmtId="0" fontId="26" fillId="5" borderId="60" xfId="0" applyFont="1" applyFill="1" applyBorder="1" applyAlignment="1" applyProtection="1">
      <alignment horizontal="right" vertical="center" indent="1"/>
      <protection hidden="1"/>
    </xf>
    <xf numFmtId="0" fontId="26" fillId="3" borderId="59" xfId="0" applyFont="1" applyFill="1" applyBorder="1" applyAlignment="1" applyProtection="1">
      <alignment horizontal="right" vertical="center" indent="1"/>
      <protection hidden="1"/>
    </xf>
    <xf numFmtId="0" fontId="26" fillId="3" borderId="60" xfId="0" applyFont="1" applyFill="1" applyBorder="1" applyAlignment="1" applyProtection="1">
      <alignment horizontal="right" vertical="center" indent="1"/>
      <protection hidden="1"/>
    </xf>
    <xf numFmtId="0" fontId="8" fillId="0" borderId="42" xfId="0" applyFont="1" applyFill="1" applyBorder="1" applyAlignment="1" applyProtection="1">
      <alignment horizontal="right" vertical="center" indent="1"/>
      <protection hidden="1"/>
    </xf>
    <xf numFmtId="0" fontId="8" fillId="0" borderId="36" xfId="0" applyFont="1" applyFill="1" applyBorder="1" applyAlignment="1" applyProtection="1">
      <alignment horizontal="right" vertical="center" indent="1"/>
      <protection hidden="1"/>
    </xf>
    <xf numFmtId="0" fontId="8" fillId="0" borderId="46" xfId="0" applyFont="1" applyFill="1" applyBorder="1" applyAlignment="1" applyProtection="1">
      <alignment horizontal="right" vertical="center" indent="1"/>
      <protection hidden="1"/>
    </xf>
    <xf numFmtId="0" fontId="8" fillId="0" borderId="47" xfId="0" applyFont="1" applyFill="1" applyBorder="1" applyAlignment="1" applyProtection="1">
      <alignment horizontal="right" vertical="center" indent="1"/>
      <protection hidden="1"/>
    </xf>
    <xf numFmtId="0" fontId="8" fillId="3" borderId="59" xfId="0" applyFont="1" applyFill="1" applyBorder="1" applyAlignment="1" applyProtection="1">
      <alignment horizontal="right" vertical="center" indent="1"/>
      <protection hidden="1"/>
    </xf>
    <xf numFmtId="0" fontId="8" fillId="3" borderId="60" xfId="0" applyFont="1" applyFill="1" applyBorder="1" applyAlignment="1" applyProtection="1">
      <alignment horizontal="right" vertical="center" indent="1"/>
      <protection hidden="1"/>
    </xf>
    <xf numFmtId="0" fontId="8" fillId="0" borderId="28" xfId="0" applyFont="1" applyFill="1" applyBorder="1" applyAlignment="1" applyProtection="1">
      <alignment horizontal="right" vertical="center" indent="1"/>
      <protection hidden="1"/>
    </xf>
    <xf numFmtId="0" fontId="8" fillId="0" borderId="29" xfId="0" applyFont="1" applyFill="1" applyBorder="1" applyAlignment="1" applyProtection="1">
      <alignment horizontal="right" vertical="center" indent="1"/>
      <protection hidden="1"/>
    </xf>
    <xf numFmtId="0" fontId="8" fillId="0" borderId="59" xfId="0" applyFont="1" applyFill="1" applyBorder="1" applyAlignment="1" applyProtection="1">
      <alignment horizontal="right" vertical="center" indent="1"/>
      <protection hidden="1"/>
    </xf>
    <xf numFmtId="0" fontId="8" fillId="0" borderId="60" xfId="0" applyFont="1" applyFill="1" applyBorder="1" applyAlignment="1" applyProtection="1">
      <alignment horizontal="right" vertical="center" indent="1"/>
      <protection hidden="1"/>
    </xf>
    <xf numFmtId="0" fontId="8" fillId="0" borderId="41" xfId="0" applyFont="1" applyFill="1" applyBorder="1" applyAlignment="1" applyProtection="1">
      <alignment horizontal="right" vertical="center" indent="1"/>
      <protection hidden="1"/>
    </xf>
    <xf numFmtId="0" fontId="8" fillId="0" borderId="24" xfId="0" applyFont="1" applyFill="1" applyBorder="1" applyAlignment="1" applyProtection="1">
      <alignment horizontal="right" vertical="center" indent="1"/>
      <protection hidden="1"/>
    </xf>
    <xf numFmtId="0" fontId="8" fillId="4" borderId="21" xfId="0" applyFont="1" applyFill="1" applyBorder="1" applyAlignment="1" applyProtection="1">
      <alignment horizontal="center" vertical="center"/>
      <protection hidden="1"/>
    </xf>
    <xf numFmtId="0" fontId="8" fillId="4" borderId="24" xfId="0" applyFont="1" applyFill="1" applyBorder="1" applyAlignment="1" applyProtection="1">
      <alignment horizontal="center" vertical="center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8" fillId="0" borderId="64" xfId="0" applyFont="1" applyFill="1" applyBorder="1" applyAlignment="1" applyProtection="1">
      <alignment horizontal="right" vertical="center" indent="1"/>
      <protection hidden="1"/>
    </xf>
    <xf numFmtId="0" fontId="8" fillId="3" borderId="64" xfId="0" applyFont="1" applyFill="1" applyBorder="1" applyAlignment="1" applyProtection="1">
      <alignment horizontal="right" vertical="center" indent="1"/>
      <protection hidden="1"/>
    </xf>
    <xf numFmtId="0" fontId="20" fillId="2" borderId="26" xfId="0" applyFont="1" applyFill="1" applyBorder="1" applyAlignment="1" applyProtection="1">
      <alignment horizontal="center" vertical="center" textRotation="90"/>
      <protection hidden="1"/>
    </xf>
    <xf numFmtId="0" fontId="20" fillId="2" borderId="62" xfId="0" applyFont="1" applyFill="1" applyBorder="1" applyAlignment="1" applyProtection="1">
      <alignment horizontal="center" vertical="center" textRotation="90"/>
      <protection hidden="1"/>
    </xf>
    <xf numFmtId="0" fontId="20" fillId="2" borderId="22" xfId="0" applyFont="1" applyFill="1" applyBorder="1" applyAlignment="1" applyProtection="1">
      <alignment horizontal="center" vertical="center" textRotation="90"/>
      <protection hidden="1"/>
    </xf>
    <xf numFmtId="0" fontId="8" fillId="0" borderId="27" xfId="0" applyFont="1" applyFill="1" applyBorder="1" applyAlignment="1" applyProtection="1">
      <alignment horizontal="right" vertical="center" indent="1"/>
      <protection hidden="1"/>
    </xf>
    <xf numFmtId="0" fontId="8" fillId="0" borderId="44" xfId="0" applyFont="1" applyFill="1" applyBorder="1" applyAlignment="1" applyProtection="1">
      <alignment horizontal="right" vertical="center" indent="1"/>
      <protection hidden="1"/>
    </xf>
    <xf numFmtId="0" fontId="8" fillId="3" borderId="63" xfId="0" applyFont="1" applyFill="1" applyBorder="1" applyAlignment="1" applyProtection="1">
      <alignment horizontal="right" vertical="center" indent="1"/>
      <protection hidden="1"/>
    </xf>
    <xf numFmtId="0" fontId="8" fillId="0" borderId="63" xfId="0" applyFont="1" applyFill="1" applyBorder="1" applyAlignment="1" applyProtection="1">
      <alignment horizontal="right" vertical="center" indent="1"/>
      <protection hidden="1"/>
    </xf>
    <xf numFmtId="0" fontId="8" fillId="3" borderId="27" xfId="0" applyFont="1" applyFill="1" applyBorder="1" applyAlignment="1" applyProtection="1">
      <alignment horizontal="right" vertical="center" indent="1"/>
      <protection hidden="1"/>
    </xf>
    <xf numFmtId="0" fontId="8" fillId="0" borderId="65" xfId="0" applyFont="1" applyFill="1" applyBorder="1" applyAlignment="1" applyProtection="1">
      <alignment horizontal="right" vertical="center" indent="1"/>
      <protection hidden="1"/>
    </xf>
    <xf numFmtId="0" fontId="8" fillId="0" borderId="66" xfId="0" applyFont="1" applyFill="1" applyBorder="1" applyAlignment="1" applyProtection="1">
      <alignment horizontal="right" vertical="center" indent="1"/>
      <protection hidden="1"/>
    </xf>
    <xf numFmtId="0" fontId="8" fillId="4" borderId="67" xfId="0" applyFont="1" applyFill="1" applyBorder="1" applyAlignment="1" applyProtection="1">
      <alignment horizontal="center" vertical="center"/>
      <protection hidden="1"/>
    </xf>
    <xf numFmtId="0" fontId="8" fillId="4" borderId="36" xfId="0" applyFont="1" applyFill="1" applyBorder="1" applyAlignment="1" applyProtection="1">
      <alignment horizontal="center" vertical="center"/>
      <protection hidden="1"/>
    </xf>
    <xf numFmtId="0" fontId="8" fillId="5" borderId="68" xfId="0" applyFont="1" applyFill="1" applyBorder="1" applyAlignment="1" applyProtection="1">
      <alignment horizontal="right" vertical="center" indent="1"/>
      <protection hidden="1"/>
    </xf>
    <xf numFmtId="0" fontId="8" fillId="5" borderId="69" xfId="0" applyFont="1" applyFill="1" applyBorder="1" applyAlignment="1" applyProtection="1">
      <alignment horizontal="right" vertical="center" indent="1"/>
      <protection hidden="1"/>
    </xf>
    <xf numFmtId="0" fontId="8" fillId="3" borderId="73" xfId="0" applyFont="1" applyFill="1" applyBorder="1" applyAlignment="1" applyProtection="1">
      <alignment horizontal="right" vertical="center" indent="1"/>
      <protection hidden="1"/>
    </xf>
    <xf numFmtId="0" fontId="8" fillId="3" borderId="74" xfId="0" applyFont="1" applyFill="1" applyBorder="1" applyAlignment="1" applyProtection="1">
      <alignment horizontal="right" vertical="center" indent="1"/>
      <protection hidden="1"/>
    </xf>
    <xf numFmtId="0" fontId="8" fillId="0" borderId="72" xfId="0" applyFont="1" applyFill="1" applyBorder="1" applyAlignment="1" applyProtection="1">
      <alignment horizontal="right" vertical="center" indent="1"/>
      <protection hidden="1"/>
    </xf>
    <xf numFmtId="2" fontId="29" fillId="0" borderId="0" xfId="0" applyNumberFormat="1" applyFont="1" applyFill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alignment horizontal="center" vertical="center"/>
    </xf>
    <xf numFmtId="0" fontId="8" fillId="0" borderId="73" xfId="0" applyFont="1" applyFill="1" applyBorder="1" applyAlignment="1" applyProtection="1">
      <alignment horizontal="right" vertical="center" indent="1"/>
      <protection hidden="1"/>
    </xf>
    <xf numFmtId="0" fontId="8" fillId="0" borderId="74" xfId="0" applyFont="1" applyFill="1" applyBorder="1" applyAlignment="1" applyProtection="1">
      <alignment horizontal="right" vertical="center" indent="1"/>
      <protection hidden="1"/>
    </xf>
    <xf numFmtId="0" fontId="8" fillId="3" borderId="81" xfId="0" applyFont="1" applyFill="1" applyBorder="1" applyAlignment="1" applyProtection="1">
      <alignment horizontal="right" vertical="center" indent="1"/>
      <protection hidden="1"/>
    </xf>
    <xf numFmtId="0" fontId="8" fillId="3" borderId="66" xfId="0" applyFont="1" applyFill="1" applyBorder="1" applyAlignment="1" applyProtection="1">
      <alignment horizontal="right" vertical="center" indent="1"/>
      <protection hidden="1"/>
    </xf>
    <xf numFmtId="0" fontId="8" fillId="3" borderId="79" xfId="0" applyFont="1" applyFill="1" applyBorder="1" applyAlignment="1" applyProtection="1">
      <alignment horizontal="right" vertical="center" indent="1"/>
      <protection hidden="1"/>
    </xf>
    <xf numFmtId="0" fontId="8" fillId="3" borderId="80" xfId="0" applyFont="1" applyFill="1" applyBorder="1" applyAlignment="1" applyProtection="1">
      <alignment horizontal="right" vertical="center" indent="1"/>
      <protection hidden="1"/>
    </xf>
    <xf numFmtId="0" fontId="8" fillId="5" borderId="81" xfId="0" applyFont="1" applyFill="1" applyBorder="1" applyAlignment="1" applyProtection="1">
      <alignment horizontal="right" vertical="center" indent="1"/>
      <protection hidden="1"/>
    </xf>
    <xf numFmtId="0" fontId="8" fillId="5" borderId="66" xfId="0" applyFont="1" applyFill="1" applyBorder="1" applyAlignment="1" applyProtection="1">
      <alignment horizontal="right" vertical="center" indent="1"/>
      <protection hidden="1"/>
    </xf>
    <xf numFmtId="0" fontId="8" fillId="5" borderId="79" xfId="0" applyFont="1" applyFill="1" applyBorder="1" applyAlignment="1" applyProtection="1">
      <alignment horizontal="right" vertical="center" indent="1"/>
      <protection hidden="1"/>
    </xf>
    <xf numFmtId="0" fontId="8" fillId="5" borderId="80" xfId="0" applyFont="1" applyFill="1" applyBorder="1" applyAlignment="1" applyProtection="1">
      <alignment horizontal="right" vertical="center" indent="1"/>
      <protection hidden="1"/>
    </xf>
    <xf numFmtId="0" fontId="22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applyFont="1" applyAlignment="1">
      <alignment horizontal="right" indent="1"/>
    </xf>
    <xf numFmtId="0" fontId="37" fillId="0" borderId="8" xfId="0" applyFont="1" applyFill="1" applyBorder="1"/>
    <xf numFmtId="1" fontId="38" fillId="0" borderId="8" xfId="0" applyNumberFormat="1" applyFont="1" applyFill="1" applyBorder="1" applyAlignment="1">
      <alignment horizontal="right"/>
    </xf>
    <xf numFmtId="1" fontId="38" fillId="0" borderId="9" xfId="0" applyNumberFormat="1" applyFont="1" applyFill="1" applyBorder="1" applyAlignment="1">
      <alignment horizontal="right"/>
    </xf>
    <xf numFmtId="0" fontId="0" fillId="0" borderId="0" xfId="0" applyFont="1" applyFill="1"/>
    <xf numFmtId="1" fontId="25" fillId="0" borderId="0" xfId="0" applyNumberFormat="1" applyFont="1" applyFill="1" applyAlignment="1">
      <alignment horizontal="right"/>
    </xf>
    <xf numFmtId="1" fontId="25" fillId="0" borderId="53" xfId="0" applyNumberFormat="1" applyFont="1" applyFill="1" applyBorder="1" applyAlignment="1">
      <alignment horizontal="right"/>
    </xf>
    <xf numFmtId="0" fontId="0" fillId="0" borderId="77" xfId="0" applyFont="1" applyFill="1" applyBorder="1"/>
    <xf numFmtId="1" fontId="25" fillId="0" borderId="77" xfId="0" applyNumberFormat="1" applyFont="1" applyFill="1" applyBorder="1" applyAlignment="1">
      <alignment horizontal="right"/>
    </xf>
    <xf numFmtId="1" fontId="25" fillId="0" borderId="78" xfId="0" applyNumberFormat="1" applyFont="1" applyFill="1" applyBorder="1" applyAlignment="1">
      <alignment horizontal="right"/>
    </xf>
    <xf numFmtId="0" fontId="35" fillId="0" borderId="41" xfId="0" applyFont="1" applyFill="1" applyBorder="1"/>
    <xf numFmtId="1" fontId="36" fillId="0" borderId="41" xfId="0" applyNumberFormat="1" applyFont="1" applyFill="1" applyBorder="1" applyAlignment="1">
      <alignment horizontal="right"/>
    </xf>
    <xf numFmtId="1" fontId="36" fillId="0" borderId="96" xfId="0" applyNumberFormat="1" applyFont="1" applyFill="1" applyBorder="1" applyAlignment="1">
      <alignment horizontal="right"/>
    </xf>
    <xf numFmtId="0" fontId="0" fillId="0" borderId="0" xfId="0" applyProtection="1"/>
    <xf numFmtId="0" fontId="23" fillId="0" borderId="0" xfId="0" applyFont="1" applyProtection="1"/>
    <xf numFmtId="9" fontId="25" fillId="0" borderId="97" xfId="2" applyFont="1" applyFill="1" applyBorder="1" applyAlignment="1" applyProtection="1">
      <alignment horizontal="right"/>
    </xf>
    <xf numFmtId="9" fontId="25" fillId="0" borderId="43" xfId="2" applyFont="1" applyFill="1" applyBorder="1" applyAlignment="1" applyProtection="1">
      <alignment horizontal="right"/>
    </xf>
    <xf numFmtId="1" fontId="25" fillId="0" borderId="0" xfId="0" applyNumberFormat="1" applyFont="1" applyFill="1" applyAlignment="1" applyProtection="1">
      <alignment horizontal="right"/>
    </xf>
    <xf numFmtId="1" fontId="36" fillId="0" borderId="43" xfId="0" applyNumberFormat="1" applyFont="1" applyBorder="1" applyAlignment="1">
      <alignment horizontal="right"/>
    </xf>
    <xf numFmtId="9" fontId="36" fillId="0" borderId="43" xfId="2" applyFont="1" applyFill="1" applyBorder="1" applyAlignment="1">
      <alignment horizontal="right"/>
    </xf>
    <xf numFmtId="9" fontId="36" fillId="0" borderId="94" xfId="2" applyFont="1" applyFill="1" applyBorder="1" applyAlignment="1">
      <alignment horizontal="right"/>
    </xf>
  </cellXfs>
  <cellStyles count="3">
    <cellStyle name="Normal" xfId="0" builtinId="0"/>
    <cellStyle name="Percent" xfId="2" builtinId="5"/>
    <cellStyle name="Standard 2" xfId="1"/>
  </cellStyles>
  <dxfs count="6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44604" cy="1066799"/>
        </a:xfrm>
        <a:prstGeom prst="rect">
          <a:avLst/>
        </a:prstGeom>
      </xdr:spPr>
    </xdr:pic>
    <xdr:clientData/>
  </xdr:twoCellAnchor>
  <xdr:twoCellAnchor>
    <xdr:from>
      <xdr:col>9</xdr:col>
      <xdr:colOff>645458</xdr:colOff>
      <xdr:row>0</xdr:row>
      <xdr:rowOff>1</xdr:rowOff>
    </xdr:from>
    <xdr:to>
      <xdr:col>10</xdr:col>
      <xdr:colOff>734075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8823" y="1"/>
          <a:ext cx="823723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358140</xdr:colOff>
      <xdr:row>0</xdr:row>
      <xdr:rowOff>0</xdr:rowOff>
    </xdr:from>
    <xdr:to>
      <xdr:col>11</xdr:col>
      <xdr:colOff>650</xdr:colOff>
      <xdr:row>2</xdr:row>
      <xdr:rowOff>394653</xdr:rowOff>
    </xdr:to>
    <xdr:pic>
      <xdr:nvPicPr>
        <xdr:cNvPr id="2" name="Grafik 3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7780" y="0"/>
          <a:ext cx="1105550" cy="95853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7408</xdr:colOff>
      <xdr:row>0</xdr:row>
      <xdr:rowOff>0</xdr:rowOff>
    </xdr:from>
    <xdr:to>
      <xdr:col>11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8568" y="0"/>
          <a:ext cx="724762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417809</xdr:colOff>
      <xdr:row>0</xdr:row>
      <xdr:rowOff>0</xdr:rowOff>
    </xdr:from>
    <xdr:to>
      <xdr:col>10</xdr:col>
      <xdr:colOff>710990</xdr:colOff>
      <xdr:row>2</xdr:row>
      <xdr:rowOff>320040</xdr:rowOff>
    </xdr:to>
    <xdr:pic>
      <xdr:nvPicPr>
        <xdr:cNvPr id="3" name="Grafik 6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829" y="0"/>
          <a:ext cx="1024701" cy="8839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677210</xdr:colOff>
      <xdr:row>0</xdr:row>
      <xdr:rowOff>1</xdr:rowOff>
    </xdr:from>
    <xdr:to>
      <xdr:col>11</xdr:col>
      <xdr:colOff>3296</xdr:colOff>
      <xdr:row>1</xdr:row>
      <xdr:rowOff>220981</xdr:rowOff>
    </xdr:to>
    <xdr:pic>
      <xdr:nvPicPr>
        <xdr:cNvPr id="3" name="Grafik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090" y="1"/>
          <a:ext cx="789126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149562</xdr:colOff>
      <xdr:row>0</xdr:row>
      <xdr:rowOff>0</xdr:rowOff>
    </xdr:from>
    <xdr:to>
      <xdr:col>11</xdr:col>
      <xdr:colOff>38620</xdr:colOff>
      <xdr:row>2</xdr:row>
      <xdr:rowOff>228600</xdr:rowOff>
    </xdr:to>
    <xdr:pic>
      <xdr:nvPicPr>
        <xdr:cNvPr id="3" name="Grafik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23442" y="0"/>
          <a:ext cx="1352098" cy="79248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9</xdr:col>
      <xdr:colOff>645458</xdr:colOff>
      <xdr:row>0</xdr:row>
      <xdr:rowOff>1</xdr:rowOff>
    </xdr:from>
    <xdr:to>
      <xdr:col>10</xdr:col>
      <xdr:colOff>734075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4608" y="1"/>
          <a:ext cx="783942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9</xdr:col>
      <xdr:colOff>645458</xdr:colOff>
      <xdr:row>0</xdr:row>
      <xdr:rowOff>1</xdr:rowOff>
    </xdr:from>
    <xdr:to>
      <xdr:col>10</xdr:col>
      <xdr:colOff>734075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4608" y="1"/>
          <a:ext cx="783942" cy="107300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9</xdr:col>
      <xdr:colOff>645458</xdr:colOff>
      <xdr:row>0</xdr:row>
      <xdr:rowOff>1</xdr:rowOff>
    </xdr:from>
    <xdr:to>
      <xdr:col>10</xdr:col>
      <xdr:colOff>734075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4608" y="1"/>
          <a:ext cx="783942" cy="107300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3</xdr:row>
          <xdr:rowOff>68580</xdr:rowOff>
        </xdr:from>
        <xdr:to>
          <xdr:col>6</xdr:col>
          <xdr:colOff>655320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F40"/>
  <sheetViews>
    <sheetView tabSelected="1" zoomScale="90" zoomScaleNormal="90" zoomScaleSheetLayoutView="100" workbookViewId="0">
      <selection sqref="A1:K1"/>
    </sheetView>
  </sheetViews>
  <sheetFormatPr defaultColWidth="11.44140625" defaultRowHeight="14.4" x14ac:dyDescent="0.3"/>
  <cols>
    <col min="1" max="1" width="3.6640625" style="22" customWidth="1"/>
    <col min="2" max="2" width="3.6640625" style="22" hidden="1" customWidth="1"/>
    <col min="3" max="3" width="3.6640625" style="22" customWidth="1"/>
    <col min="4" max="4" width="5.6640625" style="22" customWidth="1"/>
    <col min="5" max="5" width="23.44140625" style="22" customWidth="1"/>
    <col min="6" max="7" width="5.6640625" style="22" customWidth="1"/>
    <col min="8" max="11" width="10.6640625" style="22" customWidth="1"/>
    <col min="12" max="16384" width="11.44140625" style="22"/>
  </cols>
  <sheetData>
    <row r="1" spans="1:32" s="21" customFormat="1" ht="24.9" customHeight="1" x14ac:dyDescent="0.6">
      <c r="A1" s="242" t="str">
        <f>Doku!B28</f>
        <v>Kata Meisterschaft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</row>
    <row r="2" spans="1:32" s="24" customFormat="1" ht="20.100000000000001" customHeight="1" x14ac:dyDescent="0.55000000000000004">
      <c r="A2" s="243" t="str">
        <f>Doku!B29</f>
        <v>des Deutschen Judobundes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</row>
    <row r="3" spans="1:32" s="21" customFormat="1" ht="39.9" customHeight="1" x14ac:dyDescent="0.6">
      <c r="A3" s="244" t="s">
        <v>0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</row>
    <row r="4" spans="1:32" s="21" customFormat="1" ht="12" customHeight="1" x14ac:dyDescent="0.6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" customHeight="1" x14ac:dyDescent="0.3">
      <c r="A5" s="289" t="str">
        <f>Doku!B31&amp;":"</f>
        <v>Bewerter:</v>
      </c>
      <c r="B5" s="289"/>
      <c r="C5" s="289"/>
      <c r="D5" s="289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65">
      <c r="A6" s="1"/>
      <c r="B6" s="1"/>
      <c r="C6" s="2"/>
      <c r="D6" s="2"/>
      <c r="E6" s="70"/>
      <c r="F6" s="71"/>
      <c r="G6" s="71"/>
      <c r="H6" s="300"/>
      <c r="I6" s="300"/>
      <c r="J6" s="300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4">
      <c r="A7" s="12"/>
      <c r="B7" s="12"/>
      <c r="C7" s="12"/>
      <c r="D7" s="298" t="str">
        <f>Doku!B33</f>
        <v>Nachname</v>
      </c>
      <c r="E7" s="292"/>
      <c r="F7" s="290" t="str">
        <f>Doku!B34</f>
        <v>Vorname</v>
      </c>
      <c r="G7" s="291"/>
      <c r="H7" s="292"/>
      <c r="I7" s="293" t="str">
        <f>Doku!B35</f>
        <v>Verein</v>
      </c>
      <c r="J7" s="293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" customHeight="1" x14ac:dyDescent="0.3">
      <c r="A8" s="16" t="s">
        <v>31</v>
      </c>
      <c r="B8" s="16"/>
      <c r="C8" s="16"/>
      <c r="D8" s="299"/>
      <c r="E8" s="296"/>
      <c r="F8" s="294"/>
      <c r="G8" s="295"/>
      <c r="H8" s="296"/>
      <c r="I8" s="297"/>
      <c r="J8" s="297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" customHeight="1" thickBot="1" x14ac:dyDescent="0.35">
      <c r="A9" s="16" t="s">
        <v>32</v>
      </c>
      <c r="B9" s="16"/>
      <c r="C9" s="16"/>
      <c r="D9" s="288"/>
      <c r="E9" s="282"/>
      <c r="F9" s="280"/>
      <c r="G9" s="281"/>
      <c r="H9" s="282"/>
      <c r="I9" s="283"/>
      <c r="J9" s="283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5">
      <c r="A10" s="1"/>
      <c r="B10" s="1"/>
      <c r="C10" s="2"/>
      <c r="D10" s="2"/>
      <c r="E10" s="3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5">
      <c r="A11" s="5"/>
      <c r="B11" s="5"/>
      <c r="C11" s="5"/>
      <c r="D11" s="5"/>
      <c r="E11" s="5"/>
      <c r="F11" s="284" t="str">
        <f>Doku!B38</f>
        <v>Kleiner Fehler</v>
      </c>
      <c r="G11" s="285"/>
      <c r="H11" s="161" t="str">
        <f>Doku!B39</f>
        <v>Mittlerer Fehler</v>
      </c>
      <c r="I11" s="161" t="str">
        <f>Doku!B40</f>
        <v>Großer Fehler</v>
      </c>
      <c r="J11" s="286" t="str">
        <f>Doku!B41</f>
        <v>Technik vergessen</v>
      </c>
      <c r="K11" s="264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5">
      <c r="A12" s="266" t="str">
        <f>Doku!B37</f>
        <v>Technik</v>
      </c>
      <c r="B12" s="267"/>
      <c r="C12" s="267"/>
      <c r="D12" s="267"/>
      <c r="E12" s="268"/>
      <c r="F12" s="269">
        <v>1</v>
      </c>
      <c r="G12" s="270"/>
      <c r="H12" s="162">
        <v>3</v>
      </c>
      <c r="I12" s="162">
        <v>5</v>
      </c>
      <c r="J12" s="287"/>
      <c r="K12" s="265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5">
      <c r="A13" s="6">
        <v>1</v>
      </c>
      <c r="B13" s="114"/>
      <c r="C13" s="55"/>
      <c r="D13" s="274" t="s">
        <v>7</v>
      </c>
      <c r="E13" s="275"/>
      <c r="F13" s="48"/>
      <c r="G13" s="141"/>
      <c r="H13" s="163"/>
      <c r="I13" s="163"/>
      <c r="J13" s="150"/>
      <c r="K13" s="150" t="str">
        <f>IF($K$37&lt;&gt;"",IF(SUMPRODUCT(--(TRIM(J13)&lt;&gt;""))&lt;&gt;0,0,MAX(1,10-5*(SUMPRODUCT(--(TRIM(I13)&lt;&gt;"")))-3*(SUMPRODUCT(--(TRIM(H13)&lt;&gt;"")))-1*SUMPRODUCT(--(TRIM(F13:G13)&lt;&gt;"")))),"")</f>
        <v/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3">
      <c r="A14" s="7">
        <v>2</v>
      </c>
      <c r="B14" s="7"/>
      <c r="C14" s="250" t="s">
        <v>8</v>
      </c>
      <c r="D14" s="258" t="s">
        <v>9</v>
      </c>
      <c r="E14" s="259"/>
      <c r="F14" s="33"/>
      <c r="G14" s="142"/>
      <c r="H14" s="164"/>
      <c r="I14" s="164"/>
      <c r="J14" s="151"/>
      <c r="K14" s="151" t="str">
        <f t="shared" ref="K14:K29" si="0">IF($K$37&lt;&gt;"",IF(SUMPRODUCT(--(TRIM(J14)&lt;&gt;""))&lt;&gt;0,0,MAX(1,10-5*(SUMPRODUCT(--(TRIM(I14)&lt;&gt;"")))-3*(SUMPRODUCT(--(TRIM(H14)&lt;&gt;"")))-1*SUMPRODUCT(--(TRIM(F14:G14)&lt;&gt;"")))),"")</f>
        <v/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3">
      <c r="A15" s="8">
        <v>3</v>
      </c>
      <c r="B15" s="7"/>
      <c r="C15" s="251"/>
      <c r="D15" s="260" t="s">
        <v>10</v>
      </c>
      <c r="E15" s="261"/>
      <c r="F15" s="50"/>
      <c r="G15" s="143"/>
      <c r="H15" s="165"/>
      <c r="I15" s="165"/>
      <c r="J15" s="152"/>
      <c r="K15" s="152" t="str">
        <f t="shared" si="0"/>
        <v/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thickBot="1" x14ac:dyDescent="0.35">
      <c r="A16" s="9">
        <v>4</v>
      </c>
      <c r="B16" s="7"/>
      <c r="C16" s="251"/>
      <c r="D16" s="262" t="s">
        <v>11</v>
      </c>
      <c r="E16" s="263"/>
      <c r="F16" s="34"/>
      <c r="G16" s="144"/>
      <c r="H16" s="166"/>
      <c r="I16" s="166"/>
      <c r="J16" s="153"/>
      <c r="K16" s="153" t="str">
        <f t="shared" si="0"/>
        <v/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3">
      <c r="A17" s="7">
        <v>5</v>
      </c>
      <c r="B17" s="7"/>
      <c r="C17" s="250" t="s">
        <v>12</v>
      </c>
      <c r="D17" s="252" t="s">
        <v>13</v>
      </c>
      <c r="E17" s="253"/>
      <c r="F17" s="49"/>
      <c r="G17" s="145"/>
      <c r="H17" s="167"/>
      <c r="I17" s="167"/>
      <c r="J17" s="154"/>
      <c r="K17" s="154" t="str">
        <f t="shared" si="0"/>
        <v/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x14ac:dyDescent="0.3">
      <c r="A18" s="8">
        <v>6</v>
      </c>
      <c r="B18" s="7"/>
      <c r="C18" s="251"/>
      <c r="D18" s="254" t="s">
        <v>14</v>
      </c>
      <c r="E18" s="255"/>
      <c r="F18" s="32"/>
      <c r="G18" s="146"/>
      <c r="H18" s="168"/>
      <c r="I18" s="168"/>
      <c r="J18" s="155"/>
      <c r="K18" s="155" t="str">
        <f t="shared" si="0"/>
        <v/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thickBot="1" x14ac:dyDescent="0.35">
      <c r="A19" s="9">
        <v>7</v>
      </c>
      <c r="B19" s="7"/>
      <c r="C19" s="251"/>
      <c r="D19" s="256" t="s">
        <v>15</v>
      </c>
      <c r="E19" s="257"/>
      <c r="F19" s="51"/>
      <c r="G19" s="147"/>
      <c r="H19" s="169"/>
      <c r="I19" s="169" t="s">
        <v>225</v>
      </c>
      <c r="J19" s="156"/>
      <c r="K19" s="156" t="str">
        <f t="shared" si="0"/>
        <v/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customHeight="1" x14ac:dyDescent="0.3">
      <c r="A20" s="10">
        <v>8</v>
      </c>
      <c r="B20" s="98"/>
      <c r="C20" s="250" t="s">
        <v>16</v>
      </c>
      <c r="D20" s="258" t="s">
        <v>17</v>
      </c>
      <c r="E20" s="259"/>
      <c r="F20" s="33"/>
      <c r="G20" s="142"/>
      <c r="H20" s="164"/>
      <c r="I20" s="164"/>
      <c r="J20" s="151"/>
      <c r="K20" s="151" t="str">
        <f t="shared" si="0"/>
        <v/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customHeight="1" x14ac:dyDescent="0.3">
      <c r="A21" s="8">
        <v>9</v>
      </c>
      <c r="B21" s="7"/>
      <c r="C21" s="251"/>
      <c r="D21" s="260" t="s">
        <v>18</v>
      </c>
      <c r="E21" s="261"/>
      <c r="F21" s="50"/>
      <c r="G21" s="143"/>
      <c r="H21" s="165"/>
      <c r="I21" s="165"/>
      <c r="J21" s="152"/>
      <c r="K21" s="152" t="str">
        <f t="shared" si="0"/>
        <v/>
      </c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customHeight="1" thickBot="1" x14ac:dyDescent="0.35">
      <c r="A22" s="9">
        <v>10</v>
      </c>
      <c r="B22" s="7"/>
      <c r="C22" s="251"/>
      <c r="D22" s="262" t="s">
        <v>19</v>
      </c>
      <c r="E22" s="263"/>
      <c r="F22" s="34"/>
      <c r="G22" s="144"/>
      <c r="H22" s="166"/>
      <c r="I22" s="166"/>
      <c r="J22" s="153"/>
      <c r="K22" s="153" t="str">
        <f t="shared" si="0"/>
        <v/>
      </c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customHeight="1" x14ac:dyDescent="0.3">
      <c r="A23" s="10">
        <v>11</v>
      </c>
      <c r="B23" s="98"/>
      <c r="C23" s="250" t="s">
        <v>20</v>
      </c>
      <c r="D23" s="252" t="s">
        <v>21</v>
      </c>
      <c r="E23" s="253"/>
      <c r="F23" s="49"/>
      <c r="G23" s="145"/>
      <c r="H23" s="167"/>
      <c r="I23" s="167"/>
      <c r="J23" s="154"/>
      <c r="K23" s="154" t="str">
        <f t="shared" si="0"/>
        <v/>
      </c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customHeight="1" x14ac:dyDescent="0.3">
      <c r="A24" s="8">
        <v>12</v>
      </c>
      <c r="B24" s="7"/>
      <c r="C24" s="251"/>
      <c r="D24" s="254" t="s">
        <v>22</v>
      </c>
      <c r="E24" s="255"/>
      <c r="F24" s="32"/>
      <c r="G24" s="146"/>
      <c r="H24" s="168"/>
      <c r="I24" s="168"/>
      <c r="J24" s="155"/>
      <c r="K24" s="155" t="str">
        <f t="shared" si="0"/>
        <v/>
      </c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customHeight="1" thickBot="1" x14ac:dyDescent="0.35">
      <c r="A25" s="9">
        <v>13</v>
      </c>
      <c r="B25" s="7"/>
      <c r="C25" s="251"/>
      <c r="D25" s="256" t="s">
        <v>23</v>
      </c>
      <c r="E25" s="257"/>
      <c r="F25" s="51"/>
      <c r="G25" s="147"/>
      <c r="H25" s="169"/>
      <c r="I25" s="169"/>
      <c r="J25" s="156"/>
      <c r="K25" s="156" t="str">
        <f t="shared" si="0"/>
        <v/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customHeight="1" x14ac:dyDescent="0.3">
      <c r="A26" s="10">
        <v>14</v>
      </c>
      <c r="B26" s="98"/>
      <c r="C26" s="250" t="s">
        <v>24</v>
      </c>
      <c r="D26" s="258" t="s">
        <v>25</v>
      </c>
      <c r="E26" s="259"/>
      <c r="F26" s="33"/>
      <c r="G26" s="142"/>
      <c r="H26" s="164"/>
      <c r="I26" s="164"/>
      <c r="J26" s="151"/>
      <c r="K26" s="151" t="str">
        <f t="shared" si="0"/>
        <v/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customHeight="1" x14ac:dyDescent="0.3">
      <c r="A27" s="7">
        <v>15</v>
      </c>
      <c r="B27" s="7"/>
      <c r="C27" s="251"/>
      <c r="D27" s="260" t="s">
        <v>26</v>
      </c>
      <c r="E27" s="261"/>
      <c r="F27" s="50"/>
      <c r="G27" s="143"/>
      <c r="H27" s="165"/>
      <c r="I27" s="165"/>
      <c r="J27" s="152"/>
      <c r="K27" s="152" t="str">
        <f t="shared" si="0"/>
        <v/>
      </c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customHeight="1" thickBot="1" x14ac:dyDescent="0.35">
      <c r="A28" s="9">
        <v>16</v>
      </c>
      <c r="B28" s="7"/>
      <c r="C28" s="251"/>
      <c r="D28" s="262" t="s">
        <v>27</v>
      </c>
      <c r="E28" s="263"/>
      <c r="F28" s="54"/>
      <c r="G28" s="148"/>
      <c r="H28" s="170"/>
      <c r="I28" s="170"/>
      <c r="J28" s="157"/>
      <c r="K28" s="157" t="str">
        <f t="shared" si="0"/>
        <v/>
      </c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5">
      <c r="A29" s="11">
        <v>17</v>
      </c>
      <c r="B29" s="115"/>
      <c r="C29" s="53"/>
      <c r="D29" s="245" t="s">
        <v>28</v>
      </c>
      <c r="E29" s="246"/>
      <c r="F29" s="52"/>
      <c r="G29" s="149"/>
      <c r="H29" s="171"/>
      <c r="I29" s="171"/>
      <c r="J29" s="158"/>
      <c r="K29" s="158" t="str">
        <f t="shared" si="0"/>
        <v/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Top="1" thickBot="1" x14ac:dyDescent="0.35">
      <c r="A30" s="125"/>
      <c r="B30" s="126"/>
      <c r="C30" s="122"/>
      <c r="D30" s="107"/>
      <c r="E30" s="108"/>
      <c r="F30" s="127"/>
      <c r="G30" s="128"/>
      <c r="H30" s="172"/>
      <c r="I30" s="172"/>
      <c r="J30" s="159"/>
      <c r="K30" s="129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5">
      <c r="A31" s="125"/>
      <c r="B31" s="126"/>
      <c r="C31" s="122"/>
      <c r="D31" s="107"/>
      <c r="E31" s="108"/>
      <c r="F31" s="127"/>
      <c r="G31" s="128"/>
      <c r="H31" s="172"/>
      <c r="I31" s="172"/>
      <c r="J31" s="159"/>
      <c r="K31" s="129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5">
      <c r="A32" s="125"/>
      <c r="B32" s="126"/>
      <c r="C32" s="122"/>
      <c r="D32" s="107"/>
      <c r="E32" s="108"/>
      <c r="F32" s="127"/>
      <c r="G32" s="128"/>
      <c r="H32" s="172"/>
      <c r="I32" s="172"/>
      <c r="J32" s="159"/>
      <c r="K32" s="129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5">
      <c r="A33" s="125"/>
      <c r="B33" s="126"/>
      <c r="C33" s="122"/>
      <c r="D33" s="107"/>
      <c r="E33" s="108"/>
      <c r="F33" s="127"/>
      <c r="G33" s="128"/>
      <c r="H33" s="172"/>
      <c r="I33" s="172"/>
      <c r="J33" s="159"/>
      <c r="K33" s="129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5">
      <c r="A34" s="125"/>
      <c r="B34" s="126"/>
      <c r="C34" s="122"/>
      <c r="D34" s="107"/>
      <c r="E34" s="108"/>
      <c r="F34" s="127"/>
      <c r="G34" s="128"/>
      <c r="H34" s="172"/>
      <c r="I34" s="172"/>
      <c r="J34" s="159"/>
      <c r="K34" s="129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5">
      <c r="A35" s="125"/>
      <c r="B35" s="126"/>
      <c r="C35" s="122"/>
      <c r="D35" s="107"/>
      <c r="E35" s="108"/>
      <c r="F35" s="127"/>
      <c r="G35" s="128"/>
      <c r="H35" s="172"/>
      <c r="I35" s="172"/>
      <c r="J35" s="159"/>
      <c r="K35" s="129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" customHeight="1" thickTop="1" thickBot="1" x14ac:dyDescent="0.35">
      <c r="A36" s="247" t="str">
        <f>Doku!B43&amp;":"</f>
        <v>Summe Fehler und Punkte:</v>
      </c>
      <c r="B36" s="248"/>
      <c r="C36" s="248"/>
      <c r="D36" s="248"/>
      <c r="E36" s="249"/>
      <c r="F36" s="278">
        <f>IF($K$37&lt;&gt;"",SUMPRODUCT(--(TRIM(F13:G29)&lt;&gt;"")),0)</f>
        <v>0</v>
      </c>
      <c r="G36" s="279" t="b">
        <f t="shared" ref="G36" si="1">IF($K$37&lt;&gt;"",COUNTIF(G13:G29,"x"))</f>
        <v>0</v>
      </c>
      <c r="H36" s="173">
        <f>IF($K$37&lt;&gt;"",SUMPRODUCT(--(TRIM(H13:H29)&lt;&gt;"")),0)</f>
        <v>0</v>
      </c>
      <c r="I36" s="173">
        <f>IF($K$37&lt;&gt;"",SUMPRODUCT(--(TRIM(I13:I29)&lt;&gt;"")),0)</f>
        <v>0</v>
      </c>
      <c r="J36" s="160">
        <f>IF($K$37&lt;&gt;"",SUMPRODUCT(--(TRIM(J13:J29)&lt;&gt;"")),0)</f>
        <v>0</v>
      </c>
      <c r="K36" s="30" t="str">
        <f>IF(K37&lt;&gt;"",IF(J36&lt;1,SUM(K13:K29),IF(J36&gt;=1,ROUNDUP(SUM(K13:K29)/2,0),"")),"")</f>
        <v/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5">
      <c r="A37" s="276" t="str">
        <f>Doku!B44&amp;":"</f>
        <v>Position:</v>
      </c>
      <c r="B37" s="277"/>
      <c r="C37" s="277"/>
      <c r="D37" s="277"/>
      <c r="E37" s="104"/>
      <c r="F37" s="271" t="str">
        <f>Doku!B45</f>
        <v>Übertrag ok?</v>
      </c>
      <c r="G37" s="272"/>
      <c r="H37" s="272"/>
      <c r="I37" s="272"/>
      <c r="J37" s="273"/>
      <c r="K37" s="31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" thickTop="1" x14ac:dyDescent="0.3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3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3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5">
    <mergeCell ref="A5:D5"/>
    <mergeCell ref="F7:H7"/>
    <mergeCell ref="I7:J7"/>
    <mergeCell ref="F8:H8"/>
    <mergeCell ref="I8:J8"/>
    <mergeCell ref="D7:E7"/>
    <mergeCell ref="D8:E8"/>
    <mergeCell ref="H6:J6"/>
    <mergeCell ref="F9:H9"/>
    <mergeCell ref="I9:J9"/>
    <mergeCell ref="F11:G11"/>
    <mergeCell ref="J11:J12"/>
    <mergeCell ref="D9:E9"/>
    <mergeCell ref="F37:J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A37:D37"/>
    <mergeCell ref="F36:G36"/>
    <mergeCell ref="A1:K1"/>
    <mergeCell ref="A2:K2"/>
    <mergeCell ref="A3:K3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K11:K12"/>
    <mergeCell ref="A12:E12"/>
    <mergeCell ref="F12:G12"/>
  </mergeCells>
  <dataValidations disablePrompts="1" count="2">
    <dataValidation type="textLength" allowBlank="1" showInputMessage="1" showErrorMessage="1" sqref="G13:J35 F14:F35">
      <formula1>1</formula1>
      <formula2>1</formula2>
    </dataValidation>
    <dataValidation type="textLength" operator="equal" allowBlank="1" showInputMessage="1" showErrorMessage="1" sqref="F13">
      <formula1>1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F40"/>
  <sheetViews>
    <sheetView zoomScaleNormal="100" zoomScaleSheetLayoutView="100" workbookViewId="0">
      <selection sqref="A1:K1"/>
    </sheetView>
  </sheetViews>
  <sheetFormatPr defaultColWidth="11.44140625" defaultRowHeight="14.4" x14ac:dyDescent="0.3"/>
  <cols>
    <col min="1" max="1" width="3.6640625" style="22" customWidth="1"/>
    <col min="2" max="2" width="3.6640625" style="22" hidden="1" customWidth="1"/>
    <col min="3" max="3" width="3.6640625" style="22" customWidth="1"/>
    <col min="4" max="4" width="5.6640625" style="22" customWidth="1"/>
    <col min="5" max="5" width="23.44140625" style="22" customWidth="1"/>
    <col min="6" max="7" width="5.6640625" style="22" customWidth="1"/>
    <col min="8" max="11" width="10.6640625" style="22" customWidth="1"/>
    <col min="12" max="16384" width="11.44140625" style="22"/>
  </cols>
  <sheetData>
    <row r="1" spans="1:32" s="21" customFormat="1" ht="24.9" customHeight="1" x14ac:dyDescent="0.6">
      <c r="A1" s="242" t="str">
        <f>Doku!B28</f>
        <v>Kata Meisterschaft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</row>
    <row r="2" spans="1:32" s="24" customFormat="1" ht="20.100000000000001" customHeight="1" x14ac:dyDescent="0.55000000000000004">
      <c r="A2" s="243" t="str">
        <f>Doku!B29</f>
        <v>des Deutschen Judobundes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</row>
    <row r="3" spans="1:32" s="21" customFormat="1" ht="39.9" customHeight="1" x14ac:dyDescent="0.6">
      <c r="A3" s="244" t="s">
        <v>69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</row>
    <row r="4" spans="1:32" s="21" customFormat="1" ht="12" customHeight="1" x14ac:dyDescent="0.6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" customHeight="1" x14ac:dyDescent="0.3">
      <c r="A5" s="289" t="str">
        <f>Doku!B31&amp;":"</f>
        <v>Bewerter:</v>
      </c>
      <c r="B5" s="289"/>
      <c r="C5" s="289"/>
      <c r="D5" s="289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65">
      <c r="A6" s="1"/>
      <c r="B6" s="1"/>
      <c r="C6" s="2"/>
      <c r="D6" s="2"/>
      <c r="E6" s="70"/>
      <c r="F6" s="71"/>
      <c r="G6" s="71"/>
      <c r="H6" s="300"/>
      <c r="I6" s="300"/>
      <c r="J6" s="300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4">
      <c r="A7" s="12"/>
      <c r="B7" s="12"/>
      <c r="C7" s="12"/>
      <c r="D7" s="298" t="str">
        <f>Doku!B33</f>
        <v>Nachname</v>
      </c>
      <c r="E7" s="292"/>
      <c r="F7" s="290" t="str">
        <f>Doku!B34</f>
        <v>Vorname</v>
      </c>
      <c r="G7" s="291"/>
      <c r="H7" s="292"/>
      <c r="I7" s="293" t="str">
        <f>Doku!B35</f>
        <v>Verein</v>
      </c>
      <c r="J7" s="293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" customHeight="1" x14ac:dyDescent="0.3">
      <c r="A8" s="16" t="s">
        <v>31</v>
      </c>
      <c r="B8" s="16"/>
      <c r="C8" s="16"/>
      <c r="D8" s="299"/>
      <c r="E8" s="296"/>
      <c r="F8" s="294"/>
      <c r="G8" s="295"/>
      <c r="H8" s="296"/>
      <c r="I8" s="297"/>
      <c r="J8" s="297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" customHeight="1" thickBot="1" x14ac:dyDescent="0.35">
      <c r="A9" s="16" t="s">
        <v>32</v>
      </c>
      <c r="B9" s="16"/>
      <c r="C9" s="16"/>
      <c r="D9" s="288"/>
      <c r="E9" s="282"/>
      <c r="F9" s="280"/>
      <c r="G9" s="281"/>
      <c r="H9" s="282"/>
      <c r="I9" s="283"/>
      <c r="J9" s="283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5">
      <c r="A10" s="1"/>
      <c r="B10" s="1"/>
      <c r="C10" s="2"/>
      <c r="D10" s="2"/>
      <c r="E10" s="3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5">
      <c r="A11" s="5"/>
      <c r="B11" s="5"/>
      <c r="C11" s="5"/>
      <c r="D11" s="5"/>
      <c r="E11" s="5"/>
      <c r="F11" s="284" t="str">
        <f>Doku!B38</f>
        <v>Kleiner Fehler</v>
      </c>
      <c r="G11" s="285"/>
      <c r="H11" s="161" t="str">
        <f>Doku!B39</f>
        <v>Mittlerer Fehler</v>
      </c>
      <c r="I11" s="161" t="str">
        <f>Doku!B40</f>
        <v>Großer Fehler</v>
      </c>
      <c r="J11" s="286" t="str">
        <f>Doku!B41</f>
        <v>Technik vergessen</v>
      </c>
      <c r="K11" s="264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5">
      <c r="A12" s="266" t="str">
        <f>Doku!B37</f>
        <v>Technik</v>
      </c>
      <c r="B12" s="267"/>
      <c r="C12" s="267"/>
      <c r="D12" s="267"/>
      <c r="E12" s="268"/>
      <c r="F12" s="269">
        <v>1</v>
      </c>
      <c r="G12" s="270"/>
      <c r="H12" s="162">
        <v>3</v>
      </c>
      <c r="I12" s="162">
        <v>5</v>
      </c>
      <c r="J12" s="287"/>
      <c r="K12" s="265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5">
      <c r="A13" s="6">
        <v>1</v>
      </c>
      <c r="B13" s="114"/>
      <c r="C13" s="55"/>
      <c r="D13" s="274" t="s">
        <v>7</v>
      </c>
      <c r="E13" s="275"/>
      <c r="F13" s="49"/>
      <c r="G13" s="145"/>
      <c r="H13" s="167"/>
      <c r="I13" s="167"/>
      <c r="J13" s="154"/>
      <c r="K13" s="154" t="str">
        <f>IF($K$37&lt;&gt;"",IF(SUMPRODUCT(--(TRIM(J13)&lt;&gt;""))&lt;&gt;0,0,MAX(1,10-5*(SUMPRODUCT(--(TRIM(I13)&lt;&gt;"")))-3*(SUMPRODUCT(--(TRIM(H13)&lt;&gt;"")))-1*SUMPRODUCT(--(TRIM(F13:G13)&lt;&gt;"")))),"")</f>
        <v/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3">
      <c r="A14" s="7">
        <v>2</v>
      </c>
      <c r="B14" s="7"/>
      <c r="C14" s="250" t="s">
        <v>70</v>
      </c>
      <c r="D14" s="302" t="s">
        <v>71</v>
      </c>
      <c r="E14" s="303"/>
      <c r="F14" s="33"/>
      <c r="G14" s="142"/>
      <c r="H14" s="164"/>
      <c r="I14" s="164"/>
      <c r="J14" s="151"/>
      <c r="K14" s="151" t="str">
        <f t="shared" ref="K14:K29" si="0">IF($K$37&lt;&gt;"",IF(SUMPRODUCT(--(TRIM(J14)&lt;&gt;""))&lt;&gt;0,0,MAX(1,10-5*(SUMPRODUCT(--(TRIM(I14)&lt;&gt;"")))-3*(SUMPRODUCT(--(TRIM(H14)&lt;&gt;"")))-1*SUMPRODUCT(--(TRIM(F14:G14)&lt;&gt;"")))),"")</f>
        <v/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3">
      <c r="A15" s="8">
        <v>3</v>
      </c>
      <c r="B15" s="7"/>
      <c r="C15" s="251"/>
      <c r="D15" s="304" t="s">
        <v>72</v>
      </c>
      <c r="E15" s="305"/>
      <c r="F15" s="50"/>
      <c r="G15" s="143"/>
      <c r="H15" s="165"/>
      <c r="I15" s="165"/>
      <c r="J15" s="152"/>
      <c r="K15" s="152" t="str">
        <f t="shared" si="0"/>
        <v/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x14ac:dyDescent="0.3">
      <c r="A16" s="56">
        <v>4</v>
      </c>
      <c r="B16" s="7"/>
      <c r="C16" s="251"/>
      <c r="D16" s="306" t="s">
        <v>73</v>
      </c>
      <c r="E16" s="307"/>
      <c r="F16" s="34"/>
      <c r="G16" s="144"/>
      <c r="H16" s="166"/>
      <c r="I16" s="166"/>
      <c r="J16" s="153"/>
      <c r="K16" s="153" t="str">
        <f t="shared" si="0"/>
        <v/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3">
      <c r="A17" s="8">
        <v>5</v>
      </c>
      <c r="B17" s="7"/>
      <c r="C17" s="251"/>
      <c r="D17" s="304" t="s">
        <v>74</v>
      </c>
      <c r="E17" s="305"/>
      <c r="F17" s="50"/>
      <c r="G17" s="143"/>
      <c r="H17" s="165"/>
      <c r="I17" s="165"/>
      <c r="J17" s="152"/>
      <c r="K17" s="152" t="str">
        <f t="shared" si="0"/>
        <v/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thickBot="1" x14ac:dyDescent="0.35">
      <c r="A18" s="9">
        <v>6</v>
      </c>
      <c r="B18" s="116"/>
      <c r="C18" s="301"/>
      <c r="D18" s="308" t="s">
        <v>75</v>
      </c>
      <c r="E18" s="309"/>
      <c r="F18" s="34"/>
      <c r="G18" s="144"/>
      <c r="H18" s="166"/>
      <c r="I18" s="166"/>
      <c r="J18" s="153"/>
      <c r="K18" s="153" t="str">
        <f t="shared" si="0"/>
        <v/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x14ac:dyDescent="0.3">
      <c r="A19" s="57">
        <v>7</v>
      </c>
      <c r="B19" s="7"/>
      <c r="C19" s="251" t="s">
        <v>76</v>
      </c>
      <c r="D19" s="310" t="s">
        <v>77</v>
      </c>
      <c r="E19" s="311"/>
      <c r="F19" s="58"/>
      <c r="G19" s="174"/>
      <c r="H19" s="177"/>
      <c r="I19" s="177"/>
      <c r="J19" s="176"/>
      <c r="K19" s="176" t="str">
        <f t="shared" si="0"/>
        <v/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customHeight="1" x14ac:dyDescent="0.3">
      <c r="A20" s="57">
        <v>8</v>
      </c>
      <c r="B20" s="7"/>
      <c r="C20" s="251"/>
      <c r="D20" s="306" t="s">
        <v>78</v>
      </c>
      <c r="E20" s="307"/>
      <c r="F20" s="34"/>
      <c r="G20" s="144"/>
      <c r="H20" s="166"/>
      <c r="I20" s="166"/>
      <c r="J20" s="153"/>
      <c r="K20" s="153" t="str">
        <f t="shared" si="0"/>
        <v/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customHeight="1" x14ac:dyDescent="0.3">
      <c r="A21" s="8">
        <v>9</v>
      </c>
      <c r="B21" s="7"/>
      <c r="C21" s="251"/>
      <c r="D21" s="304" t="s">
        <v>79</v>
      </c>
      <c r="E21" s="305"/>
      <c r="F21" s="50"/>
      <c r="G21" s="143"/>
      <c r="H21" s="165"/>
      <c r="I21" s="165"/>
      <c r="J21" s="152"/>
      <c r="K21" s="152" t="str">
        <f t="shared" si="0"/>
        <v/>
      </c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customHeight="1" x14ac:dyDescent="0.3">
      <c r="A22" s="59">
        <v>10</v>
      </c>
      <c r="B22" s="7"/>
      <c r="C22" s="251"/>
      <c r="D22" s="306" t="s">
        <v>80</v>
      </c>
      <c r="E22" s="307"/>
      <c r="F22" s="34"/>
      <c r="G22" s="144"/>
      <c r="H22" s="166"/>
      <c r="I22" s="166"/>
      <c r="J22" s="153"/>
      <c r="K22" s="153" t="str">
        <f t="shared" si="0"/>
        <v/>
      </c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customHeight="1" thickBot="1" x14ac:dyDescent="0.35">
      <c r="A23" s="9">
        <v>11</v>
      </c>
      <c r="B23" s="116"/>
      <c r="C23" s="301"/>
      <c r="D23" s="312" t="s">
        <v>81</v>
      </c>
      <c r="E23" s="313"/>
      <c r="F23" s="51"/>
      <c r="G23" s="147"/>
      <c r="H23" s="169"/>
      <c r="I23" s="169"/>
      <c r="J23" s="156"/>
      <c r="K23" s="156" t="str">
        <f t="shared" si="0"/>
        <v/>
      </c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customHeight="1" x14ac:dyDescent="0.3">
      <c r="A24" s="7">
        <v>12</v>
      </c>
      <c r="B24" s="7"/>
      <c r="C24" s="251" t="s">
        <v>82</v>
      </c>
      <c r="D24" s="308" t="s">
        <v>83</v>
      </c>
      <c r="E24" s="309"/>
      <c r="F24" s="33"/>
      <c r="G24" s="142"/>
      <c r="H24" s="164"/>
      <c r="I24" s="164"/>
      <c r="J24" s="151"/>
      <c r="K24" s="151" t="str">
        <f t="shared" si="0"/>
        <v/>
      </c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customHeight="1" x14ac:dyDescent="0.3">
      <c r="A25" s="56">
        <v>13</v>
      </c>
      <c r="B25" s="7"/>
      <c r="C25" s="251"/>
      <c r="D25" s="304" t="s">
        <v>84</v>
      </c>
      <c r="E25" s="305"/>
      <c r="F25" s="50"/>
      <c r="G25" s="143"/>
      <c r="H25" s="165"/>
      <c r="I25" s="165"/>
      <c r="J25" s="152"/>
      <c r="K25" s="152" t="str">
        <f t="shared" si="0"/>
        <v/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customHeight="1" x14ac:dyDescent="0.3">
      <c r="A26" s="57">
        <v>14</v>
      </c>
      <c r="B26" s="7"/>
      <c r="C26" s="251"/>
      <c r="D26" s="308" t="s">
        <v>85</v>
      </c>
      <c r="E26" s="309"/>
      <c r="F26" s="34"/>
      <c r="G26" s="144"/>
      <c r="H26" s="166"/>
      <c r="I26" s="166"/>
      <c r="J26" s="153"/>
      <c r="K26" s="153" t="str">
        <f t="shared" si="0"/>
        <v/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customHeight="1" x14ac:dyDescent="0.3">
      <c r="A27" s="7">
        <v>15</v>
      </c>
      <c r="B27" s="7"/>
      <c r="C27" s="251"/>
      <c r="D27" s="304" t="s">
        <v>86</v>
      </c>
      <c r="E27" s="305"/>
      <c r="F27" s="50"/>
      <c r="G27" s="143"/>
      <c r="H27" s="165"/>
      <c r="I27" s="165"/>
      <c r="J27" s="152"/>
      <c r="K27" s="152" t="str">
        <f t="shared" si="0"/>
        <v/>
      </c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customHeight="1" thickBot="1" x14ac:dyDescent="0.35">
      <c r="A28" s="9">
        <v>16</v>
      </c>
      <c r="B28" s="116"/>
      <c r="C28" s="301"/>
      <c r="D28" s="314" t="s">
        <v>87</v>
      </c>
      <c r="E28" s="315"/>
      <c r="F28" s="54"/>
      <c r="G28" s="148"/>
      <c r="H28" s="170"/>
      <c r="I28" s="170"/>
      <c r="J28" s="157"/>
      <c r="K28" s="157" t="str">
        <f t="shared" si="0"/>
        <v/>
      </c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5">
      <c r="A29" s="11">
        <v>17</v>
      </c>
      <c r="B29" s="115"/>
      <c r="C29" s="53"/>
      <c r="D29" s="245" t="s">
        <v>28</v>
      </c>
      <c r="E29" s="246"/>
      <c r="F29" s="52"/>
      <c r="G29" s="149"/>
      <c r="H29" s="171"/>
      <c r="I29" s="171"/>
      <c r="J29" s="158"/>
      <c r="K29" s="158" t="str">
        <f t="shared" si="0"/>
        <v/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Top="1" thickBot="1" x14ac:dyDescent="0.35">
      <c r="A30" s="125"/>
      <c r="B30" s="126"/>
      <c r="C30" s="122"/>
      <c r="D30" s="107"/>
      <c r="E30" s="108"/>
      <c r="F30" s="127"/>
      <c r="G30" s="175"/>
      <c r="H30" s="172"/>
      <c r="I30" s="172"/>
      <c r="J30" s="128"/>
      <c r="K30" s="129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5">
      <c r="A31" s="125"/>
      <c r="B31" s="126"/>
      <c r="C31" s="122"/>
      <c r="D31" s="107"/>
      <c r="E31" s="108"/>
      <c r="F31" s="127"/>
      <c r="G31" s="175"/>
      <c r="H31" s="172"/>
      <c r="I31" s="172"/>
      <c r="J31" s="128"/>
      <c r="K31" s="129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5">
      <c r="A32" s="125"/>
      <c r="B32" s="126"/>
      <c r="C32" s="122"/>
      <c r="D32" s="107"/>
      <c r="E32" s="108"/>
      <c r="F32" s="127"/>
      <c r="G32" s="175"/>
      <c r="H32" s="172"/>
      <c r="I32" s="172"/>
      <c r="J32" s="128"/>
      <c r="K32" s="129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5">
      <c r="A33" s="125"/>
      <c r="B33" s="126"/>
      <c r="C33" s="122"/>
      <c r="D33" s="107"/>
      <c r="E33" s="108"/>
      <c r="F33" s="127"/>
      <c r="G33" s="175"/>
      <c r="H33" s="172"/>
      <c r="I33" s="172"/>
      <c r="J33" s="128"/>
      <c r="K33" s="129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5">
      <c r="A34" s="125"/>
      <c r="B34" s="126"/>
      <c r="C34" s="122"/>
      <c r="D34" s="107"/>
      <c r="E34" s="108"/>
      <c r="F34" s="127"/>
      <c r="G34" s="175"/>
      <c r="H34" s="172"/>
      <c r="I34" s="172"/>
      <c r="J34" s="128"/>
      <c r="K34" s="129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5">
      <c r="A35" s="125"/>
      <c r="B35" s="126"/>
      <c r="C35" s="122"/>
      <c r="D35" s="107"/>
      <c r="E35" s="108"/>
      <c r="F35" s="127"/>
      <c r="G35" s="175"/>
      <c r="H35" s="172"/>
      <c r="I35" s="172"/>
      <c r="J35" s="128"/>
      <c r="K35" s="129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" customHeight="1" thickTop="1" thickBot="1" x14ac:dyDescent="0.35">
      <c r="A36" s="247" t="str">
        <f>Doku!B43&amp;":"</f>
        <v>Summe Fehler und Punkte:</v>
      </c>
      <c r="B36" s="248"/>
      <c r="C36" s="248"/>
      <c r="D36" s="248"/>
      <c r="E36" s="249"/>
      <c r="F36" s="278">
        <f>IF($K$37&lt;&gt;"",SUMPRODUCT(--(TRIM(F13:G29)&lt;&gt;"")),0)</f>
        <v>0</v>
      </c>
      <c r="G36" s="279" t="b">
        <f t="shared" ref="G36" si="1">IF($K$37&lt;&gt;"",COUNTIF(G13:G29,"x"))</f>
        <v>0</v>
      </c>
      <c r="H36" s="173">
        <f>IF($K$37&lt;&gt;"",SUMPRODUCT(--(TRIM(H13:H29)&lt;&gt;"")),0)</f>
        <v>0</v>
      </c>
      <c r="I36" s="173">
        <f>IF($K$37&lt;&gt;"",SUMPRODUCT(--(TRIM(I13:I29)&lt;&gt;"")),0)</f>
        <v>0</v>
      </c>
      <c r="J36" s="160">
        <f>IF($K$37&lt;&gt;"",SUMPRODUCT(--(TRIM(J13:J29)&lt;&gt;"")),0)</f>
        <v>0</v>
      </c>
      <c r="K36" s="60" t="str">
        <f>IF(K37&lt;&gt;"",IF(J36&lt;1,SUM(K13:K29),IF(J36&gt;=1,ROUNDUP(SUM(K13:K29)/2,0),"")),"")</f>
        <v/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5">
      <c r="A37" s="276" t="str">
        <f>Doku!B44&amp;":"</f>
        <v>Position:</v>
      </c>
      <c r="B37" s="277"/>
      <c r="C37" s="277"/>
      <c r="D37" s="277"/>
      <c r="E37" s="104"/>
      <c r="F37" s="271" t="str">
        <f>Doku!B45</f>
        <v>Übertrag ok?</v>
      </c>
      <c r="G37" s="272"/>
      <c r="H37" s="272"/>
      <c r="I37" s="272"/>
      <c r="J37" s="273"/>
      <c r="K37" s="61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" thickTop="1" x14ac:dyDescent="0.3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3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3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3">
    <mergeCell ref="D29:E29"/>
    <mergeCell ref="A36:E36"/>
    <mergeCell ref="A37:D37"/>
    <mergeCell ref="F37:J37"/>
    <mergeCell ref="C24:C28"/>
    <mergeCell ref="D24:E24"/>
    <mergeCell ref="D25:E25"/>
    <mergeCell ref="D26:E26"/>
    <mergeCell ref="D27:E27"/>
    <mergeCell ref="D28:E28"/>
    <mergeCell ref="F36:G36"/>
    <mergeCell ref="C19:C23"/>
    <mergeCell ref="D19:E19"/>
    <mergeCell ref="D20:E20"/>
    <mergeCell ref="D21:E21"/>
    <mergeCell ref="D22:E22"/>
    <mergeCell ref="D23:E23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D8:E8"/>
    <mergeCell ref="F8:H8"/>
    <mergeCell ref="I8:J8"/>
    <mergeCell ref="D9:E9"/>
    <mergeCell ref="F9:H9"/>
    <mergeCell ref="I9:J9"/>
    <mergeCell ref="A1:K1"/>
    <mergeCell ref="A2:K2"/>
    <mergeCell ref="A3:K3"/>
    <mergeCell ref="A5:D5"/>
    <mergeCell ref="D7:E7"/>
    <mergeCell ref="F7:H7"/>
    <mergeCell ref="I7:J7"/>
    <mergeCell ref="H6:J6"/>
  </mergeCells>
  <dataValidations count="2">
    <dataValidation type="textLength" operator="equal" allowBlank="1" showInputMessage="1" showErrorMessage="1" sqref="F13">
      <formula1>1</formula1>
    </dataValidation>
    <dataValidation type="textLength" allowBlank="1" showInputMessage="1" showErrorMessage="1" sqref="G13:J35 F14:F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F40"/>
  <sheetViews>
    <sheetView zoomScaleNormal="100" zoomScaleSheetLayoutView="100" workbookViewId="0">
      <selection sqref="A1:K1"/>
    </sheetView>
  </sheetViews>
  <sheetFormatPr defaultColWidth="11.44140625" defaultRowHeight="14.4" x14ac:dyDescent="0.3"/>
  <cols>
    <col min="1" max="1" width="3.6640625" style="22" customWidth="1"/>
    <col min="2" max="2" width="3.6640625" style="22" hidden="1" customWidth="1"/>
    <col min="3" max="3" width="3.6640625" style="22" customWidth="1"/>
    <col min="4" max="4" width="5.6640625" style="22" customWidth="1"/>
    <col min="5" max="5" width="23.44140625" style="22" customWidth="1"/>
    <col min="6" max="7" width="5.6640625" style="22" customWidth="1"/>
    <col min="8" max="11" width="10.6640625" style="22" customWidth="1"/>
    <col min="12" max="16384" width="11.44140625" style="22"/>
  </cols>
  <sheetData>
    <row r="1" spans="1:32" s="21" customFormat="1" ht="24.9" customHeight="1" x14ac:dyDescent="0.6">
      <c r="A1" s="242" t="str">
        <f>Doku!B28</f>
        <v>Kata Meisterschaft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</row>
    <row r="2" spans="1:32" s="24" customFormat="1" ht="20.100000000000001" customHeight="1" x14ac:dyDescent="0.55000000000000004">
      <c r="A2" s="243" t="str">
        <f>Doku!B29</f>
        <v>des Deutschen Judobundes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</row>
    <row r="3" spans="1:32" s="21" customFormat="1" ht="39.9" customHeight="1" x14ac:dyDescent="0.6">
      <c r="A3" s="244" t="s">
        <v>91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</row>
    <row r="4" spans="1:32" s="21" customFormat="1" ht="12" customHeight="1" x14ac:dyDescent="0.6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" customHeight="1" x14ac:dyDescent="0.3">
      <c r="A5" s="289" t="str">
        <f>Doku!B31&amp;":"</f>
        <v>Bewerter:</v>
      </c>
      <c r="B5" s="289"/>
      <c r="C5" s="289"/>
      <c r="D5" s="289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65">
      <c r="A6" s="1"/>
      <c r="B6" s="1"/>
      <c r="C6" s="2"/>
      <c r="D6" s="2"/>
      <c r="E6" s="70"/>
      <c r="F6" s="71"/>
      <c r="G6" s="71"/>
      <c r="H6" s="300"/>
      <c r="I6" s="300"/>
      <c r="J6" s="300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4">
      <c r="A7" s="12"/>
      <c r="B7" s="12"/>
      <c r="C7" s="12"/>
      <c r="D7" s="298" t="str">
        <f>Doku!B33</f>
        <v>Nachname</v>
      </c>
      <c r="E7" s="292"/>
      <c r="F7" s="290" t="str">
        <f>Doku!B34</f>
        <v>Vorname</v>
      </c>
      <c r="G7" s="291"/>
      <c r="H7" s="292"/>
      <c r="I7" s="293" t="str">
        <f>Doku!B35</f>
        <v>Verein</v>
      </c>
      <c r="J7" s="293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" customHeight="1" x14ac:dyDescent="0.3">
      <c r="A8" s="16" t="s">
        <v>31</v>
      </c>
      <c r="B8" s="16"/>
      <c r="C8" s="16"/>
      <c r="D8" s="299"/>
      <c r="E8" s="296"/>
      <c r="F8" s="294"/>
      <c r="G8" s="295"/>
      <c r="H8" s="296"/>
      <c r="I8" s="297"/>
      <c r="J8" s="297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" customHeight="1" thickBot="1" x14ac:dyDescent="0.35">
      <c r="A9" s="16" t="s">
        <v>32</v>
      </c>
      <c r="B9" s="16"/>
      <c r="C9" s="16"/>
      <c r="D9" s="288"/>
      <c r="E9" s="282"/>
      <c r="F9" s="280"/>
      <c r="G9" s="281"/>
      <c r="H9" s="282"/>
      <c r="I9" s="283"/>
      <c r="J9" s="283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5">
      <c r="A10" s="1"/>
      <c r="B10" s="1"/>
      <c r="C10" s="2"/>
      <c r="D10" s="2"/>
      <c r="E10" s="3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5">
      <c r="A11" s="5"/>
      <c r="B11" s="5"/>
      <c r="C11" s="5"/>
      <c r="D11" s="5"/>
      <c r="E11" s="5"/>
      <c r="F11" s="284" t="str">
        <f>Doku!B38</f>
        <v>Kleiner Fehler</v>
      </c>
      <c r="G11" s="285"/>
      <c r="H11" s="161" t="str">
        <f>Doku!B39</f>
        <v>Mittlerer Fehler</v>
      </c>
      <c r="I11" s="161" t="str">
        <f>Doku!B40</f>
        <v>Großer Fehler</v>
      </c>
      <c r="J11" s="286" t="str">
        <f>Doku!B41</f>
        <v>Technik vergessen</v>
      </c>
      <c r="K11" s="264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5">
      <c r="A12" s="266" t="str">
        <f>Doku!B37</f>
        <v>Technik</v>
      </c>
      <c r="B12" s="267"/>
      <c r="C12" s="267"/>
      <c r="D12" s="267"/>
      <c r="E12" s="268"/>
      <c r="F12" s="269">
        <v>1</v>
      </c>
      <c r="G12" s="270"/>
      <c r="H12" s="162">
        <v>3</v>
      </c>
      <c r="I12" s="162">
        <v>5</v>
      </c>
      <c r="J12" s="287"/>
      <c r="K12" s="265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5">
      <c r="A13" s="6">
        <v>1</v>
      </c>
      <c r="B13" s="114"/>
      <c r="C13" s="55"/>
      <c r="D13" s="326" t="s">
        <v>7</v>
      </c>
      <c r="E13" s="327"/>
      <c r="F13" s="64"/>
      <c r="G13" s="178"/>
      <c r="H13" s="189"/>
      <c r="I13" s="189"/>
      <c r="J13" s="184"/>
      <c r="K13" s="184" t="str">
        <f>IF($K$37&lt;&gt;"",IF(SUMPRODUCT(--(TRIM(J13)&lt;&gt;""))&lt;&gt;0,0,MAX(1,10-5*(SUMPRODUCT(--(TRIM(I13)&lt;&gt;"")))-3*(SUMPRODUCT(--(TRIM(H13)&lt;&gt;"")))-1*SUMPRODUCT(--(TRIM(F13:G13)&lt;&gt;"")))),"")</f>
        <v/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3">
      <c r="A14" s="7">
        <v>2</v>
      </c>
      <c r="B14" s="7"/>
      <c r="C14" s="250" t="s">
        <v>92</v>
      </c>
      <c r="D14" s="258" t="s">
        <v>93</v>
      </c>
      <c r="E14" s="259"/>
      <c r="F14" s="33"/>
      <c r="G14" s="142"/>
      <c r="H14" s="164"/>
      <c r="I14" s="164"/>
      <c r="J14" s="151"/>
      <c r="K14" s="151" t="str">
        <f t="shared" ref="K14:K29" si="0">IF($K$37&lt;&gt;"",IF(SUMPRODUCT(--(TRIM(J14)&lt;&gt;""))&lt;&gt;0,0,MAX(1,10-5*(SUMPRODUCT(--(TRIM(I14)&lt;&gt;"")))-3*(SUMPRODUCT(--(TRIM(H14)&lt;&gt;"")))-1*SUMPRODUCT(--(TRIM(F14:G14)&lt;&gt;"")))),"")</f>
        <v/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3">
      <c r="A15" s="8">
        <v>3</v>
      </c>
      <c r="B15" s="7"/>
      <c r="C15" s="251"/>
      <c r="D15" s="318" t="s">
        <v>94</v>
      </c>
      <c r="E15" s="319"/>
      <c r="F15" s="65"/>
      <c r="G15" s="179"/>
      <c r="H15" s="190"/>
      <c r="I15" s="190"/>
      <c r="J15" s="185"/>
      <c r="K15" s="185" t="str">
        <f t="shared" si="0"/>
        <v/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x14ac:dyDescent="0.3">
      <c r="A16" s="56">
        <v>4</v>
      </c>
      <c r="B16" s="7"/>
      <c r="C16" s="251"/>
      <c r="D16" s="254" t="s">
        <v>95</v>
      </c>
      <c r="E16" s="255"/>
      <c r="F16" s="66"/>
      <c r="G16" s="180"/>
      <c r="H16" s="191"/>
      <c r="I16" s="191"/>
      <c r="J16" s="186"/>
      <c r="K16" s="186" t="str">
        <f t="shared" si="0"/>
        <v/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3">
      <c r="A17" s="8">
        <v>5</v>
      </c>
      <c r="B17" s="7"/>
      <c r="C17" s="251"/>
      <c r="D17" s="318" t="s">
        <v>96</v>
      </c>
      <c r="E17" s="319"/>
      <c r="F17" s="65"/>
      <c r="G17" s="179"/>
      <c r="H17" s="190"/>
      <c r="I17" s="190"/>
      <c r="J17" s="185"/>
      <c r="K17" s="185" t="str">
        <f t="shared" si="0"/>
        <v/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thickBot="1" x14ac:dyDescent="0.35">
      <c r="A18" s="9">
        <v>6</v>
      </c>
      <c r="B18" s="116"/>
      <c r="C18" s="301"/>
      <c r="D18" s="320" t="s">
        <v>97</v>
      </c>
      <c r="E18" s="321"/>
      <c r="F18" s="34"/>
      <c r="G18" s="144"/>
      <c r="H18" s="166"/>
      <c r="I18" s="166"/>
      <c r="J18" s="153"/>
      <c r="K18" s="153" t="str">
        <f t="shared" si="0"/>
        <v/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x14ac:dyDescent="0.3">
      <c r="A19" s="57">
        <v>7</v>
      </c>
      <c r="B19" s="7"/>
      <c r="C19" s="251" t="s">
        <v>98</v>
      </c>
      <c r="D19" s="322" t="s">
        <v>99</v>
      </c>
      <c r="E19" s="323"/>
      <c r="F19" s="64"/>
      <c r="G19" s="178"/>
      <c r="H19" s="189"/>
      <c r="I19" s="189"/>
      <c r="J19" s="184"/>
      <c r="K19" s="184" t="str">
        <f t="shared" si="0"/>
        <v/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customHeight="1" x14ac:dyDescent="0.3">
      <c r="A20" s="57">
        <v>8</v>
      </c>
      <c r="B20" s="7"/>
      <c r="C20" s="251"/>
      <c r="D20" s="254" t="s">
        <v>100</v>
      </c>
      <c r="E20" s="255"/>
      <c r="F20" s="32"/>
      <c r="G20" s="146"/>
      <c r="H20" s="168"/>
      <c r="I20" s="168"/>
      <c r="J20" s="155"/>
      <c r="K20" s="155" t="str">
        <f t="shared" si="0"/>
        <v/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customHeight="1" x14ac:dyDescent="0.3">
      <c r="A21" s="8">
        <v>9</v>
      </c>
      <c r="B21" s="7"/>
      <c r="C21" s="251"/>
      <c r="D21" s="318" t="s">
        <v>101</v>
      </c>
      <c r="E21" s="319"/>
      <c r="F21" s="65"/>
      <c r="G21" s="179"/>
      <c r="H21" s="190"/>
      <c r="I21" s="190"/>
      <c r="J21" s="185"/>
      <c r="K21" s="185" t="str">
        <f t="shared" si="0"/>
        <v/>
      </c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customHeight="1" x14ac:dyDescent="0.3">
      <c r="A22" s="59">
        <v>10</v>
      </c>
      <c r="B22" s="7"/>
      <c r="C22" s="251"/>
      <c r="D22" s="254" t="s">
        <v>102</v>
      </c>
      <c r="E22" s="255"/>
      <c r="F22" s="34"/>
      <c r="G22" s="144"/>
      <c r="H22" s="166"/>
      <c r="I22" s="166"/>
      <c r="J22" s="153"/>
      <c r="K22" s="153" t="str">
        <f t="shared" si="0"/>
        <v/>
      </c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customHeight="1" thickBot="1" x14ac:dyDescent="0.35">
      <c r="A23" s="9">
        <v>11</v>
      </c>
      <c r="B23" s="116"/>
      <c r="C23" s="301"/>
      <c r="D23" s="324" t="s">
        <v>103</v>
      </c>
      <c r="E23" s="325"/>
      <c r="F23" s="67"/>
      <c r="G23" s="181"/>
      <c r="H23" s="192"/>
      <c r="I23" s="192"/>
      <c r="J23" s="187"/>
      <c r="K23" s="187" t="str">
        <f t="shared" si="0"/>
        <v/>
      </c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customHeight="1" x14ac:dyDescent="0.3">
      <c r="A24" s="7">
        <v>12</v>
      </c>
      <c r="B24" s="7"/>
      <c r="C24" s="251" t="s">
        <v>104</v>
      </c>
      <c r="D24" s="258" t="s">
        <v>105</v>
      </c>
      <c r="E24" s="259"/>
      <c r="F24" s="33"/>
      <c r="G24" s="142"/>
      <c r="H24" s="164"/>
      <c r="I24" s="164"/>
      <c r="J24" s="151"/>
      <c r="K24" s="151" t="str">
        <f t="shared" si="0"/>
        <v/>
      </c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customHeight="1" x14ac:dyDescent="0.3">
      <c r="A25" s="56">
        <v>13</v>
      </c>
      <c r="B25" s="7"/>
      <c r="C25" s="251"/>
      <c r="D25" s="318" t="s">
        <v>106</v>
      </c>
      <c r="E25" s="319"/>
      <c r="F25" s="65"/>
      <c r="G25" s="179"/>
      <c r="H25" s="190"/>
      <c r="I25" s="190"/>
      <c r="J25" s="185"/>
      <c r="K25" s="185" t="str">
        <f t="shared" si="0"/>
        <v/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customHeight="1" x14ac:dyDescent="0.3">
      <c r="A26" s="57">
        <v>14</v>
      </c>
      <c r="B26" s="7"/>
      <c r="C26" s="251"/>
      <c r="D26" s="254" t="s">
        <v>107</v>
      </c>
      <c r="E26" s="255"/>
      <c r="F26" s="34"/>
      <c r="G26" s="144"/>
      <c r="H26" s="166"/>
      <c r="I26" s="166"/>
      <c r="J26" s="153"/>
      <c r="K26" s="153" t="str">
        <f t="shared" si="0"/>
        <v/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customHeight="1" x14ac:dyDescent="0.3">
      <c r="A27" s="7">
        <v>15</v>
      </c>
      <c r="B27" s="7"/>
      <c r="C27" s="251"/>
      <c r="D27" s="318" t="s">
        <v>108</v>
      </c>
      <c r="E27" s="319"/>
      <c r="F27" s="65"/>
      <c r="G27" s="179"/>
      <c r="H27" s="190"/>
      <c r="I27" s="190"/>
      <c r="J27" s="185"/>
      <c r="K27" s="185" t="str">
        <f t="shared" si="0"/>
        <v/>
      </c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customHeight="1" thickBot="1" x14ac:dyDescent="0.35">
      <c r="A28" s="9">
        <v>16</v>
      </c>
      <c r="B28" s="116"/>
      <c r="C28" s="301"/>
      <c r="D28" s="320" t="s">
        <v>109</v>
      </c>
      <c r="E28" s="321"/>
      <c r="F28" s="54"/>
      <c r="G28" s="148"/>
      <c r="H28" s="170"/>
      <c r="I28" s="170"/>
      <c r="J28" s="157"/>
      <c r="K28" s="157" t="str">
        <f t="shared" si="0"/>
        <v/>
      </c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5">
      <c r="A29" s="9">
        <v>17</v>
      </c>
      <c r="B29" s="7"/>
      <c r="C29" s="53"/>
      <c r="D29" s="316" t="s">
        <v>28</v>
      </c>
      <c r="E29" s="317"/>
      <c r="F29" s="68"/>
      <c r="G29" s="182"/>
      <c r="H29" s="193"/>
      <c r="I29" s="193"/>
      <c r="J29" s="188"/>
      <c r="K29" s="188" t="str">
        <f t="shared" si="0"/>
        <v/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Bot="1" x14ac:dyDescent="0.35">
      <c r="A30" s="7"/>
      <c r="B30" s="121"/>
      <c r="C30" s="122"/>
      <c r="D30" s="123"/>
      <c r="E30" s="124"/>
      <c r="F30" s="85"/>
      <c r="G30" s="183"/>
      <c r="H30" s="194"/>
      <c r="I30" s="194"/>
      <c r="J30" s="120"/>
      <c r="K30" s="86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5">
      <c r="A31" s="7"/>
      <c r="B31" s="121"/>
      <c r="C31" s="122"/>
      <c r="D31" s="123"/>
      <c r="E31" s="124"/>
      <c r="F31" s="85"/>
      <c r="G31" s="183"/>
      <c r="H31" s="194"/>
      <c r="I31" s="194"/>
      <c r="J31" s="120"/>
      <c r="K31" s="86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5">
      <c r="A32" s="7"/>
      <c r="B32" s="121"/>
      <c r="C32" s="122"/>
      <c r="D32" s="123"/>
      <c r="E32" s="124"/>
      <c r="F32" s="85"/>
      <c r="G32" s="183"/>
      <c r="H32" s="194"/>
      <c r="I32" s="194"/>
      <c r="J32" s="120"/>
      <c r="K32" s="86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5">
      <c r="A33" s="7"/>
      <c r="B33" s="121"/>
      <c r="C33" s="122"/>
      <c r="D33" s="123"/>
      <c r="E33" s="124"/>
      <c r="F33" s="85"/>
      <c r="G33" s="183"/>
      <c r="H33" s="194"/>
      <c r="I33" s="194"/>
      <c r="J33" s="120"/>
      <c r="K33" s="86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5">
      <c r="A34" s="7"/>
      <c r="B34" s="121"/>
      <c r="C34" s="122"/>
      <c r="D34" s="123"/>
      <c r="E34" s="124"/>
      <c r="F34" s="85"/>
      <c r="G34" s="183"/>
      <c r="H34" s="194"/>
      <c r="I34" s="194"/>
      <c r="J34" s="120"/>
      <c r="K34" s="86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5">
      <c r="A35" s="7"/>
      <c r="B35" s="121"/>
      <c r="C35" s="122"/>
      <c r="D35" s="123"/>
      <c r="E35" s="124"/>
      <c r="F35" s="85"/>
      <c r="G35" s="183"/>
      <c r="H35" s="194"/>
      <c r="I35" s="194"/>
      <c r="J35" s="120"/>
      <c r="K35" s="86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" customHeight="1" thickTop="1" thickBot="1" x14ac:dyDescent="0.35">
      <c r="A36" s="247" t="str">
        <f>Doku!B43&amp;":"</f>
        <v>Summe Fehler und Punkte:</v>
      </c>
      <c r="B36" s="248"/>
      <c r="C36" s="248"/>
      <c r="D36" s="248"/>
      <c r="E36" s="249"/>
      <c r="F36" s="278">
        <f>IF($K$37&lt;&gt;"",SUMPRODUCT(--(TRIM(F13:G29)&lt;&gt;"")),0)</f>
        <v>0</v>
      </c>
      <c r="G36" s="279" t="b">
        <f t="shared" ref="G36" si="1">IF($K$37&lt;&gt;"",COUNTIF(G13:G29,"x"))</f>
        <v>0</v>
      </c>
      <c r="H36" s="173">
        <f>IF($K$37&lt;&gt;"",SUMPRODUCT(--(TRIM(H13:H29)&lt;&gt;"")),0)</f>
        <v>0</v>
      </c>
      <c r="I36" s="173">
        <f>IF($K$37&lt;&gt;"",SUMPRODUCT(--(TRIM(I13:I29)&lt;&gt;"")),0)</f>
        <v>0</v>
      </c>
      <c r="J36" s="160">
        <f>IF($K$37&lt;&gt;"",SUMPRODUCT(--(TRIM(J13:J29)&lt;&gt;"")),0)</f>
        <v>0</v>
      </c>
      <c r="K36" s="60" t="str">
        <f>IF(K37&lt;&gt;"",IF(J36&lt;1,SUM(K13:K29),IF(J36&gt;=1,ROUNDUP(SUM(K13:K29)/2,0),"")),"")</f>
        <v/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5">
      <c r="A37" s="276" t="str">
        <f>Doku!B44&amp;":"</f>
        <v>Position:</v>
      </c>
      <c r="B37" s="277"/>
      <c r="C37" s="277"/>
      <c r="D37" s="277"/>
      <c r="E37" s="104"/>
      <c r="F37" s="271" t="str">
        <f>Doku!B45</f>
        <v>Übertrag ok?</v>
      </c>
      <c r="G37" s="272"/>
      <c r="H37" s="272"/>
      <c r="I37" s="272"/>
      <c r="J37" s="273"/>
      <c r="K37" s="61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" thickTop="1" x14ac:dyDescent="0.3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3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3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3">
    <mergeCell ref="A1:K1"/>
    <mergeCell ref="A2:K2"/>
    <mergeCell ref="A3:K3"/>
    <mergeCell ref="A5:D5"/>
    <mergeCell ref="D7:E7"/>
    <mergeCell ref="F7:H7"/>
    <mergeCell ref="I7:J7"/>
    <mergeCell ref="H6:J6"/>
    <mergeCell ref="D8:E8"/>
    <mergeCell ref="F8:H8"/>
    <mergeCell ref="I8:J8"/>
    <mergeCell ref="D9:E9"/>
    <mergeCell ref="F9:H9"/>
    <mergeCell ref="I9:J9"/>
    <mergeCell ref="K11:K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J11:J12"/>
    <mergeCell ref="C19:C23"/>
    <mergeCell ref="D19:E19"/>
    <mergeCell ref="D20:E20"/>
    <mergeCell ref="D21:E21"/>
    <mergeCell ref="D22:E22"/>
    <mergeCell ref="D23:E23"/>
    <mergeCell ref="D29:E29"/>
    <mergeCell ref="A36:E36"/>
    <mergeCell ref="A37:D37"/>
    <mergeCell ref="F37:J37"/>
    <mergeCell ref="C24:C28"/>
    <mergeCell ref="D24:E24"/>
    <mergeCell ref="D25:E25"/>
    <mergeCell ref="D26:E26"/>
    <mergeCell ref="D27:E27"/>
    <mergeCell ref="D28:E28"/>
    <mergeCell ref="F36:G36"/>
  </mergeCells>
  <dataValidations count="2">
    <dataValidation type="textLength" operator="equal" allowBlank="1" showInputMessage="1" showErrorMessage="1" sqref="F13">
      <formula1>1</formula1>
    </dataValidation>
    <dataValidation type="textLength" allowBlank="1" showInputMessage="1" showErrorMessage="1" sqref="G13:J35 F14:F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K38"/>
  <sheetViews>
    <sheetView zoomScaleNormal="100" zoomScaleSheetLayoutView="85" workbookViewId="0">
      <selection sqref="A1:K1"/>
    </sheetView>
  </sheetViews>
  <sheetFormatPr defaultColWidth="11.44140625" defaultRowHeight="14.4" x14ac:dyDescent="0.3"/>
  <cols>
    <col min="1" max="3" width="3.6640625" style="22" customWidth="1"/>
    <col min="4" max="4" width="5.6640625" style="22" customWidth="1"/>
    <col min="5" max="5" width="19.6640625" style="22" customWidth="1"/>
    <col min="6" max="7" width="5.6640625" style="22" customWidth="1"/>
    <col min="8" max="11" width="10.6640625" style="22" customWidth="1"/>
    <col min="12" max="16384" width="11.44140625" style="22"/>
  </cols>
  <sheetData>
    <row r="1" spans="1:11" s="21" customFormat="1" ht="24.9" customHeight="1" x14ac:dyDescent="0.6">
      <c r="A1" s="242" t="str">
        <f>Doku!B28</f>
        <v>Kata Meisterschaft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</row>
    <row r="2" spans="1:11" s="21" customFormat="1" ht="20.100000000000001" customHeight="1" x14ac:dyDescent="0.6">
      <c r="A2" s="243" t="str">
        <f>Doku!B29</f>
        <v>des Deutschen Judobundes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</row>
    <row r="3" spans="1:11" s="21" customFormat="1" ht="39.9" customHeight="1" x14ac:dyDescent="0.6">
      <c r="A3" s="244" t="s">
        <v>110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</row>
    <row r="4" spans="1:11" s="21" customFormat="1" ht="7.95" customHeight="1" x14ac:dyDescent="0.6">
      <c r="A4" s="14"/>
      <c r="B4" s="14"/>
      <c r="C4" s="14"/>
      <c r="D4" s="14"/>
      <c r="E4" s="14"/>
      <c r="F4" s="15"/>
      <c r="G4" s="15"/>
      <c r="H4" s="15"/>
      <c r="I4" s="15"/>
      <c r="J4" s="15"/>
      <c r="K4" s="23"/>
    </row>
    <row r="5" spans="1:11" ht="21.9" customHeight="1" x14ac:dyDescent="0.3">
      <c r="A5" s="289" t="str">
        <f>Doku!B31&amp;":"</f>
        <v>Bewerter:</v>
      </c>
      <c r="B5" s="289"/>
      <c r="C5" s="289"/>
      <c r="D5" s="289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7"/>
    </row>
    <row r="6" spans="1:11" ht="7.95" customHeight="1" thickBot="1" x14ac:dyDescent="0.65">
      <c r="A6" s="1"/>
      <c r="B6" s="1"/>
      <c r="C6" s="2"/>
      <c r="D6" s="2"/>
      <c r="E6" s="70"/>
      <c r="F6" s="71"/>
      <c r="G6" s="71"/>
      <c r="H6" s="300"/>
      <c r="I6" s="300"/>
      <c r="J6" s="300"/>
      <c r="K6" s="21"/>
    </row>
    <row r="7" spans="1:11" s="23" customFormat="1" ht="20.100000000000001" customHeight="1" x14ac:dyDescent="0.4">
      <c r="A7" s="12"/>
      <c r="B7" s="12"/>
      <c r="C7" s="12"/>
      <c r="D7" s="298" t="str">
        <f>Doku!B33</f>
        <v>Nachname</v>
      </c>
      <c r="E7" s="292"/>
      <c r="F7" s="290" t="str">
        <f>Doku!B34</f>
        <v>Vorname</v>
      </c>
      <c r="G7" s="291"/>
      <c r="H7" s="292"/>
      <c r="I7" s="293" t="str">
        <f>Doku!B35</f>
        <v>Verein</v>
      </c>
      <c r="J7" s="293"/>
      <c r="K7" s="13" t="str">
        <f>Doku!B36</f>
        <v>Land</v>
      </c>
    </row>
    <row r="8" spans="1:11" ht="21.9" customHeight="1" x14ac:dyDescent="0.3">
      <c r="A8" s="16" t="s">
        <v>31</v>
      </c>
      <c r="B8" s="16"/>
      <c r="C8" s="16"/>
      <c r="D8" s="299"/>
      <c r="E8" s="296"/>
      <c r="F8" s="294"/>
      <c r="G8" s="295"/>
      <c r="H8" s="296"/>
      <c r="I8" s="297"/>
      <c r="J8" s="297"/>
      <c r="K8" s="19"/>
    </row>
    <row r="9" spans="1:11" ht="21.9" customHeight="1" thickBot="1" x14ac:dyDescent="0.35">
      <c r="A9" s="16" t="s">
        <v>32</v>
      </c>
      <c r="B9" s="16"/>
      <c r="C9" s="16"/>
      <c r="D9" s="288"/>
      <c r="E9" s="282"/>
      <c r="F9" s="280"/>
      <c r="G9" s="281"/>
      <c r="H9" s="282"/>
      <c r="I9" s="283"/>
      <c r="J9" s="283"/>
      <c r="K9" s="20"/>
    </row>
    <row r="10" spans="1:11" ht="7.95" customHeight="1" thickBot="1" x14ac:dyDescent="0.45">
      <c r="A10" s="1"/>
      <c r="B10" s="1"/>
      <c r="C10" s="2"/>
      <c r="D10" s="2"/>
      <c r="E10" s="3"/>
      <c r="F10" s="4"/>
      <c r="G10" s="4"/>
      <c r="H10" s="4"/>
      <c r="I10" s="4"/>
      <c r="J10" s="4"/>
      <c r="K10" s="23"/>
    </row>
    <row r="11" spans="1:11" ht="39.75" customHeight="1" thickTop="1" thickBot="1" x14ac:dyDescent="0.35">
      <c r="A11" s="5"/>
      <c r="B11" s="5"/>
      <c r="C11" s="5"/>
      <c r="D11" s="5"/>
      <c r="E11" s="5"/>
      <c r="F11" s="284" t="str">
        <f>Doku!B38</f>
        <v>Kleiner Fehler</v>
      </c>
      <c r="G11" s="285"/>
      <c r="H11" s="161" t="str">
        <f>Doku!B39</f>
        <v>Mittlerer Fehler</v>
      </c>
      <c r="I11" s="161" t="str">
        <f>Doku!B40</f>
        <v>Großer Fehler</v>
      </c>
      <c r="J11" s="286" t="str">
        <f>Doku!B41</f>
        <v>Technik vergessen</v>
      </c>
      <c r="K11" s="264" t="str">
        <f>Doku!B42</f>
        <v>Gesamt</v>
      </c>
    </row>
    <row r="12" spans="1:11" s="23" customFormat="1" ht="20.100000000000001" customHeight="1" thickTop="1" thickBot="1" x14ac:dyDescent="0.45">
      <c r="A12" s="266" t="str">
        <f>Doku!B37</f>
        <v>Technik</v>
      </c>
      <c r="B12" s="267"/>
      <c r="C12" s="267"/>
      <c r="D12" s="267"/>
      <c r="E12" s="268"/>
      <c r="F12" s="269">
        <v>1</v>
      </c>
      <c r="G12" s="270"/>
      <c r="H12" s="162">
        <v>3</v>
      </c>
      <c r="I12" s="162">
        <v>5</v>
      </c>
      <c r="J12" s="287"/>
      <c r="K12" s="265"/>
    </row>
    <row r="13" spans="1:11" ht="21" customHeight="1" thickBot="1" x14ac:dyDescent="0.35">
      <c r="A13" s="6">
        <v>1</v>
      </c>
      <c r="B13" s="328"/>
      <c r="C13" s="329"/>
      <c r="D13" s="326" t="s">
        <v>7</v>
      </c>
      <c r="E13" s="327"/>
      <c r="F13" s="73"/>
      <c r="G13" s="195"/>
      <c r="H13" s="205"/>
      <c r="I13" s="205"/>
      <c r="J13" s="200"/>
      <c r="K13" s="200" t="str">
        <f>IF($K$37&lt;&gt;"",IF(SUMPRODUCT(--(TRIM(J13)&lt;&gt;""))&lt;&gt;0,0,MAX(1,10-5*(SUMPRODUCT(--(TRIM(I13)&lt;&gt;"")))-3*(SUMPRODUCT(--(TRIM(H13)&lt;&gt;"")))-1*SUMPRODUCT(--(TRIM(F13:G13)&lt;&gt;"")))),"")</f>
        <v/>
      </c>
    </row>
    <row r="14" spans="1:11" ht="21" customHeight="1" x14ac:dyDescent="0.3">
      <c r="A14" s="7">
        <v>2</v>
      </c>
      <c r="B14" s="330" t="s">
        <v>111</v>
      </c>
      <c r="C14" s="335" t="s">
        <v>112</v>
      </c>
      <c r="D14" s="342" t="s">
        <v>113</v>
      </c>
      <c r="E14" s="263"/>
      <c r="F14" s="74"/>
      <c r="G14" s="196"/>
      <c r="H14" s="206"/>
      <c r="I14" s="206"/>
      <c r="J14" s="151"/>
      <c r="K14" s="151" t="str">
        <f t="shared" ref="K14:K34" si="0">IF($K$37&lt;&gt;"",IF(SUMPRODUCT(--(TRIM(J14)&lt;&gt;""))&lt;&gt;0,0,MAX(1,10-5*(SUMPRODUCT(--(TRIM(I14)&lt;&gt;"")))-3*(SUMPRODUCT(--(TRIM(H14)&lt;&gt;"")))-1*SUMPRODUCT(--(TRIM(F14:G14)&lt;&gt;"")))),"")</f>
        <v/>
      </c>
    </row>
    <row r="15" spans="1:11" ht="21" customHeight="1" x14ac:dyDescent="0.3">
      <c r="A15" s="8">
        <v>3</v>
      </c>
      <c r="B15" s="331"/>
      <c r="C15" s="336"/>
      <c r="D15" s="341" t="s">
        <v>114</v>
      </c>
      <c r="E15" s="319"/>
      <c r="F15" s="65"/>
      <c r="G15" s="179"/>
      <c r="H15" s="190"/>
      <c r="I15" s="190"/>
      <c r="J15" s="185"/>
      <c r="K15" s="185" t="str">
        <f t="shared" si="0"/>
        <v/>
      </c>
    </row>
    <row r="16" spans="1:11" ht="21" customHeight="1" x14ac:dyDescent="0.3">
      <c r="A16" s="56">
        <v>4</v>
      </c>
      <c r="B16" s="331"/>
      <c r="C16" s="336"/>
      <c r="D16" s="340" t="s">
        <v>115</v>
      </c>
      <c r="E16" s="255"/>
      <c r="F16" s="32"/>
      <c r="G16" s="146"/>
      <c r="H16" s="168"/>
      <c r="I16" s="168"/>
      <c r="J16" s="155"/>
      <c r="K16" s="155" t="str">
        <f t="shared" si="0"/>
        <v/>
      </c>
    </row>
    <row r="17" spans="1:11" ht="21" customHeight="1" x14ac:dyDescent="0.3">
      <c r="A17" s="8">
        <v>5</v>
      </c>
      <c r="B17" s="331"/>
      <c r="C17" s="336"/>
      <c r="D17" s="341" t="s">
        <v>116</v>
      </c>
      <c r="E17" s="319"/>
      <c r="F17" s="65"/>
      <c r="G17" s="179"/>
      <c r="H17" s="190"/>
      <c r="I17" s="190"/>
      <c r="J17" s="185"/>
      <c r="K17" s="185" t="str">
        <f t="shared" si="0"/>
        <v/>
      </c>
    </row>
    <row r="18" spans="1:11" ht="21" customHeight="1" thickBot="1" x14ac:dyDescent="0.35">
      <c r="A18" s="8">
        <v>6</v>
      </c>
      <c r="B18" s="331"/>
      <c r="C18" s="336"/>
      <c r="D18" s="334" t="s">
        <v>117</v>
      </c>
      <c r="E18" s="321"/>
      <c r="F18" s="54"/>
      <c r="G18" s="148"/>
      <c r="H18" s="170"/>
      <c r="I18" s="170"/>
      <c r="J18" s="157"/>
      <c r="K18" s="157" t="str">
        <f t="shared" si="0"/>
        <v/>
      </c>
    </row>
    <row r="19" spans="1:11" ht="21" customHeight="1" x14ac:dyDescent="0.3">
      <c r="A19" s="56">
        <v>7</v>
      </c>
      <c r="B19" s="331"/>
      <c r="C19" s="335" t="s">
        <v>118</v>
      </c>
      <c r="D19" s="338" t="s">
        <v>119</v>
      </c>
      <c r="E19" s="339"/>
      <c r="F19" s="79"/>
      <c r="G19" s="197"/>
      <c r="H19" s="207"/>
      <c r="I19" s="207"/>
      <c r="J19" s="201"/>
      <c r="K19" s="201" t="str">
        <f t="shared" si="0"/>
        <v/>
      </c>
    </row>
    <row r="20" spans="1:11" ht="21" customHeight="1" x14ac:dyDescent="0.3">
      <c r="A20" s="56">
        <v>8</v>
      </c>
      <c r="B20" s="331"/>
      <c r="C20" s="336"/>
      <c r="D20" s="340" t="s">
        <v>120</v>
      </c>
      <c r="E20" s="255"/>
      <c r="F20" s="32"/>
      <c r="G20" s="146"/>
      <c r="H20" s="168"/>
      <c r="I20" s="168"/>
      <c r="J20" s="155"/>
      <c r="K20" s="155" t="str">
        <f t="shared" si="0"/>
        <v/>
      </c>
    </row>
    <row r="21" spans="1:11" ht="21" customHeight="1" thickBot="1" x14ac:dyDescent="0.35">
      <c r="A21" s="9">
        <v>9</v>
      </c>
      <c r="B21" s="332"/>
      <c r="C21" s="337"/>
      <c r="D21" s="333" t="s">
        <v>121</v>
      </c>
      <c r="E21" s="325"/>
      <c r="F21" s="81"/>
      <c r="G21" s="198"/>
      <c r="H21" s="208"/>
      <c r="I21" s="208"/>
      <c r="J21" s="202"/>
      <c r="K21" s="202" t="str">
        <f t="shared" si="0"/>
        <v/>
      </c>
    </row>
    <row r="22" spans="1:11" ht="21" customHeight="1" x14ac:dyDescent="0.3">
      <c r="A22" s="57">
        <v>10</v>
      </c>
      <c r="B22" s="330" t="s">
        <v>122</v>
      </c>
      <c r="C22" s="335" t="s">
        <v>112</v>
      </c>
      <c r="D22" s="338" t="s">
        <v>113</v>
      </c>
      <c r="E22" s="339"/>
      <c r="F22" s="79"/>
      <c r="G22" s="197"/>
      <c r="H22" s="207"/>
      <c r="I22" s="207"/>
      <c r="J22" s="201"/>
      <c r="K22" s="201" t="str">
        <f t="shared" si="0"/>
        <v/>
      </c>
    </row>
    <row r="23" spans="1:11" ht="21" customHeight="1" x14ac:dyDescent="0.3">
      <c r="A23" s="56">
        <v>11</v>
      </c>
      <c r="B23" s="331"/>
      <c r="C23" s="336"/>
      <c r="D23" s="340" t="s">
        <v>123</v>
      </c>
      <c r="E23" s="255"/>
      <c r="F23" s="32"/>
      <c r="G23" s="146"/>
      <c r="H23" s="168"/>
      <c r="I23" s="168"/>
      <c r="J23" s="155"/>
      <c r="K23" s="155" t="str">
        <f t="shared" si="0"/>
        <v/>
      </c>
    </row>
    <row r="24" spans="1:11" ht="21" customHeight="1" x14ac:dyDescent="0.3">
      <c r="A24" s="56">
        <v>12</v>
      </c>
      <c r="B24" s="331"/>
      <c r="C24" s="336"/>
      <c r="D24" s="341" t="s">
        <v>114</v>
      </c>
      <c r="E24" s="319"/>
      <c r="F24" s="65"/>
      <c r="G24" s="179"/>
      <c r="H24" s="190"/>
      <c r="I24" s="190"/>
      <c r="J24" s="185"/>
      <c r="K24" s="185" t="str">
        <f t="shared" si="0"/>
        <v/>
      </c>
    </row>
    <row r="25" spans="1:11" ht="21" customHeight="1" x14ac:dyDescent="0.3">
      <c r="A25" s="56">
        <v>13</v>
      </c>
      <c r="B25" s="331"/>
      <c r="C25" s="336"/>
      <c r="D25" s="340" t="s">
        <v>107</v>
      </c>
      <c r="E25" s="255"/>
      <c r="F25" s="32"/>
      <c r="G25" s="146"/>
      <c r="H25" s="168"/>
      <c r="I25" s="168"/>
      <c r="J25" s="155"/>
      <c r="K25" s="155" t="str">
        <f t="shared" si="0"/>
        <v/>
      </c>
    </row>
    <row r="26" spans="1:11" ht="21" customHeight="1" x14ac:dyDescent="0.3">
      <c r="A26" s="56">
        <v>14</v>
      </c>
      <c r="B26" s="331"/>
      <c r="C26" s="336"/>
      <c r="D26" s="341" t="s">
        <v>115</v>
      </c>
      <c r="E26" s="319"/>
      <c r="F26" s="65"/>
      <c r="G26" s="179"/>
      <c r="H26" s="190"/>
      <c r="I26" s="190"/>
      <c r="J26" s="185"/>
      <c r="K26" s="185" t="str">
        <f t="shared" si="0"/>
        <v/>
      </c>
    </row>
    <row r="27" spans="1:11" ht="21" customHeight="1" x14ac:dyDescent="0.3">
      <c r="A27" s="56">
        <v>15</v>
      </c>
      <c r="B27" s="331"/>
      <c r="C27" s="336"/>
      <c r="D27" s="340" t="s">
        <v>116</v>
      </c>
      <c r="E27" s="255"/>
      <c r="F27" s="32"/>
      <c r="G27" s="146"/>
      <c r="H27" s="168"/>
      <c r="I27" s="168"/>
      <c r="J27" s="155"/>
      <c r="K27" s="155" t="str">
        <f t="shared" si="0"/>
        <v/>
      </c>
    </row>
    <row r="28" spans="1:11" ht="21" customHeight="1" x14ac:dyDescent="0.3">
      <c r="A28" s="56">
        <v>16</v>
      </c>
      <c r="B28" s="331"/>
      <c r="C28" s="336"/>
      <c r="D28" s="341" t="s">
        <v>124</v>
      </c>
      <c r="E28" s="319"/>
      <c r="F28" s="65"/>
      <c r="G28" s="179"/>
      <c r="H28" s="190"/>
      <c r="I28" s="190"/>
      <c r="J28" s="185"/>
      <c r="K28" s="185" t="str">
        <f t="shared" si="0"/>
        <v/>
      </c>
    </row>
    <row r="29" spans="1:11" ht="21" customHeight="1" thickBot="1" x14ac:dyDescent="0.35">
      <c r="A29" s="56">
        <v>17</v>
      </c>
      <c r="B29" s="331"/>
      <c r="C29" s="337"/>
      <c r="D29" s="334" t="s">
        <v>117</v>
      </c>
      <c r="E29" s="321"/>
      <c r="F29" s="54"/>
      <c r="G29" s="148"/>
      <c r="H29" s="170"/>
      <c r="I29" s="170"/>
      <c r="J29" s="157"/>
      <c r="K29" s="157" t="str">
        <f t="shared" si="0"/>
        <v/>
      </c>
    </row>
    <row r="30" spans="1:11" ht="21" customHeight="1" x14ac:dyDescent="0.3">
      <c r="A30" s="56">
        <v>18</v>
      </c>
      <c r="B30" s="331"/>
      <c r="C30" s="335" t="s">
        <v>118</v>
      </c>
      <c r="D30" s="343" t="s">
        <v>119</v>
      </c>
      <c r="E30" s="344"/>
      <c r="F30" s="83"/>
      <c r="G30" s="199"/>
      <c r="H30" s="209"/>
      <c r="I30" s="209"/>
      <c r="J30" s="203"/>
      <c r="K30" s="203" t="str">
        <f t="shared" si="0"/>
        <v/>
      </c>
    </row>
    <row r="31" spans="1:11" ht="21" customHeight="1" thickBot="1" x14ac:dyDescent="0.35">
      <c r="A31" s="56">
        <v>19</v>
      </c>
      <c r="B31" s="331"/>
      <c r="C31" s="337"/>
      <c r="D31" s="334" t="s">
        <v>120</v>
      </c>
      <c r="E31" s="321"/>
      <c r="F31" s="54"/>
      <c r="G31" s="148"/>
      <c r="H31" s="170"/>
      <c r="I31" s="170"/>
      <c r="J31" s="157"/>
      <c r="K31" s="157" t="str">
        <f t="shared" si="0"/>
        <v/>
      </c>
    </row>
    <row r="32" spans="1:11" ht="21" customHeight="1" x14ac:dyDescent="0.3">
      <c r="A32" s="56">
        <v>20</v>
      </c>
      <c r="B32" s="331"/>
      <c r="C32" s="336" t="s">
        <v>125</v>
      </c>
      <c r="D32" s="343" t="s">
        <v>126</v>
      </c>
      <c r="E32" s="344"/>
      <c r="F32" s="83"/>
      <c r="G32" s="199"/>
      <c r="H32" s="209"/>
      <c r="I32" s="209"/>
      <c r="J32" s="203"/>
      <c r="K32" s="203" t="str">
        <f t="shared" si="0"/>
        <v/>
      </c>
    </row>
    <row r="33" spans="1:11" ht="21" customHeight="1" thickBot="1" x14ac:dyDescent="0.35">
      <c r="A33" s="9">
        <v>21</v>
      </c>
      <c r="B33" s="332"/>
      <c r="C33" s="337"/>
      <c r="D33" s="334" t="s">
        <v>99</v>
      </c>
      <c r="E33" s="321"/>
      <c r="F33" s="54"/>
      <c r="G33" s="148"/>
      <c r="H33" s="170"/>
      <c r="I33" s="170"/>
      <c r="J33" s="157"/>
      <c r="K33" s="157" t="str">
        <f t="shared" si="0"/>
        <v/>
      </c>
    </row>
    <row r="34" spans="1:11" ht="21" customHeight="1" thickBot="1" x14ac:dyDescent="0.35">
      <c r="A34" s="84">
        <v>22</v>
      </c>
      <c r="B34" s="345"/>
      <c r="C34" s="346"/>
      <c r="D34" s="347" t="s">
        <v>28</v>
      </c>
      <c r="E34" s="348"/>
      <c r="F34" s="85"/>
      <c r="G34" s="183"/>
      <c r="H34" s="194"/>
      <c r="I34" s="194"/>
      <c r="J34" s="204"/>
      <c r="K34" s="204" t="str">
        <f t="shared" si="0"/>
        <v/>
      </c>
    </row>
    <row r="35" spans="1:11" ht="21" hidden="1" customHeight="1" thickTop="1" thickBot="1" x14ac:dyDescent="0.35">
      <c r="A35" s="7"/>
      <c r="B35" s="119"/>
      <c r="C35" s="119"/>
      <c r="D35" s="107"/>
      <c r="E35" s="108"/>
      <c r="F35" s="120"/>
      <c r="G35" s="120"/>
      <c r="H35" s="194"/>
      <c r="I35" s="194"/>
      <c r="J35" s="120"/>
      <c r="K35" s="86"/>
    </row>
    <row r="36" spans="1:11" ht="21.9" customHeight="1" thickTop="1" thickBot="1" x14ac:dyDescent="0.35">
      <c r="A36" s="247" t="str">
        <f>Doku!B43&amp;":"</f>
        <v>Summe Fehler und Punkte:</v>
      </c>
      <c r="B36" s="248"/>
      <c r="C36" s="248"/>
      <c r="D36" s="248"/>
      <c r="E36" s="249"/>
      <c r="F36" s="278">
        <f>IF($K$37&lt;&gt;"",SUMPRODUCT(--(TRIM(F13:G29)&lt;&gt;"")),0)</f>
        <v>0</v>
      </c>
      <c r="G36" s="279" t="b">
        <f t="shared" ref="G36" si="1">IF($K$37&lt;&gt;"",COUNTIF(G13:G29,"x"))</f>
        <v>0</v>
      </c>
      <c r="H36" s="173">
        <f>IF($K$37&lt;&gt;"",SUMPRODUCT(--(TRIM(H13:H29)&lt;&gt;"")),0)</f>
        <v>0</v>
      </c>
      <c r="I36" s="173">
        <f>IF($K$37&lt;&gt;"",SUMPRODUCT(--(TRIM(I13:I29)&lt;&gt;"")),0)</f>
        <v>0</v>
      </c>
      <c r="J36" s="160">
        <f>IF($K$37&lt;&gt;"",SUMPRODUCT(--(TRIM(J13:J29)&lt;&gt;"")),0)</f>
        <v>0</v>
      </c>
      <c r="K36" s="60" t="str">
        <f>IF(K37="","",IF(J36&lt;1,SUM(K13:K34),IF(J36&gt;=1,SUM(K13:K34)/2,"")))</f>
        <v/>
      </c>
    </row>
    <row r="37" spans="1:11" ht="20.100000000000001" customHeight="1" thickTop="1" thickBot="1" x14ac:dyDescent="0.35">
      <c r="A37" s="276" t="str">
        <f>Doku!B44&amp;":"</f>
        <v>Position:</v>
      </c>
      <c r="B37" s="277"/>
      <c r="C37" s="277"/>
      <c r="D37" s="277"/>
      <c r="E37" s="104"/>
      <c r="F37" s="271" t="str">
        <f>Doku!B45</f>
        <v>Übertrag ok?</v>
      </c>
      <c r="G37" s="272"/>
      <c r="H37" s="272"/>
      <c r="I37" s="272"/>
      <c r="J37" s="273"/>
      <c r="K37" s="87"/>
    </row>
    <row r="38" spans="1:11" ht="15" thickTop="1" x14ac:dyDescent="0.3"/>
  </sheetData>
  <mergeCells count="54">
    <mergeCell ref="F37:J37"/>
    <mergeCell ref="D29:E29"/>
    <mergeCell ref="C30:C31"/>
    <mergeCell ref="D30:E30"/>
    <mergeCell ref="D31:E31"/>
    <mergeCell ref="C32:C33"/>
    <mergeCell ref="D32:E32"/>
    <mergeCell ref="D33:E33"/>
    <mergeCell ref="B34:C34"/>
    <mergeCell ref="D34:E34"/>
    <mergeCell ref="A36:E36"/>
    <mergeCell ref="B22:B33"/>
    <mergeCell ref="C22:C29"/>
    <mergeCell ref="D22:E22"/>
    <mergeCell ref="D28:E28"/>
    <mergeCell ref="D24:E24"/>
    <mergeCell ref="D20:E20"/>
    <mergeCell ref="C14:C18"/>
    <mergeCell ref="D14:E14"/>
    <mergeCell ref="D15:E15"/>
    <mergeCell ref="D16:E16"/>
    <mergeCell ref="D17:E17"/>
    <mergeCell ref="A37:D37"/>
    <mergeCell ref="D7:E7"/>
    <mergeCell ref="F7:H7"/>
    <mergeCell ref="I7:J7"/>
    <mergeCell ref="D8:E8"/>
    <mergeCell ref="F8:H8"/>
    <mergeCell ref="I8:J8"/>
    <mergeCell ref="D9:E9"/>
    <mergeCell ref="F9:H9"/>
    <mergeCell ref="I9:J9"/>
    <mergeCell ref="F11:G11"/>
    <mergeCell ref="J11:J12"/>
    <mergeCell ref="D25:E25"/>
    <mergeCell ref="D26:E26"/>
    <mergeCell ref="D27:E27"/>
    <mergeCell ref="D23:E23"/>
    <mergeCell ref="F36:G36"/>
    <mergeCell ref="A1:K1"/>
    <mergeCell ref="A2:K2"/>
    <mergeCell ref="A3:K3"/>
    <mergeCell ref="A5:D5"/>
    <mergeCell ref="H6:J6"/>
    <mergeCell ref="K11:K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K38"/>
  <sheetViews>
    <sheetView zoomScaleNormal="100" zoomScaleSheetLayoutView="85" workbookViewId="0">
      <selection sqref="A1:K1"/>
    </sheetView>
  </sheetViews>
  <sheetFormatPr defaultColWidth="11.44140625" defaultRowHeight="14.4" x14ac:dyDescent="0.3"/>
  <cols>
    <col min="1" max="1" width="3.6640625" style="22" customWidth="1"/>
    <col min="2" max="2" width="3.6640625" style="22" hidden="1" customWidth="1"/>
    <col min="3" max="3" width="3.6640625" style="22" customWidth="1"/>
    <col min="4" max="4" width="5.6640625" style="22" customWidth="1"/>
    <col min="5" max="5" width="18.109375" style="22" customWidth="1"/>
    <col min="6" max="7" width="5.6640625" style="22" customWidth="1"/>
    <col min="8" max="11" width="10.6640625" style="22" customWidth="1"/>
    <col min="12" max="16384" width="11.44140625" style="22"/>
  </cols>
  <sheetData>
    <row r="1" spans="1:11" s="21" customFormat="1" ht="24.9" customHeight="1" x14ac:dyDescent="0.6">
      <c r="A1" s="242" t="str">
        <f>Doku!B28</f>
        <v>Kata Meisterschaft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</row>
    <row r="2" spans="1:11" s="21" customFormat="1" ht="20.100000000000001" customHeight="1" x14ac:dyDescent="0.6">
      <c r="A2" s="243" t="str">
        <f>Doku!B29</f>
        <v>des Deutschen Judobundes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</row>
    <row r="3" spans="1:11" s="21" customFormat="1" ht="39.9" customHeight="1" x14ac:dyDescent="0.6">
      <c r="A3" s="352" t="s">
        <v>127</v>
      </c>
      <c r="B3" s="352"/>
      <c r="C3" s="352"/>
      <c r="D3" s="352"/>
      <c r="E3" s="352"/>
      <c r="F3" s="352"/>
      <c r="G3" s="352"/>
      <c r="H3" s="352"/>
      <c r="I3" s="352"/>
      <c r="J3" s="352"/>
      <c r="K3" s="352"/>
    </row>
    <row r="4" spans="1:11" s="21" customFormat="1" ht="11.1" customHeight="1" x14ac:dyDescent="0.6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11" ht="21.9" customHeight="1" x14ac:dyDescent="0.3">
      <c r="A5" s="289" t="str">
        <f>Doku!B31&amp;":"</f>
        <v>Bewerter:</v>
      </c>
      <c r="B5" s="289"/>
      <c r="C5" s="289"/>
      <c r="D5" s="289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7"/>
    </row>
    <row r="6" spans="1:11" ht="11.1" customHeight="1" thickBot="1" x14ac:dyDescent="0.65">
      <c r="A6" s="1"/>
      <c r="B6" s="1"/>
      <c r="C6" s="2"/>
      <c r="D6" s="2"/>
      <c r="E6" s="70"/>
      <c r="F6" s="71"/>
      <c r="G6" s="71"/>
      <c r="H6" s="300"/>
      <c r="I6" s="300"/>
      <c r="J6" s="300"/>
      <c r="K6" s="21"/>
    </row>
    <row r="7" spans="1:11" s="23" customFormat="1" ht="20.100000000000001" customHeight="1" x14ac:dyDescent="0.4">
      <c r="A7" s="12"/>
      <c r="B7" s="12"/>
      <c r="C7" s="12"/>
      <c r="D7" s="298" t="str">
        <f>Doku!B33</f>
        <v>Nachname</v>
      </c>
      <c r="E7" s="292"/>
      <c r="F7" s="290" t="str">
        <f>Doku!B34</f>
        <v>Vorname</v>
      </c>
      <c r="G7" s="291"/>
      <c r="H7" s="292"/>
      <c r="I7" s="293" t="str">
        <f>Doku!B35</f>
        <v>Verein</v>
      </c>
      <c r="J7" s="293"/>
      <c r="K7" s="13" t="str">
        <f>Doku!B36</f>
        <v>Land</v>
      </c>
    </row>
    <row r="8" spans="1:11" ht="21.9" customHeight="1" x14ac:dyDescent="0.3">
      <c r="A8" s="16" t="s">
        <v>31</v>
      </c>
      <c r="B8" s="16"/>
      <c r="C8" s="16"/>
      <c r="D8" s="299"/>
      <c r="E8" s="296"/>
      <c r="F8" s="294"/>
      <c r="G8" s="295"/>
      <c r="H8" s="296"/>
      <c r="I8" s="297"/>
      <c r="J8" s="297"/>
      <c r="K8" s="19"/>
    </row>
    <row r="9" spans="1:11" ht="21.9" customHeight="1" thickBot="1" x14ac:dyDescent="0.35">
      <c r="A9" s="16" t="s">
        <v>32</v>
      </c>
      <c r="B9" s="16"/>
      <c r="C9" s="16"/>
      <c r="D9" s="288"/>
      <c r="E9" s="282"/>
      <c r="F9" s="280"/>
      <c r="G9" s="281"/>
      <c r="H9" s="282"/>
      <c r="I9" s="283"/>
      <c r="J9" s="283"/>
      <c r="K9" s="20"/>
    </row>
    <row r="10" spans="1:11" ht="11.1" customHeight="1" thickBot="1" x14ac:dyDescent="0.35">
      <c r="A10" s="1"/>
      <c r="B10" s="1"/>
      <c r="C10" s="2"/>
      <c r="D10" s="2"/>
      <c r="E10" s="72"/>
      <c r="F10" s="4"/>
      <c r="G10" s="4"/>
      <c r="H10" s="4"/>
      <c r="I10" s="4"/>
      <c r="J10" s="4"/>
      <c r="K10" s="92"/>
    </row>
    <row r="11" spans="1:11" ht="39.75" customHeight="1" thickTop="1" thickBot="1" x14ac:dyDescent="0.35">
      <c r="A11" s="5"/>
      <c r="B11" s="5"/>
      <c r="C11" s="5"/>
      <c r="D11" s="5"/>
      <c r="E11" s="5"/>
      <c r="F11" s="284" t="str">
        <f>Doku!B38</f>
        <v>Kleiner Fehler</v>
      </c>
      <c r="G11" s="285"/>
      <c r="H11" s="161" t="str">
        <f>Doku!B39</f>
        <v>Mittlerer Fehler</v>
      </c>
      <c r="I11" s="161" t="str">
        <f>Doku!B40</f>
        <v>Großer Fehler</v>
      </c>
      <c r="J11" s="286" t="str">
        <f>Doku!B41</f>
        <v>Technik vergessen</v>
      </c>
      <c r="K11" s="264" t="str">
        <f>Doku!B42</f>
        <v>Gesamt</v>
      </c>
    </row>
    <row r="12" spans="1:11" s="23" customFormat="1" ht="20.100000000000001" customHeight="1" thickTop="1" thickBot="1" x14ac:dyDescent="0.45">
      <c r="A12" s="266" t="str">
        <f>Doku!B37</f>
        <v>Technik</v>
      </c>
      <c r="B12" s="267"/>
      <c r="C12" s="267"/>
      <c r="D12" s="267"/>
      <c r="E12" s="268"/>
      <c r="F12" s="269">
        <v>1</v>
      </c>
      <c r="G12" s="270"/>
      <c r="H12" s="162">
        <v>3</v>
      </c>
      <c r="I12" s="162">
        <v>5</v>
      </c>
      <c r="J12" s="287"/>
      <c r="K12" s="265"/>
    </row>
    <row r="13" spans="1:11" ht="19.95" customHeight="1" thickBot="1" x14ac:dyDescent="0.35">
      <c r="A13" s="6">
        <v>1</v>
      </c>
      <c r="B13" s="6"/>
      <c r="C13" s="93"/>
      <c r="D13" s="326" t="s">
        <v>7</v>
      </c>
      <c r="E13" s="327"/>
      <c r="F13" s="94"/>
      <c r="G13" s="210"/>
      <c r="H13" s="221"/>
      <c r="I13" s="221"/>
      <c r="J13" s="218"/>
      <c r="K13" s="218" t="str">
        <f>IF($K$37&lt;&gt;"",IF(SUMPRODUCT(--(TRIM(J13)&lt;&gt;""))&lt;&gt;0,0,MAX(1,10-5*(SUMPRODUCT(--(TRIM(I13)&lt;&gt;"")))-3*(SUMPRODUCT(--(TRIM(H13)&lt;&gt;"")))-1*SUMPRODUCT(--(TRIM(F13:G13)&lt;&gt;"")))),"")</f>
        <v/>
      </c>
    </row>
    <row r="14" spans="1:11" ht="19.95" customHeight="1" x14ac:dyDescent="0.3">
      <c r="A14" s="7">
        <v>2</v>
      </c>
      <c r="B14" s="7"/>
      <c r="C14" s="330" t="s">
        <v>128</v>
      </c>
      <c r="D14" s="342" t="s">
        <v>113</v>
      </c>
      <c r="E14" s="263"/>
      <c r="F14" s="95"/>
      <c r="G14" s="211"/>
      <c r="H14" s="222"/>
      <c r="I14" s="222"/>
      <c r="J14" s="75"/>
      <c r="K14" s="75" t="str">
        <f t="shared" ref="K14:K35" si="0">IF($K$37&lt;&gt;"",IF(SUMPRODUCT(--(TRIM(J14)&lt;&gt;""))&lt;&gt;0,0,MAX(1,10-5*(SUMPRODUCT(--(TRIM(I14)&lt;&gt;"")))-3*(SUMPRODUCT(--(TRIM(H14)&lt;&gt;"")))-1*SUMPRODUCT(--(TRIM(F14:G14)&lt;&gt;"")))),"")</f>
        <v/>
      </c>
    </row>
    <row r="15" spans="1:11" ht="19.95" customHeight="1" x14ac:dyDescent="0.3">
      <c r="A15" s="8">
        <v>3</v>
      </c>
      <c r="B15" s="7"/>
      <c r="C15" s="331"/>
      <c r="D15" s="341" t="s">
        <v>129</v>
      </c>
      <c r="E15" s="319"/>
      <c r="F15" s="96"/>
      <c r="G15" s="212"/>
      <c r="H15" s="223"/>
      <c r="I15" s="223"/>
      <c r="J15" s="76"/>
      <c r="K15" s="76" t="str">
        <f t="shared" si="0"/>
        <v/>
      </c>
    </row>
    <row r="16" spans="1:11" ht="19.95" customHeight="1" x14ac:dyDescent="0.3">
      <c r="A16" s="56">
        <v>4</v>
      </c>
      <c r="B16" s="84"/>
      <c r="C16" s="331"/>
      <c r="D16" s="340" t="s">
        <v>130</v>
      </c>
      <c r="E16" s="255"/>
      <c r="F16" s="97"/>
      <c r="G16" s="213"/>
      <c r="H16" s="224"/>
      <c r="I16" s="224"/>
      <c r="J16" s="77"/>
      <c r="K16" s="77" t="str">
        <f t="shared" si="0"/>
        <v/>
      </c>
    </row>
    <row r="17" spans="1:11" ht="19.95" customHeight="1" x14ac:dyDescent="0.3">
      <c r="A17" s="8">
        <v>5</v>
      </c>
      <c r="B17" s="7"/>
      <c r="C17" s="331"/>
      <c r="D17" s="341" t="s">
        <v>131</v>
      </c>
      <c r="E17" s="319"/>
      <c r="F17" s="96"/>
      <c r="G17" s="212"/>
      <c r="H17" s="223"/>
      <c r="I17" s="223"/>
      <c r="J17" s="76"/>
      <c r="K17" s="76" t="str">
        <f t="shared" si="0"/>
        <v/>
      </c>
    </row>
    <row r="18" spans="1:11" ht="19.95" customHeight="1" x14ac:dyDescent="0.3">
      <c r="A18" s="8">
        <v>6</v>
      </c>
      <c r="B18" s="7"/>
      <c r="C18" s="331"/>
      <c r="D18" s="340" t="s">
        <v>132</v>
      </c>
      <c r="E18" s="255"/>
      <c r="F18" s="97"/>
      <c r="G18" s="213"/>
      <c r="H18" s="224"/>
      <c r="I18" s="224"/>
      <c r="J18" s="77"/>
      <c r="K18" s="77" t="str">
        <f t="shared" si="0"/>
        <v/>
      </c>
    </row>
    <row r="19" spans="1:11" ht="19.95" customHeight="1" x14ac:dyDescent="0.3">
      <c r="A19" s="8">
        <v>7</v>
      </c>
      <c r="B19" s="7"/>
      <c r="C19" s="331"/>
      <c r="D19" s="341" t="s">
        <v>133</v>
      </c>
      <c r="E19" s="319"/>
      <c r="F19" s="96"/>
      <c r="G19" s="212"/>
      <c r="H19" s="223"/>
      <c r="I19" s="223"/>
      <c r="J19" s="76"/>
      <c r="K19" s="76" t="str">
        <f t="shared" si="0"/>
        <v/>
      </c>
    </row>
    <row r="20" spans="1:11" ht="19.95" customHeight="1" thickBot="1" x14ac:dyDescent="0.35">
      <c r="A20" s="8">
        <v>8</v>
      </c>
      <c r="B20" s="7"/>
      <c r="C20" s="331"/>
      <c r="D20" s="342" t="s">
        <v>134</v>
      </c>
      <c r="E20" s="263"/>
      <c r="F20" s="95"/>
      <c r="G20" s="211"/>
      <c r="H20" s="222"/>
      <c r="I20" s="222"/>
      <c r="J20" s="75"/>
      <c r="K20" s="75" t="str">
        <f t="shared" si="0"/>
        <v/>
      </c>
    </row>
    <row r="21" spans="1:11" ht="19.95" customHeight="1" x14ac:dyDescent="0.3">
      <c r="A21" s="98">
        <v>9</v>
      </c>
      <c r="B21" s="98"/>
      <c r="C21" s="330" t="s">
        <v>135</v>
      </c>
      <c r="D21" s="351" t="s">
        <v>101</v>
      </c>
      <c r="E21" s="323"/>
      <c r="F21" s="99"/>
      <c r="G21" s="214"/>
      <c r="H21" s="225"/>
      <c r="I21" s="225"/>
      <c r="J21" s="219"/>
      <c r="K21" s="219" t="str">
        <f t="shared" si="0"/>
        <v/>
      </c>
    </row>
    <row r="22" spans="1:11" ht="19.95" customHeight="1" x14ac:dyDescent="0.3">
      <c r="A22" s="8">
        <v>10</v>
      </c>
      <c r="B22" s="7"/>
      <c r="C22" s="331"/>
      <c r="D22" s="340" t="s">
        <v>136</v>
      </c>
      <c r="E22" s="255"/>
      <c r="F22" s="97"/>
      <c r="G22" s="213"/>
      <c r="H22" s="224"/>
      <c r="I22" s="224"/>
      <c r="J22" s="77"/>
      <c r="K22" s="77" t="str">
        <f t="shared" si="0"/>
        <v/>
      </c>
    </row>
    <row r="23" spans="1:11" ht="19.95" customHeight="1" x14ac:dyDescent="0.3">
      <c r="A23" s="8">
        <v>11</v>
      </c>
      <c r="B23" s="7"/>
      <c r="C23" s="331"/>
      <c r="D23" s="341" t="s">
        <v>137</v>
      </c>
      <c r="E23" s="319"/>
      <c r="F23" s="96"/>
      <c r="G23" s="212"/>
      <c r="H23" s="223"/>
      <c r="I23" s="223"/>
      <c r="J23" s="76"/>
      <c r="K23" s="76" t="str">
        <f t="shared" si="0"/>
        <v/>
      </c>
    </row>
    <row r="24" spans="1:11" ht="19.95" customHeight="1" x14ac:dyDescent="0.3">
      <c r="A24" s="56">
        <v>12</v>
      </c>
      <c r="B24" s="84"/>
      <c r="C24" s="331"/>
      <c r="D24" s="340" t="s">
        <v>138</v>
      </c>
      <c r="E24" s="255"/>
      <c r="F24" s="97"/>
      <c r="G24" s="213"/>
      <c r="H24" s="224"/>
      <c r="I24" s="224"/>
      <c r="J24" s="77"/>
      <c r="K24" s="77" t="str">
        <f t="shared" si="0"/>
        <v/>
      </c>
    </row>
    <row r="25" spans="1:11" ht="19.95" customHeight="1" thickBot="1" x14ac:dyDescent="0.35">
      <c r="A25" s="9">
        <v>13</v>
      </c>
      <c r="B25" s="117"/>
      <c r="C25" s="332"/>
      <c r="D25" s="333" t="s">
        <v>139</v>
      </c>
      <c r="E25" s="325"/>
      <c r="F25" s="100"/>
      <c r="G25" s="215"/>
      <c r="H25" s="226"/>
      <c r="I25" s="226"/>
      <c r="J25" s="82"/>
      <c r="K25" s="82" t="str">
        <f t="shared" si="0"/>
        <v/>
      </c>
    </row>
    <row r="26" spans="1:11" ht="19.95" customHeight="1" x14ac:dyDescent="0.3">
      <c r="A26" s="57">
        <v>14</v>
      </c>
      <c r="B26" s="84"/>
      <c r="C26" s="331" t="s">
        <v>118</v>
      </c>
      <c r="D26" s="338" t="s">
        <v>114</v>
      </c>
      <c r="E26" s="339"/>
      <c r="F26" s="101"/>
      <c r="G26" s="216"/>
      <c r="H26" s="227"/>
      <c r="I26" s="227"/>
      <c r="J26" s="80"/>
      <c r="K26" s="80" t="str">
        <f t="shared" si="0"/>
        <v/>
      </c>
    </row>
    <row r="27" spans="1:11" ht="19.95" customHeight="1" x14ac:dyDescent="0.3">
      <c r="A27" s="56">
        <v>15</v>
      </c>
      <c r="B27" s="84"/>
      <c r="C27" s="331"/>
      <c r="D27" s="340" t="s">
        <v>140</v>
      </c>
      <c r="E27" s="255"/>
      <c r="F27" s="97"/>
      <c r="G27" s="213"/>
      <c r="H27" s="224"/>
      <c r="I27" s="224"/>
      <c r="J27" s="77"/>
      <c r="K27" s="77" t="str">
        <f t="shared" si="0"/>
        <v/>
      </c>
    </row>
    <row r="28" spans="1:11" ht="19.95" customHeight="1" thickBot="1" x14ac:dyDescent="0.35">
      <c r="A28" s="9">
        <v>16</v>
      </c>
      <c r="B28" s="117"/>
      <c r="C28" s="332"/>
      <c r="D28" s="333" t="s">
        <v>141</v>
      </c>
      <c r="E28" s="325"/>
      <c r="F28" s="100"/>
      <c r="G28" s="215"/>
      <c r="H28" s="226"/>
      <c r="I28" s="226"/>
      <c r="J28" s="82"/>
      <c r="K28" s="82" t="str">
        <f t="shared" si="0"/>
        <v/>
      </c>
    </row>
    <row r="29" spans="1:11" ht="19.95" customHeight="1" x14ac:dyDescent="0.3">
      <c r="A29" s="57">
        <v>17</v>
      </c>
      <c r="B29" s="84"/>
      <c r="C29" s="331" t="s">
        <v>142</v>
      </c>
      <c r="D29" s="338" t="s">
        <v>143</v>
      </c>
      <c r="E29" s="339"/>
      <c r="F29" s="101"/>
      <c r="G29" s="216"/>
      <c r="H29" s="227"/>
      <c r="I29" s="227"/>
      <c r="J29" s="80"/>
      <c r="K29" s="80" t="str">
        <f t="shared" si="0"/>
        <v/>
      </c>
    </row>
    <row r="30" spans="1:11" ht="19.95" customHeight="1" x14ac:dyDescent="0.3">
      <c r="A30" s="56">
        <v>18</v>
      </c>
      <c r="B30" s="84"/>
      <c r="C30" s="331"/>
      <c r="D30" s="340" t="s">
        <v>144</v>
      </c>
      <c r="E30" s="255"/>
      <c r="F30" s="97"/>
      <c r="G30" s="213"/>
      <c r="H30" s="224"/>
      <c r="I30" s="224"/>
      <c r="J30" s="77"/>
      <c r="K30" s="77" t="str">
        <f t="shared" si="0"/>
        <v/>
      </c>
    </row>
    <row r="31" spans="1:11" ht="19.95" customHeight="1" thickBot="1" x14ac:dyDescent="0.35">
      <c r="A31" s="9">
        <v>19</v>
      </c>
      <c r="B31" s="117"/>
      <c r="C31" s="332"/>
      <c r="D31" s="333" t="s">
        <v>145</v>
      </c>
      <c r="E31" s="325"/>
      <c r="F31" s="100"/>
      <c r="G31" s="215"/>
      <c r="H31" s="226"/>
      <c r="I31" s="226"/>
      <c r="J31" s="82"/>
      <c r="K31" s="82" t="str">
        <f t="shared" si="0"/>
        <v/>
      </c>
    </row>
    <row r="32" spans="1:11" ht="19.95" customHeight="1" x14ac:dyDescent="0.3">
      <c r="A32" s="57">
        <v>20</v>
      </c>
      <c r="B32" s="84"/>
      <c r="C32" s="331" t="s">
        <v>146</v>
      </c>
      <c r="D32" s="338" t="s">
        <v>147</v>
      </c>
      <c r="E32" s="339"/>
      <c r="F32" s="101"/>
      <c r="G32" s="216"/>
      <c r="H32" s="227"/>
      <c r="I32" s="227"/>
      <c r="J32" s="80"/>
      <c r="K32" s="80" t="str">
        <f t="shared" si="0"/>
        <v/>
      </c>
    </row>
    <row r="33" spans="1:11" ht="19.95" customHeight="1" x14ac:dyDescent="0.3">
      <c r="A33" s="56">
        <v>21</v>
      </c>
      <c r="B33" s="84"/>
      <c r="C33" s="331"/>
      <c r="D33" s="340" t="s">
        <v>148</v>
      </c>
      <c r="E33" s="255"/>
      <c r="F33" s="97"/>
      <c r="G33" s="213"/>
      <c r="H33" s="224"/>
      <c r="I33" s="224"/>
      <c r="J33" s="77"/>
      <c r="K33" s="77" t="str">
        <f t="shared" si="0"/>
        <v/>
      </c>
    </row>
    <row r="34" spans="1:11" ht="19.95" customHeight="1" thickBot="1" x14ac:dyDescent="0.35">
      <c r="A34" s="9">
        <v>22</v>
      </c>
      <c r="B34" s="117"/>
      <c r="C34" s="332"/>
      <c r="D34" s="333" t="s">
        <v>149</v>
      </c>
      <c r="E34" s="325"/>
      <c r="F34" s="100"/>
      <c r="G34" s="215"/>
      <c r="H34" s="226"/>
      <c r="I34" s="226"/>
      <c r="J34" s="82"/>
      <c r="K34" s="82" t="str">
        <f t="shared" si="0"/>
        <v/>
      </c>
    </row>
    <row r="35" spans="1:11" ht="19.95" customHeight="1" thickBot="1" x14ac:dyDescent="0.35">
      <c r="A35" s="57">
        <v>23</v>
      </c>
      <c r="B35" s="84"/>
      <c r="C35" s="102"/>
      <c r="D35" s="349" t="s">
        <v>28</v>
      </c>
      <c r="E35" s="350"/>
      <c r="F35" s="103"/>
      <c r="G35" s="217"/>
      <c r="H35" s="228"/>
      <c r="I35" s="228"/>
      <c r="J35" s="220"/>
      <c r="K35" s="220" t="str">
        <f t="shared" si="0"/>
        <v/>
      </c>
    </row>
    <row r="36" spans="1:11" ht="21.9" customHeight="1" thickTop="1" thickBot="1" x14ac:dyDescent="0.35">
      <c r="A36" s="247" t="str">
        <f>Doku!B43&amp;":"</f>
        <v>Summe Fehler und Punkte:</v>
      </c>
      <c r="B36" s="248"/>
      <c r="C36" s="248"/>
      <c r="D36" s="248"/>
      <c r="E36" s="249"/>
      <c r="F36" s="278">
        <f>IF($K$37&lt;&gt;"",SUMPRODUCT(--(TRIM(F13:G29)&lt;&gt;"")),0)</f>
        <v>0</v>
      </c>
      <c r="G36" s="279" t="b">
        <f t="shared" ref="G36" si="1">IF($K$37&lt;&gt;"",COUNTIF(G13:G29,"x"))</f>
        <v>0</v>
      </c>
      <c r="H36" s="173">
        <f>IF($K$37&lt;&gt;"",SUMPRODUCT(--(TRIM(H13:H29)&lt;&gt;"")),0)</f>
        <v>0</v>
      </c>
      <c r="I36" s="173">
        <f>IF($K$37&lt;&gt;"",SUMPRODUCT(--(TRIM(I13:I29)&lt;&gt;"")),0)</f>
        <v>0</v>
      </c>
      <c r="J36" s="160">
        <f>IF($K$37&lt;&gt;"",SUMPRODUCT(--(TRIM(J13:J29)&lt;&gt;"")),0)</f>
        <v>0</v>
      </c>
      <c r="K36" s="60" t="str">
        <f>IF(K37="","",IF(J36&lt;1,SUM(K13:K35),IF(J36&gt;=1,SUM(K13:K35)/2,"")))</f>
        <v/>
      </c>
    </row>
    <row r="37" spans="1:11" s="106" customFormat="1" ht="20.100000000000001" customHeight="1" thickTop="1" thickBot="1" x14ac:dyDescent="0.4">
      <c r="A37" s="276" t="str">
        <f>Doku!B44&amp;":"</f>
        <v>Position:</v>
      </c>
      <c r="B37" s="277"/>
      <c r="C37" s="277"/>
      <c r="D37" s="277"/>
      <c r="E37" s="104"/>
      <c r="F37" s="271" t="str">
        <f>Doku!B45</f>
        <v>Übertrag ok?</v>
      </c>
      <c r="G37" s="272"/>
      <c r="H37" s="272"/>
      <c r="I37" s="272"/>
      <c r="J37" s="273"/>
      <c r="K37" s="105"/>
    </row>
    <row r="38" spans="1:11" ht="15" thickTop="1" x14ac:dyDescent="0.3"/>
  </sheetData>
  <mergeCells count="51">
    <mergeCell ref="D7:E7"/>
    <mergeCell ref="F7:H7"/>
    <mergeCell ref="I7:J7"/>
    <mergeCell ref="A1:K1"/>
    <mergeCell ref="A2:K2"/>
    <mergeCell ref="A3:K3"/>
    <mergeCell ref="A5:D5"/>
    <mergeCell ref="H6:J6"/>
    <mergeCell ref="D8:E8"/>
    <mergeCell ref="F8:H8"/>
    <mergeCell ref="I8:J8"/>
    <mergeCell ref="D9:E9"/>
    <mergeCell ref="F9:H9"/>
    <mergeCell ref="I9:J9"/>
    <mergeCell ref="K11:K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J11:J12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A37:D37"/>
    <mergeCell ref="F37:J37"/>
    <mergeCell ref="C32:C34"/>
    <mergeCell ref="D32:E32"/>
    <mergeCell ref="D33:E33"/>
    <mergeCell ref="D34:E34"/>
    <mergeCell ref="D35:E35"/>
    <mergeCell ref="A36:E36"/>
    <mergeCell ref="F36:G36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N38"/>
  <sheetViews>
    <sheetView zoomScaleNormal="100" zoomScaleSheetLayoutView="85" workbookViewId="0">
      <selection sqref="A1:K1"/>
    </sheetView>
  </sheetViews>
  <sheetFormatPr defaultColWidth="11.44140625" defaultRowHeight="14.4" x14ac:dyDescent="0.3"/>
  <cols>
    <col min="1" max="1" width="3.6640625" style="22" customWidth="1"/>
    <col min="2" max="2" width="3.6640625" style="22" hidden="1" customWidth="1"/>
    <col min="3" max="3" width="3.6640625" style="22" customWidth="1"/>
    <col min="4" max="4" width="5.6640625" style="22" customWidth="1"/>
    <col min="5" max="5" width="18.109375" style="22" customWidth="1"/>
    <col min="6" max="7" width="5.6640625" style="22" customWidth="1"/>
    <col min="8" max="11" width="10.6640625" style="22" customWidth="1"/>
    <col min="12" max="16384" width="11.44140625" style="22"/>
  </cols>
  <sheetData>
    <row r="1" spans="1:14" s="21" customFormat="1" ht="24.9" customHeight="1" x14ac:dyDescent="0.6">
      <c r="A1" s="242" t="str">
        <f>Doku!B28</f>
        <v>Kata Meisterschaft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</row>
    <row r="2" spans="1:14" s="21" customFormat="1" ht="20.100000000000001" customHeight="1" x14ac:dyDescent="0.6">
      <c r="A2" s="243" t="str">
        <f>Doku!B29</f>
        <v>des Deutschen Judobundes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</row>
    <row r="3" spans="1:14" s="21" customFormat="1" ht="39.9" customHeight="1" x14ac:dyDescent="0.6">
      <c r="A3" s="353" t="s">
        <v>150</v>
      </c>
      <c r="B3" s="353"/>
      <c r="C3" s="353"/>
      <c r="D3" s="353"/>
      <c r="E3" s="353"/>
      <c r="F3" s="353"/>
      <c r="G3" s="353"/>
      <c r="H3" s="353"/>
      <c r="I3" s="353"/>
      <c r="J3" s="353"/>
      <c r="K3" s="353"/>
    </row>
    <row r="4" spans="1:14" s="21" customFormat="1" ht="11.1" customHeight="1" x14ac:dyDescent="0.6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14" ht="21.9" customHeight="1" x14ac:dyDescent="0.3">
      <c r="A5" s="289" t="str">
        <f>Doku!B31&amp;":"</f>
        <v>Bewerter:</v>
      </c>
      <c r="B5" s="289"/>
      <c r="C5" s="289"/>
      <c r="D5" s="289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7"/>
    </row>
    <row r="6" spans="1:14" ht="11.1" customHeight="1" thickBot="1" x14ac:dyDescent="0.65">
      <c r="A6" s="1"/>
      <c r="B6" s="1"/>
      <c r="C6" s="2"/>
      <c r="D6" s="2"/>
      <c r="E6" s="70"/>
      <c r="F6" s="71"/>
      <c r="G6" s="71"/>
      <c r="H6" s="300"/>
      <c r="I6" s="300"/>
      <c r="J6" s="300"/>
      <c r="K6" s="21"/>
    </row>
    <row r="7" spans="1:14" s="23" customFormat="1" ht="20.100000000000001" customHeight="1" x14ac:dyDescent="0.4">
      <c r="A7" s="12"/>
      <c r="B7" s="12"/>
      <c r="C7" s="12"/>
      <c r="D7" s="298" t="str">
        <f>Doku!B33</f>
        <v>Nachname</v>
      </c>
      <c r="E7" s="292"/>
      <c r="F7" s="290" t="str">
        <f>Doku!B34</f>
        <v>Vorname</v>
      </c>
      <c r="G7" s="291"/>
      <c r="H7" s="292"/>
      <c r="I7" s="293" t="str">
        <f>Doku!B35</f>
        <v>Verein</v>
      </c>
      <c r="J7" s="293"/>
      <c r="K7" s="13" t="str">
        <f>Doku!B36</f>
        <v>Land</v>
      </c>
    </row>
    <row r="8" spans="1:14" ht="21.9" customHeight="1" x14ac:dyDescent="0.3">
      <c r="A8" s="16" t="s">
        <v>31</v>
      </c>
      <c r="B8" s="16"/>
      <c r="C8" s="16"/>
      <c r="D8" s="299"/>
      <c r="E8" s="296"/>
      <c r="F8" s="294"/>
      <c r="G8" s="295"/>
      <c r="H8" s="296"/>
      <c r="I8" s="297"/>
      <c r="J8" s="297"/>
      <c r="K8" s="19"/>
    </row>
    <row r="9" spans="1:14" ht="21.9" customHeight="1" thickBot="1" x14ac:dyDescent="0.65">
      <c r="A9" s="16" t="s">
        <v>32</v>
      </c>
      <c r="B9" s="16"/>
      <c r="C9" s="16"/>
      <c r="D9" s="288"/>
      <c r="E9" s="282"/>
      <c r="F9" s="280"/>
      <c r="G9" s="281"/>
      <c r="H9" s="282"/>
      <c r="I9" s="283"/>
      <c r="J9" s="283"/>
      <c r="K9" s="20"/>
      <c r="N9" s="21"/>
    </row>
    <row r="10" spans="1:14" ht="11.1" customHeight="1" thickBot="1" x14ac:dyDescent="0.65">
      <c r="A10" s="1"/>
      <c r="B10" s="1"/>
      <c r="C10" s="2"/>
      <c r="D10" s="2"/>
      <c r="E10" s="91"/>
      <c r="F10" s="4"/>
      <c r="G10" s="4"/>
      <c r="H10" s="4"/>
      <c r="I10" s="4"/>
      <c r="J10" s="4"/>
      <c r="K10" s="21"/>
    </row>
    <row r="11" spans="1:14" ht="28.8" thickTop="1" thickBot="1" x14ac:dyDescent="0.35">
      <c r="A11" s="5"/>
      <c r="B11" s="5"/>
      <c r="C11" s="5"/>
      <c r="D11" s="5"/>
      <c r="E11" s="5"/>
      <c r="F11" s="284" t="str">
        <f>Doku!B38</f>
        <v>Kleiner Fehler</v>
      </c>
      <c r="G11" s="285"/>
      <c r="H11" s="161" t="str">
        <f>Doku!B39</f>
        <v>Mittlerer Fehler</v>
      </c>
      <c r="I11" s="161" t="str">
        <f>Doku!B40</f>
        <v>Großer Fehler</v>
      </c>
      <c r="J11" s="286" t="str">
        <f>Doku!B41</f>
        <v>Technik vergessen</v>
      </c>
      <c r="K11" s="264" t="str">
        <f>Doku!B42</f>
        <v>Gesamt</v>
      </c>
    </row>
    <row r="12" spans="1:14" s="23" customFormat="1" ht="20.100000000000001" customHeight="1" thickTop="1" thickBot="1" x14ac:dyDescent="0.45">
      <c r="A12" s="266" t="str">
        <f>Doku!B37</f>
        <v>Technik</v>
      </c>
      <c r="B12" s="267"/>
      <c r="C12" s="267"/>
      <c r="D12" s="267"/>
      <c r="E12" s="268"/>
      <c r="F12" s="269">
        <v>1</v>
      </c>
      <c r="G12" s="270"/>
      <c r="H12" s="162">
        <v>3</v>
      </c>
      <c r="I12" s="162">
        <v>5</v>
      </c>
      <c r="J12" s="287"/>
      <c r="K12" s="265"/>
    </row>
    <row r="13" spans="1:14" ht="19.95" customHeight="1" thickBot="1" x14ac:dyDescent="0.35">
      <c r="A13" s="6">
        <v>1</v>
      </c>
      <c r="B13" s="6"/>
      <c r="C13" s="93"/>
      <c r="D13" s="326" t="s">
        <v>7</v>
      </c>
      <c r="E13" s="327"/>
      <c r="F13" s="94"/>
      <c r="G13" s="210"/>
      <c r="H13" s="221"/>
      <c r="I13" s="221"/>
      <c r="J13" s="218"/>
      <c r="K13" s="218" t="str">
        <f>IF($K$37&lt;&gt;"",IF(SUMPRODUCT(--(TRIM(J13)&lt;&gt;""))&lt;&gt;0,0,MAX(1,10-5*(SUMPRODUCT(--(TRIM(I13)&lt;&gt;"")))-3*(SUMPRODUCT(--(TRIM(H13)&lt;&gt;"")))-1*SUMPRODUCT(--(TRIM(F13:G13)&lt;&gt;"")))),"")</f>
        <v/>
      </c>
      <c r="M13" s="109"/>
    </row>
    <row r="14" spans="1:14" ht="19.95" customHeight="1" x14ac:dyDescent="0.3">
      <c r="A14" s="56">
        <v>2</v>
      </c>
      <c r="B14" s="84"/>
      <c r="C14" s="330" t="s">
        <v>151</v>
      </c>
      <c r="D14" s="342" t="s">
        <v>152</v>
      </c>
      <c r="E14" s="263"/>
      <c r="F14" s="95"/>
      <c r="G14" s="211"/>
      <c r="H14" s="222"/>
      <c r="I14" s="222"/>
      <c r="J14" s="75"/>
      <c r="K14" s="75" t="str">
        <f t="shared" ref="K14:K35" si="0">IF($K$37&lt;&gt;"",IF(SUMPRODUCT(--(TRIM(J14)&lt;&gt;""))&lt;&gt;0,0,MAX(1,10-5*(SUMPRODUCT(--(TRIM(I14)&lt;&gt;"")))-3*(SUMPRODUCT(--(TRIM(H14)&lt;&gt;"")))-1*SUMPRODUCT(--(TRIM(F14:G14)&lt;&gt;"")))),"")</f>
        <v/>
      </c>
      <c r="M14" s="109"/>
    </row>
    <row r="15" spans="1:14" ht="19.95" customHeight="1" x14ac:dyDescent="0.3">
      <c r="A15" s="56">
        <v>3</v>
      </c>
      <c r="B15" s="84"/>
      <c r="C15" s="331"/>
      <c r="D15" s="341" t="s">
        <v>153</v>
      </c>
      <c r="E15" s="319"/>
      <c r="F15" s="96"/>
      <c r="G15" s="212"/>
      <c r="H15" s="223"/>
      <c r="I15" s="223"/>
      <c r="J15" s="76"/>
      <c r="K15" s="76" t="str">
        <f t="shared" si="0"/>
        <v/>
      </c>
      <c r="M15" s="109"/>
    </row>
    <row r="16" spans="1:14" ht="19.95" customHeight="1" x14ac:dyDescent="0.3">
      <c r="A16" s="56">
        <v>4</v>
      </c>
      <c r="B16" s="84"/>
      <c r="C16" s="331"/>
      <c r="D16" s="340" t="s">
        <v>154</v>
      </c>
      <c r="E16" s="255"/>
      <c r="F16" s="97"/>
      <c r="G16" s="213"/>
      <c r="H16" s="224"/>
      <c r="I16" s="224"/>
      <c r="J16" s="77"/>
      <c r="K16" s="77" t="str">
        <f t="shared" si="0"/>
        <v/>
      </c>
      <c r="M16" s="109"/>
    </row>
    <row r="17" spans="1:13" ht="19.95" customHeight="1" x14ac:dyDescent="0.3">
      <c r="A17" s="56">
        <v>5</v>
      </c>
      <c r="B17" s="84"/>
      <c r="C17" s="331"/>
      <c r="D17" s="341" t="s">
        <v>155</v>
      </c>
      <c r="E17" s="319"/>
      <c r="F17" s="96"/>
      <c r="G17" s="212"/>
      <c r="H17" s="223"/>
      <c r="I17" s="223"/>
      <c r="J17" s="76"/>
      <c r="K17" s="76" t="str">
        <f t="shared" si="0"/>
        <v/>
      </c>
      <c r="M17" s="109"/>
    </row>
    <row r="18" spans="1:13" ht="19.95" customHeight="1" x14ac:dyDescent="0.3">
      <c r="A18" s="56">
        <v>6</v>
      </c>
      <c r="B18" s="84"/>
      <c r="C18" s="331"/>
      <c r="D18" s="340" t="s">
        <v>156</v>
      </c>
      <c r="E18" s="255"/>
      <c r="F18" s="97"/>
      <c r="G18" s="213"/>
      <c r="H18" s="224"/>
      <c r="I18" s="224"/>
      <c r="J18" s="77"/>
      <c r="K18" s="77" t="str">
        <f t="shared" si="0"/>
        <v/>
      </c>
      <c r="M18" s="109"/>
    </row>
    <row r="19" spans="1:13" ht="19.95" customHeight="1" x14ac:dyDescent="0.3">
      <c r="A19" s="56">
        <v>7</v>
      </c>
      <c r="B19" s="84"/>
      <c r="C19" s="331"/>
      <c r="D19" s="341" t="s">
        <v>157</v>
      </c>
      <c r="E19" s="319"/>
      <c r="F19" s="96"/>
      <c r="G19" s="212"/>
      <c r="H19" s="223"/>
      <c r="I19" s="223"/>
      <c r="J19" s="76"/>
      <c r="K19" s="76" t="str">
        <f t="shared" si="0"/>
        <v/>
      </c>
      <c r="M19" s="109"/>
    </row>
    <row r="20" spans="1:13" ht="19.95" customHeight="1" x14ac:dyDescent="0.3">
      <c r="A20" s="56">
        <v>8</v>
      </c>
      <c r="B20" s="84"/>
      <c r="C20" s="331"/>
      <c r="D20" s="340" t="s">
        <v>158</v>
      </c>
      <c r="E20" s="255"/>
      <c r="F20" s="97"/>
      <c r="G20" s="213"/>
      <c r="H20" s="224"/>
      <c r="I20" s="224"/>
      <c r="J20" s="77"/>
      <c r="K20" s="77" t="str">
        <f t="shared" si="0"/>
        <v/>
      </c>
      <c r="M20" s="109"/>
    </row>
    <row r="21" spans="1:13" ht="19.95" customHeight="1" x14ac:dyDescent="0.3">
      <c r="A21" s="56">
        <v>9</v>
      </c>
      <c r="B21" s="84"/>
      <c r="C21" s="331"/>
      <c r="D21" s="341" t="s">
        <v>159</v>
      </c>
      <c r="E21" s="319"/>
      <c r="F21" s="96"/>
      <c r="G21" s="212"/>
      <c r="H21" s="223"/>
      <c r="I21" s="223"/>
      <c r="J21" s="76"/>
      <c r="K21" s="76" t="str">
        <f t="shared" si="0"/>
        <v/>
      </c>
      <c r="M21" s="109"/>
    </row>
    <row r="22" spans="1:13" ht="19.95" customHeight="1" x14ac:dyDescent="0.3">
      <c r="A22" s="56">
        <v>10</v>
      </c>
      <c r="B22" s="84"/>
      <c r="C22" s="331"/>
      <c r="D22" s="340" t="s">
        <v>160</v>
      </c>
      <c r="E22" s="255"/>
      <c r="F22" s="97"/>
      <c r="G22" s="213"/>
      <c r="H22" s="224"/>
      <c r="I22" s="224"/>
      <c r="J22" s="77"/>
      <c r="K22" s="77" t="str">
        <f t="shared" si="0"/>
        <v/>
      </c>
      <c r="M22" s="109"/>
    </row>
    <row r="23" spans="1:13" ht="19.95" customHeight="1" x14ac:dyDescent="0.3">
      <c r="A23" s="56">
        <v>11</v>
      </c>
      <c r="B23" s="84"/>
      <c r="C23" s="331"/>
      <c r="D23" s="341" t="s">
        <v>161</v>
      </c>
      <c r="E23" s="319"/>
      <c r="F23" s="96"/>
      <c r="G23" s="212"/>
      <c r="H23" s="223"/>
      <c r="I23" s="223"/>
      <c r="J23" s="76"/>
      <c r="K23" s="76" t="str">
        <f t="shared" si="0"/>
        <v/>
      </c>
      <c r="M23" s="109"/>
    </row>
    <row r="24" spans="1:13" ht="19.95" customHeight="1" x14ac:dyDescent="0.3">
      <c r="A24" s="56">
        <v>12</v>
      </c>
      <c r="B24" s="84"/>
      <c r="C24" s="331"/>
      <c r="D24" s="340" t="s">
        <v>162</v>
      </c>
      <c r="E24" s="255"/>
      <c r="F24" s="97"/>
      <c r="G24" s="213"/>
      <c r="H24" s="224"/>
      <c r="I24" s="224"/>
      <c r="J24" s="77"/>
      <c r="K24" s="77" t="str">
        <f t="shared" si="0"/>
        <v/>
      </c>
      <c r="M24" s="109"/>
    </row>
    <row r="25" spans="1:13" ht="19.95" customHeight="1" x14ac:dyDescent="0.3">
      <c r="A25" s="56">
        <v>13</v>
      </c>
      <c r="B25" s="84"/>
      <c r="C25" s="331"/>
      <c r="D25" s="341" t="s">
        <v>163</v>
      </c>
      <c r="E25" s="319"/>
      <c r="F25" s="96"/>
      <c r="G25" s="212"/>
      <c r="H25" s="223"/>
      <c r="I25" s="223"/>
      <c r="J25" s="76"/>
      <c r="K25" s="76" t="str">
        <f t="shared" si="0"/>
        <v/>
      </c>
      <c r="M25" s="109"/>
    </row>
    <row r="26" spans="1:13" ht="19.95" customHeight="1" x14ac:dyDescent="0.3">
      <c r="A26" s="56">
        <v>14</v>
      </c>
      <c r="B26" s="84"/>
      <c r="C26" s="331"/>
      <c r="D26" s="340" t="s">
        <v>164</v>
      </c>
      <c r="E26" s="255"/>
      <c r="F26" s="97"/>
      <c r="G26" s="213"/>
      <c r="H26" s="224"/>
      <c r="I26" s="224"/>
      <c r="J26" s="77"/>
      <c r="K26" s="77" t="str">
        <f t="shared" si="0"/>
        <v/>
      </c>
      <c r="M26" s="109"/>
    </row>
    <row r="27" spans="1:13" ht="19.95" customHeight="1" thickBot="1" x14ac:dyDescent="0.35">
      <c r="A27" s="56">
        <v>15</v>
      </c>
      <c r="B27" s="84"/>
      <c r="C27" s="332"/>
      <c r="D27" s="333" t="s">
        <v>165</v>
      </c>
      <c r="E27" s="325"/>
      <c r="F27" s="100"/>
      <c r="G27" s="215"/>
      <c r="H27" s="226"/>
      <c r="I27" s="226"/>
      <c r="J27" s="82"/>
      <c r="K27" s="82" t="str">
        <f t="shared" si="0"/>
        <v/>
      </c>
      <c r="M27" s="109"/>
    </row>
    <row r="28" spans="1:13" ht="19.95" customHeight="1" x14ac:dyDescent="0.3">
      <c r="A28" s="56">
        <v>16</v>
      </c>
      <c r="B28" s="84"/>
      <c r="C28" s="331" t="s">
        <v>166</v>
      </c>
      <c r="D28" s="342" t="s">
        <v>167</v>
      </c>
      <c r="E28" s="263"/>
      <c r="F28" s="95"/>
      <c r="G28" s="211"/>
      <c r="H28" s="222"/>
      <c r="I28" s="222"/>
      <c r="J28" s="75"/>
      <c r="K28" s="75" t="str">
        <f t="shared" si="0"/>
        <v/>
      </c>
      <c r="M28" s="109"/>
    </row>
    <row r="29" spans="1:13" ht="19.95" customHeight="1" x14ac:dyDescent="0.3">
      <c r="A29" s="56">
        <v>17</v>
      </c>
      <c r="B29" s="84"/>
      <c r="C29" s="331"/>
      <c r="D29" s="341" t="s">
        <v>168</v>
      </c>
      <c r="E29" s="319"/>
      <c r="F29" s="96"/>
      <c r="G29" s="212"/>
      <c r="H29" s="223"/>
      <c r="I29" s="223"/>
      <c r="J29" s="76"/>
      <c r="K29" s="76" t="str">
        <f t="shared" si="0"/>
        <v/>
      </c>
      <c r="M29" s="109"/>
    </row>
    <row r="30" spans="1:13" ht="19.95" customHeight="1" x14ac:dyDescent="0.3">
      <c r="A30" s="56">
        <v>18</v>
      </c>
      <c r="B30" s="84"/>
      <c r="C30" s="331"/>
      <c r="D30" s="340" t="s">
        <v>169</v>
      </c>
      <c r="E30" s="255"/>
      <c r="F30" s="97"/>
      <c r="G30" s="213"/>
      <c r="H30" s="224"/>
      <c r="I30" s="224"/>
      <c r="J30" s="77"/>
      <c r="K30" s="77" t="str">
        <f t="shared" si="0"/>
        <v/>
      </c>
      <c r="M30" s="109"/>
    </row>
    <row r="31" spans="1:13" ht="19.95" customHeight="1" x14ac:dyDescent="0.3">
      <c r="A31" s="56">
        <v>19</v>
      </c>
      <c r="B31" s="84"/>
      <c r="C31" s="331"/>
      <c r="D31" s="341" t="s">
        <v>170</v>
      </c>
      <c r="E31" s="319"/>
      <c r="F31" s="96"/>
      <c r="G31" s="212"/>
      <c r="H31" s="223"/>
      <c r="I31" s="223"/>
      <c r="J31" s="76"/>
      <c r="K31" s="76" t="str">
        <f t="shared" si="0"/>
        <v/>
      </c>
      <c r="M31" s="109"/>
    </row>
    <row r="32" spans="1:13" ht="19.95" customHeight="1" x14ac:dyDescent="0.3">
      <c r="A32" s="56">
        <v>20</v>
      </c>
      <c r="B32" s="84"/>
      <c r="C32" s="331"/>
      <c r="D32" s="340" t="s">
        <v>171</v>
      </c>
      <c r="E32" s="255"/>
      <c r="F32" s="97"/>
      <c r="G32" s="213"/>
      <c r="H32" s="224"/>
      <c r="I32" s="224"/>
      <c r="J32" s="77"/>
      <c r="K32" s="77" t="str">
        <f t="shared" si="0"/>
        <v/>
      </c>
      <c r="M32" s="109"/>
    </row>
    <row r="33" spans="1:13" ht="19.95" customHeight="1" x14ac:dyDescent="0.3">
      <c r="A33" s="56">
        <v>21</v>
      </c>
      <c r="B33" s="84"/>
      <c r="C33" s="331"/>
      <c r="D33" s="341" t="s">
        <v>172</v>
      </c>
      <c r="E33" s="319"/>
      <c r="F33" s="96"/>
      <c r="G33" s="212"/>
      <c r="H33" s="223"/>
      <c r="I33" s="223"/>
      <c r="J33" s="76"/>
      <c r="K33" s="76" t="str">
        <f t="shared" si="0"/>
        <v/>
      </c>
      <c r="M33" s="109"/>
    </row>
    <row r="34" spans="1:13" ht="19.95" customHeight="1" thickBot="1" x14ac:dyDescent="0.35">
      <c r="A34" s="56">
        <v>22</v>
      </c>
      <c r="B34" s="84"/>
      <c r="C34" s="332"/>
      <c r="D34" s="334" t="s">
        <v>173</v>
      </c>
      <c r="E34" s="321"/>
      <c r="F34" s="110"/>
      <c r="G34" s="229"/>
      <c r="H34" s="232"/>
      <c r="I34" s="232"/>
      <c r="J34" s="78"/>
      <c r="K34" s="78" t="str">
        <f t="shared" si="0"/>
        <v/>
      </c>
      <c r="M34" s="109"/>
    </row>
    <row r="35" spans="1:13" ht="19.95" customHeight="1" thickBot="1" x14ac:dyDescent="0.35">
      <c r="A35" s="6">
        <v>23</v>
      </c>
      <c r="B35" s="118"/>
      <c r="C35" s="102"/>
      <c r="D35" s="354" t="s">
        <v>28</v>
      </c>
      <c r="E35" s="355"/>
      <c r="F35" s="111"/>
      <c r="G35" s="230"/>
      <c r="H35" s="233"/>
      <c r="I35" s="233"/>
      <c r="J35" s="231"/>
      <c r="K35" s="231" t="str">
        <f t="shared" si="0"/>
        <v/>
      </c>
      <c r="M35" s="109"/>
    </row>
    <row r="36" spans="1:13" ht="21.9" customHeight="1" thickTop="1" thickBot="1" x14ac:dyDescent="0.35">
      <c r="A36" s="247" t="str">
        <f>Doku!B43&amp;":"</f>
        <v>Summe Fehler und Punkte:</v>
      </c>
      <c r="B36" s="248"/>
      <c r="C36" s="248"/>
      <c r="D36" s="248"/>
      <c r="E36" s="249"/>
      <c r="F36" s="278">
        <f>IF($K$37&lt;&gt;"",SUMPRODUCT(--(TRIM(F13:G29)&lt;&gt;"")),0)</f>
        <v>0</v>
      </c>
      <c r="G36" s="279" t="b">
        <f t="shared" ref="G36" si="1">IF($K$37&lt;&gt;"",COUNTIF(G13:G29,"x"))</f>
        <v>0</v>
      </c>
      <c r="H36" s="173">
        <f>IF($K$37&lt;&gt;"",SUMPRODUCT(--(TRIM(H13:H29)&lt;&gt;"")),0)</f>
        <v>0</v>
      </c>
      <c r="I36" s="173">
        <f>IF($K$37&lt;&gt;"",SUMPRODUCT(--(TRIM(I13:I29)&lt;&gt;"")),0)</f>
        <v>0</v>
      </c>
      <c r="J36" s="160">
        <f>IF($K$37&lt;&gt;"",SUMPRODUCT(--(TRIM(J13:J29)&lt;&gt;"")),0)</f>
        <v>0</v>
      </c>
      <c r="K36" s="60" t="str">
        <f>IF(K37="","",IF(J36&lt;1,SUM(K13:K35),IF(J36&gt;=1,SUM(K13:K35)/2,"")))</f>
        <v/>
      </c>
    </row>
    <row r="37" spans="1:13" s="106" customFormat="1" ht="20.100000000000001" customHeight="1" thickTop="1" thickBot="1" x14ac:dyDescent="0.4">
      <c r="A37" s="276" t="str">
        <f>Doku!B44&amp;":"</f>
        <v>Position:</v>
      </c>
      <c r="B37" s="277"/>
      <c r="C37" s="277"/>
      <c r="D37" s="277"/>
      <c r="E37" s="104"/>
      <c r="F37" s="271" t="str">
        <f>Doku!B45</f>
        <v>Übertrag ok?</v>
      </c>
      <c r="G37" s="272"/>
      <c r="H37" s="272"/>
      <c r="I37" s="272"/>
      <c r="J37" s="273"/>
      <c r="K37" s="105"/>
    </row>
    <row r="38" spans="1:13" ht="15" thickTop="1" x14ac:dyDescent="0.3"/>
  </sheetData>
  <mergeCells count="48">
    <mergeCell ref="D26:E26"/>
    <mergeCell ref="D27:E27"/>
    <mergeCell ref="F37:J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  <mergeCell ref="K11:K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13:E13"/>
    <mergeCell ref="D8:E8"/>
    <mergeCell ref="F8:H8"/>
    <mergeCell ref="I8:J8"/>
    <mergeCell ref="D9:E9"/>
    <mergeCell ref="F9:H9"/>
    <mergeCell ref="I9:J9"/>
    <mergeCell ref="F11:G11"/>
    <mergeCell ref="J11:J12"/>
    <mergeCell ref="D7:E7"/>
    <mergeCell ref="F7:H7"/>
    <mergeCell ref="I7:J7"/>
    <mergeCell ref="A1:K1"/>
    <mergeCell ref="A2:K2"/>
    <mergeCell ref="A3:K3"/>
    <mergeCell ref="A5:D5"/>
    <mergeCell ref="H6:J6"/>
  </mergeCells>
  <dataValidations count="1">
    <dataValidation type="textLength" allowBlank="1" showInputMessage="1" showErrorMessage="1" sqref="F13:J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AF40"/>
  <sheetViews>
    <sheetView zoomScaleNormal="100" zoomScaleSheetLayoutView="100" workbookViewId="0">
      <selection sqref="A1:K1"/>
    </sheetView>
  </sheetViews>
  <sheetFormatPr defaultColWidth="11.44140625" defaultRowHeight="14.4" x14ac:dyDescent="0.3"/>
  <cols>
    <col min="1" max="1" width="3.6640625" style="22" customWidth="1"/>
    <col min="2" max="2" width="3.6640625" style="22" hidden="1" customWidth="1"/>
    <col min="3" max="3" width="3.6640625" style="22" customWidth="1"/>
    <col min="4" max="4" width="5.6640625" style="22" customWidth="1"/>
    <col min="5" max="5" width="23.44140625" style="22" customWidth="1"/>
    <col min="6" max="7" width="5.6640625" style="22" customWidth="1"/>
    <col min="8" max="11" width="10.6640625" style="22" customWidth="1"/>
    <col min="12" max="16384" width="11.44140625" style="22"/>
  </cols>
  <sheetData>
    <row r="1" spans="1:32" s="21" customFormat="1" ht="24.9" customHeight="1" x14ac:dyDescent="0.6">
      <c r="A1" s="242" t="str">
        <f>Doku!B28</f>
        <v>Kata Meisterschaft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</row>
    <row r="2" spans="1:32" s="24" customFormat="1" ht="20.100000000000001" customHeight="1" x14ac:dyDescent="0.55000000000000004">
      <c r="A2" s="243" t="str">
        <f>Doku!B29</f>
        <v>des Deutschen Judobundes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</row>
    <row r="3" spans="1:32" s="21" customFormat="1" ht="39.9" customHeight="1" x14ac:dyDescent="0.6">
      <c r="A3" s="244" t="s">
        <v>224</v>
      </c>
      <c r="B3" s="244"/>
      <c r="C3" s="244"/>
      <c r="D3" s="244"/>
      <c r="E3" s="244"/>
      <c r="F3" s="244"/>
      <c r="G3" s="244"/>
      <c r="H3" s="244"/>
      <c r="I3" s="244"/>
      <c r="J3" s="244"/>
      <c r="K3" s="244"/>
    </row>
    <row r="4" spans="1:32" s="21" customFormat="1" ht="12" customHeight="1" x14ac:dyDescent="0.6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" customHeight="1" x14ac:dyDescent="0.3">
      <c r="A5" s="289" t="str">
        <f>Doku!B31&amp;":"</f>
        <v>Bewerter:</v>
      </c>
      <c r="B5" s="289"/>
      <c r="C5" s="289"/>
      <c r="D5" s="289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65">
      <c r="A6" s="1"/>
      <c r="B6" s="1"/>
      <c r="C6" s="2"/>
      <c r="D6" s="2"/>
      <c r="E6" s="70"/>
      <c r="F6" s="71"/>
      <c r="G6" s="71"/>
      <c r="H6" s="300"/>
      <c r="I6" s="300"/>
      <c r="J6" s="300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4">
      <c r="A7" s="12"/>
      <c r="B7" s="12"/>
      <c r="C7" s="12"/>
      <c r="D7" s="298" t="str">
        <f>Doku!B33</f>
        <v>Nachname</v>
      </c>
      <c r="E7" s="292"/>
      <c r="F7" s="290" t="str">
        <f>Doku!B34</f>
        <v>Vorname</v>
      </c>
      <c r="G7" s="291"/>
      <c r="H7" s="292"/>
      <c r="I7" s="293" t="str">
        <f>Doku!B35</f>
        <v>Verein</v>
      </c>
      <c r="J7" s="293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" customHeight="1" x14ac:dyDescent="0.3">
      <c r="A8" s="16" t="s">
        <v>31</v>
      </c>
      <c r="B8" s="16"/>
      <c r="C8" s="16"/>
      <c r="D8" s="299"/>
      <c r="E8" s="296"/>
      <c r="F8" s="294"/>
      <c r="G8" s="295"/>
      <c r="H8" s="296"/>
      <c r="I8" s="297"/>
      <c r="J8" s="297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" customHeight="1" thickBot="1" x14ac:dyDescent="0.35">
      <c r="A9" s="16" t="s">
        <v>32</v>
      </c>
      <c r="B9" s="16"/>
      <c r="C9" s="16"/>
      <c r="D9" s="288"/>
      <c r="E9" s="282"/>
      <c r="F9" s="280"/>
      <c r="G9" s="281"/>
      <c r="H9" s="282"/>
      <c r="I9" s="283"/>
      <c r="J9" s="283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5">
      <c r="A10" s="1"/>
      <c r="B10" s="1"/>
      <c r="C10" s="2"/>
      <c r="D10" s="2"/>
      <c r="E10" s="135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5">
      <c r="A11" s="5"/>
      <c r="B11" s="5"/>
      <c r="C11" s="5"/>
      <c r="D11" s="5"/>
      <c r="E11" s="5"/>
      <c r="F11" s="284" t="str">
        <f>Doku!B38</f>
        <v>Kleiner Fehler</v>
      </c>
      <c r="G11" s="285"/>
      <c r="H11" s="161" t="str">
        <f>Doku!B39</f>
        <v>Mittlerer Fehler</v>
      </c>
      <c r="I11" s="161" t="str">
        <f>Doku!B40</f>
        <v>Großer Fehler</v>
      </c>
      <c r="J11" s="286" t="str">
        <f>Doku!B41</f>
        <v>Technik vergessen</v>
      </c>
      <c r="K11" s="264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5">
      <c r="A12" s="266" t="str">
        <f>Doku!B37</f>
        <v>Technik</v>
      </c>
      <c r="B12" s="267"/>
      <c r="C12" s="267"/>
      <c r="D12" s="267"/>
      <c r="E12" s="268"/>
      <c r="F12" s="269">
        <v>1</v>
      </c>
      <c r="G12" s="270"/>
      <c r="H12" s="162">
        <v>3</v>
      </c>
      <c r="I12" s="162">
        <v>5</v>
      </c>
      <c r="J12" s="287"/>
      <c r="K12" s="265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5">
      <c r="A13" s="6">
        <v>1</v>
      </c>
      <c r="B13" s="114"/>
      <c r="C13" s="55"/>
      <c r="D13" s="274" t="s">
        <v>7</v>
      </c>
      <c r="E13" s="275"/>
      <c r="F13" s="48"/>
      <c r="G13" s="141"/>
      <c r="H13" s="163"/>
      <c r="I13" s="163"/>
      <c r="J13" s="150"/>
      <c r="K13" s="150" t="str">
        <f>IF($K$37&lt;&gt;"",IF(SUMPRODUCT(--(TRIM(J13)&lt;&gt;""))&lt;&gt;0,0,MAX(1,10-5*(SUMPRODUCT(--(TRIM(I13)&lt;&gt;"")))-3*(SUMPRODUCT(--(TRIM(H13)&lt;&gt;"")))-1*SUMPRODUCT(--(TRIM(F13:G13)&lt;&gt;"")))),"")</f>
        <v/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3">
      <c r="A14" s="7">
        <v>2</v>
      </c>
      <c r="B14" s="7"/>
      <c r="C14" s="250" t="s">
        <v>8</v>
      </c>
      <c r="D14" s="258" t="s">
        <v>9</v>
      </c>
      <c r="E14" s="259"/>
      <c r="F14" s="33"/>
      <c r="G14" s="142"/>
      <c r="H14" s="164"/>
      <c r="I14" s="164"/>
      <c r="J14" s="151"/>
      <c r="K14" s="151" t="str">
        <f t="shared" ref="K14:K29" si="0">IF($K$37&lt;&gt;"",IF(SUMPRODUCT(--(TRIM(J14)&lt;&gt;""))&lt;&gt;0,0,MAX(1,10-5*(SUMPRODUCT(--(TRIM(I14)&lt;&gt;"")))-3*(SUMPRODUCT(--(TRIM(H14)&lt;&gt;"")))-1*SUMPRODUCT(--(TRIM(F14:G14)&lt;&gt;"")))),"")</f>
        <v/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3">
      <c r="A15" s="8">
        <v>3</v>
      </c>
      <c r="B15" s="7"/>
      <c r="C15" s="251"/>
      <c r="D15" s="260" t="s">
        <v>10</v>
      </c>
      <c r="E15" s="261"/>
      <c r="F15" s="50"/>
      <c r="G15" s="143"/>
      <c r="H15" s="165"/>
      <c r="I15" s="165"/>
      <c r="J15" s="152"/>
      <c r="K15" s="152" t="str">
        <f t="shared" si="0"/>
        <v/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thickBot="1" x14ac:dyDescent="0.35">
      <c r="A16" s="9">
        <v>4</v>
      </c>
      <c r="B16" s="7"/>
      <c r="C16" s="251"/>
      <c r="D16" s="262" t="s">
        <v>11</v>
      </c>
      <c r="E16" s="263"/>
      <c r="F16" s="34"/>
      <c r="G16" s="144"/>
      <c r="H16" s="166"/>
      <c r="I16" s="166"/>
      <c r="J16" s="153"/>
      <c r="K16" s="153" t="str">
        <f t="shared" si="0"/>
        <v/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3">
      <c r="A17" s="7">
        <v>5</v>
      </c>
      <c r="B17" s="7"/>
      <c r="C17" s="250" t="s">
        <v>12</v>
      </c>
      <c r="D17" s="252" t="s">
        <v>13</v>
      </c>
      <c r="E17" s="253"/>
      <c r="F17" s="49"/>
      <c r="G17" s="145"/>
      <c r="H17" s="167"/>
      <c r="I17" s="167"/>
      <c r="J17" s="154"/>
      <c r="K17" s="154" t="str">
        <f t="shared" si="0"/>
        <v/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x14ac:dyDescent="0.3">
      <c r="A18" s="8">
        <v>6</v>
      </c>
      <c r="B18" s="7"/>
      <c r="C18" s="251"/>
      <c r="D18" s="254" t="s">
        <v>14</v>
      </c>
      <c r="E18" s="255"/>
      <c r="F18" s="32"/>
      <c r="G18" s="146"/>
      <c r="H18" s="168"/>
      <c r="I18" s="168"/>
      <c r="J18" s="155"/>
      <c r="K18" s="155" t="str">
        <f t="shared" si="0"/>
        <v/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thickBot="1" x14ac:dyDescent="0.35">
      <c r="A19" s="9">
        <v>7</v>
      </c>
      <c r="B19" s="7"/>
      <c r="C19" s="251"/>
      <c r="D19" s="256" t="s">
        <v>15</v>
      </c>
      <c r="E19" s="257"/>
      <c r="F19" s="51"/>
      <c r="G19" s="147"/>
      <c r="H19" s="169"/>
      <c r="I19" s="169"/>
      <c r="J19" s="156"/>
      <c r="K19" s="156" t="str">
        <f t="shared" si="0"/>
        <v/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customHeight="1" x14ac:dyDescent="0.3">
      <c r="A20" s="10">
        <v>8</v>
      </c>
      <c r="B20" s="98"/>
      <c r="C20" s="250" t="s">
        <v>16</v>
      </c>
      <c r="D20" s="258" t="s">
        <v>17</v>
      </c>
      <c r="E20" s="259"/>
      <c r="F20" s="33"/>
      <c r="G20" s="142"/>
      <c r="H20" s="164"/>
      <c r="I20" s="164"/>
      <c r="J20" s="151"/>
      <c r="K20" s="151" t="str">
        <f t="shared" si="0"/>
        <v/>
      </c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customHeight="1" x14ac:dyDescent="0.3">
      <c r="A21" s="8">
        <v>9</v>
      </c>
      <c r="B21" s="7"/>
      <c r="C21" s="251"/>
      <c r="D21" s="260" t="s">
        <v>18</v>
      </c>
      <c r="E21" s="261"/>
      <c r="F21" s="50"/>
      <c r="G21" s="143"/>
      <c r="H21" s="165"/>
      <c r="I21" s="165"/>
      <c r="J21" s="152"/>
      <c r="K21" s="152" t="str">
        <f t="shared" si="0"/>
        <v/>
      </c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customHeight="1" thickBot="1" x14ac:dyDescent="0.35">
      <c r="A22" s="9">
        <v>10</v>
      </c>
      <c r="B22" s="7"/>
      <c r="C22" s="251"/>
      <c r="D22" s="262" t="s">
        <v>19</v>
      </c>
      <c r="E22" s="263"/>
      <c r="F22" s="34"/>
      <c r="G22" s="144"/>
      <c r="H22" s="166"/>
      <c r="I22" s="166"/>
      <c r="J22" s="153"/>
      <c r="K22" s="153" t="str">
        <f t="shared" si="0"/>
        <v/>
      </c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customHeight="1" x14ac:dyDescent="0.3">
      <c r="A23" s="10">
        <v>11</v>
      </c>
      <c r="B23" s="98"/>
      <c r="C23" s="250" t="s">
        <v>20</v>
      </c>
      <c r="D23" s="252" t="s">
        <v>21</v>
      </c>
      <c r="E23" s="253"/>
      <c r="F23" s="49"/>
      <c r="G23" s="145"/>
      <c r="H23" s="167"/>
      <c r="I23" s="167"/>
      <c r="J23" s="154"/>
      <c r="K23" s="154" t="str">
        <f t="shared" si="0"/>
        <v/>
      </c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customHeight="1" x14ac:dyDescent="0.3">
      <c r="A24" s="8">
        <v>12</v>
      </c>
      <c r="B24" s="7"/>
      <c r="C24" s="251"/>
      <c r="D24" s="254" t="s">
        <v>22</v>
      </c>
      <c r="E24" s="255"/>
      <c r="F24" s="32"/>
      <c r="G24" s="146"/>
      <c r="H24" s="168"/>
      <c r="I24" s="168"/>
      <c r="J24" s="155"/>
      <c r="K24" s="155" t="str">
        <f t="shared" si="0"/>
        <v/>
      </c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customHeight="1" thickBot="1" x14ac:dyDescent="0.35">
      <c r="A25" s="9">
        <v>13</v>
      </c>
      <c r="B25" s="7"/>
      <c r="C25" s="251"/>
      <c r="D25" s="256" t="s">
        <v>23</v>
      </c>
      <c r="E25" s="257"/>
      <c r="F25" s="51"/>
      <c r="G25" s="147"/>
      <c r="H25" s="169"/>
      <c r="I25" s="169"/>
      <c r="J25" s="156"/>
      <c r="K25" s="156" t="str">
        <f t="shared" si="0"/>
        <v/>
      </c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customHeight="1" x14ac:dyDescent="0.3">
      <c r="A26" s="10">
        <v>14</v>
      </c>
      <c r="B26" s="98"/>
      <c r="C26" s="250" t="s">
        <v>24</v>
      </c>
      <c r="D26" s="258" t="s">
        <v>25</v>
      </c>
      <c r="E26" s="259"/>
      <c r="F26" s="33"/>
      <c r="G26" s="142"/>
      <c r="H26" s="164"/>
      <c r="I26" s="164"/>
      <c r="J26" s="151"/>
      <c r="K26" s="151" t="str">
        <f t="shared" si="0"/>
        <v/>
      </c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customHeight="1" x14ac:dyDescent="0.3">
      <c r="A27" s="7">
        <v>15</v>
      </c>
      <c r="B27" s="7"/>
      <c r="C27" s="251"/>
      <c r="D27" s="260" t="s">
        <v>26</v>
      </c>
      <c r="E27" s="261"/>
      <c r="F27" s="50"/>
      <c r="G27" s="143"/>
      <c r="H27" s="165"/>
      <c r="I27" s="165"/>
      <c r="J27" s="152"/>
      <c r="K27" s="152" t="str">
        <f t="shared" si="0"/>
        <v/>
      </c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customHeight="1" thickBot="1" x14ac:dyDescent="0.35">
      <c r="A28" s="9">
        <v>16</v>
      </c>
      <c r="B28" s="7"/>
      <c r="C28" s="251"/>
      <c r="D28" s="262" t="s">
        <v>27</v>
      </c>
      <c r="E28" s="263"/>
      <c r="F28" s="54"/>
      <c r="G28" s="148"/>
      <c r="H28" s="170"/>
      <c r="I28" s="170"/>
      <c r="J28" s="157"/>
      <c r="K28" s="157" t="str">
        <f t="shared" si="0"/>
        <v/>
      </c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5">
      <c r="A29" s="11">
        <v>17</v>
      </c>
      <c r="B29" s="115"/>
      <c r="C29" s="53"/>
      <c r="D29" s="245" t="s">
        <v>28</v>
      </c>
      <c r="E29" s="246"/>
      <c r="F29" s="52"/>
      <c r="G29" s="149"/>
      <c r="H29" s="171"/>
      <c r="I29" s="171"/>
      <c r="J29" s="158"/>
      <c r="K29" s="158" t="str">
        <f t="shared" si="0"/>
        <v/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Top="1" thickBot="1" x14ac:dyDescent="0.35">
      <c r="A30" s="125"/>
      <c r="B30" s="126"/>
      <c r="C30" s="122"/>
      <c r="D30" s="136"/>
      <c r="E30" s="137"/>
      <c r="F30" s="127"/>
      <c r="G30" s="128"/>
      <c r="H30" s="172"/>
      <c r="I30" s="172"/>
      <c r="J30" s="159"/>
      <c r="K30" s="129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5">
      <c r="A31" s="125"/>
      <c r="B31" s="126"/>
      <c r="C31" s="122"/>
      <c r="D31" s="136"/>
      <c r="E31" s="137"/>
      <c r="F31" s="127"/>
      <c r="G31" s="128"/>
      <c r="H31" s="172"/>
      <c r="I31" s="172"/>
      <c r="J31" s="159"/>
      <c r="K31" s="129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5">
      <c r="A32" s="125"/>
      <c r="B32" s="126"/>
      <c r="C32" s="122"/>
      <c r="D32" s="136"/>
      <c r="E32" s="137"/>
      <c r="F32" s="127"/>
      <c r="G32" s="128"/>
      <c r="H32" s="172"/>
      <c r="I32" s="172"/>
      <c r="J32" s="159"/>
      <c r="K32" s="129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5">
      <c r="A33" s="125"/>
      <c r="B33" s="126"/>
      <c r="C33" s="122"/>
      <c r="D33" s="136"/>
      <c r="E33" s="137"/>
      <c r="F33" s="127"/>
      <c r="G33" s="128"/>
      <c r="H33" s="172"/>
      <c r="I33" s="172"/>
      <c r="J33" s="159"/>
      <c r="K33" s="129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5">
      <c r="A34" s="125"/>
      <c r="B34" s="126"/>
      <c r="C34" s="122"/>
      <c r="D34" s="136"/>
      <c r="E34" s="137"/>
      <c r="F34" s="127"/>
      <c r="G34" s="128"/>
      <c r="H34" s="172"/>
      <c r="I34" s="172"/>
      <c r="J34" s="159"/>
      <c r="K34" s="129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5">
      <c r="A35" s="125"/>
      <c r="B35" s="126"/>
      <c r="C35" s="122"/>
      <c r="D35" s="136"/>
      <c r="E35" s="137"/>
      <c r="F35" s="127"/>
      <c r="G35" s="128"/>
      <c r="H35" s="172"/>
      <c r="I35" s="172"/>
      <c r="J35" s="159"/>
      <c r="K35" s="129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" customHeight="1" thickTop="1" thickBot="1" x14ac:dyDescent="0.35">
      <c r="A36" s="247" t="str">
        <f>Doku!B43&amp;":"</f>
        <v>Summe Fehler und Punkte:</v>
      </c>
      <c r="B36" s="248"/>
      <c r="C36" s="248"/>
      <c r="D36" s="248"/>
      <c r="E36" s="249"/>
      <c r="F36" s="278">
        <f>IF($K$37&lt;&gt;"",SUMPRODUCT(--(TRIM(F13:G29)&lt;&gt;"")),0)</f>
        <v>0</v>
      </c>
      <c r="G36" s="279" t="b">
        <f t="shared" ref="G36" si="1">IF($K$37&lt;&gt;"",COUNTIF(G13:G29,"x"))</f>
        <v>0</v>
      </c>
      <c r="H36" s="173">
        <f>IF($K$37&lt;&gt;"",SUMPRODUCT(--(TRIM(H13:H29)&lt;&gt;"")),0)</f>
        <v>0</v>
      </c>
      <c r="I36" s="173">
        <f>IF($K$37&lt;&gt;"",SUMPRODUCT(--(TRIM(I13:I29)&lt;&gt;"")),0)</f>
        <v>0</v>
      </c>
      <c r="J36" s="160">
        <f>IF($K$37&lt;&gt;"",SUMPRODUCT(--(TRIM(J13:J29)&lt;&gt;"")),0)</f>
        <v>0</v>
      </c>
      <c r="K36" s="30" t="str">
        <f>IF(K37&lt;&gt;"",IF(J36&lt;1,SUM(K13:K29),IF(J36&gt;=1,ROUNDUP(SUM(K13:K29)/2,0),"")),"")</f>
        <v/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5">
      <c r="A37" s="276" t="str">
        <f>Doku!B44&amp;":"</f>
        <v>Position:</v>
      </c>
      <c r="B37" s="277"/>
      <c r="C37" s="277"/>
      <c r="D37" s="277"/>
      <c r="E37" s="104"/>
      <c r="F37" s="271" t="str">
        <f>Doku!B45</f>
        <v>Übertrag ok?</v>
      </c>
      <c r="G37" s="272"/>
      <c r="H37" s="272"/>
      <c r="I37" s="272"/>
      <c r="J37" s="273"/>
      <c r="K37" s="31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" thickTop="1" x14ac:dyDescent="0.3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3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3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5">
    <mergeCell ref="D7:E7"/>
    <mergeCell ref="F7:H7"/>
    <mergeCell ref="I7:J7"/>
    <mergeCell ref="A1:K1"/>
    <mergeCell ref="A2:K2"/>
    <mergeCell ref="A3:K3"/>
    <mergeCell ref="A5:D5"/>
    <mergeCell ref="H6:J6"/>
    <mergeCell ref="D8:E8"/>
    <mergeCell ref="F8:H8"/>
    <mergeCell ref="I8:J8"/>
    <mergeCell ref="D9:E9"/>
    <mergeCell ref="F9:H9"/>
    <mergeCell ref="I9:J9"/>
    <mergeCell ref="K11:K12"/>
    <mergeCell ref="A12:E12"/>
    <mergeCell ref="F12:G12"/>
    <mergeCell ref="C14:C16"/>
    <mergeCell ref="D14:E14"/>
    <mergeCell ref="D15:E15"/>
    <mergeCell ref="D16:E16"/>
    <mergeCell ref="D13:E13"/>
    <mergeCell ref="F11:G11"/>
    <mergeCell ref="J11:J12"/>
    <mergeCell ref="C17:C19"/>
    <mergeCell ref="D17:E17"/>
    <mergeCell ref="D18:E18"/>
    <mergeCell ref="D19:E19"/>
    <mergeCell ref="C20:C22"/>
    <mergeCell ref="D20:E20"/>
    <mergeCell ref="D21:E21"/>
    <mergeCell ref="D22:E22"/>
    <mergeCell ref="C23:C25"/>
    <mergeCell ref="D23:E23"/>
    <mergeCell ref="D24:E24"/>
    <mergeCell ref="D25:E25"/>
    <mergeCell ref="A37:D37"/>
    <mergeCell ref="F37:J37"/>
    <mergeCell ref="C26:C28"/>
    <mergeCell ref="D26:E26"/>
    <mergeCell ref="D27:E27"/>
    <mergeCell ref="D28:E28"/>
    <mergeCell ref="D29:E29"/>
    <mergeCell ref="A36:E36"/>
    <mergeCell ref="F36:G36"/>
  </mergeCells>
  <dataValidations count="2">
    <dataValidation type="textLength" operator="equal" allowBlank="1" showInputMessage="1" showErrorMessage="1" sqref="F13">
      <formula1>1</formula1>
    </dataValidation>
    <dataValidation type="textLength" allowBlank="1" showInputMessage="1" showErrorMessage="1" sqref="G13:J35 F14:F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AF40"/>
  <sheetViews>
    <sheetView zoomScaleNormal="100" zoomScaleSheetLayoutView="100" workbookViewId="0">
      <selection sqref="A1:K1"/>
    </sheetView>
  </sheetViews>
  <sheetFormatPr defaultColWidth="11.44140625" defaultRowHeight="14.4" x14ac:dyDescent="0.3"/>
  <cols>
    <col min="1" max="1" width="3.6640625" style="22" customWidth="1"/>
    <col min="2" max="2" width="3.6640625" style="22" hidden="1" customWidth="1"/>
    <col min="3" max="3" width="3.6640625" style="22" customWidth="1"/>
    <col min="4" max="4" width="5.6640625" style="22" customWidth="1"/>
    <col min="5" max="5" width="23.44140625" style="22" customWidth="1"/>
    <col min="6" max="7" width="5.6640625" style="22" customWidth="1"/>
    <col min="8" max="11" width="10.6640625" style="22" customWidth="1"/>
    <col min="12" max="16384" width="11.44140625" style="22"/>
  </cols>
  <sheetData>
    <row r="1" spans="1:32" s="21" customFormat="1" ht="24.9" customHeight="1" x14ac:dyDescent="0.6">
      <c r="A1" s="242" t="str">
        <f>Doku!B28</f>
        <v>Kata Meisterschaft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</row>
    <row r="2" spans="1:32" s="24" customFormat="1" ht="20.100000000000001" customHeight="1" x14ac:dyDescent="0.55000000000000004">
      <c r="A2" s="243" t="str">
        <f>Doku!B29</f>
        <v>des Deutschen Judobundes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</row>
    <row r="3" spans="1:32" s="21" customFormat="1" ht="39.9" customHeight="1" x14ac:dyDescent="0.6">
      <c r="A3" s="352" t="s">
        <v>221</v>
      </c>
      <c r="B3" s="352"/>
      <c r="C3" s="352"/>
      <c r="D3" s="352"/>
      <c r="E3" s="352"/>
      <c r="F3" s="352"/>
      <c r="G3" s="352"/>
      <c r="H3" s="352"/>
      <c r="I3" s="352"/>
      <c r="J3" s="352"/>
      <c r="K3" s="352"/>
    </row>
    <row r="4" spans="1:32" s="21" customFormat="1" ht="12" customHeight="1" x14ac:dyDescent="0.6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" customHeight="1" x14ac:dyDescent="0.3">
      <c r="A5" s="289" t="str">
        <f>Doku!B31&amp;":"</f>
        <v>Bewerter:</v>
      </c>
      <c r="B5" s="289"/>
      <c r="C5" s="289"/>
      <c r="D5" s="289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65">
      <c r="A6" s="1"/>
      <c r="B6" s="1"/>
      <c r="C6" s="2"/>
      <c r="D6" s="2"/>
      <c r="E6" s="70"/>
      <c r="F6" s="71"/>
      <c r="G6" s="71"/>
      <c r="H6" s="300"/>
      <c r="I6" s="300"/>
      <c r="J6" s="300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4">
      <c r="A7" s="12"/>
      <c r="B7" s="12"/>
      <c r="C7" s="12"/>
      <c r="D7" s="298" t="str">
        <f>Doku!B33</f>
        <v>Nachname</v>
      </c>
      <c r="E7" s="292"/>
      <c r="F7" s="290" t="str">
        <f>Doku!B34</f>
        <v>Vorname</v>
      </c>
      <c r="G7" s="291"/>
      <c r="H7" s="292"/>
      <c r="I7" s="293" t="str">
        <f>Doku!B35</f>
        <v>Verein</v>
      </c>
      <c r="J7" s="293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" customHeight="1" x14ac:dyDescent="0.3">
      <c r="A8" s="16" t="s">
        <v>31</v>
      </c>
      <c r="B8" s="16"/>
      <c r="C8" s="16"/>
      <c r="D8" s="299"/>
      <c r="E8" s="296"/>
      <c r="F8" s="294"/>
      <c r="G8" s="295"/>
      <c r="H8" s="296"/>
      <c r="I8" s="297"/>
      <c r="J8" s="297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" customHeight="1" thickBot="1" x14ac:dyDescent="0.35">
      <c r="A9" s="16" t="s">
        <v>32</v>
      </c>
      <c r="B9" s="16"/>
      <c r="C9" s="16"/>
      <c r="D9" s="288"/>
      <c r="E9" s="282"/>
      <c r="F9" s="280"/>
      <c r="G9" s="281"/>
      <c r="H9" s="282"/>
      <c r="I9" s="283"/>
      <c r="J9" s="283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5">
      <c r="A10" s="1"/>
      <c r="B10" s="1"/>
      <c r="C10" s="2"/>
      <c r="D10" s="2"/>
      <c r="E10" s="135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5">
      <c r="A11" s="5"/>
      <c r="B11" s="5"/>
      <c r="C11" s="5"/>
      <c r="D11" s="5"/>
      <c r="E11" s="5"/>
      <c r="F11" s="284" t="str">
        <f>Doku!B38</f>
        <v>Kleiner Fehler</v>
      </c>
      <c r="G11" s="285"/>
      <c r="H11" s="161" t="str">
        <f>Doku!B39</f>
        <v>Mittlerer Fehler</v>
      </c>
      <c r="I11" s="161" t="str">
        <f>Doku!B40</f>
        <v>Großer Fehler</v>
      </c>
      <c r="J11" s="286" t="str">
        <f>Doku!B41</f>
        <v>Technik vergessen</v>
      </c>
      <c r="K11" s="264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5">
      <c r="A12" s="266" t="str">
        <f>Doku!B37</f>
        <v>Technik</v>
      </c>
      <c r="B12" s="267"/>
      <c r="C12" s="267"/>
      <c r="D12" s="267"/>
      <c r="E12" s="268"/>
      <c r="F12" s="269">
        <v>1</v>
      </c>
      <c r="G12" s="270"/>
      <c r="H12" s="162">
        <v>3</v>
      </c>
      <c r="I12" s="162">
        <v>5</v>
      </c>
      <c r="J12" s="287"/>
      <c r="K12" s="265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5">
      <c r="A13" s="6">
        <v>1</v>
      </c>
      <c r="B13" s="114"/>
      <c r="C13" s="55"/>
      <c r="D13" s="274" t="s">
        <v>7</v>
      </c>
      <c r="E13" s="275"/>
      <c r="F13" s="48"/>
      <c r="G13" s="141"/>
      <c r="H13" s="163"/>
      <c r="I13" s="163"/>
      <c r="J13" s="150"/>
      <c r="K13" s="150" t="str">
        <f>IF($K$37&lt;&gt;"",IF(SUMPRODUCT(--(TRIM(J13)&lt;&gt;""))&lt;&gt;0,0,MAX(1,10-5*(SUMPRODUCT(--(TRIM(I13)&lt;&gt;"")))-3*(SUMPRODUCT(--(TRIM(H13)&lt;&gt;"")))-1*SUMPRODUCT(--(TRIM(F13:G13)&lt;&gt;"")))),"")</f>
        <v/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3">
      <c r="A14" s="7">
        <v>2</v>
      </c>
      <c r="B14" s="7"/>
      <c r="C14" s="250" t="s">
        <v>219</v>
      </c>
      <c r="D14" s="258" t="s">
        <v>213</v>
      </c>
      <c r="E14" s="259"/>
      <c r="F14" s="33"/>
      <c r="G14" s="142"/>
      <c r="H14" s="164"/>
      <c r="I14" s="164"/>
      <c r="J14" s="151"/>
      <c r="K14" s="151" t="str">
        <f t="shared" ref="K14:K29" si="0">IF($K$37&lt;&gt;"",IF(SUMPRODUCT(--(TRIM(J14)&lt;&gt;""))&lt;&gt;0,0,MAX(1,10-5*(SUMPRODUCT(--(TRIM(I14)&lt;&gt;"")))-3*(SUMPRODUCT(--(TRIM(H14)&lt;&gt;"")))-1*SUMPRODUCT(--(TRIM(F14:G14)&lt;&gt;"")))),"")</f>
        <v/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3">
      <c r="A15" s="8">
        <v>3</v>
      </c>
      <c r="B15" s="7"/>
      <c r="C15" s="251"/>
      <c r="D15" s="260" t="s">
        <v>214</v>
      </c>
      <c r="E15" s="261"/>
      <c r="F15" s="50"/>
      <c r="G15" s="143"/>
      <c r="H15" s="165"/>
      <c r="I15" s="165"/>
      <c r="J15" s="152"/>
      <c r="K15" s="152" t="str">
        <f t="shared" si="0"/>
        <v/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thickBot="1" x14ac:dyDescent="0.35">
      <c r="A16" s="9">
        <v>4</v>
      </c>
      <c r="B16" s="7"/>
      <c r="C16" s="251"/>
      <c r="D16" s="262" t="s">
        <v>218</v>
      </c>
      <c r="E16" s="263"/>
      <c r="F16" s="34"/>
      <c r="G16" s="144"/>
      <c r="H16" s="166"/>
      <c r="I16" s="166"/>
      <c r="J16" s="153"/>
      <c r="K16" s="153" t="str">
        <f t="shared" si="0"/>
        <v/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3">
      <c r="A17" s="7">
        <v>5</v>
      </c>
      <c r="B17" s="7"/>
      <c r="C17" s="250" t="s">
        <v>220</v>
      </c>
      <c r="D17" s="252" t="s">
        <v>215</v>
      </c>
      <c r="E17" s="253"/>
      <c r="F17" s="49"/>
      <c r="G17" s="145"/>
      <c r="H17" s="167"/>
      <c r="I17" s="167"/>
      <c r="J17" s="154"/>
      <c r="K17" s="154" t="str">
        <f t="shared" si="0"/>
        <v/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x14ac:dyDescent="0.3">
      <c r="A18" s="8">
        <v>6</v>
      </c>
      <c r="B18" s="7"/>
      <c r="C18" s="251"/>
      <c r="D18" s="254" t="s">
        <v>216</v>
      </c>
      <c r="E18" s="255"/>
      <c r="F18" s="32"/>
      <c r="G18" s="146"/>
      <c r="H18" s="168"/>
      <c r="I18" s="168"/>
      <c r="J18" s="155"/>
      <c r="K18" s="155" t="str">
        <f t="shared" si="0"/>
        <v/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thickBot="1" x14ac:dyDescent="0.35">
      <c r="A19" s="9">
        <v>7</v>
      </c>
      <c r="B19" s="7"/>
      <c r="C19" s="251"/>
      <c r="D19" s="256" t="s">
        <v>217</v>
      </c>
      <c r="E19" s="257"/>
      <c r="F19" s="51"/>
      <c r="G19" s="147"/>
      <c r="H19" s="169"/>
      <c r="I19" s="169"/>
      <c r="J19" s="156"/>
      <c r="K19" s="156" t="str">
        <f t="shared" si="0"/>
        <v/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hidden="1" customHeight="1" x14ac:dyDescent="0.3">
      <c r="A20" s="10"/>
      <c r="B20" s="98"/>
      <c r="C20" s="250"/>
      <c r="D20" s="356"/>
      <c r="E20" s="357"/>
      <c r="F20" s="33"/>
      <c r="G20" s="142"/>
      <c r="H20" s="164"/>
      <c r="I20" s="164"/>
      <c r="J20" s="151"/>
      <c r="K20" s="151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hidden="1" customHeight="1" x14ac:dyDescent="0.3">
      <c r="A21" s="8"/>
      <c r="B21" s="7"/>
      <c r="C21" s="251"/>
      <c r="D21" s="260"/>
      <c r="E21" s="261"/>
      <c r="F21" s="50"/>
      <c r="G21" s="143"/>
      <c r="H21" s="165"/>
      <c r="I21" s="165"/>
      <c r="J21" s="152"/>
      <c r="K21" s="152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hidden="1" customHeight="1" thickBot="1" x14ac:dyDescent="0.35">
      <c r="A22" s="9"/>
      <c r="B22" s="7"/>
      <c r="C22" s="301"/>
      <c r="D22" s="358"/>
      <c r="E22" s="359"/>
      <c r="F22" s="34"/>
      <c r="G22" s="144"/>
      <c r="H22" s="166"/>
      <c r="I22" s="166"/>
      <c r="J22" s="153"/>
      <c r="K22" s="153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hidden="1" customHeight="1" x14ac:dyDescent="0.3">
      <c r="A23" s="10"/>
      <c r="B23" s="98"/>
      <c r="C23" s="250"/>
      <c r="D23" s="360"/>
      <c r="E23" s="361"/>
      <c r="F23" s="49"/>
      <c r="G23" s="145"/>
      <c r="H23" s="167"/>
      <c r="I23" s="167"/>
      <c r="J23" s="154"/>
      <c r="K23" s="154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hidden="1" customHeight="1" x14ac:dyDescent="0.3">
      <c r="A24" s="8"/>
      <c r="B24" s="7"/>
      <c r="C24" s="251"/>
      <c r="D24" s="254"/>
      <c r="E24" s="255"/>
      <c r="F24" s="32"/>
      <c r="G24" s="146"/>
      <c r="H24" s="168"/>
      <c r="I24" s="168"/>
      <c r="J24" s="155"/>
      <c r="K24" s="155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hidden="1" customHeight="1" thickBot="1" x14ac:dyDescent="0.35">
      <c r="A25" s="9"/>
      <c r="B25" s="7"/>
      <c r="C25" s="301"/>
      <c r="D25" s="362"/>
      <c r="E25" s="363"/>
      <c r="F25" s="51"/>
      <c r="G25" s="147"/>
      <c r="H25" s="169"/>
      <c r="I25" s="169"/>
      <c r="J25" s="156"/>
      <c r="K25" s="156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hidden="1" customHeight="1" x14ac:dyDescent="0.3">
      <c r="A26" s="10"/>
      <c r="B26" s="98"/>
      <c r="C26" s="250"/>
      <c r="D26" s="356"/>
      <c r="E26" s="357"/>
      <c r="F26" s="33"/>
      <c r="G26" s="142"/>
      <c r="H26" s="164"/>
      <c r="I26" s="164"/>
      <c r="J26" s="151"/>
      <c r="K26" s="151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hidden="1" customHeight="1" x14ac:dyDescent="0.3">
      <c r="A27" s="7"/>
      <c r="B27" s="7"/>
      <c r="C27" s="251"/>
      <c r="D27" s="260"/>
      <c r="E27" s="261"/>
      <c r="F27" s="50"/>
      <c r="G27" s="143"/>
      <c r="H27" s="165"/>
      <c r="I27" s="165"/>
      <c r="J27" s="152"/>
      <c r="K27" s="152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hidden="1" customHeight="1" thickBot="1" x14ac:dyDescent="0.35">
      <c r="A28" s="9"/>
      <c r="B28" s="7"/>
      <c r="C28" s="301"/>
      <c r="D28" s="358"/>
      <c r="E28" s="359"/>
      <c r="F28" s="54"/>
      <c r="G28" s="148"/>
      <c r="H28" s="170"/>
      <c r="I28" s="170"/>
      <c r="J28" s="157"/>
      <c r="K28" s="15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5">
      <c r="A29" s="11">
        <v>8</v>
      </c>
      <c r="B29" s="115"/>
      <c r="C29" s="53"/>
      <c r="D29" s="245" t="s">
        <v>28</v>
      </c>
      <c r="E29" s="246"/>
      <c r="F29" s="52"/>
      <c r="G29" s="149"/>
      <c r="H29" s="171"/>
      <c r="I29" s="171"/>
      <c r="J29" s="158"/>
      <c r="K29" s="158" t="str">
        <f t="shared" si="0"/>
        <v/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Top="1" thickBot="1" x14ac:dyDescent="0.35">
      <c r="A30" s="125"/>
      <c r="B30" s="126"/>
      <c r="C30" s="122"/>
      <c r="D30" s="136"/>
      <c r="E30" s="137"/>
      <c r="F30" s="127"/>
      <c r="G30" s="128"/>
      <c r="H30" s="172"/>
      <c r="I30" s="172"/>
      <c r="J30" s="159"/>
      <c r="K30" s="129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5">
      <c r="A31" s="125"/>
      <c r="B31" s="126"/>
      <c r="C31" s="122"/>
      <c r="D31" s="136"/>
      <c r="E31" s="137"/>
      <c r="F31" s="127"/>
      <c r="G31" s="128"/>
      <c r="H31" s="172"/>
      <c r="I31" s="172"/>
      <c r="J31" s="159"/>
      <c r="K31" s="129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5">
      <c r="A32" s="125"/>
      <c r="B32" s="126"/>
      <c r="C32" s="122"/>
      <c r="D32" s="136"/>
      <c r="E32" s="137"/>
      <c r="F32" s="127"/>
      <c r="G32" s="128"/>
      <c r="H32" s="172"/>
      <c r="I32" s="172"/>
      <c r="J32" s="159"/>
      <c r="K32" s="129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5">
      <c r="A33" s="125"/>
      <c r="B33" s="126"/>
      <c r="C33" s="122"/>
      <c r="D33" s="136"/>
      <c r="E33" s="137"/>
      <c r="F33" s="127"/>
      <c r="G33" s="128"/>
      <c r="H33" s="172"/>
      <c r="I33" s="172"/>
      <c r="J33" s="159"/>
      <c r="K33" s="129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5">
      <c r="A34" s="125"/>
      <c r="B34" s="126"/>
      <c r="C34" s="122"/>
      <c r="D34" s="136"/>
      <c r="E34" s="137"/>
      <c r="F34" s="127"/>
      <c r="G34" s="128"/>
      <c r="H34" s="172"/>
      <c r="I34" s="172"/>
      <c r="J34" s="159"/>
      <c r="K34" s="129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5">
      <c r="A35" s="125"/>
      <c r="B35" s="126"/>
      <c r="C35" s="122"/>
      <c r="D35" s="136"/>
      <c r="E35" s="137"/>
      <c r="F35" s="127"/>
      <c r="G35" s="128"/>
      <c r="H35" s="172"/>
      <c r="I35" s="172"/>
      <c r="J35" s="159"/>
      <c r="K35" s="129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" customHeight="1" thickTop="1" thickBot="1" x14ac:dyDescent="0.35">
      <c r="A36" s="247" t="str">
        <f>Doku!B43&amp;":"</f>
        <v>Summe Fehler und Punkte:</v>
      </c>
      <c r="B36" s="248"/>
      <c r="C36" s="248"/>
      <c r="D36" s="248"/>
      <c r="E36" s="249"/>
      <c r="F36" s="278">
        <f>IF($K$37&lt;&gt;"",SUMPRODUCT(--(TRIM(F13:G29)&lt;&gt;"")),0)</f>
        <v>0</v>
      </c>
      <c r="G36" s="279" t="b">
        <f t="shared" ref="G36" si="1">IF($K$37&lt;&gt;"",COUNTIF(G13:G29,"x"))</f>
        <v>0</v>
      </c>
      <c r="H36" s="173">
        <f>IF($K$37&lt;&gt;"",SUMPRODUCT(--(TRIM(H13:H29)&lt;&gt;"")),0)</f>
        <v>0</v>
      </c>
      <c r="I36" s="173">
        <f>IF($K$37&lt;&gt;"",SUMPRODUCT(--(TRIM(I13:I29)&lt;&gt;"")),0)</f>
        <v>0</v>
      </c>
      <c r="J36" s="160">
        <f>IF($K$37&lt;&gt;"",SUMPRODUCT(--(TRIM(J13:J29)&lt;&gt;"")),0)</f>
        <v>0</v>
      </c>
      <c r="K36" s="30" t="str">
        <f>IF(K37&lt;&gt;"",IF(J36&lt;1,SUM(K13:K29),IF(J36&gt;=1,ROUNDUP(SUM(K13:K29)/2,0),"")),"")</f>
        <v/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5">
      <c r="A37" s="276" t="str">
        <f>Doku!B44&amp;":"</f>
        <v>Position:</v>
      </c>
      <c r="B37" s="277"/>
      <c r="C37" s="277"/>
      <c r="D37" s="277"/>
      <c r="E37" s="104"/>
      <c r="F37" s="271" t="str">
        <f>Doku!B45</f>
        <v>Übertrag ok?</v>
      </c>
      <c r="G37" s="272"/>
      <c r="H37" s="272"/>
      <c r="I37" s="272"/>
      <c r="J37" s="273"/>
      <c r="K37" s="238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" thickTop="1" x14ac:dyDescent="0.3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3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3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5">
    <mergeCell ref="D7:E7"/>
    <mergeCell ref="F7:H7"/>
    <mergeCell ref="I7:J7"/>
    <mergeCell ref="A1:K1"/>
    <mergeCell ref="A2:K2"/>
    <mergeCell ref="A3:K3"/>
    <mergeCell ref="A5:D5"/>
    <mergeCell ref="H6:J6"/>
    <mergeCell ref="D8:E8"/>
    <mergeCell ref="F8:H8"/>
    <mergeCell ref="I8:J8"/>
    <mergeCell ref="D9:E9"/>
    <mergeCell ref="F9:H9"/>
    <mergeCell ref="I9:J9"/>
    <mergeCell ref="K11:K12"/>
    <mergeCell ref="A12:E12"/>
    <mergeCell ref="F12:G12"/>
    <mergeCell ref="C14:C16"/>
    <mergeCell ref="D14:E14"/>
    <mergeCell ref="D15:E15"/>
    <mergeCell ref="D16:E16"/>
    <mergeCell ref="D13:E13"/>
    <mergeCell ref="F11:G11"/>
    <mergeCell ref="J11:J12"/>
    <mergeCell ref="C17:C19"/>
    <mergeCell ref="D17:E17"/>
    <mergeCell ref="D18:E18"/>
    <mergeCell ref="D19:E19"/>
    <mergeCell ref="C20:C22"/>
    <mergeCell ref="D20:E20"/>
    <mergeCell ref="D21:E21"/>
    <mergeCell ref="D22:E22"/>
    <mergeCell ref="C23:C25"/>
    <mergeCell ref="D23:E23"/>
    <mergeCell ref="D24:E24"/>
    <mergeCell ref="D25:E25"/>
    <mergeCell ref="A37:D37"/>
    <mergeCell ref="F37:J37"/>
    <mergeCell ref="C26:C28"/>
    <mergeCell ref="D26:E26"/>
    <mergeCell ref="D27:E27"/>
    <mergeCell ref="D28:E28"/>
    <mergeCell ref="D29:E29"/>
    <mergeCell ref="A36:E36"/>
    <mergeCell ref="F36:G36"/>
  </mergeCells>
  <dataValidations count="2">
    <dataValidation type="textLength" allowBlank="1" showInputMessage="1" showErrorMessage="1" sqref="G13:J35 F14:F35">
      <formula1>1</formula1>
      <formula2>1</formula2>
    </dataValidation>
    <dataValidation type="textLength" operator="equal" allowBlank="1" showInputMessage="1" showErrorMessage="1" sqref="F13">
      <formula1>1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AF40"/>
  <sheetViews>
    <sheetView zoomScaleNormal="100" zoomScaleSheetLayoutView="100" workbookViewId="0">
      <selection sqref="A1:K1"/>
    </sheetView>
  </sheetViews>
  <sheetFormatPr defaultColWidth="11.44140625" defaultRowHeight="14.4" x14ac:dyDescent="0.3"/>
  <cols>
    <col min="1" max="1" width="3.6640625" style="22" customWidth="1"/>
    <col min="2" max="2" width="3.6640625" style="22" hidden="1" customWidth="1"/>
    <col min="3" max="3" width="3.6640625" style="22" customWidth="1"/>
    <col min="4" max="4" width="5.6640625" style="22" customWidth="1"/>
    <col min="5" max="5" width="23.44140625" style="22" customWidth="1"/>
    <col min="6" max="7" width="5.6640625" style="22" customWidth="1"/>
    <col min="8" max="11" width="10.6640625" style="22" customWidth="1"/>
    <col min="12" max="16384" width="11.44140625" style="22"/>
  </cols>
  <sheetData>
    <row r="1" spans="1:32" s="21" customFormat="1" ht="24.9" customHeight="1" x14ac:dyDescent="0.6">
      <c r="A1" s="242" t="str">
        <f>Doku!B28</f>
        <v>Kata Meisterschaft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</row>
    <row r="2" spans="1:32" s="24" customFormat="1" ht="20.100000000000001" customHeight="1" x14ac:dyDescent="0.55000000000000004">
      <c r="A2" s="243" t="str">
        <f>Doku!B29</f>
        <v>des Deutschen Judobundes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</row>
    <row r="3" spans="1:32" s="21" customFormat="1" ht="39.9" customHeight="1" x14ac:dyDescent="0.6">
      <c r="A3" s="352" t="s">
        <v>223</v>
      </c>
      <c r="B3" s="352"/>
      <c r="C3" s="352"/>
      <c r="D3" s="352"/>
      <c r="E3" s="352"/>
      <c r="F3" s="352"/>
      <c r="G3" s="352"/>
      <c r="H3" s="352"/>
      <c r="I3" s="352"/>
      <c r="J3" s="352"/>
      <c r="K3" s="352"/>
    </row>
    <row r="4" spans="1:32" s="21" customFormat="1" ht="12" customHeight="1" x14ac:dyDescent="0.6">
      <c r="A4" s="14"/>
      <c r="B4" s="14"/>
      <c r="C4" s="14"/>
      <c r="D4" s="14"/>
      <c r="E4" s="14"/>
      <c r="F4" s="15"/>
      <c r="G4" s="15"/>
      <c r="H4" s="15"/>
      <c r="I4" s="15"/>
      <c r="J4" s="15"/>
    </row>
    <row r="5" spans="1:32" ht="21.9" customHeight="1" x14ac:dyDescent="0.3">
      <c r="A5" s="289" t="str">
        <f>Doku!B31&amp;":"</f>
        <v>Bewerter:</v>
      </c>
      <c r="B5" s="289"/>
      <c r="C5" s="289"/>
      <c r="D5" s="289"/>
      <c r="E5" s="25"/>
      <c r="F5" s="16"/>
      <c r="G5" s="17" t="str">
        <f>Doku!B30&amp;":"</f>
        <v>Datum:</v>
      </c>
      <c r="H5" s="26"/>
      <c r="I5" s="18"/>
      <c r="J5" s="18" t="str">
        <f>Doku!B32&amp;":"</f>
        <v>Paar Nr:</v>
      </c>
      <c r="K5" s="23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</row>
    <row r="6" spans="1:32" ht="12" customHeight="1" thickBot="1" x14ac:dyDescent="0.65">
      <c r="A6" s="1"/>
      <c r="B6" s="1"/>
      <c r="C6" s="2"/>
      <c r="D6" s="2"/>
      <c r="E6" s="70"/>
      <c r="F6" s="71"/>
      <c r="G6" s="71"/>
      <c r="H6" s="300"/>
      <c r="I6" s="300"/>
      <c r="J6" s="300"/>
      <c r="K6" s="21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</row>
    <row r="7" spans="1:32" s="23" customFormat="1" ht="20.100000000000001" customHeight="1" x14ac:dyDescent="0.4">
      <c r="A7" s="12"/>
      <c r="B7" s="12"/>
      <c r="C7" s="12"/>
      <c r="D7" s="298" t="str">
        <f>Doku!B33</f>
        <v>Nachname</v>
      </c>
      <c r="E7" s="292"/>
      <c r="F7" s="290" t="str">
        <f>Doku!B34</f>
        <v>Vorname</v>
      </c>
      <c r="G7" s="291"/>
      <c r="H7" s="292"/>
      <c r="I7" s="293" t="str">
        <f>Doku!B35</f>
        <v>Verein</v>
      </c>
      <c r="J7" s="293"/>
      <c r="K7" s="13" t="str">
        <f>Doku!B36</f>
        <v>Land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</row>
    <row r="8" spans="1:32" ht="21.9" customHeight="1" x14ac:dyDescent="0.3">
      <c r="A8" s="16" t="s">
        <v>31</v>
      </c>
      <c r="B8" s="16"/>
      <c r="C8" s="16"/>
      <c r="D8" s="299"/>
      <c r="E8" s="296"/>
      <c r="F8" s="294"/>
      <c r="G8" s="295"/>
      <c r="H8" s="296"/>
      <c r="I8" s="297"/>
      <c r="J8" s="297"/>
      <c r="K8" s="19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</row>
    <row r="9" spans="1:32" ht="21.9" customHeight="1" thickBot="1" x14ac:dyDescent="0.35">
      <c r="A9" s="16" t="s">
        <v>32</v>
      </c>
      <c r="B9" s="16"/>
      <c r="C9" s="16"/>
      <c r="D9" s="288"/>
      <c r="E9" s="282"/>
      <c r="F9" s="280"/>
      <c r="G9" s="281"/>
      <c r="H9" s="282"/>
      <c r="I9" s="283"/>
      <c r="J9" s="283"/>
      <c r="K9" s="20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</row>
    <row r="10" spans="1:32" ht="12" customHeight="1" thickBot="1" x14ac:dyDescent="0.35">
      <c r="A10" s="1"/>
      <c r="B10" s="1"/>
      <c r="C10" s="2"/>
      <c r="D10" s="2"/>
      <c r="E10" s="138"/>
      <c r="F10" s="4"/>
      <c r="G10" s="4"/>
      <c r="H10" s="4"/>
      <c r="I10" s="4"/>
      <c r="J10" s="4"/>
      <c r="K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</row>
    <row r="11" spans="1:32" ht="39.75" customHeight="1" thickTop="1" thickBot="1" x14ac:dyDescent="0.35">
      <c r="A11" s="5"/>
      <c r="B11" s="5"/>
      <c r="C11" s="5"/>
      <c r="D11" s="5"/>
      <c r="E11" s="5"/>
      <c r="F11" s="284" t="str">
        <f>Doku!B38</f>
        <v>Kleiner Fehler</v>
      </c>
      <c r="G11" s="285"/>
      <c r="H11" s="161" t="str">
        <f>Doku!B39</f>
        <v>Mittlerer Fehler</v>
      </c>
      <c r="I11" s="161" t="str">
        <f>Doku!B40</f>
        <v>Großer Fehler</v>
      </c>
      <c r="J11" s="286" t="str">
        <f>Doku!B41</f>
        <v>Technik vergessen</v>
      </c>
      <c r="K11" s="264" t="str">
        <f>Doku!B42</f>
        <v>Gesamt</v>
      </c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</row>
    <row r="12" spans="1:32" s="23" customFormat="1" ht="20.100000000000001" customHeight="1" thickTop="1" thickBot="1" x14ac:dyDescent="0.45">
      <c r="A12" s="266" t="str">
        <f>Doku!B37</f>
        <v>Technik</v>
      </c>
      <c r="B12" s="267"/>
      <c r="C12" s="267"/>
      <c r="D12" s="267"/>
      <c r="E12" s="268"/>
      <c r="F12" s="269">
        <v>1</v>
      </c>
      <c r="G12" s="270"/>
      <c r="H12" s="162">
        <v>3</v>
      </c>
      <c r="I12" s="162">
        <v>5</v>
      </c>
      <c r="J12" s="287"/>
      <c r="K12" s="265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</row>
    <row r="13" spans="1:32" ht="27" customHeight="1" thickBot="1" x14ac:dyDescent="0.35">
      <c r="A13" s="6">
        <v>1</v>
      </c>
      <c r="B13" s="114"/>
      <c r="C13" s="55"/>
      <c r="D13" s="274" t="s">
        <v>7</v>
      </c>
      <c r="E13" s="275"/>
      <c r="F13" s="48"/>
      <c r="G13" s="141"/>
      <c r="H13" s="163"/>
      <c r="I13" s="163"/>
      <c r="J13" s="150"/>
      <c r="K13" s="150">
        <f>IF($K$37&lt;&gt;"",IF(SUMPRODUCT(--(TRIM(J13)&lt;&gt;""))&lt;&gt;0,0,MAX(1,10-5*(SUMPRODUCT(--(TRIM(I13)&lt;&gt;"")))-3*(SUMPRODUCT(--(TRIM(H13)&lt;&gt;"")))-1*SUMPRODUCT(--(TRIM(F13:G13)&lt;&gt;"")))),"")</f>
        <v>10</v>
      </c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1:32" ht="27" customHeight="1" x14ac:dyDescent="0.3">
      <c r="A14" s="7">
        <v>2</v>
      </c>
      <c r="B14" s="7"/>
      <c r="C14" s="250" t="s">
        <v>219</v>
      </c>
      <c r="D14" s="258" t="s">
        <v>213</v>
      </c>
      <c r="E14" s="259"/>
      <c r="F14" s="33"/>
      <c r="G14" s="142"/>
      <c r="H14" s="164"/>
      <c r="I14" s="164"/>
      <c r="J14" s="151"/>
      <c r="K14" s="151">
        <f t="shared" ref="K14:K29" si="0">IF($K$37&lt;&gt;"",IF(SUMPRODUCT(--(TRIM(J14)&lt;&gt;""))&lt;&gt;0,0,MAX(1,10-5*(SUMPRODUCT(--(TRIM(I14)&lt;&gt;"")))-3*(SUMPRODUCT(--(TRIM(H14)&lt;&gt;"")))-1*SUMPRODUCT(--(TRIM(F14:G14)&lt;&gt;"")))),"")</f>
        <v>10</v>
      </c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</row>
    <row r="15" spans="1:32" ht="27" customHeight="1" x14ac:dyDescent="0.3">
      <c r="A15" s="8">
        <v>3</v>
      </c>
      <c r="B15" s="7"/>
      <c r="C15" s="251"/>
      <c r="D15" s="260" t="s">
        <v>214</v>
      </c>
      <c r="E15" s="261"/>
      <c r="F15" s="50"/>
      <c r="G15" s="143"/>
      <c r="H15" s="165"/>
      <c r="I15" s="165"/>
      <c r="J15" s="152"/>
      <c r="K15" s="152">
        <f t="shared" si="0"/>
        <v>10</v>
      </c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</row>
    <row r="16" spans="1:32" ht="27" customHeight="1" thickBot="1" x14ac:dyDescent="0.35">
      <c r="A16" s="9">
        <v>4</v>
      </c>
      <c r="B16" s="7"/>
      <c r="C16" s="251"/>
      <c r="D16" s="262" t="s">
        <v>218</v>
      </c>
      <c r="E16" s="263"/>
      <c r="F16" s="34"/>
      <c r="G16" s="144"/>
      <c r="H16" s="166"/>
      <c r="I16" s="166"/>
      <c r="J16" s="153"/>
      <c r="K16" s="153">
        <f t="shared" si="0"/>
        <v>10</v>
      </c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</row>
    <row r="17" spans="1:32" ht="27" customHeight="1" x14ac:dyDescent="0.3">
      <c r="A17" s="7">
        <v>5</v>
      </c>
      <c r="B17" s="7"/>
      <c r="C17" s="250" t="s">
        <v>220</v>
      </c>
      <c r="D17" s="252" t="s">
        <v>215</v>
      </c>
      <c r="E17" s="253"/>
      <c r="F17" s="49"/>
      <c r="G17" s="145"/>
      <c r="H17" s="167"/>
      <c r="I17" s="167"/>
      <c r="J17" s="154"/>
      <c r="K17" s="154">
        <f t="shared" si="0"/>
        <v>10</v>
      </c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</row>
    <row r="18" spans="1:32" ht="27" customHeight="1" x14ac:dyDescent="0.3">
      <c r="A18" s="8">
        <v>6</v>
      </c>
      <c r="B18" s="7"/>
      <c r="C18" s="251"/>
      <c r="D18" s="254" t="s">
        <v>216</v>
      </c>
      <c r="E18" s="255"/>
      <c r="F18" s="32"/>
      <c r="G18" s="146"/>
      <c r="H18" s="168"/>
      <c r="I18" s="168"/>
      <c r="J18" s="155"/>
      <c r="K18" s="155">
        <f t="shared" si="0"/>
        <v>10</v>
      </c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</row>
    <row r="19" spans="1:32" ht="27" customHeight="1" thickBot="1" x14ac:dyDescent="0.35">
      <c r="A19" s="9">
        <v>7</v>
      </c>
      <c r="B19" s="7"/>
      <c r="C19" s="251"/>
      <c r="D19" s="256" t="s">
        <v>217</v>
      </c>
      <c r="E19" s="257"/>
      <c r="F19" s="51"/>
      <c r="G19" s="147"/>
      <c r="H19" s="169"/>
      <c r="I19" s="169"/>
      <c r="J19" s="156"/>
      <c r="K19" s="156">
        <f t="shared" si="0"/>
        <v>10</v>
      </c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</row>
    <row r="20" spans="1:32" ht="27" hidden="1" customHeight="1" x14ac:dyDescent="0.3">
      <c r="A20" s="10"/>
      <c r="B20" s="98"/>
      <c r="C20" s="250"/>
      <c r="D20" s="356"/>
      <c r="E20" s="357"/>
      <c r="F20" s="33"/>
      <c r="G20" s="142"/>
      <c r="H20" s="164"/>
      <c r="I20" s="164"/>
      <c r="J20" s="151"/>
      <c r="K20" s="151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</row>
    <row r="21" spans="1:32" ht="27" hidden="1" customHeight="1" x14ac:dyDescent="0.3">
      <c r="A21" s="8"/>
      <c r="B21" s="7"/>
      <c r="C21" s="251"/>
      <c r="D21" s="260"/>
      <c r="E21" s="261"/>
      <c r="F21" s="50"/>
      <c r="G21" s="143"/>
      <c r="H21" s="165"/>
      <c r="I21" s="165"/>
      <c r="J21" s="152"/>
      <c r="K21" s="152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</row>
    <row r="22" spans="1:32" ht="27" hidden="1" customHeight="1" thickBot="1" x14ac:dyDescent="0.35">
      <c r="A22" s="9"/>
      <c r="B22" s="7"/>
      <c r="C22" s="301"/>
      <c r="D22" s="358"/>
      <c r="E22" s="359"/>
      <c r="F22" s="34"/>
      <c r="G22" s="144"/>
      <c r="H22" s="166"/>
      <c r="I22" s="166"/>
      <c r="J22" s="153"/>
      <c r="K22" s="153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</row>
    <row r="23" spans="1:32" ht="27" hidden="1" customHeight="1" x14ac:dyDescent="0.3">
      <c r="A23" s="10"/>
      <c r="B23" s="98"/>
      <c r="C23" s="250"/>
      <c r="D23" s="360"/>
      <c r="E23" s="361"/>
      <c r="F23" s="49"/>
      <c r="G23" s="145"/>
      <c r="H23" s="167"/>
      <c r="I23" s="167"/>
      <c r="J23" s="154"/>
      <c r="K23" s="154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</row>
    <row r="24" spans="1:32" ht="27" hidden="1" customHeight="1" x14ac:dyDescent="0.3">
      <c r="A24" s="8"/>
      <c r="B24" s="7"/>
      <c r="C24" s="251"/>
      <c r="D24" s="254"/>
      <c r="E24" s="255"/>
      <c r="F24" s="32"/>
      <c r="G24" s="146"/>
      <c r="H24" s="168"/>
      <c r="I24" s="168"/>
      <c r="J24" s="155"/>
      <c r="K24" s="155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</row>
    <row r="25" spans="1:32" ht="27" hidden="1" customHeight="1" thickBot="1" x14ac:dyDescent="0.35">
      <c r="A25" s="9"/>
      <c r="B25" s="7"/>
      <c r="C25" s="301"/>
      <c r="D25" s="362"/>
      <c r="E25" s="363"/>
      <c r="F25" s="51"/>
      <c r="G25" s="147"/>
      <c r="H25" s="169"/>
      <c r="I25" s="169"/>
      <c r="J25" s="156"/>
      <c r="K25" s="156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1:32" ht="27" hidden="1" customHeight="1" x14ac:dyDescent="0.3">
      <c r="A26" s="10"/>
      <c r="B26" s="98"/>
      <c r="C26" s="250"/>
      <c r="D26" s="356"/>
      <c r="E26" s="357"/>
      <c r="F26" s="33"/>
      <c r="G26" s="142"/>
      <c r="H26" s="164"/>
      <c r="I26" s="164"/>
      <c r="J26" s="151"/>
      <c r="K26" s="151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1:32" ht="27" hidden="1" customHeight="1" x14ac:dyDescent="0.3">
      <c r="A27" s="7"/>
      <c r="B27" s="7"/>
      <c r="C27" s="251"/>
      <c r="D27" s="260"/>
      <c r="E27" s="261"/>
      <c r="F27" s="50"/>
      <c r="G27" s="143"/>
      <c r="H27" s="165"/>
      <c r="I27" s="165"/>
      <c r="J27" s="152"/>
      <c r="K27" s="152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</row>
    <row r="28" spans="1:32" ht="27" hidden="1" customHeight="1" thickBot="1" x14ac:dyDescent="0.35">
      <c r="A28" s="9"/>
      <c r="B28" s="7"/>
      <c r="C28" s="301"/>
      <c r="D28" s="358"/>
      <c r="E28" s="359"/>
      <c r="F28" s="54"/>
      <c r="G28" s="148"/>
      <c r="H28" s="170"/>
      <c r="I28" s="170"/>
      <c r="J28" s="157"/>
      <c r="K28" s="15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</row>
    <row r="29" spans="1:32" ht="27" customHeight="1" thickBot="1" x14ac:dyDescent="0.35">
      <c r="A29" s="11">
        <v>8</v>
      </c>
      <c r="B29" s="115"/>
      <c r="C29" s="53"/>
      <c r="D29" s="245" t="s">
        <v>28</v>
      </c>
      <c r="E29" s="246"/>
      <c r="F29" s="52"/>
      <c r="G29" s="149"/>
      <c r="H29" s="171"/>
      <c r="I29" s="171"/>
      <c r="J29" s="158"/>
      <c r="K29" s="158">
        <f t="shared" si="0"/>
        <v>10</v>
      </c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</row>
    <row r="30" spans="1:32" ht="27" hidden="1" customHeight="1" thickTop="1" thickBot="1" x14ac:dyDescent="0.35">
      <c r="A30" s="125"/>
      <c r="B30" s="126"/>
      <c r="C30" s="122"/>
      <c r="D30" s="139"/>
      <c r="E30" s="140"/>
      <c r="F30" s="127"/>
      <c r="G30" s="128"/>
      <c r="H30" s="172"/>
      <c r="I30" s="172"/>
      <c r="J30" s="159"/>
      <c r="K30" s="129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</row>
    <row r="31" spans="1:32" ht="27" hidden="1" customHeight="1" thickTop="1" thickBot="1" x14ac:dyDescent="0.35">
      <c r="A31" s="125"/>
      <c r="B31" s="126"/>
      <c r="C31" s="122"/>
      <c r="D31" s="139"/>
      <c r="E31" s="140"/>
      <c r="F31" s="127"/>
      <c r="G31" s="128"/>
      <c r="H31" s="172"/>
      <c r="I31" s="172"/>
      <c r="J31" s="159"/>
      <c r="K31" s="129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</row>
    <row r="32" spans="1:32" ht="27" hidden="1" customHeight="1" thickTop="1" thickBot="1" x14ac:dyDescent="0.35">
      <c r="A32" s="125"/>
      <c r="B32" s="126"/>
      <c r="C32" s="122"/>
      <c r="D32" s="139"/>
      <c r="E32" s="140"/>
      <c r="F32" s="127"/>
      <c r="G32" s="128"/>
      <c r="H32" s="172"/>
      <c r="I32" s="172"/>
      <c r="J32" s="159"/>
      <c r="K32" s="129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</row>
    <row r="33" spans="1:32" ht="27" hidden="1" customHeight="1" thickTop="1" thickBot="1" x14ac:dyDescent="0.35">
      <c r="A33" s="125"/>
      <c r="B33" s="126"/>
      <c r="C33" s="122"/>
      <c r="D33" s="139"/>
      <c r="E33" s="140"/>
      <c r="F33" s="127"/>
      <c r="G33" s="128"/>
      <c r="H33" s="172"/>
      <c r="I33" s="172"/>
      <c r="J33" s="159"/>
      <c r="K33" s="129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</row>
    <row r="34" spans="1:32" ht="27" hidden="1" customHeight="1" thickTop="1" thickBot="1" x14ac:dyDescent="0.35">
      <c r="A34" s="125"/>
      <c r="B34" s="126"/>
      <c r="C34" s="122"/>
      <c r="D34" s="139"/>
      <c r="E34" s="140"/>
      <c r="F34" s="127"/>
      <c r="G34" s="128"/>
      <c r="H34" s="172"/>
      <c r="I34" s="172"/>
      <c r="J34" s="159"/>
      <c r="K34" s="129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</row>
    <row r="35" spans="1:32" ht="27" hidden="1" customHeight="1" thickTop="1" thickBot="1" x14ac:dyDescent="0.35">
      <c r="A35" s="125"/>
      <c r="B35" s="126"/>
      <c r="C35" s="122"/>
      <c r="D35" s="139"/>
      <c r="E35" s="140"/>
      <c r="F35" s="127"/>
      <c r="G35" s="128"/>
      <c r="H35" s="172"/>
      <c r="I35" s="172"/>
      <c r="J35" s="159"/>
      <c r="K35" s="129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</row>
    <row r="36" spans="1:32" ht="21.9" customHeight="1" thickTop="1" thickBot="1" x14ac:dyDescent="0.35">
      <c r="A36" s="247" t="str">
        <f>Doku!B43&amp;":"</f>
        <v>Summe Fehler und Punkte:</v>
      </c>
      <c r="B36" s="248"/>
      <c r="C36" s="248"/>
      <c r="D36" s="248"/>
      <c r="E36" s="249"/>
      <c r="F36" s="278">
        <f>IF($K$37&lt;&gt;"",SUMPRODUCT(--(TRIM(F13:G29)&lt;&gt;"")),0)</f>
        <v>0</v>
      </c>
      <c r="G36" s="279">
        <f t="shared" ref="G36" si="1">IF($K$37&lt;&gt;"",COUNTIF(G13:G29,"x"))</f>
        <v>0</v>
      </c>
      <c r="H36" s="173">
        <f>IF($K$37&lt;&gt;"",SUMPRODUCT(--(TRIM(H13:H29)&lt;&gt;"")),0)</f>
        <v>0</v>
      </c>
      <c r="I36" s="173">
        <f>IF($K$37&lt;&gt;"",SUMPRODUCT(--(TRIM(I13:I29)&lt;&gt;"")),0)</f>
        <v>0</v>
      </c>
      <c r="J36" s="160">
        <f>IF($K$37&lt;&gt;"",SUMPRODUCT(--(TRIM(J13:J29)&lt;&gt;"")),0)</f>
        <v>0</v>
      </c>
      <c r="K36" s="30">
        <f>IF(K37&lt;&gt;"",IF(J36&lt;1,SUM(K13:K29),IF(J36&gt;=1,ROUNDUP(SUM(K13:K29)/2,0),"")),"")</f>
        <v>80</v>
      </c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</row>
    <row r="37" spans="1:32" ht="20.100000000000001" customHeight="1" thickTop="1" thickBot="1" x14ac:dyDescent="0.35">
      <c r="A37" s="276" t="str">
        <f>Doku!B44&amp;":"</f>
        <v>Position:</v>
      </c>
      <c r="B37" s="277"/>
      <c r="C37" s="277"/>
      <c r="D37" s="277"/>
      <c r="E37" s="104"/>
      <c r="F37" s="271" t="str">
        <f>Doku!B45</f>
        <v>Übertrag ok?</v>
      </c>
      <c r="G37" s="272"/>
      <c r="H37" s="272"/>
      <c r="I37" s="272"/>
      <c r="J37" s="273"/>
      <c r="K37" s="31" t="s">
        <v>228</v>
      </c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</row>
    <row r="38" spans="1:32" ht="15" thickTop="1" x14ac:dyDescent="0.3"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1:32" x14ac:dyDescent="0.3"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</row>
    <row r="40" spans="1:32" x14ac:dyDescent="0.3"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</row>
  </sheetData>
  <mergeCells count="45">
    <mergeCell ref="F37:J37"/>
    <mergeCell ref="C26:C28"/>
    <mergeCell ref="D26:E26"/>
    <mergeCell ref="D27:E27"/>
    <mergeCell ref="D28:E28"/>
    <mergeCell ref="D29:E29"/>
    <mergeCell ref="A36:E36"/>
    <mergeCell ref="F36:G36"/>
    <mergeCell ref="C23:C25"/>
    <mergeCell ref="D23:E23"/>
    <mergeCell ref="D24:E24"/>
    <mergeCell ref="D25:E25"/>
    <mergeCell ref="A37:D37"/>
    <mergeCell ref="C17:C19"/>
    <mergeCell ref="D17:E17"/>
    <mergeCell ref="D18:E18"/>
    <mergeCell ref="D19:E19"/>
    <mergeCell ref="C20:C22"/>
    <mergeCell ref="D20:E20"/>
    <mergeCell ref="D21:E21"/>
    <mergeCell ref="D22:E22"/>
    <mergeCell ref="K11:K12"/>
    <mergeCell ref="A12:E12"/>
    <mergeCell ref="F12:G12"/>
    <mergeCell ref="C14:C16"/>
    <mergeCell ref="D14:E14"/>
    <mergeCell ref="D15:E15"/>
    <mergeCell ref="D16:E16"/>
    <mergeCell ref="D13:E13"/>
    <mergeCell ref="F11:G11"/>
    <mergeCell ref="J11:J12"/>
    <mergeCell ref="D8:E8"/>
    <mergeCell ref="F8:H8"/>
    <mergeCell ref="I8:J8"/>
    <mergeCell ref="D9:E9"/>
    <mergeCell ref="F9:H9"/>
    <mergeCell ref="I9:J9"/>
    <mergeCell ref="D7:E7"/>
    <mergeCell ref="F7:H7"/>
    <mergeCell ref="I7:J7"/>
    <mergeCell ref="A1:K1"/>
    <mergeCell ref="A2:K2"/>
    <mergeCell ref="A3:K3"/>
    <mergeCell ref="A5:D5"/>
    <mergeCell ref="H6:J6"/>
  </mergeCells>
  <dataValidations count="2">
    <dataValidation type="textLength" operator="equal" allowBlank="1" showInputMessage="1" showErrorMessage="1" sqref="F13">
      <formula1>1</formula1>
    </dataValidation>
    <dataValidation type="textLength" allowBlank="1" showInputMessage="1" showErrorMessage="1" sqref="G13:J35 F14:F35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AE30"/>
  <sheetViews>
    <sheetView zoomScale="115" zoomScaleNormal="115" workbookViewId="0"/>
  </sheetViews>
  <sheetFormatPr defaultColWidth="11.5546875" defaultRowHeight="15" customHeight="1" x14ac:dyDescent="0.3"/>
  <cols>
    <col min="1" max="1" width="11.6640625" customWidth="1"/>
    <col min="2" max="2" width="22.6640625" customWidth="1"/>
    <col min="3" max="18" width="4.77734375" style="35" customWidth="1"/>
    <col min="19" max="24" width="4.77734375" style="35" hidden="1" customWidth="1"/>
    <col min="25" max="25" width="4.77734375" style="35" customWidth="1"/>
    <col min="26" max="27" width="6.77734375" style="35" customWidth="1"/>
    <col min="28" max="31" width="4.77734375" style="35" customWidth="1"/>
  </cols>
  <sheetData>
    <row r="1" spans="1:31" ht="15" customHeight="1" x14ac:dyDescent="0.3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130"/>
      <c r="T1" s="130"/>
      <c r="U1" s="130"/>
      <c r="V1" s="130"/>
      <c r="W1" s="130"/>
      <c r="X1" s="130"/>
      <c r="Y1" s="42"/>
      <c r="Z1"/>
      <c r="AA1"/>
      <c r="AB1"/>
      <c r="AC1"/>
      <c r="AD1"/>
      <c r="AE1" s="42"/>
    </row>
    <row r="2" spans="1:31" ht="127.95" customHeight="1" x14ac:dyDescent="0.3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9</v>
      </c>
      <c r="E2" s="44" t="s">
        <v>10</v>
      </c>
      <c r="F2" s="44" t="s">
        <v>11</v>
      </c>
      <c r="G2" s="44" t="s">
        <v>13</v>
      </c>
      <c r="H2" s="44" t="s">
        <v>14</v>
      </c>
      <c r="I2" s="44" t="s">
        <v>15</v>
      </c>
      <c r="J2" s="44" t="s">
        <v>17</v>
      </c>
      <c r="K2" s="44" t="s">
        <v>18</v>
      </c>
      <c r="L2" s="44" t="s">
        <v>19</v>
      </c>
      <c r="M2" s="44" t="s">
        <v>21</v>
      </c>
      <c r="N2" s="44" t="s">
        <v>22</v>
      </c>
      <c r="O2" s="44" t="s">
        <v>23</v>
      </c>
      <c r="P2" s="44" t="s">
        <v>25</v>
      </c>
      <c r="Q2" s="44" t="s">
        <v>26</v>
      </c>
      <c r="R2" s="44" t="s">
        <v>27</v>
      </c>
      <c r="S2" s="46"/>
      <c r="T2" s="46"/>
      <c r="U2" s="46"/>
      <c r="V2" s="46"/>
      <c r="W2" s="46"/>
      <c r="X2" s="46"/>
      <c r="Y2" s="44" t="str">
        <f>Doku!B52</f>
        <v>Abgrüßen</v>
      </c>
      <c r="Z2" s="45" t="str">
        <f>Doku!B42</f>
        <v>Gesamt</v>
      </c>
      <c r="AA2" s="44" t="s">
        <v>226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3">
      <c r="A3" s="364" t="str">
        <f>Doku!B42&amp;":"</f>
        <v>Gesamt:</v>
      </c>
      <c r="B3" s="364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112"/>
      <c r="T3" s="112"/>
      <c r="U3" s="112"/>
      <c r="V3" s="112"/>
      <c r="W3" s="112"/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3">
      <c r="A4" s="366" t="str">
        <f>Doku!B49&amp;":"</f>
        <v>Spannweite:</v>
      </c>
      <c r="B4" s="366"/>
      <c r="C4" s="239" t="e">
        <f t="shared" ref="C4:R4" ca="1" si="1">MAX(C8:C12)-MIN(C8:C12)</f>
        <v>#REF!</v>
      </c>
      <c r="D4" s="239" t="e">
        <f t="shared" ca="1" si="1"/>
        <v>#REF!</v>
      </c>
      <c r="E4" s="239" t="e">
        <f t="shared" ca="1" si="1"/>
        <v>#REF!</v>
      </c>
      <c r="F4" s="239" t="e">
        <f t="shared" ca="1" si="1"/>
        <v>#REF!</v>
      </c>
      <c r="G4" s="239" t="e">
        <f t="shared" ca="1" si="1"/>
        <v>#REF!</v>
      </c>
      <c r="H4" s="239" t="e">
        <f t="shared" ca="1" si="1"/>
        <v>#REF!</v>
      </c>
      <c r="I4" s="239" t="e">
        <f t="shared" ca="1" si="1"/>
        <v>#REF!</v>
      </c>
      <c r="J4" s="239" t="e">
        <f t="shared" ca="1" si="1"/>
        <v>#REF!</v>
      </c>
      <c r="K4" s="239" t="e">
        <f t="shared" ca="1" si="1"/>
        <v>#REF!</v>
      </c>
      <c r="L4" s="239" t="e">
        <f t="shared" ca="1" si="1"/>
        <v>#REF!</v>
      </c>
      <c r="M4" s="239" t="e">
        <f t="shared" ca="1" si="1"/>
        <v>#REF!</v>
      </c>
      <c r="N4" s="239" t="e">
        <f t="shared" ca="1" si="1"/>
        <v>#REF!</v>
      </c>
      <c r="O4" s="239" t="e">
        <f t="shared" ca="1" si="1"/>
        <v>#REF!</v>
      </c>
      <c r="P4" s="239" t="e">
        <f t="shared" ca="1" si="1"/>
        <v>#REF!</v>
      </c>
      <c r="Q4" s="239" t="e">
        <f t="shared" ca="1" si="1"/>
        <v>#REF!</v>
      </c>
      <c r="R4" s="239" t="e">
        <f t="shared" ca="1" si="1"/>
        <v>#REF!</v>
      </c>
      <c r="S4" s="240"/>
      <c r="T4" s="240"/>
      <c r="U4" s="240"/>
      <c r="V4" s="240"/>
      <c r="W4" s="240"/>
      <c r="X4" s="240"/>
      <c r="Y4" s="239" t="e">
        <f ca="1">MAX(Y8:Y12)-MIN(Y8:Y12)</f>
        <v>#REF!</v>
      </c>
      <c r="Z4" s="241" t="e">
        <f ca="1">MAX(Z8:Z12)-MIN(Z8:Z12)</f>
        <v>#REF!</v>
      </c>
      <c r="AA4" s="240"/>
      <c r="AB4" s="239" t="e">
        <f ca="1">MAX(AB8:AB12)-MIN(AB8:AB12)</f>
        <v>#REF!</v>
      </c>
      <c r="AC4" s="239" t="e">
        <f ca="1">MAX(AC8:AC12)-MIN(AC8:AC12)</f>
        <v>#REF!</v>
      </c>
      <c r="AD4" s="239" t="e">
        <f ca="1">MAX(AD8:AD13)-MIN(AD8:AD12)</f>
        <v>#REF!</v>
      </c>
      <c r="AE4" s="239" t="e">
        <f ca="1">MAX(AE8:AE13)-MIN(AE8:AE12)</f>
        <v>#REF!</v>
      </c>
    </row>
    <row r="5" spans="1:31" ht="15" customHeight="1" x14ac:dyDescent="0.3">
      <c r="A5" s="365" t="str">
        <f>Doku!B47&amp;":"</f>
        <v>Mittelwert:</v>
      </c>
      <c r="B5" s="365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 t="e">
        <f t="shared" ca="1" si="2"/>
        <v>#REF!</v>
      </c>
      <c r="K5" s="38" t="e">
        <f t="shared" ca="1" si="2"/>
        <v>#REF!</v>
      </c>
      <c r="L5" s="38" t="e">
        <f t="shared" ca="1" si="2"/>
        <v>#REF!</v>
      </c>
      <c r="M5" s="38" t="e">
        <f t="shared" ca="1" si="2"/>
        <v>#REF!</v>
      </c>
      <c r="N5" s="38" t="e">
        <f t="shared" ca="1" si="2"/>
        <v>#REF!</v>
      </c>
      <c r="O5" s="38" t="e">
        <f t="shared" ca="1" si="2"/>
        <v>#REF!</v>
      </c>
      <c r="P5" s="38" t="e">
        <f t="shared" ca="1" si="2"/>
        <v>#REF!</v>
      </c>
      <c r="Q5" s="38" t="e">
        <f t="shared" ca="1" si="2"/>
        <v>#REF!</v>
      </c>
      <c r="R5" s="38" t="e">
        <f t="shared" ca="1" si="2"/>
        <v>#REF!</v>
      </c>
      <c r="S5" s="38"/>
      <c r="T5" s="38"/>
      <c r="U5" s="38"/>
      <c r="V5" s="38"/>
      <c r="W5" s="38"/>
      <c r="X5" s="38"/>
      <c r="Y5" s="38" t="e">
        <f t="shared" ca="1" si="2"/>
        <v>#REF!</v>
      </c>
      <c r="Z5" s="39" t="e">
        <f t="shared" ca="1" si="2"/>
        <v>#REF!</v>
      </c>
      <c r="AA5" s="89"/>
      <c r="AB5" s="38" t="e">
        <f t="shared" ref="Y5:AE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31" ht="15" hidden="1" customHeight="1" x14ac:dyDescent="0.3">
      <c r="A6" s="365"/>
      <c r="B6" s="365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113"/>
      <c r="T6" s="113"/>
      <c r="U6" s="113"/>
      <c r="V6" s="113"/>
      <c r="W6" s="113"/>
      <c r="X6" s="113"/>
      <c r="Y6" s="40"/>
      <c r="Z6" s="41"/>
      <c r="AA6" s="113"/>
      <c r="AB6" s="40"/>
      <c r="AC6" s="40"/>
      <c r="AD6" s="40"/>
      <c r="AE6" s="40"/>
    </row>
    <row r="7" spans="1:31" ht="15" customHeight="1" x14ac:dyDescent="0.3">
      <c r="A7" s="367"/>
      <c r="B7" s="367" t="e">
        <f t="shared" ref="B7:B16" ca="1" si="4">INDIRECT("'"&amp;$A7&amp;"'!E5")</f>
        <v>#REF!</v>
      </c>
      <c r="C7" s="368" t="e">
        <f t="shared" ref="C7:C16" ca="1" si="5">INDIRECT("'"&amp;$A7&amp;"'!K13")</f>
        <v>#REF!</v>
      </c>
      <c r="D7" s="368" t="e">
        <f t="shared" ref="D7:D16" ca="1" si="6">INDIRECT("'"&amp;$A7&amp;"'!K14")</f>
        <v>#REF!</v>
      </c>
      <c r="E7" s="368" t="e">
        <f t="shared" ref="E7:E16" ca="1" si="7">INDIRECT("'"&amp;$A7&amp;"'!K15")</f>
        <v>#REF!</v>
      </c>
      <c r="F7" s="368" t="e">
        <f t="shared" ref="F7:F16" ca="1" si="8">INDIRECT("'"&amp;$A7&amp;"'!K16")</f>
        <v>#REF!</v>
      </c>
      <c r="G7" s="368" t="e">
        <f t="shared" ref="G7:G16" ca="1" si="9">INDIRECT("'"&amp;$A7&amp;"'!K17")</f>
        <v>#REF!</v>
      </c>
      <c r="H7" s="368" t="e">
        <f t="shared" ref="H7:H16" ca="1" si="10">INDIRECT("'"&amp;$A7&amp;"'!K18")</f>
        <v>#REF!</v>
      </c>
      <c r="I7" s="368" t="e">
        <f t="shared" ref="I7:I16" ca="1" si="11">INDIRECT("'"&amp;$A7&amp;"'!K19")</f>
        <v>#REF!</v>
      </c>
      <c r="J7" s="368" t="e">
        <f t="shared" ref="J7:J16" ca="1" si="12">INDIRECT("'"&amp;$A7&amp;"'!K20")</f>
        <v>#REF!</v>
      </c>
      <c r="K7" s="368" t="e">
        <f t="shared" ref="K7:K16" ca="1" si="13">INDIRECT("'"&amp;$A7&amp;"'!K21")</f>
        <v>#REF!</v>
      </c>
      <c r="L7" s="368" t="e">
        <f t="shared" ref="L7:L16" ca="1" si="14">INDIRECT("'"&amp;$A7&amp;"'!K22")</f>
        <v>#REF!</v>
      </c>
      <c r="M7" s="368" t="e">
        <f t="shared" ref="M7:M16" ca="1" si="15">INDIRECT("'"&amp;$A7&amp;"'!K23")</f>
        <v>#REF!</v>
      </c>
      <c r="N7" s="368" t="e">
        <f t="shared" ref="N7:N16" ca="1" si="16">INDIRECT("'"&amp;$A7&amp;"'!K24")</f>
        <v>#REF!</v>
      </c>
      <c r="O7" s="368" t="e">
        <f t="shared" ref="O7:O16" ca="1" si="17">INDIRECT("'"&amp;$A7&amp;"'!K25")</f>
        <v>#REF!</v>
      </c>
      <c r="P7" s="368" t="e">
        <f t="shared" ref="P7:P16" ca="1" si="18">INDIRECT("'"&amp;$A7&amp;"'!K26")</f>
        <v>#REF!</v>
      </c>
      <c r="Q7" s="368" t="e">
        <f t="shared" ref="Q7:Q16" ca="1" si="19">INDIRECT("'"&amp;$A7&amp;"'!K27")</f>
        <v>#REF!</v>
      </c>
      <c r="R7" s="368" t="e">
        <f t="shared" ref="R7:R16" ca="1" si="20">INDIRECT("'"&amp;$A7&amp;"'!K28")</f>
        <v>#REF!</v>
      </c>
      <c r="S7" s="368"/>
      <c r="T7" s="368"/>
      <c r="U7" s="368"/>
      <c r="V7" s="368"/>
      <c r="W7" s="368"/>
      <c r="X7" s="368"/>
      <c r="Y7" s="368" t="e">
        <f t="shared" ref="Y7:Y16" ca="1" si="21">INDIRECT("'"&amp;$A7&amp;"'!K29")</f>
        <v>#REF!</v>
      </c>
      <c r="Z7" s="369" t="e">
        <f t="shared" ref="Z7:Z16" ca="1" si="22">INDIRECT("'"&amp;$A7&amp;"'!K36")</f>
        <v>#REF!</v>
      </c>
      <c r="AA7" s="368"/>
      <c r="AB7" s="368" t="e">
        <f t="shared" ref="AB7:AB13" ca="1" si="23">INDIRECT("'"&amp;$A7&amp;"'!F36")</f>
        <v>#REF!</v>
      </c>
      <c r="AC7" s="368" t="e">
        <f t="shared" ref="AC7:AC13" ca="1" si="24">INDIRECT("'"&amp;$A7&amp;"'!H36")</f>
        <v>#REF!</v>
      </c>
      <c r="AD7" s="368" t="e">
        <f t="shared" ref="AD7:AD13" ca="1" si="25">INDIRECT("'"&amp;$A7&amp;"'!I36")</f>
        <v>#REF!</v>
      </c>
      <c r="AE7" s="368" t="e">
        <f t="shared" ref="AE7:AE13" ca="1" si="26">INDIRECT("'"&amp;$A7&amp;"'!J36")</f>
        <v>#REF!</v>
      </c>
    </row>
    <row r="8" spans="1:31" ht="15" customHeight="1" x14ac:dyDescent="0.3">
      <c r="A8" s="370"/>
      <c r="B8" s="370" t="e">
        <f t="shared" ca="1" si="4"/>
        <v>#REF!</v>
      </c>
      <c r="C8" s="383" t="e">
        <f t="shared" ca="1" si="5"/>
        <v>#REF!</v>
      </c>
      <c r="D8" s="383" t="e">
        <f t="shared" ca="1" si="6"/>
        <v>#REF!</v>
      </c>
      <c r="E8" s="383" t="e">
        <f t="shared" ca="1" si="7"/>
        <v>#REF!</v>
      </c>
      <c r="F8" s="383" t="e">
        <f t="shared" ca="1" si="8"/>
        <v>#REF!</v>
      </c>
      <c r="G8" s="383" t="e">
        <f t="shared" ca="1" si="9"/>
        <v>#REF!</v>
      </c>
      <c r="H8" s="383" t="e">
        <f t="shared" ca="1" si="10"/>
        <v>#REF!</v>
      </c>
      <c r="I8" s="383" t="e">
        <f t="shared" ca="1" si="11"/>
        <v>#REF!</v>
      </c>
      <c r="J8" s="383" t="e">
        <f t="shared" ca="1" si="12"/>
        <v>#REF!</v>
      </c>
      <c r="K8" s="383" t="e">
        <f t="shared" ca="1" si="13"/>
        <v>#REF!</v>
      </c>
      <c r="L8" s="383" t="e">
        <f t="shared" ca="1" si="14"/>
        <v>#REF!</v>
      </c>
      <c r="M8" s="383" t="e">
        <f t="shared" ca="1" si="15"/>
        <v>#REF!</v>
      </c>
      <c r="N8" s="383" t="e">
        <f t="shared" ca="1" si="16"/>
        <v>#REF!</v>
      </c>
      <c r="O8" s="383" t="e">
        <f t="shared" ca="1" si="17"/>
        <v>#REF!</v>
      </c>
      <c r="P8" s="383" t="e">
        <f t="shared" ca="1" si="18"/>
        <v>#REF!</v>
      </c>
      <c r="Q8" s="383" t="e">
        <f t="shared" ca="1" si="19"/>
        <v>#REF!</v>
      </c>
      <c r="R8" s="383" t="e">
        <f t="shared" ca="1" si="20"/>
        <v>#REF!</v>
      </c>
      <c r="S8" s="383"/>
      <c r="T8" s="383"/>
      <c r="U8" s="383"/>
      <c r="V8" s="383"/>
      <c r="W8" s="383"/>
      <c r="X8" s="383"/>
      <c r="Y8" s="383" t="e">
        <f t="shared" ca="1" si="21"/>
        <v>#REF!</v>
      </c>
      <c r="Z8" s="372" t="e">
        <f t="shared" ca="1" si="22"/>
        <v>#REF!</v>
      </c>
      <c r="AA8" s="381" t="e">
        <f ca="1">SUM(C22:Y22)/COUNT(C8:Y8)</f>
        <v>#REF!</v>
      </c>
      <c r="AB8" s="371" t="e">
        <f t="shared" ca="1" si="23"/>
        <v>#REF!</v>
      </c>
      <c r="AC8" s="371" t="e">
        <f t="shared" ca="1" si="24"/>
        <v>#REF!</v>
      </c>
      <c r="AD8" s="371" t="e">
        <f t="shared" ca="1" si="25"/>
        <v>#REF!</v>
      </c>
      <c r="AE8" s="371" t="e">
        <f t="shared" ca="1" si="26"/>
        <v>#REF!</v>
      </c>
    </row>
    <row r="9" spans="1:31" ht="15" customHeight="1" x14ac:dyDescent="0.3">
      <c r="A9" s="370"/>
      <c r="B9" s="370" t="e">
        <f t="shared" ca="1" si="4"/>
        <v>#REF!</v>
      </c>
      <c r="C9" s="371" t="e">
        <f t="shared" ca="1" si="5"/>
        <v>#REF!</v>
      </c>
      <c r="D9" s="371" t="e">
        <f t="shared" ca="1" si="6"/>
        <v>#REF!</v>
      </c>
      <c r="E9" s="371" t="e">
        <f t="shared" ca="1" si="7"/>
        <v>#REF!</v>
      </c>
      <c r="F9" s="371" t="e">
        <f t="shared" ca="1" si="8"/>
        <v>#REF!</v>
      </c>
      <c r="G9" s="371" t="e">
        <f t="shared" ca="1" si="9"/>
        <v>#REF!</v>
      </c>
      <c r="H9" s="371" t="e">
        <f t="shared" ca="1" si="10"/>
        <v>#REF!</v>
      </c>
      <c r="I9" s="371" t="e">
        <f t="shared" ca="1" si="11"/>
        <v>#REF!</v>
      </c>
      <c r="J9" s="371" t="e">
        <f t="shared" ca="1" si="12"/>
        <v>#REF!</v>
      </c>
      <c r="K9" s="371" t="e">
        <f t="shared" ca="1" si="13"/>
        <v>#REF!</v>
      </c>
      <c r="L9" s="371" t="e">
        <f t="shared" ca="1" si="14"/>
        <v>#REF!</v>
      </c>
      <c r="M9" s="371" t="e">
        <f t="shared" ca="1" si="15"/>
        <v>#REF!</v>
      </c>
      <c r="N9" s="371" t="e">
        <f t="shared" ca="1" si="16"/>
        <v>#REF!</v>
      </c>
      <c r="O9" s="371" t="e">
        <f t="shared" ca="1" si="17"/>
        <v>#REF!</v>
      </c>
      <c r="P9" s="371" t="e">
        <f t="shared" ca="1" si="18"/>
        <v>#REF!</v>
      </c>
      <c r="Q9" s="371" t="e">
        <f t="shared" ca="1" si="19"/>
        <v>#REF!</v>
      </c>
      <c r="R9" s="371" t="e">
        <f t="shared" ca="1" si="20"/>
        <v>#REF!</v>
      </c>
      <c r="S9" s="371"/>
      <c r="T9" s="371"/>
      <c r="U9" s="371"/>
      <c r="V9" s="371"/>
      <c r="W9" s="371"/>
      <c r="X9" s="371"/>
      <c r="Y9" s="371" t="e">
        <f t="shared" ca="1" si="21"/>
        <v>#REF!</v>
      </c>
      <c r="Z9" s="372" t="e">
        <f t="shared" ca="1" si="22"/>
        <v>#REF!</v>
      </c>
      <c r="AA9" s="382" t="e">
        <f ca="1">SUM(C23:Y23)/COUNT(C9:Y9)</f>
        <v>#REF!</v>
      </c>
      <c r="AB9" s="371" t="e">
        <f t="shared" ca="1" si="23"/>
        <v>#REF!</v>
      </c>
      <c r="AC9" s="371" t="e">
        <f t="shared" ca="1" si="24"/>
        <v>#REF!</v>
      </c>
      <c r="AD9" s="371" t="e">
        <f t="shared" ca="1" si="25"/>
        <v>#REF!</v>
      </c>
      <c r="AE9" s="371" t="e">
        <f t="shared" ca="1" si="26"/>
        <v>#REF!</v>
      </c>
    </row>
    <row r="10" spans="1:31" ht="15" customHeight="1" x14ac:dyDescent="0.3">
      <c r="A10" s="370"/>
      <c r="B10" s="370" t="e">
        <f t="shared" ca="1" si="4"/>
        <v>#REF!</v>
      </c>
      <c r="C10" s="371" t="e">
        <f t="shared" ca="1" si="5"/>
        <v>#REF!</v>
      </c>
      <c r="D10" s="371" t="e">
        <f t="shared" ca="1" si="6"/>
        <v>#REF!</v>
      </c>
      <c r="E10" s="371" t="e">
        <f t="shared" ca="1" si="7"/>
        <v>#REF!</v>
      </c>
      <c r="F10" s="371" t="e">
        <f t="shared" ca="1" si="8"/>
        <v>#REF!</v>
      </c>
      <c r="G10" s="371" t="e">
        <f t="shared" ca="1" si="9"/>
        <v>#REF!</v>
      </c>
      <c r="H10" s="371" t="e">
        <f t="shared" ca="1" si="10"/>
        <v>#REF!</v>
      </c>
      <c r="I10" s="371" t="e">
        <f t="shared" ca="1" si="11"/>
        <v>#REF!</v>
      </c>
      <c r="J10" s="371" t="e">
        <f t="shared" ca="1" si="12"/>
        <v>#REF!</v>
      </c>
      <c r="K10" s="371" t="e">
        <f t="shared" ca="1" si="13"/>
        <v>#REF!</v>
      </c>
      <c r="L10" s="371" t="e">
        <f t="shared" ca="1" si="14"/>
        <v>#REF!</v>
      </c>
      <c r="M10" s="371" t="e">
        <f t="shared" ca="1" si="15"/>
        <v>#REF!</v>
      </c>
      <c r="N10" s="371" t="e">
        <f t="shared" ca="1" si="16"/>
        <v>#REF!</v>
      </c>
      <c r="O10" s="371" t="e">
        <f t="shared" ca="1" si="17"/>
        <v>#REF!</v>
      </c>
      <c r="P10" s="371" t="e">
        <f t="shared" ca="1" si="18"/>
        <v>#REF!</v>
      </c>
      <c r="Q10" s="371" t="e">
        <f t="shared" ca="1" si="19"/>
        <v>#REF!</v>
      </c>
      <c r="R10" s="371" t="e">
        <f t="shared" ca="1" si="20"/>
        <v>#REF!</v>
      </c>
      <c r="S10" s="371"/>
      <c r="T10" s="371"/>
      <c r="U10" s="371"/>
      <c r="V10" s="371"/>
      <c r="W10" s="371"/>
      <c r="X10" s="371"/>
      <c r="Y10" s="371" t="e">
        <f t="shared" ca="1" si="21"/>
        <v>#REF!</v>
      </c>
      <c r="Z10" s="372" t="e">
        <f t="shared" ca="1" si="22"/>
        <v>#REF!</v>
      </c>
      <c r="AA10" s="382" t="e">
        <f ca="1">SUM(C24:Y24)/COUNT(C10:Y10)</f>
        <v>#REF!</v>
      </c>
      <c r="AB10" s="371" t="e">
        <f t="shared" ca="1" si="23"/>
        <v>#REF!</v>
      </c>
      <c r="AC10" s="371" t="e">
        <f t="shared" ca="1" si="24"/>
        <v>#REF!</v>
      </c>
      <c r="AD10" s="371" t="e">
        <f t="shared" ca="1" si="25"/>
        <v>#REF!</v>
      </c>
      <c r="AE10" s="371" t="e">
        <f t="shared" ca="1" si="26"/>
        <v>#REF!</v>
      </c>
    </row>
    <row r="11" spans="1:31" ht="15" customHeight="1" x14ac:dyDescent="0.3">
      <c r="A11" s="370"/>
      <c r="B11" s="370" t="e">
        <f t="shared" ca="1" si="4"/>
        <v>#REF!</v>
      </c>
      <c r="C11" s="371" t="e">
        <f t="shared" ca="1" si="5"/>
        <v>#REF!</v>
      </c>
      <c r="D11" s="371" t="e">
        <f t="shared" ca="1" si="6"/>
        <v>#REF!</v>
      </c>
      <c r="E11" s="371" t="e">
        <f t="shared" ca="1" si="7"/>
        <v>#REF!</v>
      </c>
      <c r="F11" s="371" t="e">
        <f t="shared" ca="1" si="8"/>
        <v>#REF!</v>
      </c>
      <c r="G11" s="371" t="e">
        <f t="shared" ca="1" si="9"/>
        <v>#REF!</v>
      </c>
      <c r="H11" s="371" t="e">
        <f t="shared" ca="1" si="10"/>
        <v>#REF!</v>
      </c>
      <c r="I11" s="371" t="e">
        <f t="shared" ca="1" si="11"/>
        <v>#REF!</v>
      </c>
      <c r="J11" s="371" t="e">
        <f t="shared" ca="1" si="12"/>
        <v>#REF!</v>
      </c>
      <c r="K11" s="371" t="e">
        <f t="shared" ca="1" si="13"/>
        <v>#REF!</v>
      </c>
      <c r="L11" s="371" t="e">
        <f t="shared" ca="1" si="14"/>
        <v>#REF!</v>
      </c>
      <c r="M11" s="371" t="e">
        <f t="shared" ca="1" si="15"/>
        <v>#REF!</v>
      </c>
      <c r="N11" s="371" t="e">
        <f t="shared" ca="1" si="16"/>
        <v>#REF!</v>
      </c>
      <c r="O11" s="371" t="e">
        <f t="shared" ca="1" si="17"/>
        <v>#REF!</v>
      </c>
      <c r="P11" s="371" t="e">
        <f t="shared" ca="1" si="18"/>
        <v>#REF!</v>
      </c>
      <c r="Q11" s="371" t="e">
        <f t="shared" ca="1" si="19"/>
        <v>#REF!</v>
      </c>
      <c r="R11" s="371" t="e">
        <f t="shared" ca="1" si="20"/>
        <v>#REF!</v>
      </c>
      <c r="S11" s="371"/>
      <c r="T11" s="371"/>
      <c r="U11" s="371"/>
      <c r="V11" s="371"/>
      <c r="W11" s="371"/>
      <c r="X11" s="371"/>
      <c r="Y11" s="371" t="e">
        <f t="shared" ca="1" si="21"/>
        <v>#REF!</v>
      </c>
      <c r="Z11" s="372" t="e">
        <f t="shared" ca="1" si="22"/>
        <v>#REF!</v>
      </c>
      <c r="AA11" s="382" t="e">
        <f ca="1">SUM(C25:Y25)/COUNT(C11:Y11)</f>
        <v>#REF!</v>
      </c>
      <c r="AB11" s="371" t="e">
        <f t="shared" ca="1" si="23"/>
        <v>#REF!</v>
      </c>
      <c r="AC11" s="371" t="e">
        <f t="shared" ca="1" si="24"/>
        <v>#REF!</v>
      </c>
      <c r="AD11" s="371" t="e">
        <f t="shared" ca="1" si="25"/>
        <v>#REF!</v>
      </c>
      <c r="AE11" s="371" t="e">
        <f t="shared" ca="1" si="26"/>
        <v>#REF!</v>
      </c>
    </row>
    <row r="12" spans="1:31" ht="15" customHeight="1" thickBot="1" x14ac:dyDescent="0.35">
      <c r="A12" s="373"/>
      <c r="B12" s="373" t="e">
        <f t="shared" ca="1" si="4"/>
        <v>#REF!</v>
      </c>
      <c r="C12" s="374" t="e">
        <f t="shared" ca="1" si="5"/>
        <v>#REF!</v>
      </c>
      <c r="D12" s="374" t="e">
        <f t="shared" ca="1" si="6"/>
        <v>#REF!</v>
      </c>
      <c r="E12" s="374" t="e">
        <f t="shared" ca="1" si="7"/>
        <v>#REF!</v>
      </c>
      <c r="F12" s="374" t="e">
        <f t="shared" ca="1" si="8"/>
        <v>#REF!</v>
      </c>
      <c r="G12" s="374" t="e">
        <f t="shared" ca="1" si="9"/>
        <v>#REF!</v>
      </c>
      <c r="H12" s="374" t="e">
        <f t="shared" ca="1" si="10"/>
        <v>#REF!</v>
      </c>
      <c r="I12" s="374" t="e">
        <f t="shared" ca="1" si="11"/>
        <v>#REF!</v>
      </c>
      <c r="J12" s="374" t="e">
        <f t="shared" ca="1" si="12"/>
        <v>#REF!</v>
      </c>
      <c r="K12" s="374" t="e">
        <f t="shared" ca="1" si="13"/>
        <v>#REF!</v>
      </c>
      <c r="L12" s="374" t="e">
        <f t="shared" ca="1" si="14"/>
        <v>#REF!</v>
      </c>
      <c r="M12" s="374" t="e">
        <f t="shared" ca="1" si="15"/>
        <v>#REF!</v>
      </c>
      <c r="N12" s="374" t="e">
        <f t="shared" ca="1" si="16"/>
        <v>#REF!</v>
      </c>
      <c r="O12" s="374" t="e">
        <f t="shared" ca="1" si="17"/>
        <v>#REF!</v>
      </c>
      <c r="P12" s="374" t="e">
        <f t="shared" ca="1" si="18"/>
        <v>#REF!</v>
      </c>
      <c r="Q12" s="374" t="e">
        <f t="shared" ca="1" si="19"/>
        <v>#REF!</v>
      </c>
      <c r="R12" s="374" t="e">
        <f t="shared" ca="1" si="20"/>
        <v>#REF!</v>
      </c>
      <c r="S12" s="374"/>
      <c r="T12" s="374"/>
      <c r="U12" s="374"/>
      <c r="V12" s="374"/>
      <c r="W12" s="374"/>
      <c r="X12" s="374"/>
      <c r="Y12" s="374" t="e">
        <f t="shared" ca="1" si="21"/>
        <v>#REF!</v>
      </c>
      <c r="Z12" s="375" t="e">
        <f t="shared" ca="1" si="22"/>
        <v>#REF!</v>
      </c>
      <c r="AA12" s="382" t="e">
        <f ca="1">SUM(C26:Y26)/COUNT(C12:Y12)</f>
        <v>#REF!</v>
      </c>
      <c r="AB12" s="374" t="e">
        <f t="shared" ca="1" si="23"/>
        <v>#REF!</v>
      </c>
      <c r="AC12" s="374" t="e">
        <f t="shared" ca="1" si="24"/>
        <v>#REF!</v>
      </c>
      <c r="AD12" s="374" t="e">
        <f t="shared" ca="1" si="25"/>
        <v>#REF!</v>
      </c>
      <c r="AE12" s="374" t="e">
        <f t="shared" ca="1" si="26"/>
        <v>#REF!</v>
      </c>
    </row>
    <row r="13" spans="1:31" ht="15" customHeight="1" thickBot="1" x14ac:dyDescent="0.35">
      <c r="A13" s="376"/>
      <c r="B13" s="376" t="e">
        <f t="shared" ca="1" si="4"/>
        <v>#REF!</v>
      </c>
      <c r="C13" s="377" t="e">
        <f t="shared" ca="1" si="5"/>
        <v>#REF!</v>
      </c>
      <c r="D13" s="377" t="e">
        <f t="shared" ca="1" si="6"/>
        <v>#REF!</v>
      </c>
      <c r="E13" s="377" t="e">
        <f t="shared" ca="1" si="7"/>
        <v>#REF!</v>
      </c>
      <c r="F13" s="377" t="e">
        <f t="shared" ca="1" si="8"/>
        <v>#REF!</v>
      </c>
      <c r="G13" s="377" t="e">
        <f t="shared" ca="1" si="9"/>
        <v>#REF!</v>
      </c>
      <c r="H13" s="377" t="e">
        <f t="shared" ca="1" si="10"/>
        <v>#REF!</v>
      </c>
      <c r="I13" s="377" t="e">
        <f t="shared" ca="1" si="11"/>
        <v>#REF!</v>
      </c>
      <c r="J13" s="377" t="e">
        <f t="shared" ca="1" si="12"/>
        <v>#REF!</v>
      </c>
      <c r="K13" s="377" t="e">
        <f t="shared" ca="1" si="13"/>
        <v>#REF!</v>
      </c>
      <c r="L13" s="377" t="e">
        <f t="shared" ca="1" si="14"/>
        <v>#REF!</v>
      </c>
      <c r="M13" s="377" t="e">
        <f t="shared" ca="1" si="15"/>
        <v>#REF!</v>
      </c>
      <c r="N13" s="377" t="e">
        <f t="shared" ca="1" si="16"/>
        <v>#REF!</v>
      </c>
      <c r="O13" s="377" t="e">
        <f t="shared" ca="1" si="17"/>
        <v>#REF!</v>
      </c>
      <c r="P13" s="377" t="e">
        <f t="shared" ca="1" si="18"/>
        <v>#REF!</v>
      </c>
      <c r="Q13" s="377" t="e">
        <f t="shared" ca="1" si="19"/>
        <v>#REF!</v>
      </c>
      <c r="R13" s="377" t="e">
        <f t="shared" ca="1" si="20"/>
        <v>#REF!</v>
      </c>
      <c r="S13" s="377"/>
      <c r="T13" s="377"/>
      <c r="U13" s="377"/>
      <c r="V13" s="377"/>
      <c r="W13" s="377"/>
      <c r="X13" s="377"/>
      <c r="Y13" s="377" t="e">
        <f t="shared" ca="1" si="21"/>
        <v>#REF!</v>
      </c>
      <c r="Z13" s="378" t="e">
        <f t="shared" ca="1" si="22"/>
        <v>#REF!</v>
      </c>
      <c r="AA13" s="386" t="e">
        <f ca="1">SUM(C27:Y27)/COUNT(C13:Y13)</f>
        <v>#REF!</v>
      </c>
      <c r="AB13" s="377" t="e">
        <f t="shared" ca="1" si="23"/>
        <v>#REF!</v>
      </c>
      <c r="AC13" s="377" t="e">
        <f t="shared" ca="1" si="24"/>
        <v>#REF!</v>
      </c>
      <c r="AD13" s="377" t="e">
        <f t="shared" ca="1" si="25"/>
        <v>#REF!</v>
      </c>
      <c r="AE13" s="377" t="e">
        <f t="shared" ca="1" si="26"/>
        <v>#REF!</v>
      </c>
    </row>
    <row r="14" spans="1:31" ht="15" customHeight="1" x14ac:dyDescent="0.3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384"/>
      <c r="AB14" s="133"/>
      <c r="AC14" s="133"/>
      <c r="AD14" s="133"/>
      <c r="AE14" s="133"/>
    </row>
    <row r="15" spans="1:31" ht="15" customHeight="1" x14ac:dyDescent="0.3">
      <c r="A15" s="234"/>
      <c r="B15" s="234" t="e">
        <f t="shared" ca="1" si="4"/>
        <v>#REF!</v>
      </c>
      <c r="C15" s="235" t="e">
        <f t="shared" ca="1" si="5"/>
        <v>#REF!</v>
      </c>
      <c r="D15" s="235" t="e">
        <f t="shared" ca="1" si="6"/>
        <v>#REF!</v>
      </c>
      <c r="E15" s="235" t="e">
        <f t="shared" ca="1" si="7"/>
        <v>#REF!</v>
      </c>
      <c r="F15" s="235" t="e">
        <f t="shared" ca="1" si="8"/>
        <v>#REF!</v>
      </c>
      <c r="G15" s="235" t="e">
        <f t="shared" ca="1" si="9"/>
        <v>#REF!</v>
      </c>
      <c r="H15" s="235" t="e">
        <f t="shared" ca="1" si="10"/>
        <v>#REF!</v>
      </c>
      <c r="I15" s="235" t="e">
        <f t="shared" ca="1" si="11"/>
        <v>#REF!</v>
      </c>
      <c r="J15" s="235" t="e">
        <f t="shared" ca="1" si="12"/>
        <v>#REF!</v>
      </c>
      <c r="K15" s="235" t="e">
        <f t="shared" ca="1" si="13"/>
        <v>#REF!</v>
      </c>
      <c r="L15" s="235" t="e">
        <f t="shared" ca="1" si="14"/>
        <v>#REF!</v>
      </c>
      <c r="M15" s="235" t="e">
        <f t="shared" ca="1" si="15"/>
        <v>#REF!</v>
      </c>
      <c r="N15" s="235" t="e">
        <f t="shared" ca="1" si="16"/>
        <v>#REF!</v>
      </c>
      <c r="O15" s="235" t="e">
        <f t="shared" ca="1" si="17"/>
        <v>#REF!</v>
      </c>
      <c r="P15" s="235" t="e">
        <f t="shared" ca="1" si="18"/>
        <v>#REF!</v>
      </c>
      <c r="Q15" s="235" t="e">
        <f t="shared" ca="1" si="19"/>
        <v>#REF!</v>
      </c>
      <c r="R15" s="235" t="e">
        <f t="shared" ca="1" si="20"/>
        <v>#REF!</v>
      </c>
      <c r="S15" s="235"/>
      <c r="T15" s="235"/>
      <c r="U15" s="235"/>
      <c r="V15" s="235"/>
      <c r="W15" s="235"/>
      <c r="X15" s="235"/>
      <c r="Y15" s="235" t="e">
        <f t="shared" ca="1" si="21"/>
        <v>#REF!</v>
      </c>
      <c r="Z15" s="236" t="e">
        <f t="shared" ca="1" si="22"/>
        <v>#REF!</v>
      </c>
      <c r="AA15" s="385" t="e">
        <f ca="1">SUM(C29:Y29)/COUNT(C15:Y15)</f>
        <v>#REF!</v>
      </c>
      <c r="AB15" s="235" t="e">
        <f ca="1">INDIRECT("'"&amp;$A15&amp;"'!F36")</f>
        <v>#REF!</v>
      </c>
      <c r="AC15" s="235" t="e">
        <f ca="1">INDIRECT("'"&amp;$A15&amp;"'!H36")</f>
        <v>#REF!</v>
      </c>
      <c r="AD15" s="235" t="e">
        <f ca="1">INDIRECT("'"&amp;$A15&amp;"'!I36")</f>
        <v>#REF!</v>
      </c>
      <c r="AE15" s="235" t="e">
        <f ca="1">INDIRECT("'"&amp;$A15&amp;"'!J36")</f>
        <v>#REF!</v>
      </c>
    </row>
    <row r="16" spans="1:31" ht="15" customHeight="1" x14ac:dyDescent="0.3">
      <c r="A16" s="132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 t="e">
        <f t="shared" ca="1" si="12"/>
        <v>#REF!</v>
      </c>
      <c r="K16" s="133" t="e">
        <f t="shared" ca="1" si="13"/>
        <v>#REF!</v>
      </c>
      <c r="L16" s="133" t="e">
        <f t="shared" ca="1" si="14"/>
        <v>#REF!</v>
      </c>
      <c r="M16" s="133" t="e">
        <f t="shared" ca="1" si="15"/>
        <v>#REF!</v>
      </c>
      <c r="N16" s="133" t="e">
        <f t="shared" ca="1" si="16"/>
        <v>#REF!</v>
      </c>
      <c r="O16" s="133" t="e">
        <f t="shared" ca="1" si="17"/>
        <v>#REF!</v>
      </c>
      <c r="P16" s="133" t="e">
        <f t="shared" ca="1" si="18"/>
        <v>#REF!</v>
      </c>
      <c r="Q16" s="133" t="e">
        <f t="shared" ca="1" si="19"/>
        <v>#REF!</v>
      </c>
      <c r="R16" s="133" t="e">
        <f t="shared" ca="1" si="20"/>
        <v>#REF!</v>
      </c>
      <c r="S16" s="133"/>
      <c r="T16" s="133"/>
      <c r="U16" s="133"/>
      <c r="V16" s="133"/>
      <c r="W16" s="133"/>
      <c r="X16" s="133"/>
      <c r="Y16" s="133" t="e">
        <f t="shared" ca="1" si="21"/>
        <v>#REF!</v>
      </c>
      <c r="Z16" s="134" t="e">
        <f t="shared" ca="1" si="22"/>
        <v>#REF!</v>
      </c>
      <c r="AA16" s="385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t="15" hidden="1" customHeight="1" x14ac:dyDescent="0.3">
      <c r="A21" s="379" t="s">
        <v>227</v>
      </c>
      <c r="B21" s="379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X21" s="380"/>
      <c r="Y21" s="380"/>
    </row>
    <row r="22" spans="1:25" ht="15" hidden="1" customHeight="1" x14ac:dyDescent="0.3">
      <c r="A22" s="379">
        <f>A8</f>
        <v>0</v>
      </c>
      <c r="B22" s="379" t="e">
        <f ca="1">B8</f>
        <v>#REF!</v>
      </c>
      <c r="C22" s="380" t="e">
        <f ca="1">IF(ABS(C$3/3-C8)&lt;=0.75,1,0)</f>
        <v>#REF!</v>
      </c>
      <c r="D22" s="380" t="e">
        <f t="shared" ref="D22:Y22" ca="1" si="27">IF(ABS(D$3/3-D8)&lt;=0.75,1,0)</f>
        <v>#REF!</v>
      </c>
      <c r="E22" s="380" t="e">
        <f t="shared" ca="1" si="27"/>
        <v>#REF!</v>
      </c>
      <c r="F22" s="380" t="e">
        <f t="shared" ca="1" si="27"/>
        <v>#REF!</v>
      </c>
      <c r="G22" s="380" t="e">
        <f t="shared" ca="1" si="27"/>
        <v>#REF!</v>
      </c>
      <c r="H22" s="380" t="e">
        <f t="shared" ca="1" si="27"/>
        <v>#REF!</v>
      </c>
      <c r="I22" s="380" t="e">
        <f t="shared" ca="1" si="27"/>
        <v>#REF!</v>
      </c>
      <c r="J22" s="380" t="e">
        <f t="shared" ca="1" si="27"/>
        <v>#REF!</v>
      </c>
      <c r="K22" s="380" t="e">
        <f t="shared" ca="1" si="27"/>
        <v>#REF!</v>
      </c>
      <c r="L22" s="380" t="e">
        <f t="shared" ca="1" si="27"/>
        <v>#REF!</v>
      </c>
      <c r="M22" s="380" t="e">
        <f t="shared" ca="1" si="27"/>
        <v>#REF!</v>
      </c>
      <c r="N22" s="380" t="e">
        <f t="shared" ca="1" si="27"/>
        <v>#REF!</v>
      </c>
      <c r="O22" s="380" t="e">
        <f t="shared" ca="1" si="27"/>
        <v>#REF!</v>
      </c>
      <c r="P22" s="380" t="e">
        <f t="shared" ca="1" si="27"/>
        <v>#REF!</v>
      </c>
      <c r="Q22" s="380" t="e">
        <f t="shared" ca="1" si="27"/>
        <v>#REF!</v>
      </c>
      <c r="R22" s="380" t="e">
        <f t="shared" ca="1" si="27"/>
        <v>#REF!</v>
      </c>
      <c r="S22" s="380"/>
      <c r="T22" s="380"/>
      <c r="U22" s="380"/>
      <c r="V22" s="380"/>
      <c r="W22" s="380"/>
      <c r="X22" s="380"/>
      <c r="Y22" s="380" t="e">
        <f t="shared" ca="1" si="27"/>
        <v>#REF!</v>
      </c>
    </row>
    <row r="23" spans="1:25" ht="15" hidden="1" customHeight="1" x14ac:dyDescent="0.3">
      <c r="A23" s="379">
        <f>A9</f>
        <v>0</v>
      </c>
      <c r="B23" s="379" t="e">
        <f ca="1">B9</f>
        <v>#REF!</v>
      </c>
      <c r="C23" s="380" t="e">
        <f t="shared" ref="C23:Y23" ca="1" si="28">IF(ABS(C$3/3-C9)&lt;=0.75,1,0)</f>
        <v>#REF!</v>
      </c>
      <c r="D23" s="380" t="e">
        <f t="shared" ca="1" si="28"/>
        <v>#REF!</v>
      </c>
      <c r="E23" s="380" t="e">
        <f t="shared" ca="1" si="28"/>
        <v>#REF!</v>
      </c>
      <c r="F23" s="380" t="e">
        <f t="shared" ca="1" si="28"/>
        <v>#REF!</v>
      </c>
      <c r="G23" s="380" t="e">
        <f t="shared" ca="1" si="28"/>
        <v>#REF!</v>
      </c>
      <c r="H23" s="380" t="e">
        <f t="shared" ca="1" si="28"/>
        <v>#REF!</v>
      </c>
      <c r="I23" s="380" t="e">
        <f t="shared" ca="1" si="28"/>
        <v>#REF!</v>
      </c>
      <c r="J23" s="380" t="e">
        <f t="shared" ca="1" si="28"/>
        <v>#REF!</v>
      </c>
      <c r="K23" s="380" t="e">
        <f t="shared" ca="1" si="28"/>
        <v>#REF!</v>
      </c>
      <c r="L23" s="380" t="e">
        <f t="shared" ca="1" si="28"/>
        <v>#REF!</v>
      </c>
      <c r="M23" s="380" t="e">
        <f t="shared" ca="1" si="28"/>
        <v>#REF!</v>
      </c>
      <c r="N23" s="380" t="e">
        <f t="shared" ca="1" si="28"/>
        <v>#REF!</v>
      </c>
      <c r="O23" s="380" t="e">
        <f t="shared" ca="1" si="28"/>
        <v>#REF!</v>
      </c>
      <c r="P23" s="380" t="e">
        <f t="shared" ca="1" si="28"/>
        <v>#REF!</v>
      </c>
      <c r="Q23" s="380" t="e">
        <f t="shared" ca="1" si="28"/>
        <v>#REF!</v>
      </c>
      <c r="R23" s="380" t="e">
        <f t="shared" ca="1" si="28"/>
        <v>#REF!</v>
      </c>
      <c r="S23" s="380"/>
      <c r="T23" s="380"/>
      <c r="U23" s="380"/>
      <c r="V23" s="380"/>
      <c r="W23" s="380"/>
      <c r="X23" s="380"/>
      <c r="Y23" s="380" t="e">
        <f t="shared" ca="1" si="28"/>
        <v>#REF!</v>
      </c>
    </row>
    <row r="24" spans="1:25" ht="15" hidden="1" customHeight="1" x14ac:dyDescent="0.3">
      <c r="A24" s="379">
        <f>A10</f>
        <v>0</v>
      </c>
      <c r="B24" s="379" t="e">
        <f t="shared" ref="B24:B30" ca="1" si="29">B10</f>
        <v>#REF!</v>
      </c>
      <c r="C24" s="380" t="e">
        <f t="shared" ref="C24:Y24" ca="1" si="30">IF(ABS(C$3/3-C10)&lt;=0.75,1,0)</f>
        <v>#REF!</v>
      </c>
      <c r="D24" s="380" t="e">
        <f t="shared" ca="1" si="30"/>
        <v>#REF!</v>
      </c>
      <c r="E24" s="380" t="e">
        <f t="shared" ca="1" si="30"/>
        <v>#REF!</v>
      </c>
      <c r="F24" s="380" t="e">
        <f t="shared" ca="1" si="30"/>
        <v>#REF!</v>
      </c>
      <c r="G24" s="380" t="e">
        <f t="shared" ca="1" si="30"/>
        <v>#REF!</v>
      </c>
      <c r="H24" s="380" t="e">
        <f t="shared" ca="1" si="30"/>
        <v>#REF!</v>
      </c>
      <c r="I24" s="380" t="e">
        <f t="shared" ca="1" si="30"/>
        <v>#REF!</v>
      </c>
      <c r="J24" s="380" t="e">
        <f t="shared" ca="1" si="30"/>
        <v>#REF!</v>
      </c>
      <c r="K24" s="380" t="e">
        <f t="shared" ca="1" si="30"/>
        <v>#REF!</v>
      </c>
      <c r="L24" s="380" t="e">
        <f t="shared" ca="1" si="30"/>
        <v>#REF!</v>
      </c>
      <c r="M24" s="380" t="e">
        <f t="shared" ca="1" si="30"/>
        <v>#REF!</v>
      </c>
      <c r="N24" s="380" t="e">
        <f t="shared" ca="1" si="30"/>
        <v>#REF!</v>
      </c>
      <c r="O24" s="380" t="e">
        <f t="shared" ca="1" si="30"/>
        <v>#REF!</v>
      </c>
      <c r="P24" s="380" t="e">
        <f t="shared" ca="1" si="30"/>
        <v>#REF!</v>
      </c>
      <c r="Q24" s="380" t="e">
        <f t="shared" ca="1" si="30"/>
        <v>#REF!</v>
      </c>
      <c r="R24" s="380" t="e">
        <f t="shared" ca="1" si="30"/>
        <v>#REF!</v>
      </c>
      <c r="S24" s="380"/>
      <c r="T24" s="380"/>
      <c r="U24" s="380"/>
      <c r="V24" s="380"/>
      <c r="W24" s="380"/>
      <c r="X24" s="380"/>
      <c r="Y24" s="380" t="e">
        <f t="shared" ca="1" si="30"/>
        <v>#REF!</v>
      </c>
    </row>
    <row r="25" spans="1:25" ht="15" hidden="1" customHeight="1" x14ac:dyDescent="0.3">
      <c r="A25" s="379">
        <f>A11</f>
        <v>0</v>
      </c>
      <c r="B25" s="379" t="e">
        <f t="shared" ca="1" si="29"/>
        <v>#REF!</v>
      </c>
      <c r="C25" s="380" t="e">
        <f t="shared" ref="C25:Y25" ca="1" si="31">IF(ABS(C$3/3-C11)&lt;=0.75,1,0)</f>
        <v>#REF!</v>
      </c>
      <c r="D25" s="380" t="e">
        <f t="shared" ca="1" si="31"/>
        <v>#REF!</v>
      </c>
      <c r="E25" s="380" t="e">
        <f t="shared" ca="1" si="31"/>
        <v>#REF!</v>
      </c>
      <c r="F25" s="380" t="e">
        <f t="shared" ca="1" si="31"/>
        <v>#REF!</v>
      </c>
      <c r="G25" s="380" t="e">
        <f t="shared" ca="1" si="31"/>
        <v>#REF!</v>
      </c>
      <c r="H25" s="380" t="e">
        <f t="shared" ca="1" si="31"/>
        <v>#REF!</v>
      </c>
      <c r="I25" s="380" t="e">
        <f t="shared" ca="1" si="31"/>
        <v>#REF!</v>
      </c>
      <c r="J25" s="380" t="e">
        <f t="shared" ca="1" si="31"/>
        <v>#REF!</v>
      </c>
      <c r="K25" s="380" t="e">
        <f t="shared" ca="1" si="31"/>
        <v>#REF!</v>
      </c>
      <c r="L25" s="380" t="e">
        <f t="shared" ca="1" si="31"/>
        <v>#REF!</v>
      </c>
      <c r="M25" s="380" t="e">
        <f t="shared" ca="1" si="31"/>
        <v>#REF!</v>
      </c>
      <c r="N25" s="380" t="e">
        <f t="shared" ca="1" si="31"/>
        <v>#REF!</v>
      </c>
      <c r="O25" s="380" t="e">
        <f t="shared" ca="1" si="31"/>
        <v>#REF!</v>
      </c>
      <c r="P25" s="380" t="e">
        <f t="shared" ca="1" si="31"/>
        <v>#REF!</v>
      </c>
      <c r="Q25" s="380" t="e">
        <f t="shared" ca="1" si="31"/>
        <v>#REF!</v>
      </c>
      <c r="R25" s="380" t="e">
        <f t="shared" ca="1" si="31"/>
        <v>#REF!</v>
      </c>
      <c r="S25" s="380"/>
      <c r="T25" s="380"/>
      <c r="U25" s="380"/>
      <c r="V25" s="380"/>
      <c r="W25" s="380"/>
      <c r="X25" s="380"/>
      <c r="Y25" s="380" t="e">
        <f t="shared" ca="1" si="31"/>
        <v>#REF!</v>
      </c>
    </row>
    <row r="26" spans="1:25" ht="15" hidden="1" customHeight="1" x14ac:dyDescent="0.3">
      <c r="A26" s="379">
        <f>A12</f>
        <v>0</v>
      </c>
      <c r="B26" s="379" t="e">
        <f t="shared" ca="1" si="29"/>
        <v>#REF!</v>
      </c>
      <c r="C26" s="380" t="e">
        <f t="shared" ref="C26:Y26" ca="1" si="32">IF(ABS(C$3/3-C12)&lt;=0.75,1,0)</f>
        <v>#REF!</v>
      </c>
      <c r="D26" s="380" t="e">
        <f t="shared" ca="1" si="32"/>
        <v>#REF!</v>
      </c>
      <c r="E26" s="380" t="e">
        <f t="shared" ca="1" si="32"/>
        <v>#REF!</v>
      </c>
      <c r="F26" s="380" t="e">
        <f t="shared" ca="1" si="32"/>
        <v>#REF!</v>
      </c>
      <c r="G26" s="380" t="e">
        <f t="shared" ca="1" si="32"/>
        <v>#REF!</v>
      </c>
      <c r="H26" s="380" t="e">
        <f t="shared" ca="1" si="32"/>
        <v>#REF!</v>
      </c>
      <c r="I26" s="380" t="e">
        <f t="shared" ca="1" si="32"/>
        <v>#REF!</v>
      </c>
      <c r="J26" s="380" t="e">
        <f t="shared" ca="1" si="32"/>
        <v>#REF!</v>
      </c>
      <c r="K26" s="380" t="e">
        <f t="shared" ca="1" si="32"/>
        <v>#REF!</v>
      </c>
      <c r="L26" s="380" t="e">
        <f t="shared" ca="1" si="32"/>
        <v>#REF!</v>
      </c>
      <c r="M26" s="380" t="e">
        <f t="shared" ca="1" si="32"/>
        <v>#REF!</v>
      </c>
      <c r="N26" s="380" t="e">
        <f t="shared" ca="1" si="32"/>
        <v>#REF!</v>
      </c>
      <c r="O26" s="380" t="e">
        <f t="shared" ca="1" si="32"/>
        <v>#REF!</v>
      </c>
      <c r="P26" s="380" t="e">
        <f t="shared" ca="1" si="32"/>
        <v>#REF!</v>
      </c>
      <c r="Q26" s="380" t="e">
        <f t="shared" ca="1" si="32"/>
        <v>#REF!</v>
      </c>
      <c r="R26" s="380" t="e">
        <f t="shared" ca="1" si="32"/>
        <v>#REF!</v>
      </c>
      <c r="S26" s="380"/>
      <c r="T26" s="380"/>
      <c r="U26" s="380"/>
      <c r="V26" s="380"/>
      <c r="W26" s="380"/>
      <c r="X26" s="380"/>
      <c r="Y26" s="380" t="e">
        <f t="shared" ca="1" si="32"/>
        <v>#REF!</v>
      </c>
    </row>
    <row r="27" spans="1:25" ht="15" hidden="1" customHeight="1" x14ac:dyDescent="0.3">
      <c r="A27" s="379">
        <f>A13</f>
        <v>0</v>
      </c>
      <c r="B27" s="379" t="e">
        <f t="shared" ca="1" si="29"/>
        <v>#REF!</v>
      </c>
      <c r="C27" s="380" t="e">
        <f t="shared" ref="C27:Y30" ca="1" si="33">IF(ABS(C$3/3-C13)&lt;=0.75,1,0)</f>
        <v>#REF!</v>
      </c>
      <c r="D27" s="380" t="e">
        <f t="shared" ca="1" si="33"/>
        <v>#REF!</v>
      </c>
      <c r="E27" s="380" t="e">
        <f t="shared" ca="1" si="33"/>
        <v>#REF!</v>
      </c>
      <c r="F27" s="380" t="e">
        <f t="shared" ca="1" si="33"/>
        <v>#REF!</v>
      </c>
      <c r="G27" s="380" t="e">
        <f t="shared" ca="1" si="33"/>
        <v>#REF!</v>
      </c>
      <c r="H27" s="380" t="e">
        <f t="shared" ca="1" si="33"/>
        <v>#REF!</v>
      </c>
      <c r="I27" s="380" t="e">
        <f t="shared" ca="1" si="33"/>
        <v>#REF!</v>
      </c>
      <c r="J27" s="380" t="e">
        <f t="shared" ca="1" si="33"/>
        <v>#REF!</v>
      </c>
      <c r="K27" s="380" t="e">
        <f t="shared" ca="1" si="33"/>
        <v>#REF!</v>
      </c>
      <c r="L27" s="380" t="e">
        <f t="shared" ca="1" si="33"/>
        <v>#REF!</v>
      </c>
      <c r="M27" s="380" t="e">
        <f t="shared" ca="1" si="33"/>
        <v>#REF!</v>
      </c>
      <c r="N27" s="380" t="e">
        <f t="shared" ca="1" si="33"/>
        <v>#REF!</v>
      </c>
      <c r="O27" s="380" t="e">
        <f t="shared" ca="1" si="33"/>
        <v>#REF!</v>
      </c>
      <c r="P27" s="380" t="e">
        <f t="shared" ca="1" si="33"/>
        <v>#REF!</v>
      </c>
      <c r="Q27" s="380" t="e">
        <f t="shared" ca="1" si="33"/>
        <v>#REF!</v>
      </c>
      <c r="R27" s="380" t="e">
        <f t="shared" ca="1" si="33"/>
        <v>#REF!</v>
      </c>
      <c r="S27" s="380"/>
      <c r="T27" s="380"/>
      <c r="U27" s="380"/>
      <c r="V27" s="380"/>
      <c r="W27" s="380"/>
      <c r="X27" s="380"/>
      <c r="Y27" s="380" t="e">
        <f t="shared" ca="1" si="33"/>
        <v>#REF!</v>
      </c>
    </row>
    <row r="28" spans="1:25" ht="15" hidden="1" customHeight="1" x14ac:dyDescent="0.3">
      <c r="B28" s="379"/>
    </row>
    <row r="29" spans="1:25" ht="15" hidden="1" customHeight="1" x14ac:dyDescent="0.3">
      <c r="A29" s="379">
        <f>A15</f>
        <v>0</v>
      </c>
      <c r="B29" s="379" t="e">
        <f t="shared" ca="1" si="29"/>
        <v>#REF!</v>
      </c>
      <c r="C29" s="380" t="e">
        <f t="shared" ca="1" si="33"/>
        <v>#REF!</v>
      </c>
      <c r="D29" s="380" t="e">
        <f t="shared" ca="1" si="33"/>
        <v>#REF!</v>
      </c>
      <c r="E29" s="380" t="e">
        <f t="shared" ca="1" si="33"/>
        <v>#REF!</v>
      </c>
      <c r="F29" s="380" t="e">
        <f t="shared" ca="1" si="33"/>
        <v>#REF!</v>
      </c>
      <c r="G29" s="380" t="e">
        <f t="shared" ca="1" si="33"/>
        <v>#REF!</v>
      </c>
      <c r="H29" s="380" t="e">
        <f t="shared" ca="1" si="33"/>
        <v>#REF!</v>
      </c>
      <c r="I29" s="380" t="e">
        <f t="shared" ca="1" si="33"/>
        <v>#REF!</v>
      </c>
      <c r="J29" s="380" t="e">
        <f t="shared" ca="1" si="33"/>
        <v>#REF!</v>
      </c>
      <c r="K29" s="380" t="e">
        <f t="shared" ca="1" si="33"/>
        <v>#REF!</v>
      </c>
      <c r="L29" s="380" t="e">
        <f t="shared" ca="1" si="33"/>
        <v>#REF!</v>
      </c>
      <c r="M29" s="380" t="e">
        <f t="shared" ca="1" si="33"/>
        <v>#REF!</v>
      </c>
      <c r="N29" s="380" t="e">
        <f t="shared" ca="1" si="33"/>
        <v>#REF!</v>
      </c>
      <c r="O29" s="380" t="e">
        <f t="shared" ca="1" si="33"/>
        <v>#REF!</v>
      </c>
      <c r="P29" s="380" t="e">
        <f t="shared" ca="1" si="33"/>
        <v>#REF!</v>
      </c>
      <c r="Q29" s="380" t="e">
        <f t="shared" ca="1" si="33"/>
        <v>#REF!</v>
      </c>
      <c r="R29" s="380" t="e">
        <f t="shared" ca="1" si="33"/>
        <v>#REF!</v>
      </c>
      <c r="S29" s="380"/>
      <c r="T29" s="380"/>
      <c r="U29" s="380"/>
      <c r="V29" s="380"/>
      <c r="W29" s="380"/>
      <c r="X29" s="380"/>
      <c r="Y29" s="380" t="e">
        <f t="shared" ca="1" si="33"/>
        <v>#REF!</v>
      </c>
    </row>
    <row r="30" spans="1:25" ht="15" hidden="1" customHeight="1" x14ac:dyDescent="0.3">
      <c r="A30" s="379">
        <f>A16</f>
        <v>0</v>
      </c>
      <c r="B30" s="379" t="e">
        <f t="shared" ca="1" si="29"/>
        <v>#REF!</v>
      </c>
      <c r="C30" s="380" t="e">
        <f t="shared" ca="1" si="33"/>
        <v>#REF!</v>
      </c>
      <c r="D30" s="380" t="e">
        <f t="shared" ca="1" si="33"/>
        <v>#REF!</v>
      </c>
      <c r="E30" s="380" t="e">
        <f t="shared" ca="1" si="33"/>
        <v>#REF!</v>
      </c>
      <c r="F30" s="380" t="e">
        <f t="shared" ca="1" si="33"/>
        <v>#REF!</v>
      </c>
      <c r="G30" s="380" t="e">
        <f t="shared" ca="1" si="33"/>
        <v>#REF!</v>
      </c>
      <c r="H30" s="380" t="e">
        <f t="shared" ca="1" si="33"/>
        <v>#REF!</v>
      </c>
      <c r="I30" s="380" t="e">
        <f t="shared" ca="1" si="33"/>
        <v>#REF!</v>
      </c>
      <c r="J30" s="380" t="e">
        <f t="shared" ca="1" si="33"/>
        <v>#REF!</v>
      </c>
      <c r="K30" s="380" t="e">
        <f t="shared" ca="1" si="33"/>
        <v>#REF!</v>
      </c>
      <c r="L30" s="380" t="e">
        <f t="shared" ca="1" si="33"/>
        <v>#REF!</v>
      </c>
      <c r="M30" s="380" t="e">
        <f t="shared" ca="1" si="33"/>
        <v>#REF!</v>
      </c>
      <c r="N30" s="380" t="e">
        <f t="shared" ca="1" si="33"/>
        <v>#REF!</v>
      </c>
      <c r="O30" s="380" t="e">
        <f t="shared" ca="1" si="33"/>
        <v>#REF!</v>
      </c>
      <c r="P30" s="380" t="e">
        <f t="shared" ca="1" si="33"/>
        <v>#REF!</v>
      </c>
      <c r="Q30" s="380" t="e">
        <f t="shared" ca="1" si="33"/>
        <v>#REF!</v>
      </c>
      <c r="R30" s="380" t="e">
        <f t="shared" ca="1" si="33"/>
        <v>#REF!</v>
      </c>
      <c r="S30" s="380"/>
      <c r="T30" s="380"/>
      <c r="U30" s="380"/>
      <c r="V30" s="380"/>
      <c r="W30" s="380"/>
      <c r="X30" s="380"/>
      <c r="Y30" s="380" t="e">
        <f t="shared" ca="1" si="33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59" priority="7">
      <formula>C4&gt;3</formula>
    </cfRule>
    <cfRule type="expression" dxfId="58" priority="8">
      <formula>AND(C4&gt;2,C4&lt;=3)</formula>
    </cfRule>
    <cfRule type="expression" dxfId="57" priority="9">
      <formula>AND(C4&gt;1,C4&lt;=2)</formula>
    </cfRule>
    <cfRule type="expression" dxfId="56" priority="12">
      <formula>C4&lt;=1</formula>
    </cfRule>
  </conditionalFormatting>
  <conditionalFormatting sqref="C8:Y13">
    <cfRule type="expression" dxfId="55" priority="1">
      <formula>C$3/3-C8&lt;-0.75</formula>
    </cfRule>
    <cfRule type="expression" dxfId="54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S30"/>
  <sheetViews>
    <sheetView zoomScale="115" zoomScaleNormal="115" workbookViewId="0"/>
  </sheetViews>
  <sheetFormatPr defaultColWidth="11.5546875" defaultRowHeight="14.4" x14ac:dyDescent="0.3"/>
  <cols>
    <col min="1" max="1" width="11.6640625" customWidth="1"/>
    <col min="2" max="2" width="22.6640625" customWidth="1"/>
    <col min="3" max="18" width="4.77734375" customWidth="1"/>
    <col min="19" max="24" width="4.77734375" hidden="1" customWidth="1"/>
    <col min="25" max="25" width="4.77734375" customWidth="1"/>
    <col min="26" max="26" width="6.77734375" customWidth="1"/>
    <col min="27" max="27" width="6.77734375" style="35" customWidth="1"/>
    <col min="28" max="28" width="4.77734375" style="35" customWidth="1"/>
    <col min="29" max="31" width="4.77734375" customWidth="1"/>
  </cols>
  <sheetData>
    <row r="1" spans="1:45" ht="15" customHeight="1" x14ac:dyDescent="0.3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69"/>
      <c r="AA1"/>
      <c r="AB1" s="63"/>
      <c r="AC1" s="62"/>
    </row>
    <row r="2" spans="1:45" ht="127.95" customHeight="1" x14ac:dyDescent="0.3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71</v>
      </c>
      <c r="E2" s="44" t="s">
        <v>72</v>
      </c>
      <c r="F2" s="44" t="s">
        <v>73</v>
      </c>
      <c r="G2" s="44" t="s">
        <v>74</v>
      </c>
      <c r="H2" s="44" t="s">
        <v>75</v>
      </c>
      <c r="I2" s="44" t="s">
        <v>77</v>
      </c>
      <c r="J2" s="44" t="s">
        <v>78</v>
      </c>
      <c r="K2" s="44" t="s">
        <v>79</v>
      </c>
      <c r="L2" s="44" t="s">
        <v>80</v>
      </c>
      <c r="M2" s="44" t="s">
        <v>81</v>
      </c>
      <c r="N2" s="44" t="s">
        <v>83</v>
      </c>
      <c r="O2" s="44" t="s">
        <v>84</v>
      </c>
      <c r="P2" s="44" t="s">
        <v>85</v>
      </c>
      <c r="Q2" s="44" t="s">
        <v>86</v>
      </c>
      <c r="R2" s="44" t="s">
        <v>87</v>
      </c>
      <c r="S2" s="44"/>
      <c r="T2" s="44"/>
      <c r="U2" s="44"/>
      <c r="V2" s="44"/>
      <c r="W2" s="44"/>
      <c r="X2" s="44"/>
      <c r="Y2" s="44" t="str">
        <f>Doku!B52</f>
        <v>Abgrüßen</v>
      </c>
      <c r="Z2" s="45" t="str">
        <f>Doku!B42</f>
        <v>Gesamt</v>
      </c>
      <c r="AA2" s="44" t="s">
        <v>226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</row>
    <row r="3" spans="1:45" ht="15" customHeight="1" x14ac:dyDescent="0.3">
      <c r="A3" s="364" t="str">
        <f>Doku!B42&amp;":"</f>
        <v>Gesamt:</v>
      </c>
      <c r="B3" s="364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/>
      <c r="T3" s="36"/>
      <c r="U3" s="36"/>
      <c r="V3" s="36"/>
      <c r="W3" s="36"/>
      <c r="X3" s="36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45" ht="15" customHeight="1" x14ac:dyDescent="0.3">
      <c r="A4" s="366" t="str">
        <f>Doku!B49&amp;":"</f>
        <v>Spannweite:</v>
      </c>
      <c r="B4" s="366"/>
      <c r="C4" s="239" t="e">
        <f t="shared" ref="C4:R4" ca="1" si="1">MAX(C8:C12)-MIN(C8:C12)</f>
        <v>#REF!</v>
      </c>
      <c r="D4" s="239" t="e">
        <f t="shared" ca="1" si="1"/>
        <v>#REF!</v>
      </c>
      <c r="E4" s="239" t="e">
        <f t="shared" ca="1" si="1"/>
        <v>#REF!</v>
      </c>
      <c r="F4" s="239" t="e">
        <f t="shared" ca="1" si="1"/>
        <v>#REF!</v>
      </c>
      <c r="G4" s="239" t="e">
        <f t="shared" ca="1" si="1"/>
        <v>#REF!</v>
      </c>
      <c r="H4" s="239" t="e">
        <f t="shared" ca="1" si="1"/>
        <v>#REF!</v>
      </c>
      <c r="I4" s="239" t="e">
        <f t="shared" ca="1" si="1"/>
        <v>#REF!</v>
      </c>
      <c r="J4" s="239" t="e">
        <f t="shared" ca="1" si="1"/>
        <v>#REF!</v>
      </c>
      <c r="K4" s="239" t="e">
        <f t="shared" ca="1" si="1"/>
        <v>#REF!</v>
      </c>
      <c r="L4" s="239" t="e">
        <f t="shared" ca="1" si="1"/>
        <v>#REF!</v>
      </c>
      <c r="M4" s="239" t="e">
        <f t="shared" ca="1" si="1"/>
        <v>#REF!</v>
      </c>
      <c r="N4" s="239" t="e">
        <f t="shared" ca="1" si="1"/>
        <v>#REF!</v>
      </c>
      <c r="O4" s="239" t="e">
        <f t="shared" ca="1" si="1"/>
        <v>#REF!</v>
      </c>
      <c r="P4" s="239" t="e">
        <f t="shared" ca="1" si="1"/>
        <v>#REF!</v>
      </c>
      <c r="Q4" s="239" t="e">
        <f t="shared" ca="1" si="1"/>
        <v>#REF!</v>
      </c>
      <c r="R4" s="239" t="e">
        <f t="shared" ca="1" si="1"/>
        <v>#REF!</v>
      </c>
      <c r="S4" s="240"/>
      <c r="T4" s="240"/>
      <c r="U4" s="240"/>
      <c r="V4" s="240"/>
      <c r="W4" s="240"/>
      <c r="X4" s="240"/>
      <c r="Y4" s="239" t="e">
        <f ca="1">MAX(Y8:Y12)-MIN(Y8:Y12)</f>
        <v>#REF!</v>
      </c>
      <c r="Z4" s="241" t="e">
        <f ca="1">MAX(Z8:Z12)-MIN(Z8:Z12)</f>
        <v>#REF!</v>
      </c>
      <c r="AA4" s="240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MAX(AD8:AD13)-MIN(AD8:AD12)</f>
        <v>#REF!</v>
      </c>
      <c r="AE4" s="38" t="e">
        <f ca="1">MAX(AE8:AE13)-MIN(AE8:AE12)</f>
        <v>#REF!</v>
      </c>
    </row>
    <row r="5" spans="1:45" ht="15" customHeight="1" x14ac:dyDescent="0.3">
      <c r="A5" s="365" t="str">
        <f>Doku!B47&amp;":"</f>
        <v>Mittelwert:</v>
      </c>
      <c r="B5" s="365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 t="e">
        <f t="shared" ca="1" si="2"/>
        <v>#REF!</v>
      </c>
      <c r="K5" s="38" t="e">
        <f t="shared" ca="1" si="2"/>
        <v>#REF!</v>
      </c>
      <c r="L5" s="38" t="e">
        <f t="shared" ca="1" si="2"/>
        <v>#REF!</v>
      </c>
      <c r="M5" s="38" t="e">
        <f t="shared" ca="1" si="2"/>
        <v>#REF!</v>
      </c>
      <c r="N5" s="38" t="e">
        <f t="shared" ca="1" si="2"/>
        <v>#REF!</v>
      </c>
      <c r="O5" s="38" t="e">
        <f t="shared" ca="1" si="2"/>
        <v>#REF!</v>
      </c>
      <c r="P5" s="38" t="e">
        <f t="shared" ca="1" si="2"/>
        <v>#REF!</v>
      </c>
      <c r="Q5" s="38" t="e">
        <f t="shared" ca="1" si="2"/>
        <v>#REF!</v>
      </c>
      <c r="R5" s="38" t="e">
        <f t="shared" ca="1" si="2"/>
        <v>#REF!</v>
      </c>
      <c r="S5" s="38"/>
      <c r="T5" s="38"/>
      <c r="U5" s="38"/>
      <c r="V5" s="38"/>
      <c r="W5" s="38"/>
      <c r="X5" s="38"/>
      <c r="Y5" s="38" t="e">
        <f t="shared" ca="1" si="2"/>
        <v>#REF!</v>
      </c>
      <c r="Z5" s="38" t="e">
        <f t="shared" ca="1" si="2"/>
        <v>#REF!</v>
      </c>
      <c r="AA5" s="89"/>
      <c r="AB5" s="38" t="e">
        <f t="shared" ref="AB5:AE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45" ht="15" hidden="1" customHeight="1" x14ac:dyDescent="0.3">
      <c r="A6" s="365"/>
      <c r="B6" s="365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1"/>
      <c r="AA6" s="113"/>
      <c r="AB6" s="40"/>
      <c r="AC6" s="40"/>
      <c r="AD6" s="40"/>
      <c r="AE6" s="40"/>
    </row>
    <row r="7" spans="1:45" ht="15" customHeight="1" x14ac:dyDescent="0.3">
      <c r="A7" s="367"/>
      <c r="B7" s="367" t="e">
        <f t="shared" ref="B7:B16" ca="1" si="4">INDIRECT("'"&amp;$A7&amp;"'!E5")</f>
        <v>#REF!</v>
      </c>
      <c r="C7" s="368" t="e">
        <f t="shared" ref="C7:C16" ca="1" si="5">INDIRECT("'"&amp;$A7&amp;"'!K13")</f>
        <v>#REF!</v>
      </c>
      <c r="D7" s="368" t="e">
        <f t="shared" ref="D7:D16" ca="1" si="6">INDIRECT("'"&amp;$A7&amp;"'!K14")</f>
        <v>#REF!</v>
      </c>
      <c r="E7" s="368" t="e">
        <f t="shared" ref="E7:E16" ca="1" si="7">INDIRECT("'"&amp;$A7&amp;"'!K15")</f>
        <v>#REF!</v>
      </c>
      <c r="F7" s="368" t="e">
        <f t="shared" ref="F7:F16" ca="1" si="8">INDIRECT("'"&amp;$A7&amp;"'!K16")</f>
        <v>#REF!</v>
      </c>
      <c r="G7" s="368" t="e">
        <f t="shared" ref="G7:G16" ca="1" si="9">INDIRECT("'"&amp;$A7&amp;"'!K17")</f>
        <v>#REF!</v>
      </c>
      <c r="H7" s="368" t="e">
        <f t="shared" ref="H7:H16" ca="1" si="10">INDIRECT("'"&amp;$A7&amp;"'!K18")</f>
        <v>#REF!</v>
      </c>
      <c r="I7" s="368" t="e">
        <f t="shared" ref="I7:I16" ca="1" si="11">INDIRECT("'"&amp;$A7&amp;"'!K19")</f>
        <v>#REF!</v>
      </c>
      <c r="J7" s="368" t="e">
        <f t="shared" ref="J7:J16" ca="1" si="12">INDIRECT("'"&amp;$A7&amp;"'!K20")</f>
        <v>#REF!</v>
      </c>
      <c r="K7" s="368" t="e">
        <f t="shared" ref="K7:K16" ca="1" si="13">INDIRECT("'"&amp;$A7&amp;"'!K21")</f>
        <v>#REF!</v>
      </c>
      <c r="L7" s="368" t="e">
        <f t="shared" ref="L7:L16" ca="1" si="14">INDIRECT("'"&amp;$A7&amp;"'!K22")</f>
        <v>#REF!</v>
      </c>
      <c r="M7" s="368" t="e">
        <f t="shared" ref="M7:M16" ca="1" si="15">INDIRECT("'"&amp;$A7&amp;"'!K23")</f>
        <v>#REF!</v>
      </c>
      <c r="N7" s="368" t="e">
        <f t="shared" ref="N7:N16" ca="1" si="16">INDIRECT("'"&amp;$A7&amp;"'!K24")</f>
        <v>#REF!</v>
      </c>
      <c r="O7" s="368" t="e">
        <f t="shared" ref="O7:O16" ca="1" si="17">INDIRECT("'"&amp;$A7&amp;"'!K25")</f>
        <v>#REF!</v>
      </c>
      <c r="P7" s="368" t="e">
        <f t="shared" ref="P7:P16" ca="1" si="18">INDIRECT("'"&amp;$A7&amp;"'!K26")</f>
        <v>#REF!</v>
      </c>
      <c r="Q7" s="368" t="e">
        <f t="shared" ref="Q7:Q16" ca="1" si="19">INDIRECT("'"&amp;$A7&amp;"'!K27")</f>
        <v>#REF!</v>
      </c>
      <c r="R7" s="368" t="e">
        <f t="shared" ref="R7:R16" ca="1" si="20">INDIRECT("'"&amp;$A7&amp;"'!K28")</f>
        <v>#REF!</v>
      </c>
      <c r="S7" s="368"/>
      <c r="T7" s="368"/>
      <c r="U7" s="368"/>
      <c r="V7" s="368"/>
      <c r="W7" s="368"/>
      <c r="X7" s="368"/>
      <c r="Y7" s="368" t="e">
        <f t="shared" ref="Y7:Y16" ca="1" si="21">INDIRECT("'"&amp;$A7&amp;"'!K29")</f>
        <v>#REF!</v>
      </c>
      <c r="Z7" s="369" t="e">
        <f t="shared" ref="Z7:Z16" ca="1" si="22">INDIRECT("'"&amp;$A7&amp;"'!K36")</f>
        <v>#REF!</v>
      </c>
      <c r="AA7" s="368"/>
      <c r="AB7" s="368" t="e">
        <f t="shared" ref="AB7:AB13" ca="1" si="23">INDIRECT("'"&amp;$A7&amp;"'!F36")</f>
        <v>#REF!</v>
      </c>
      <c r="AC7" s="368" t="e">
        <f t="shared" ref="AC7:AC13" ca="1" si="24">INDIRECT("'"&amp;$A7&amp;"'!H36")</f>
        <v>#REF!</v>
      </c>
      <c r="AD7" s="368" t="e">
        <f t="shared" ref="AD7:AD13" ca="1" si="25">INDIRECT("'"&amp;$A7&amp;"'!I36")</f>
        <v>#REF!</v>
      </c>
      <c r="AE7" s="368" t="e">
        <f t="shared" ref="AE7:AE13" ca="1" si="26">INDIRECT("'"&amp;$A7&amp;"'!J36")</f>
        <v>#REF!</v>
      </c>
    </row>
    <row r="8" spans="1:45" ht="15" customHeight="1" x14ac:dyDescent="0.3">
      <c r="A8" s="370"/>
      <c r="B8" s="370" t="e">
        <f t="shared" ca="1" si="4"/>
        <v>#REF!</v>
      </c>
      <c r="C8" s="383" t="e">
        <f t="shared" ca="1" si="5"/>
        <v>#REF!</v>
      </c>
      <c r="D8" s="383" t="e">
        <f t="shared" ca="1" si="6"/>
        <v>#REF!</v>
      </c>
      <c r="E8" s="383" t="e">
        <f t="shared" ca="1" si="7"/>
        <v>#REF!</v>
      </c>
      <c r="F8" s="383" t="e">
        <f t="shared" ca="1" si="8"/>
        <v>#REF!</v>
      </c>
      <c r="G8" s="383" t="e">
        <f t="shared" ca="1" si="9"/>
        <v>#REF!</v>
      </c>
      <c r="H8" s="383" t="e">
        <f t="shared" ca="1" si="10"/>
        <v>#REF!</v>
      </c>
      <c r="I8" s="383" t="e">
        <f t="shared" ca="1" si="11"/>
        <v>#REF!</v>
      </c>
      <c r="J8" s="383" t="e">
        <f t="shared" ca="1" si="12"/>
        <v>#REF!</v>
      </c>
      <c r="K8" s="383" t="e">
        <f t="shared" ca="1" si="13"/>
        <v>#REF!</v>
      </c>
      <c r="L8" s="383" t="e">
        <f t="shared" ca="1" si="14"/>
        <v>#REF!</v>
      </c>
      <c r="M8" s="383" t="e">
        <f t="shared" ca="1" si="15"/>
        <v>#REF!</v>
      </c>
      <c r="N8" s="383" t="e">
        <f t="shared" ca="1" si="16"/>
        <v>#REF!</v>
      </c>
      <c r="O8" s="383" t="e">
        <f t="shared" ca="1" si="17"/>
        <v>#REF!</v>
      </c>
      <c r="P8" s="383" t="e">
        <f t="shared" ca="1" si="18"/>
        <v>#REF!</v>
      </c>
      <c r="Q8" s="383" t="e">
        <f t="shared" ca="1" si="19"/>
        <v>#REF!</v>
      </c>
      <c r="R8" s="383" t="e">
        <f t="shared" ca="1" si="20"/>
        <v>#REF!</v>
      </c>
      <c r="S8" s="383"/>
      <c r="T8" s="383"/>
      <c r="U8" s="383"/>
      <c r="V8" s="383"/>
      <c r="W8" s="383"/>
      <c r="X8" s="383"/>
      <c r="Y8" s="383" t="e">
        <f t="shared" ca="1" si="21"/>
        <v>#REF!</v>
      </c>
      <c r="Z8" s="372" t="e">
        <f t="shared" ca="1" si="22"/>
        <v>#REF!</v>
      </c>
      <c r="AA8" s="381" t="e">
        <f ca="1">SUM(C22:Y22)/COUNT(C8:Y8)</f>
        <v>#REF!</v>
      </c>
      <c r="AB8" s="371" t="e">
        <f t="shared" ca="1" si="23"/>
        <v>#REF!</v>
      </c>
      <c r="AC8" s="371" t="e">
        <f t="shared" ca="1" si="24"/>
        <v>#REF!</v>
      </c>
      <c r="AD8" s="371" t="e">
        <f t="shared" ca="1" si="25"/>
        <v>#REF!</v>
      </c>
      <c r="AE8" s="371" t="e">
        <f t="shared" ca="1" si="26"/>
        <v>#REF!</v>
      </c>
    </row>
    <row r="9" spans="1:45" ht="15" customHeight="1" x14ac:dyDescent="0.3">
      <c r="A9" s="370"/>
      <c r="B9" s="370" t="e">
        <f t="shared" ca="1" si="4"/>
        <v>#REF!</v>
      </c>
      <c r="C9" s="371" t="e">
        <f t="shared" ca="1" si="5"/>
        <v>#REF!</v>
      </c>
      <c r="D9" s="371" t="e">
        <f t="shared" ca="1" si="6"/>
        <v>#REF!</v>
      </c>
      <c r="E9" s="371" t="e">
        <f t="shared" ca="1" si="7"/>
        <v>#REF!</v>
      </c>
      <c r="F9" s="371" t="e">
        <f t="shared" ca="1" si="8"/>
        <v>#REF!</v>
      </c>
      <c r="G9" s="371" t="e">
        <f t="shared" ca="1" si="9"/>
        <v>#REF!</v>
      </c>
      <c r="H9" s="371" t="e">
        <f t="shared" ca="1" si="10"/>
        <v>#REF!</v>
      </c>
      <c r="I9" s="371" t="e">
        <f t="shared" ca="1" si="11"/>
        <v>#REF!</v>
      </c>
      <c r="J9" s="371" t="e">
        <f t="shared" ca="1" si="12"/>
        <v>#REF!</v>
      </c>
      <c r="K9" s="371" t="e">
        <f t="shared" ca="1" si="13"/>
        <v>#REF!</v>
      </c>
      <c r="L9" s="371" t="e">
        <f t="shared" ca="1" si="14"/>
        <v>#REF!</v>
      </c>
      <c r="M9" s="371" t="e">
        <f t="shared" ca="1" si="15"/>
        <v>#REF!</v>
      </c>
      <c r="N9" s="371" t="e">
        <f t="shared" ca="1" si="16"/>
        <v>#REF!</v>
      </c>
      <c r="O9" s="371" t="e">
        <f t="shared" ca="1" si="17"/>
        <v>#REF!</v>
      </c>
      <c r="P9" s="371" t="e">
        <f t="shared" ca="1" si="18"/>
        <v>#REF!</v>
      </c>
      <c r="Q9" s="371" t="e">
        <f t="shared" ca="1" si="19"/>
        <v>#REF!</v>
      </c>
      <c r="R9" s="371" t="e">
        <f t="shared" ca="1" si="20"/>
        <v>#REF!</v>
      </c>
      <c r="S9" s="371"/>
      <c r="T9" s="371"/>
      <c r="U9" s="371"/>
      <c r="V9" s="371"/>
      <c r="W9" s="371"/>
      <c r="X9" s="371"/>
      <c r="Y9" s="371" t="e">
        <f t="shared" ca="1" si="21"/>
        <v>#REF!</v>
      </c>
      <c r="Z9" s="372" t="e">
        <f t="shared" ca="1" si="22"/>
        <v>#REF!</v>
      </c>
      <c r="AA9" s="382" t="e">
        <f ca="1">SUM(C23:Y23)/COUNT(C9:Y9)</f>
        <v>#REF!</v>
      </c>
      <c r="AB9" s="371" t="e">
        <f t="shared" ca="1" si="23"/>
        <v>#REF!</v>
      </c>
      <c r="AC9" s="371" t="e">
        <f t="shared" ca="1" si="24"/>
        <v>#REF!</v>
      </c>
      <c r="AD9" s="371" t="e">
        <f t="shared" ca="1" si="25"/>
        <v>#REF!</v>
      </c>
      <c r="AE9" s="371" t="e">
        <f t="shared" ca="1" si="26"/>
        <v>#REF!</v>
      </c>
    </row>
    <row r="10" spans="1:45" ht="15" customHeight="1" x14ac:dyDescent="0.3">
      <c r="A10" s="370"/>
      <c r="B10" s="370" t="e">
        <f t="shared" ca="1" si="4"/>
        <v>#REF!</v>
      </c>
      <c r="C10" s="371" t="e">
        <f t="shared" ca="1" si="5"/>
        <v>#REF!</v>
      </c>
      <c r="D10" s="371" t="e">
        <f t="shared" ca="1" si="6"/>
        <v>#REF!</v>
      </c>
      <c r="E10" s="371" t="e">
        <f t="shared" ca="1" si="7"/>
        <v>#REF!</v>
      </c>
      <c r="F10" s="371" t="e">
        <f t="shared" ca="1" si="8"/>
        <v>#REF!</v>
      </c>
      <c r="G10" s="371" t="e">
        <f t="shared" ca="1" si="9"/>
        <v>#REF!</v>
      </c>
      <c r="H10" s="371" t="e">
        <f t="shared" ca="1" si="10"/>
        <v>#REF!</v>
      </c>
      <c r="I10" s="371" t="e">
        <f t="shared" ca="1" si="11"/>
        <v>#REF!</v>
      </c>
      <c r="J10" s="371" t="e">
        <f t="shared" ca="1" si="12"/>
        <v>#REF!</v>
      </c>
      <c r="K10" s="371" t="e">
        <f t="shared" ca="1" si="13"/>
        <v>#REF!</v>
      </c>
      <c r="L10" s="371" t="e">
        <f t="shared" ca="1" si="14"/>
        <v>#REF!</v>
      </c>
      <c r="M10" s="371" t="e">
        <f t="shared" ca="1" si="15"/>
        <v>#REF!</v>
      </c>
      <c r="N10" s="371" t="e">
        <f t="shared" ca="1" si="16"/>
        <v>#REF!</v>
      </c>
      <c r="O10" s="371" t="e">
        <f t="shared" ca="1" si="17"/>
        <v>#REF!</v>
      </c>
      <c r="P10" s="371" t="e">
        <f t="shared" ca="1" si="18"/>
        <v>#REF!</v>
      </c>
      <c r="Q10" s="371" t="e">
        <f t="shared" ca="1" si="19"/>
        <v>#REF!</v>
      </c>
      <c r="R10" s="371" t="e">
        <f t="shared" ca="1" si="20"/>
        <v>#REF!</v>
      </c>
      <c r="S10" s="371"/>
      <c r="T10" s="371"/>
      <c r="U10" s="371"/>
      <c r="V10" s="371"/>
      <c r="W10" s="371"/>
      <c r="X10" s="371"/>
      <c r="Y10" s="371" t="e">
        <f t="shared" ca="1" si="21"/>
        <v>#REF!</v>
      </c>
      <c r="Z10" s="372" t="e">
        <f t="shared" ca="1" si="22"/>
        <v>#REF!</v>
      </c>
      <c r="AA10" s="382" t="e">
        <f ca="1">SUM(C24:Y24)/COUNT(C10:Y10)</f>
        <v>#REF!</v>
      </c>
      <c r="AB10" s="371" t="e">
        <f t="shared" ca="1" si="23"/>
        <v>#REF!</v>
      </c>
      <c r="AC10" s="371" t="e">
        <f t="shared" ca="1" si="24"/>
        <v>#REF!</v>
      </c>
      <c r="AD10" s="371" t="e">
        <f t="shared" ca="1" si="25"/>
        <v>#REF!</v>
      </c>
      <c r="AE10" s="371" t="e">
        <f t="shared" ca="1" si="26"/>
        <v>#REF!</v>
      </c>
    </row>
    <row r="11" spans="1:45" ht="15" customHeight="1" x14ac:dyDescent="0.3">
      <c r="A11" s="370"/>
      <c r="B11" s="370" t="e">
        <f t="shared" ca="1" si="4"/>
        <v>#REF!</v>
      </c>
      <c r="C11" s="371" t="e">
        <f t="shared" ca="1" si="5"/>
        <v>#REF!</v>
      </c>
      <c r="D11" s="371" t="e">
        <f t="shared" ca="1" si="6"/>
        <v>#REF!</v>
      </c>
      <c r="E11" s="371" t="e">
        <f t="shared" ca="1" si="7"/>
        <v>#REF!</v>
      </c>
      <c r="F11" s="371" t="e">
        <f t="shared" ca="1" si="8"/>
        <v>#REF!</v>
      </c>
      <c r="G11" s="371" t="e">
        <f t="shared" ca="1" si="9"/>
        <v>#REF!</v>
      </c>
      <c r="H11" s="371" t="e">
        <f t="shared" ca="1" si="10"/>
        <v>#REF!</v>
      </c>
      <c r="I11" s="371" t="e">
        <f t="shared" ca="1" si="11"/>
        <v>#REF!</v>
      </c>
      <c r="J11" s="371" t="e">
        <f t="shared" ca="1" si="12"/>
        <v>#REF!</v>
      </c>
      <c r="K11" s="371" t="e">
        <f t="shared" ca="1" si="13"/>
        <v>#REF!</v>
      </c>
      <c r="L11" s="371" t="e">
        <f t="shared" ca="1" si="14"/>
        <v>#REF!</v>
      </c>
      <c r="M11" s="371" t="e">
        <f t="shared" ca="1" si="15"/>
        <v>#REF!</v>
      </c>
      <c r="N11" s="371" t="e">
        <f t="shared" ca="1" si="16"/>
        <v>#REF!</v>
      </c>
      <c r="O11" s="371" t="e">
        <f t="shared" ca="1" si="17"/>
        <v>#REF!</v>
      </c>
      <c r="P11" s="371" t="e">
        <f t="shared" ca="1" si="18"/>
        <v>#REF!</v>
      </c>
      <c r="Q11" s="371" t="e">
        <f t="shared" ca="1" si="19"/>
        <v>#REF!</v>
      </c>
      <c r="R11" s="371" t="e">
        <f t="shared" ca="1" si="20"/>
        <v>#REF!</v>
      </c>
      <c r="S11" s="371"/>
      <c r="T11" s="371"/>
      <c r="U11" s="371"/>
      <c r="V11" s="371"/>
      <c r="W11" s="371"/>
      <c r="X11" s="371"/>
      <c r="Y11" s="371" t="e">
        <f t="shared" ca="1" si="21"/>
        <v>#REF!</v>
      </c>
      <c r="Z11" s="372" t="e">
        <f t="shared" ca="1" si="22"/>
        <v>#REF!</v>
      </c>
      <c r="AA11" s="382" t="e">
        <f ca="1">SUM(C25:Y25)/COUNT(C11:Y11)</f>
        <v>#REF!</v>
      </c>
      <c r="AB11" s="371" t="e">
        <f t="shared" ca="1" si="23"/>
        <v>#REF!</v>
      </c>
      <c r="AC11" s="371" t="e">
        <f t="shared" ca="1" si="24"/>
        <v>#REF!</v>
      </c>
      <c r="AD11" s="371" t="e">
        <f t="shared" ca="1" si="25"/>
        <v>#REF!</v>
      </c>
      <c r="AE11" s="371" t="e">
        <f t="shared" ca="1" si="26"/>
        <v>#REF!</v>
      </c>
    </row>
    <row r="12" spans="1:45" ht="15" customHeight="1" thickBot="1" x14ac:dyDescent="0.35">
      <c r="A12" s="370"/>
      <c r="B12" s="373" t="e">
        <f t="shared" ca="1" si="4"/>
        <v>#REF!</v>
      </c>
      <c r="C12" s="374" t="e">
        <f t="shared" ca="1" si="5"/>
        <v>#REF!</v>
      </c>
      <c r="D12" s="374" t="e">
        <f t="shared" ca="1" si="6"/>
        <v>#REF!</v>
      </c>
      <c r="E12" s="374" t="e">
        <f t="shared" ca="1" si="7"/>
        <v>#REF!</v>
      </c>
      <c r="F12" s="374" t="e">
        <f t="shared" ca="1" si="8"/>
        <v>#REF!</v>
      </c>
      <c r="G12" s="374" t="e">
        <f t="shared" ca="1" si="9"/>
        <v>#REF!</v>
      </c>
      <c r="H12" s="374" t="e">
        <f t="shared" ca="1" si="10"/>
        <v>#REF!</v>
      </c>
      <c r="I12" s="374" t="e">
        <f t="shared" ca="1" si="11"/>
        <v>#REF!</v>
      </c>
      <c r="J12" s="374" t="e">
        <f t="shared" ca="1" si="12"/>
        <v>#REF!</v>
      </c>
      <c r="K12" s="374" t="e">
        <f t="shared" ca="1" si="13"/>
        <v>#REF!</v>
      </c>
      <c r="L12" s="374" t="e">
        <f t="shared" ca="1" si="14"/>
        <v>#REF!</v>
      </c>
      <c r="M12" s="374" t="e">
        <f t="shared" ca="1" si="15"/>
        <v>#REF!</v>
      </c>
      <c r="N12" s="374" t="e">
        <f t="shared" ca="1" si="16"/>
        <v>#REF!</v>
      </c>
      <c r="O12" s="374" t="e">
        <f t="shared" ca="1" si="17"/>
        <v>#REF!</v>
      </c>
      <c r="P12" s="374" t="e">
        <f t="shared" ca="1" si="18"/>
        <v>#REF!</v>
      </c>
      <c r="Q12" s="374" t="e">
        <f t="shared" ca="1" si="19"/>
        <v>#REF!</v>
      </c>
      <c r="R12" s="374" t="e">
        <f t="shared" ca="1" si="20"/>
        <v>#REF!</v>
      </c>
      <c r="S12" s="374"/>
      <c r="T12" s="374"/>
      <c r="U12" s="374"/>
      <c r="V12" s="374"/>
      <c r="W12" s="374"/>
      <c r="X12" s="374"/>
      <c r="Y12" s="374" t="e">
        <f t="shared" ca="1" si="21"/>
        <v>#REF!</v>
      </c>
      <c r="Z12" s="375" t="e">
        <f t="shared" ca="1" si="22"/>
        <v>#REF!</v>
      </c>
      <c r="AA12" s="382" t="e">
        <f ca="1">SUM(C26:Y26)/COUNT(C12:Y12)</f>
        <v>#REF!</v>
      </c>
      <c r="AB12" s="374" t="e">
        <f t="shared" ca="1" si="23"/>
        <v>#REF!</v>
      </c>
      <c r="AC12" s="374" t="e">
        <f t="shared" ca="1" si="24"/>
        <v>#REF!</v>
      </c>
      <c r="AD12" s="374" t="e">
        <f t="shared" ca="1" si="25"/>
        <v>#REF!</v>
      </c>
      <c r="AE12" s="374" t="e">
        <f t="shared" ca="1" si="26"/>
        <v>#REF!</v>
      </c>
    </row>
    <row r="13" spans="1:45" ht="15" customHeight="1" thickBot="1" x14ac:dyDescent="0.35">
      <c r="A13" s="376"/>
      <c r="B13" s="376" t="e">
        <f t="shared" ca="1" si="4"/>
        <v>#REF!</v>
      </c>
      <c r="C13" s="377" t="e">
        <f t="shared" ca="1" si="5"/>
        <v>#REF!</v>
      </c>
      <c r="D13" s="377" t="e">
        <f t="shared" ca="1" si="6"/>
        <v>#REF!</v>
      </c>
      <c r="E13" s="377" t="e">
        <f t="shared" ca="1" si="7"/>
        <v>#REF!</v>
      </c>
      <c r="F13" s="377" t="e">
        <f t="shared" ca="1" si="8"/>
        <v>#REF!</v>
      </c>
      <c r="G13" s="377" t="e">
        <f t="shared" ca="1" si="9"/>
        <v>#REF!</v>
      </c>
      <c r="H13" s="377" t="e">
        <f t="shared" ca="1" si="10"/>
        <v>#REF!</v>
      </c>
      <c r="I13" s="377" t="e">
        <f t="shared" ca="1" si="11"/>
        <v>#REF!</v>
      </c>
      <c r="J13" s="377" t="e">
        <f t="shared" ca="1" si="12"/>
        <v>#REF!</v>
      </c>
      <c r="K13" s="377" t="e">
        <f t="shared" ca="1" si="13"/>
        <v>#REF!</v>
      </c>
      <c r="L13" s="377" t="e">
        <f t="shared" ca="1" si="14"/>
        <v>#REF!</v>
      </c>
      <c r="M13" s="377" t="e">
        <f t="shared" ca="1" si="15"/>
        <v>#REF!</v>
      </c>
      <c r="N13" s="377" t="e">
        <f t="shared" ca="1" si="16"/>
        <v>#REF!</v>
      </c>
      <c r="O13" s="377" t="e">
        <f t="shared" ca="1" si="17"/>
        <v>#REF!</v>
      </c>
      <c r="P13" s="377" t="e">
        <f t="shared" ca="1" si="18"/>
        <v>#REF!</v>
      </c>
      <c r="Q13" s="377" t="e">
        <f t="shared" ca="1" si="19"/>
        <v>#REF!</v>
      </c>
      <c r="R13" s="377" t="e">
        <f t="shared" ca="1" si="20"/>
        <v>#REF!</v>
      </c>
      <c r="S13" s="377"/>
      <c r="T13" s="377"/>
      <c r="U13" s="377"/>
      <c r="V13" s="377"/>
      <c r="W13" s="377"/>
      <c r="X13" s="377"/>
      <c r="Y13" s="377" t="e">
        <f t="shared" ca="1" si="21"/>
        <v>#REF!</v>
      </c>
      <c r="Z13" s="378" t="e">
        <f t="shared" ca="1" si="22"/>
        <v>#REF!</v>
      </c>
      <c r="AA13" s="386" t="e">
        <f ca="1">SUM(C27:Y27)/COUNT(C13:Y13)</f>
        <v>#REF!</v>
      </c>
      <c r="AB13" s="377" t="e">
        <f t="shared" ca="1" si="23"/>
        <v>#REF!</v>
      </c>
      <c r="AC13" s="377" t="e">
        <f t="shared" ca="1" si="24"/>
        <v>#REF!</v>
      </c>
      <c r="AD13" s="377" t="e">
        <f t="shared" ca="1" si="25"/>
        <v>#REF!</v>
      </c>
      <c r="AE13" s="377" t="e">
        <f t="shared" ca="1" si="26"/>
        <v>#REF!</v>
      </c>
    </row>
    <row r="14" spans="1:45" ht="15" customHeight="1" x14ac:dyDescent="0.3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384"/>
      <c r="AB14" s="133"/>
      <c r="AC14" s="133"/>
      <c r="AD14" s="133"/>
      <c r="AE14" s="133"/>
    </row>
    <row r="15" spans="1:45" ht="15" customHeight="1" x14ac:dyDescent="0.3">
      <c r="A15" s="370"/>
      <c r="B15" s="234" t="e">
        <f t="shared" ca="1" si="4"/>
        <v>#REF!</v>
      </c>
      <c r="C15" s="235" t="e">
        <f t="shared" ca="1" si="5"/>
        <v>#REF!</v>
      </c>
      <c r="D15" s="235" t="e">
        <f t="shared" ca="1" si="6"/>
        <v>#REF!</v>
      </c>
      <c r="E15" s="235" t="e">
        <f t="shared" ca="1" si="7"/>
        <v>#REF!</v>
      </c>
      <c r="F15" s="235" t="e">
        <f t="shared" ca="1" si="8"/>
        <v>#REF!</v>
      </c>
      <c r="G15" s="235" t="e">
        <f t="shared" ca="1" si="9"/>
        <v>#REF!</v>
      </c>
      <c r="H15" s="235" t="e">
        <f t="shared" ca="1" si="10"/>
        <v>#REF!</v>
      </c>
      <c r="I15" s="235" t="e">
        <f t="shared" ca="1" si="11"/>
        <v>#REF!</v>
      </c>
      <c r="J15" s="235" t="e">
        <f t="shared" ca="1" si="12"/>
        <v>#REF!</v>
      </c>
      <c r="K15" s="235" t="e">
        <f t="shared" ca="1" si="13"/>
        <v>#REF!</v>
      </c>
      <c r="L15" s="235" t="e">
        <f t="shared" ca="1" si="14"/>
        <v>#REF!</v>
      </c>
      <c r="M15" s="235" t="e">
        <f t="shared" ca="1" si="15"/>
        <v>#REF!</v>
      </c>
      <c r="N15" s="235" t="e">
        <f t="shared" ca="1" si="16"/>
        <v>#REF!</v>
      </c>
      <c r="O15" s="235" t="e">
        <f t="shared" ca="1" si="17"/>
        <v>#REF!</v>
      </c>
      <c r="P15" s="235" t="e">
        <f t="shared" ca="1" si="18"/>
        <v>#REF!</v>
      </c>
      <c r="Q15" s="235" t="e">
        <f t="shared" ca="1" si="19"/>
        <v>#REF!</v>
      </c>
      <c r="R15" s="235" t="e">
        <f t="shared" ca="1" si="20"/>
        <v>#REF!</v>
      </c>
      <c r="S15" s="235"/>
      <c r="T15" s="235"/>
      <c r="U15" s="235"/>
      <c r="V15" s="235"/>
      <c r="W15" s="235"/>
      <c r="X15" s="235"/>
      <c r="Y15" s="235" t="e">
        <f t="shared" ca="1" si="21"/>
        <v>#REF!</v>
      </c>
      <c r="Z15" s="236" t="e">
        <f t="shared" ca="1" si="22"/>
        <v>#REF!</v>
      </c>
      <c r="AA15" s="385" t="e">
        <f ca="1">SUM(C29:Y29)/COUNT(C15:Y15)</f>
        <v>#REF!</v>
      </c>
      <c r="AB15" s="235" t="e">
        <f ca="1">INDIRECT("'"&amp;$A15&amp;"'!F36")</f>
        <v>#REF!</v>
      </c>
      <c r="AC15" s="235" t="e">
        <f ca="1">INDIRECT("'"&amp;$A15&amp;"'!H36")</f>
        <v>#REF!</v>
      </c>
      <c r="AD15" s="235" t="e">
        <f ca="1">INDIRECT("'"&amp;$A15&amp;"'!I36")</f>
        <v>#REF!</v>
      </c>
      <c r="AE15" s="235" t="e">
        <f ca="1">INDIRECT("'"&amp;$A15&amp;"'!J36")</f>
        <v>#REF!</v>
      </c>
    </row>
    <row r="16" spans="1:45" ht="15" customHeight="1" x14ac:dyDescent="0.3">
      <c r="A16" s="370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 t="e">
        <f t="shared" ca="1" si="12"/>
        <v>#REF!</v>
      </c>
      <c r="K16" s="133" t="e">
        <f t="shared" ca="1" si="13"/>
        <v>#REF!</v>
      </c>
      <c r="L16" s="133" t="e">
        <f t="shared" ca="1" si="14"/>
        <v>#REF!</v>
      </c>
      <c r="M16" s="133" t="e">
        <f t="shared" ca="1" si="15"/>
        <v>#REF!</v>
      </c>
      <c r="N16" s="133" t="e">
        <f t="shared" ca="1" si="16"/>
        <v>#REF!</v>
      </c>
      <c r="O16" s="133" t="e">
        <f t="shared" ca="1" si="17"/>
        <v>#REF!</v>
      </c>
      <c r="P16" s="133" t="e">
        <f t="shared" ca="1" si="18"/>
        <v>#REF!</v>
      </c>
      <c r="Q16" s="133" t="e">
        <f t="shared" ca="1" si="19"/>
        <v>#REF!</v>
      </c>
      <c r="R16" s="133" t="e">
        <f t="shared" ca="1" si="20"/>
        <v>#REF!</v>
      </c>
      <c r="S16" s="133"/>
      <c r="T16" s="133"/>
      <c r="U16" s="133"/>
      <c r="V16" s="133"/>
      <c r="W16" s="133"/>
      <c r="X16" s="133"/>
      <c r="Y16" s="133" t="e">
        <f t="shared" ca="1" si="21"/>
        <v>#REF!</v>
      </c>
      <c r="Z16" s="134" t="e">
        <f t="shared" ca="1" si="22"/>
        <v>#REF!</v>
      </c>
      <c r="AA16" s="385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idden="1" x14ac:dyDescent="0.3">
      <c r="A21" s="379" t="s">
        <v>227</v>
      </c>
      <c r="B21" s="379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X21" s="380"/>
      <c r="Y21" s="380"/>
    </row>
    <row r="22" spans="1:25" hidden="1" x14ac:dyDescent="0.3">
      <c r="A22" s="379">
        <f>A8</f>
        <v>0</v>
      </c>
      <c r="B22" s="379" t="e">
        <f ca="1">B8</f>
        <v>#REF!</v>
      </c>
      <c r="C22" s="380" t="e">
        <f ca="1">IF(ABS(C$3/3-C8)&lt;=0.75,1,0)</f>
        <v>#REF!</v>
      </c>
      <c r="D22" s="380" t="e">
        <f t="shared" ref="D22:R22" ca="1" si="27">IF(ABS(D$3/3-D8)&lt;=0.75,1,0)</f>
        <v>#REF!</v>
      </c>
      <c r="E22" s="380" t="e">
        <f t="shared" ca="1" si="27"/>
        <v>#REF!</v>
      </c>
      <c r="F22" s="380" t="e">
        <f t="shared" ca="1" si="27"/>
        <v>#REF!</v>
      </c>
      <c r="G22" s="380" t="e">
        <f t="shared" ca="1" si="27"/>
        <v>#REF!</v>
      </c>
      <c r="H22" s="380" t="e">
        <f t="shared" ca="1" si="27"/>
        <v>#REF!</v>
      </c>
      <c r="I22" s="380" t="e">
        <f t="shared" ca="1" si="27"/>
        <v>#REF!</v>
      </c>
      <c r="J22" s="380" t="e">
        <f t="shared" ca="1" si="27"/>
        <v>#REF!</v>
      </c>
      <c r="K22" s="380" t="e">
        <f t="shared" ca="1" si="27"/>
        <v>#REF!</v>
      </c>
      <c r="L22" s="380" t="e">
        <f t="shared" ca="1" si="27"/>
        <v>#REF!</v>
      </c>
      <c r="M22" s="380" t="e">
        <f t="shared" ca="1" si="27"/>
        <v>#REF!</v>
      </c>
      <c r="N22" s="380" t="e">
        <f t="shared" ca="1" si="27"/>
        <v>#REF!</v>
      </c>
      <c r="O22" s="380" t="e">
        <f t="shared" ca="1" si="27"/>
        <v>#REF!</v>
      </c>
      <c r="P22" s="380" t="e">
        <f t="shared" ca="1" si="27"/>
        <v>#REF!</v>
      </c>
      <c r="Q22" s="380" t="e">
        <f t="shared" ca="1" si="27"/>
        <v>#REF!</v>
      </c>
      <c r="R22" s="380" t="e">
        <f t="shared" ca="1" si="27"/>
        <v>#REF!</v>
      </c>
      <c r="S22" s="380"/>
      <c r="T22" s="380"/>
      <c r="U22" s="380"/>
      <c r="V22" s="380"/>
      <c r="W22" s="380"/>
      <c r="X22" s="380"/>
      <c r="Y22" s="380" t="e">
        <f t="shared" ref="Y22" ca="1" si="28">IF(ABS(Y$3/3-Y8)&lt;=0.75,1,0)</f>
        <v>#REF!</v>
      </c>
    </row>
    <row r="23" spans="1:25" hidden="1" x14ac:dyDescent="0.3">
      <c r="A23" s="379">
        <f>A9</f>
        <v>0</v>
      </c>
      <c r="B23" s="379" t="e">
        <f ca="1">B9</f>
        <v>#REF!</v>
      </c>
      <c r="C23" s="380" t="e">
        <f t="shared" ref="C23:R30" ca="1" si="29">IF(ABS(C$3/3-C9)&lt;=0.75,1,0)</f>
        <v>#REF!</v>
      </c>
      <c r="D23" s="380" t="e">
        <f t="shared" ca="1" si="29"/>
        <v>#REF!</v>
      </c>
      <c r="E23" s="380" t="e">
        <f t="shared" ca="1" si="29"/>
        <v>#REF!</v>
      </c>
      <c r="F23" s="380" t="e">
        <f t="shared" ca="1" si="29"/>
        <v>#REF!</v>
      </c>
      <c r="G23" s="380" t="e">
        <f t="shared" ca="1" si="29"/>
        <v>#REF!</v>
      </c>
      <c r="H23" s="380" t="e">
        <f t="shared" ca="1" si="29"/>
        <v>#REF!</v>
      </c>
      <c r="I23" s="380" t="e">
        <f t="shared" ca="1" si="29"/>
        <v>#REF!</v>
      </c>
      <c r="J23" s="380" t="e">
        <f t="shared" ca="1" si="29"/>
        <v>#REF!</v>
      </c>
      <c r="K23" s="380" t="e">
        <f t="shared" ca="1" si="29"/>
        <v>#REF!</v>
      </c>
      <c r="L23" s="380" t="e">
        <f t="shared" ca="1" si="29"/>
        <v>#REF!</v>
      </c>
      <c r="M23" s="380" t="e">
        <f t="shared" ca="1" si="29"/>
        <v>#REF!</v>
      </c>
      <c r="N23" s="380" t="e">
        <f t="shared" ca="1" si="29"/>
        <v>#REF!</v>
      </c>
      <c r="O23" s="380" t="e">
        <f t="shared" ca="1" si="29"/>
        <v>#REF!</v>
      </c>
      <c r="P23" s="380" t="e">
        <f t="shared" ca="1" si="29"/>
        <v>#REF!</v>
      </c>
      <c r="Q23" s="380" t="e">
        <f t="shared" ca="1" si="29"/>
        <v>#REF!</v>
      </c>
      <c r="R23" s="380" t="e">
        <f t="shared" ca="1" si="29"/>
        <v>#REF!</v>
      </c>
      <c r="S23" s="380"/>
      <c r="T23" s="380"/>
      <c r="U23" s="380"/>
      <c r="V23" s="380"/>
      <c r="W23" s="380"/>
      <c r="X23" s="380"/>
      <c r="Y23" s="380" t="e">
        <f t="shared" ref="Y23" ca="1" si="30">IF(ABS(Y$3/3-Y9)&lt;=0.75,1,0)</f>
        <v>#REF!</v>
      </c>
    </row>
    <row r="24" spans="1:25" hidden="1" x14ac:dyDescent="0.3">
      <c r="A24" s="379">
        <f>A10</f>
        <v>0</v>
      </c>
      <c r="B24" s="379" t="e">
        <f t="shared" ref="B24:B30" ca="1" si="31">B10</f>
        <v>#REF!</v>
      </c>
      <c r="C24" s="380" t="e">
        <f t="shared" ca="1" si="29"/>
        <v>#REF!</v>
      </c>
      <c r="D24" s="380" t="e">
        <f t="shared" ca="1" si="29"/>
        <v>#REF!</v>
      </c>
      <c r="E24" s="380" t="e">
        <f t="shared" ca="1" si="29"/>
        <v>#REF!</v>
      </c>
      <c r="F24" s="380" t="e">
        <f t="shared" ca="1" si="29"/>
        <v>#REF!</v>
      </c>
      <c r="G24" s="380" t="e">
        <f t="shared" ca="1" si="29"/>
        <v>#REF!</v>
      </c>
      <c r="H24" s="380" t="e">
        <f t="shared" ca="1" si="29"/>
        <v>#REF!</v>
      </c>
      <c r="I24" s="380" t="e">
        <f t="shared" ca="1" si="29"/>
        <v>#REF!</v>
      </c>
      <c r="J24" s="380" t="e">
        <f t="shared" ca="1" si="29"/>
        <v>#REF!</v>
      </c>
      <c r="K24" s="380" t="e">
        <f t="shared" ca="1" si="29"/>
        <v>#REF!</v>
      </c>
      <c r="L24" s="380" t="e">
        <f t="shared" ca="1" si="29"/>
        <v>#REF!</v>
      </c>
      <c r="M24" s="380" t="e">
        <f t="shared" ca="1" si="29"/>
        <v>#REF!</v>
      </c>
      <c r="N24" s="380" t="e">
        <f t="shared" ca="1" si="29"/>
        <v>#REF!</v>
      </c>
      <c r="O24" s="380" t="e">
        <f t="shared" ca="1" si="29"/>
        <v>#REF!</v>
      </c>
      <c r="P24" s="380" t="e">
        <f t="shared" ca="1" si="29"/>
        <v>#REF!</v>
      </c>
      <c r="Q24" s="380" t="e">
        <f t="shared" ca="1" si="29"/>
        <v>#REF!</v>
      </c>
      <c r="R24" s="380" t="e">
        <f t="shared" ca="1" si="29"/>
        <v>#REF!</v>
      </c>
      <c r="S24" s="380"/>
      <c r="T24" s="380"/>
      <c r="U24" s="380"/>
      <c r="V24" s="380"/>
      <c r="W24" s="380"/>
      <c r="X24" s="380"/>
      <c r="Y24" s="380" t="e">
        <f t="shared" ref="Y24" ca="1" si="32">IF(ABS(Y$3/3-Y10)&lt;=0.75,1,0)</f>
        <v>#REF!</v>
      </c>
    </row>
    <row r="25" spans="1:25" hidden="1" x14ac:dyDescent="0.3">
      <c r="A25" s="379">
        <f>A11</f>
        <v>0</v>
      </c>
      <c r="B25" s="379" t="e">
        <f t="shared" ca="1" si="31"/>
        <v>#REF!</v>
      </c>
      <c r="C25" s="380" t="e">
        <f t="shared" ca="1" si="29"/>
        <v>#REF!</v>
      </c>
      <c r="D25" s="380" t="e">
        <f t="shared" ca="1" si="29"/>
        <v>#REF!</v>
      </c>
      <c r="E25" s="380" t="e">
        <f t="shared" ca="1" si="29"/>
        <v>#REF!</v>
      </c>
      <c r="F25" s="380" t="e">
        <f t="shared" ca="1" si="29"/>
        <v>#REF!</v>
      </c>
      <c r="G25" s="380" t="e">
        <f t="shared" ca="1" si="29"/>
        <v>#REF!</v>
      </c>
      <c r="H25" s="380" t="e">
        <f t="shared" ca="1" si="29"/>
        <v>#REF!</v>
      </c>
      <c r="I25" s="380" t="e">
        <f t="shared" ca="1" si="29"/>
        <v>#REF!</v>
      </c>
      <c r="J25" s="380" t="e">
        <f t="shared" ca="1" si="29"/>
        <v>#REF!</v>
      </c>
      <c r="K25" s="380" t="e">
        <f t="shared" ca="1" si="29"/>
        <v>#REF!</v>
      </c>
      <c r="L25" s="380" t="e">
        <f t="shared" ca="1" si="29"/>
        <v>#REF!</v>
      </c>
      <c r="M25" s="380" t="e">
        <f t="shared" ca="1" si="29"/>
        <v>#REF!</v>
      </c>
      <c r="N25" s="380" t="e">
        <f t="shared" ca="1" si="29"/>
        <v>#REF!</v>
      </c>
      <c r="O25" s="380" t="e">
        <f t="shared" ca="1" si="29"/>
        <v>#REF!</v>
      </c>
      <c r="P25" s="380" t="e">
        <f t="shared" ca="1" si="29"/>
        <v>#REF!</v>
      </c>
      <c r="Q25" s="380" t="e">
        <f t="shared" ca="1" si="29"/>
        <v>#REF!</v>
      </c>
      <c r="R25" s="380" t="e">
        <f t="shared" ca="1" si="29"/>
        <v>#REF!</v>
      </c>
      <c r="S25" s="380"/>
      <c r="T25" s="380"/>
      <c r="U25" s="380"/>
      <c r="V25" s="380"/>
      <c r="W25" s="380"/>
      <c r="X25" s="380"/>
      <c r="Y25" s="380" t="e">
        <f t="shared" ref="Y25" ca="1" si="33">IF(ABS(Y$3/3-Y11)&lt;=0.75,1,0)</f>
        <v>#REF!</v>
      </c>
    </row>
    <row r="26" spans="1:25" hidden="1" x14ac:dyDescent="0.3">
      <c r="A26" s="379">
        <f>A12</f>
        <v>0</v>
      </c>
      <c r="B26" s="379" t="e">
        <f t="shared" ca="1" si="31"/>
        <v>#REF!</v>
      </c>
      <c r="C26" s="380" t="e">
        <f t="shared" ca="1" si="29"/>
        <v>#REF!</v>
      </c>
      <c r="D26" s="380" t="e">
        <f t="shared" ca="1" si="29"/>
        <v>#REF!</v>
      </c>
      <c r="E26" s="380" t="e">
        <f t="shared" ca="1" si="29"/>
        <v>#REF!</v>
      </c>
      <c r="F26" s="380" t="e">
        <f t="shared" ca="1" si="29"/>
        <v>#REF!</v>
      </c>
      <c r="G26" s="380" t="e">
        <f t="shared" ca="1" si="29"/>
        <v>#REF!</v>
      </c>
      <c r="H26" s="380" t="e">
        <f t="shared" ca="1" si="29"/>
        <v>#REF!</v>
      </c>
      <c r="I26" s="380" t="e">
        <f t="shared" ca="1" si="29"/>
        <v>#REF!</v>
      </c>
      <c r="J26" s="380" t="e">
        <f t="shared" ca="1" si="29"/>
        <v>#REF!</v>
      </c>
      <c r="K26" s="380" t="e">
        <f t="shared" ca="1" si="29"/>
        <v>#REF!</v>
      </c>
      <c r="L26" s="380" t="e">
        <f t="shared" ca="1" si="29"/>
        <v>#REF!</v>
      </c>
      <c r="M26" s="380" t="e">
        <f t="shared" ca="1" si="29"/>
        <v>#REF!</v>
      </c>
      <c r="N26" s="380" t="e">
        <f t="shared" ca="1" si="29"/>
        <v>#REF!</v>
      </c>
      <c r="O26" s="380" t="e">
        <f t="shared" ca="1" si="29"/>
        <v>#REF!</v>
      </c>
      <c r="P26" s="380" t="e">
        <f t="shared" ca="1" si="29"/>
        <v>#REF!</v>
      </c>
      <c r="Q26" s="380" t="e">
        <f t="shared" ca="1" si="29"/>
        <v>#REF!</v>
      </c>
      <c r="R26" s="380" t="e">
        <f t="shared" ca="1" si="29"/>
        <v>#REF!</v>
      </c>
      <c r="S26" s="380"/>
      <c r="T26" s="380"/>
      <c r="U26" s="380"/>
      <c r="V26" s="380"/>
      <c r="W26" s="380"/>
      <c r="X26" s="380"/>
      <c r="Y26" s="380" t="e">
        <f t="shared" ref="Y26" ca="1" si="34">IF(ABS(Y$3/3-Y12)&lt;=0.75,1,0)</f>
        <v>#REF!</v>
      </c>
    </row>
    <row r="27" spans="1:25" hidden="1" x14ac:dyDescent="0.3">
      <c r="A27" s="379">
        <f>A13</f>
        <v>0</v>
      </c>
      <c r="B27" s="379" t="e">
        <f t="shared" ca="1" si="31"/>
        <v>#REF!</v>
      </c>
      <c r="C27" s="380" t="e">
        <f t="shared" ca="1" si="29"/>
        <v>#REF!</v>
      </c>
      <c r="D27" s="380" t="e">
        <f t="shared" ca="1" si="29"/>
        <v>#REF!</v>
      </c>
      <c r="E27" s="380" t="e">
        <f t="shared" ca="1" si="29"/>
        <v>#REF!</v>
      </c>
      <c r="F27" s="380" t="e">
        <f t="shared" ca="1" si="29"/>
        <v>#REF!</v>
      </c>
      <c r="G27" s="380" t="e">
        <f t="shared" ca="1" si="29"/>
        <v>#REF!</v>
      </c>
      <c r="H27" s="380" t="e">
        <f t="shared" ca="1" si="29"/>
        <v>#REF!</v>
      </c>
      <c r="I27" s="380" t="e">
        <f t="shared" ca="1" si="29"/>
        <v>#REF!</v>
      </c>
      <c r="J27" s="380" t="e">
        <f t="shared" ca="1" si="29"/>
        <v>#REF!</v>
      </c>
      <c r="K27" s="380" t="e">
        <f t="shared" ca="1" si="29"/>
        <v>#REF!</v>
      </c>
      <c r="L27" s="380" t="e">
        <f t="shared" ca="1" si="29"/>
        <v>#REF!</v>
      </c>
      <c r="M27" s="380" t="e">
        <f t="shared" ca="1" si="29"/>
        <v>#REF!</v>
      </c>
      <c r="N27" s="380" t="e">
        <f t="shared" ca="1" si="29"/>
        <v>#REF!</v>
      </c>
      <c r="O27" s="380" t="e">
        <f t="shared" ca="1" si="29"/>
        <v>#REF!</v>
      </c>
      <c r="P27" s="380" t="e">
        <f t="shared" ca="1" si="29"/>
        <v>#REF!</v>
      </c>
      <c r="Q27" s="380" t="e">
        <f t="shared" ca="1" si="29"/>
        <v>#REF!</v>
      </c>
      <c r="R27" s="380" t="e">
        <f t="shared" ca="1" si="29"/>
        <v>#REF!</v>
      </c>
      <c r="S27" s="380"/>
      <c r="T27" s="380"/>
      <c r="U27" s="380"/>
      <c r="V27" s="380"/>
      <c r="W27" s="380"/>
      <c r="X27" s="380"/>
      <c r="Y27" s="380" t="e">
        <f t="shared" ref="Y27" ca="1" si="35">IF(ABS(Y$3/3-Y13)&lt;=0.75,1,0)</f>
        <v>#REF!</v>
      </c>
    </row>
    <row r="28" spans="1:25" hidden="1" x14ac:dyDescent="0.3">
      <c r="B28" s="379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</row>
    <row r="29" spans="1:25" hidden="1" x14ac:dyDescent="0.3">
      <c r="A29" s="379">
        <f>A15</f>
        <v>0</v>
      </c>
      <c r="B29" s="379" t="e">
        <f t="shared" ca="1" si="31"/>
        <v>#REF!</v>
      </c>
      <c r="C29" s="380" t="e">
        <f t="shared" ca="1" si="29"/>
        <v>#REF!</v>
      </c>
      <c r="D29" s="380" t="e">
        <f t="shared" ca="1" si="29"/>
        <v>#REF!</v>
      </c>
      <c r="E29" s="380" t="e">
        <f t="shared" ca="1" si="29"/>
        <v>#REF!</v>
      </c>
      <c r="F29" s="380" t="e">
        <f t="shared" ca="1" si="29"/>
        <v>#REF!</v>
      </c>
      <c r="G29" s="380" t="e">
        <f t="shared" ca="1" si="29"/>
        <v>#REF!</v>
      </c>
      <c r="H29" s="380" t="e">
        <f t="shared" ca="1" si="29"/>
        <v>#REF!</v>
      </c>
      <c r="I29" s="380" t="e">
        <f t="shared" ca="1" si="29"/>
        <v>#REF!</v>
      </c>
      <c r="J29" s="380" t="e">
        <f t="shared" ca="1" si="29"/>
        <v>#REF!</v>
      </c>
      <c r="K29" s="380" t="e">
        <f t="shared" ca="1" si="29"/>
        <v>#REF!</v>
      </c>
      <c r="L29" s="380" t="e">
        <f t="shared" ca="1" si="29"/>
        <v>#REF!</v>
      </c>
      <c r="M29" s="380" t="e">
        <f t="shared" ca="1" si="29"/>
        <v>#REF!</v>
      </c>
      <c r="N29" s="380" t="e">
        <f t="shared" ca="1" si="29"/>
        <v>#REF!</v>
      </c>
      <c r="O29" s="380" t="e">
        <f t="shared" ca="1" si="29"/>
        <v>#REF!</v>
      </c>
      <c r="P29" s="380" t="e">
        <f t="shared" ca="1" si="29"/>
        <v>#REF!</v>
      </c>
      <c r="Q29" s="380" t="e">
        <f t="shared" ca="1" si="29"/>
        <v>#REF!</v>
      </c>
      <c r="R29" s="380" t="e">
        <f t="shared" ca="1" si="29"/>
        <v>#REF!</v>
      </c>
      <c r="S29" s="380"/>
      <c r="T29" s="380"/>
      <c r="U29" s="380"/>
      <c r="V29" s="380"/>
      <c r="W29" s="380"/>
      <c r="X29" s="380"/>
      <c r="Y29" s="380" t="e">
        <f t="shared" ref="Y29" ca="1" si="36">IF(ABS(Y$3/3-Y15)&lt;=0.75,1,0)</f>
        <v>#REF!</v>
      </c>
    </row>
    <row r="30" spans="1:25" hidden="1" x14ac:dyDescent="0.3">
      <c r="A30" s="379">
        <f>A16</f>
        <v>0</v>
      </c>
      <c r="B30" s="379" t="e">
        <f t="shared" ca="1" si="31"/>
        <v>#REF!</v>
      </c>
      <c r="C30" s="380" t="e">
        <f t="shared" ca="1" si="29"/>
        <v>#REF!</v>
      </c>
      <c r="D30" s="380" t="e">
        <f t="shared" ca="1" si="29"/>
        <v>#REF!</v>
      </c>
      <c r="E30" s="380" t="e">
        <f t="shared" ca="1" si="29"/>
        <v>#REF!</v>
      </c>
      <c r="F30" s="380" t="e">
        <f t="shared" ca="1" si="29"/>
        <v>#REF!</v>
      </c>
      <c r="G30" s="380" t="e">
        <f t="shared" ca="1" si="29"/>
        <v>#REF!</v>
      </c>
      <c r="H30" s="380" t="e">
        <f t="shared" ca="1" si="29"/>
        <v>#REF!</v>
      </c>
      <c r="I30" s="380" t="e">
        <f t="shared" ca="1" si="29"/>
        <v>#REF!</v>
      </c>
      <c r="J30" s="380" t="e">
        <f t="shared" ca="1" si="29"/>
        <v>#REF!</v>
      </c>
      <c r="K30" s="380" t="e">
        <f t="shared" ca="1" si="29"/>
        <v>#REF!</v>
      </c>
      <c r="L30" s="380" t="e">
        <f t="shared" ca="1" si="29"/>
        <v>#REF!</v>
      </c>
      <c r="M30" s="380" t="e">
        <f t="shared" ca="1" si="29"/>
        <v>#REF!</v>
      </c>
      <c r="N30" s="380" t="e">
        <f t="shared" ca="1" si="29"/>
        <v>#REF!</v>
      </c>
      <c r="O30" s="380" t="e">
        <f t="shared" ca="1" si="29"/>
        <v>#REF!</v>
      </c>
      <c r="P30" s="380" t="e">
        <f t="shared" ca="1" si="29"/>
        <v>#REF!</v>
      </c>
      <c r="Q30" s="380" t="e">
        <f t="shared" ca="1" si="29"/>
        <v>#REF!</v>
      </c>
      <c r="R30" s="380" t="e">
        <f t="shared" ca="1" si="29"/>
        <v>#REF!</v>
      </c>
      <c r="S30" s="380"/>
      <c r="T30" s="380"/>
      <c r="U30" s="380"/>
      <c r="V30" s="380"/>
      <c r="W30" s="380"/>
      <c r="X30" s="380"/>
      <c r="Y30" s="380" t="e">
        <f t="shared" ref="Y30" ca="1" si="37">IF(ABS(Y$3/3-Y16)&lt;=0.75,1,0)</f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8:Y13">
    <cfRule type="expression" dxfId="53" priority="5">
      <formula>C$3/3-C8&lt;-0.75</formula>
    </cfRule>
    <cfRule type="expression" dxfId="52" priority="6">
      <formula>C$3/3-C8&gt;0.75</formula>
    </cfRule>
  </conditionalFormatting>
  <conditionalFormatting sqref="C4:Y4">
    <cfRule type="expression" dxfId="51" priority="1">
      <formula>C4&gt;3</formula>
    </cfRule>
    <cfRule type="expression" dxfId="50" priority="2">
      <formula>AND(C4&gt;2,C4&lt;=3)</formula>
    </cfRule>
    <cfRule type="expression" dxfId="49" priority="3">
      <formula>AND(C4&gt;1,C4&lt;=2)</formula>
    </cfRule>
    <cfRule type="expression" dxfId="48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S30"/>
  <sheetViews>
    <sheetView zoomScale="115" zoomScaleNormal="115" workbookViewId="0"/>
  </sheetViews>
  <sheetFormatPr defaultColWidth="11.5546875" defaultRowHeight="15" customHeight="1" x14ac:dyDescent="0.3"/>
  <cols>
    <col min="1" max="1" width="11.6640625" customWidth="1"/>
    <col min="2" max="2" width="22.6640625" customWidth="1"/>
    <col min="3" max="18" width="4.77734375" customWidth="1"/>
    <col min="19" max="24" width="4.77734375" hidden="1" customWidth="1"/>
    <col min="25" max="25" width="4.77734375" customWidth="1"/>
    <col min="26" max="26" width="6.77734375" customWidth="1"/>
    <col min="27" max="27" width="6.77734375" style="35" customWidth="1"/>
    <col min="28" max="28" width="4.77734375" style="35" customWidth="1"/>
    <col min="29" max="31" width="4.77734375" customWidth="1"/>
  </cols>
  <sheetData>
    <row r="1" spans="1:45" ht="15" customHeight="1" x14ac:dyDescent="0.3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S1" s="62"/>
      <c r="T1" s="62"/>
      <c r="U1" s="62"/>
      <c r="V1" s="62"/>
      <c r="W1" s="62"/>
      <c r="X1" s="62"/>
      <c r="Z1" s="69"/>
      <c r="AA1"/>
      <c r="AB1" s="63"/>
      <c r="AC1" s="62"/>
    </row>
    <row r="2" spans="1:45" ht="127.95" customHeight="1" x14ac:dyDescent="0.3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93</v>
      </c>
      <c r="E2" s="44" t="s">
        <v>94</v>
      </c>
      <c r="F2" s="44" t="s">
        <v>95</v>
      </c>
      <c r="G2" s="44" t="s">
        <v>96</v>
      </c>
      <c r="H2" s="44" t="s">
        <v>97</v>
      </c>
      <c r="I2" s="44" t="s">
        <v>99</v>
      </c>
      <c r="J2" s="44" t="s">
        <v>100</v>
      </c>
      <c r="K2" s="44" t="s">
        <v>101</v>
      </c>
      <c r="L2" s="44" t="s">
        <v>102</v>
      </c>
      <c r="M2" s="44" t="s">
        <v>103</v>
      </c>
      <c r="N2" s="44" t="s">
        <v>105</v>
      </c>
      <c r="O2" s="44" t="s">
        <v>106</v>
      </c>
      <c r="P2" s="44" t="s">
        <v>107</v>
      </c>
      <c r="Q2" s="44" t="s">
        <v>108</v>
      </c>
      <c r="R2" s="44" t="s">
        <v>109</v>
      </c>
      <c r="S2" s="46"/>
      <c r="T2" s="46"/>
      <c r="U2" s="46"/>
      <c r="V2" s="46"/>
      <c r="W2" s="46"/>
      <c r="X2" s="46"/>
      <c r="Y2" s="44" t="str">
        <f>Doku!B52</f>
        <v>Abgrüßen</v>
      </c>
      <c r="Z2" s="45" t="str">
        <f>Doku!B42</f>
        <v>Gesamt</v>
      </c>
      <c r="AA2" s="44" t="s">
        <v>226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</row>
    <row r="3" spans="1:45" ht="15" customHeight="1" x14ac:dyDescent="0.3">
      <c r="A3" s="364" t="str">
        <f>Doku!B42&amp;":"</f>
        <v>Gesamt:</v>
      </c>
      <c r="B3" s="364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112"/>
      <c r="T3" s="112"/>
      <c r="U3" s="112"/>
      <c r="V3" s="112"/>
      <c r="W3" s="112"/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45" ht="15" customHeight="1" x14ac:dyDescent="0.3">
      <c r="A4" s="366" t="str">
        <f>Doku!B49&amp;":"</f>
        <v>Spannweite:</v>
      </c>
      <c r="B4" s="366"/>
      <c r="C4" s="239" t="e">
        <f t="shared" ref="C4:R4" ca="1" si="1">MAX(C8:C12)-MIN(C8:C12)</f>
        <v>#REF!</v>
      </c>
      <c r="D4" s="239" t="e">
        <f t="shared" ca="1" si="1"/>
        <v>#REF!</v>
      </c>
      <c r="E4" s="239" t="e">
        <f t="shared" ca="1" si="1"/>
        <v>#REF!</v>
      </c>
      <c r="F4" s="239" t="e">
        <f t="shared" ca="1" si="1"/>
        <v>#REF!</v>
      </c>
      <c r="G4" s="239" t="e">
        <f t="shared" ca="1" si="1"/>
        <v>#REF!</v>
      </c>
      <c r="H4" s="239" t="e">
        <f t="shared" ca="1" si="1"/>
        <v>#REF!</v>
      </c>
      <c r="I4" s="239" t="e">
        <f t="shared" ca="1" si="1"/>
        <v>#REF!</v>
      </c>
      <c r="J4" s="239" t="e">
        <f t="shared" ca="1" si="1"/>
        <v>#REF!</v>
      </c>
      <c r="K4" s="239" t="e">
        <f t="shared" ca="1" si="1"/>
        <v>#REF!</v>
      </c>
      <c r="L4" s="239" t="e">
        <f t="shared" ca="1" si="1"/>
        <v>#REF!</v>
      </c>
      <c r="M4" s="239" t="e">
        <f t="shared" ca="1" si="1"/>
        <v>#REF!</v>
      </c>
      <c r="N4" s="239" t="e">
        <f t="shared" ca="1" si="1"/>
        <v>#REF!</v>
      </c>
      <c r="O4" s="239" t="e">
        <f t="shared" ca="1" si="1"/>
        <v>#REF!</v>
      </c>
      <c r="P4" s="239" t="e">
        <f t="shared" ca="1" si="1"/>
        <v>#REF!</v>
      </c>
      <c r="Q4" s="239" t="e">
        <f t="shared" ca="1" si="1"/>
        <v>#REF!</v>
      </c>
      <c r="R4" s="239" t="e">
        <f t="shared" ca="1" si="1"/>
        <v>#REF!</v>
      </c>
      <c r="S4" s="240"/>
      <c r="T4" s="240"/>
      <c r="U4" s="240"/>
      <c r="V4" s="240"/>
      <c r="W4" s="240"/>
      <c r="X4" s="240"/>
      <c r="Y4" s="239" t="e">
        <f ca="1">MAX(Y8:Y12)-MIN(Y8:Y12)</f>
        <v>#REF!</v>
      </c>
      <c r="Z4" s="241" t="e">
        <f ca="1">MAX(Z8:Z12)-MIN(Z8:Z12)</f>
        <v>#REF!</v>
      </c>
      <c r="AA4" s="240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MAX(AD8:AD13)-MIN(AD8:AD12)</f>
        <v>#REF!</v>
      </c>
      <c r="AE4" s="38" t="e">
        <f ca="1">MAX(AE8:AE13)-MIN(AE8:AE12)</f>
        <v>#REF!</v>
      </c>
    </row>
    <row r="5" spans="1:45" ht="15" customHeight="1" x14ac:dyDescent="0.3">
      <c r="A5" s="365" t="str">
        <f>Doku!B47&amp;":"</f>
        <v>Mittelwert:</v>
      </c>
      <c r="B5" s="365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 t="e">
        <f t="shared" ca="1" si="2"/>
        <v>#REF!</v>
      </c>
      <c r="K5" s="38" t="e">
        <f t="shared" ca="1" si="2"/>
        <v>#REF!</v>
      </c>
      <c r="L5" s="38" t="e">
        <f t="shared" ca="1" si="2"/>
        <v>#REF!</v>
      </c>
      <c r="M5" s="38" t="e">
        <f t="shared" ca="1" si="2"/>
        <v>#REF!</v>
      </c>
      <c r="N5" s="38" t="e">
        <f t="shared" ca="1" si="2"/>
        <v>#REF!</v>
      </c>
      <c r="O5" s="38" t="e">
        <f t="shared" ca="1" si="2"/>
        <v>#REF!</v>
      </c>
      <c r="P5" s="38" t="e">
        <f t="shared" ca="1" si="2"/>
        <v>#REF!</v>
      </c>
      <c r="Q5" s="38" t="e">
        <f t="shared" ca="1" si="2"/>
        <v>#REF!</v>
      </c>
      <c r="R5" s="38" t="e">
        <f t="shared" ca="1" si="2"/>
        <v>#REF!</v>
      </c>
      <c r="S5" s="38"/>
      <c r="T5" s="38"/>
      <c r="U5" s="38"/>
      <c r="V5" s="38"/>
      <c r="W5" s="38"/>
      <c r="X5" s="38"/>
      <c r="Y5" s="38" t="e">
        <f t="shared" ca="1" si="2"/>
        <v>#REF!</v>
      </c>
      <c r="Z5" s="39" t="e">
        <f t="shared" ca="1" si="2"/>
        <v>#REF!</v>
      </c>
      <c r="AA5" s="89"/>
      <c r="AB5" s="38" t="e">
        <f t="shared" ref="Y5:AE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45" ht="15" hidden="1" customHeight="1" x14ac:dyDescent="0.3">
      <c r="A6" s="365"/>
      <c r="B6" s="365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113"/>
      <c r="T6" s="113"/>
      <c r="U6" s="113"/>
      <c r="V6" s="113"/>
      <c r="W6" s="113"/>
      <c r="X6" s="113"/>
      <c r="Y6" s="40"/>
      <c r="Z6" s="41"/>
      <c r="AA6" s="113"/>
      <c r="AB6" s="40"/>
      <c r="AC6" s="40"/>
      <c r="AD6" s="40"/>
      <c r="AE6" s="40"/>
    </row>
    <row r="7" spans="1:45" ht="15" customHeight="1" x14ac:dyDescent="0.3">
      <c r="A7" s="367"/>
      <c r="B7" s="367" t="e">
        <f t="shared" ref="B7:B16" ca="1" si="4">INDIRECT("'"&amp;$A7&amp;"'!E5")</f>
        <v>#REF!</v>
      </c>
      <c r="C7" s="368" t="e">
        <f t="shared" ref="C7:C16" ca="1" si="5">INDIRECT("'"&amp;$A7&amp;"'!K13")</f>
        <v>#REF!</v>
      </c>
      <c r="D7" s="368" t="e">
        <f t="shared" ref="D7:D16" ca="1" si="6">INDIRECT("'"&amp;$A7&amp;"'!K14")</f>
        <v>#REF!</v>
      </c>
      <c r="E7" s="368" t="e">
        <f t="shared" ref="E7:E16" ca="1" si="7">INDIRECT("'"&amp;$A7&amp;"'!K15")</f>
        <v>#REF!</v>
      </c>
      <c r="F7" s="368" t="e">
        <f t="shared" ref="F7:F16" ca="1" si="8">INDIRECT("'"&amp;$A7&amp;"'!K16")</f>
        <v>#REF!</v>
      </c>
      <c r="G7" s="368" t="e">
        <f t="shared" ref="G7:G16" ca="1" si="9">INDIRECT("'"&amp;$A7&amp;"'!K17")</f>
        <v>#REF!</v>
      </c>
      <c r="H7" s="368" t="e">
        <f t="shared" ref="H7:H16" ca="1" si="10">INDIRECT("'"&amp;$A7&amp;"'!K18")</f>
        <v>#REF!</v>
      </c>
      <c r="I7" s="368" t="e">
        <f t="shared" ref="I7:I16" ca="1" si="11">INDIRECT("'"&amp;$A7&amp;"'!K19")</f>
        <v>#REF!</v>
      </c>
      <c r="J7" s="368" t="e">
        <f t="shared" ref="J7:J16" ca="1" si="12">INDIRECT("'"&amp;$A7&amp;"'!K20")</f>
        <v>#REF!</v>
      </c>
      <c r="K7" s="368" t="e">
        <f t="shared" ref="K7:K16" ca="1" si="13">INDIRECT("'"&amp;$A7&amp;"'!K21")</f>
        <v>#REF!</v>
      </c>
      <c r="L7" s="368" t="e">
        <f t="shared" ref="L7:L16" ca="1" si="14">INDIRECT("'"&amp;$A7&amp;"'!K22")</f>
        <v>#REF!</v>
      </c>
      <c r="M7" s="368" t="e">
        <f t="shared" ref="M7:M16" ca="1" si="15">INDIRECT("'"&amp;$A7&amp;"'!K23")</f>
        <v>#REF!</v>
      </c>
      <c r="N7" s="368" t="e">
        <f t="shared" ref="N7:N16" ca="1" si="16">INDIRECT("'"&amp;$A7&amp;"'!K24")</f>
        <v>#REF!</v>
      </c>
      <c r="O7" s="368" t="e">
        <f t="shared" ref="O7:O16" ca="1" si="17">INDIRECT("'"&amp;$A7&amp;"'!K25")</f>
        <v>#REF!</v>
      </c>
      <c r="P7" s="368" t="e">
        <f t="shared" ref="P7:P16" ca="1" si="18">INDIRECT("'"&amp;$A7&amp;"'!K26")</f>
        <v>#REF!</v>
      </c>
      <c r="Q7" s="368" t="e">
        <f t="shared" ref="Q7:Q16" ca="1" si="19">INDIRECT("'"&amp;$A7&amp;"'!K27")</f>
        <v>#REF!</v>
      </c>
      <c r="R7" s="368" t="e">
        <f t="shared" ref="R7:R16" ca="1" si="20">INDIRECT("'"&amp;$A7&amp;"'!K28")</f>
        <v>#REF!</v>
      </c>
      <c r="S7" s="368"/>
      <c r="T7" s="368"/>
      <c r="U7" s="368"/>
      <c r="V7" s="368"/>
      <c r="W7" s="368"/>
      <c r="X7" s="368"/>
      <c r="Y7" s="368" t="e">
        <f t="shared" ref="Y7:Y16" ca="1" si="21">INDIRECT("'"&amp;$A7&amp;"'!K29")</f>
        <v>#REF!</v>
      </c>
      <c r="Z7" s="369" t="e">
        <f t="shared" ref="Z7:Z16" ca="1" si="22">INDIRECT("'"&amp;$A7&amp;"'!K36")</f>
        <v>#REF!</v>
      </c>
      <c r="AA7" s="368"/>
      <c r="AB7" s="368" t="e">
        <f t="shared" ref="AB7:AB13" ca="1" si="23">INDIRECT("'"&amp;$A7&amp;"'!F36")</f>
        <v>#REF!</v>
      </c>
      <c r="AC7" s="368" t="e">
        <f t="shared" ref="AC7:AC13" ca="1" si="24">INDIRECT("'"&amp;$A7&amp;"'!H36")</f>
        <v>#REF!</v>
      </c>
      <c r="AD7" s="368" t="e">
        <f t="shared" ref="AD7:AD13" ca="1" si="25">INDIRECT("'"&amp;$A7&amp;"'!I36")</f>
        <v>#REF!</v>
      </c>
      <c r="AE7" s="368" t="e">
        <f t="shared" ref="AE7:AE13" ca="1" si="26">INDIRECT("'"&amp;$A7&amp;"'!J36")</f>
        <v>#REF!</v>
      </c>
    </row>
    <row r="8" spans="1:45" ht="15" customHeight="1" x14ac:dyDescent="0.3">
      <c r="A8" s="370"/>
      <c r="B8" s="370" t="e">
        <f t="shared" ca="1" si="4"/>
        <v>#REF!</v>
      </c>
      <c r="C8" s="383" t="e">
        <f t="shared" ca="1" si="5"/>
        <v>#REF!</v>
      </c>
      <c r="D8" s="383" t="e">
        <f t="shared" ca="1" si="6"/>
        <v>#REF!</v>
      </c>
      <c r="E8" s="383" t="e">
        <f t="shared" ca="1" si="7"/>
        <v>#REF!</v>
      </c>
      <c r="F8" s="383" t="e">
        <f t="shared" ca="1" si="8"/>
        <v>#REF!</v>
      </c>
      <c r="G8" s="383" t="e">
        <f t="shared" ca="1" si="9"/>
        <v>#REF!</v>
      </c>
      <c r="H8" s="383" t="e">
        <f t="shared" ca="1" si="10"/>
        <v>#REF!</v>
      </c>
      <c r="I8" s="383" t="e">
        <f t="shared" ca="1" si="11"/>
        <v>#REF!</v>
      </c>
      <c r="J8" s="383" t="e">
        <f t="shared" ca="1" si="12"/>
        <v>#REF!</v>
      </c>
      <c r="K8" s="383" t="e">
        <f t="shared" ca="1" si="13"/>
        <v>#REF!</v>
      </c>
      <c r="L8" s="383" t="e">
        <f t="shared" ca="1" si="14"/>
        <v>#REF!</v>
      </c>
      <c r="M8" s="383" t="e">
        <f t="shared" ca="1" si="15"/>
        <v>#REF!</v>
      </c>
      <c r="N8" s="383" t="e">
        <f t="shared" ca="1" si="16"/>
        <v>#REF!</v>
      </c>
      <c r="O8" s="383" t="e">
        <f t="shared" ca="1" si="17"/>
        <v>#REF!</v>
      </c>
      <c r="P8" s="383" t="e">
        <f t="shared" ca="1" si="18"/>
        <v>#REF!</v>
      </c>
      <c r="Q8" s="383" t="e">
        <f t="shared" ca="1" si="19"/>
        <v>#REF!</v>
      </c>
      <c r="R8" s="383" t="e">
        <f t="shared" ca="1" si="20"/>
        <v>#REF!</v>
      </c>
      <c r="S8" s="383"/>
      <c r="T8" s="383"/>
      <c r="U8" s="383"/>
      <c r="V8" s="383"/>
      <c r="W8" s="383"/>
      <c r="X8" s="383"/>
      <c r="Y8" s="383" t="e">
        <f t="shared" ca="1" si="21"/>
        <v>#REF!</v>
      </c>
      <c r="Z8" s="383" t="e">
        <f t="shared" ca="1" si="22"/>
        <v>#REF!</v>
      </c>
      <c r="AA8" s="381" t="e">
        <f ca="1">SUM(C22:Y22)/COUNT(C8:Y8)</f>
        <v>#REF!</v>
      </c>
      <c r="AB8" s="371" t="e">
        <f t="shared" ca="1" si="23"/>
        <v>#REF!</v>
      </c>
      <c r="AC8" s="371" t="e">
        <f t="shared" ca="1" si="24"/>
        <v>#REF!</v>
      </c>
      <c r="AD8" s="371" t="e">
        <f t="shared" ca="1" si="25"/>
        <v>#REF!</v>
      </c>
      <c r="AE8" s="371" t="e">
        <f t="shared" ca="1" si="26"/>
        <v>#REF!</v>
      </c>
    </row>
    <row r="9" spans="1:45" ht="15" customHeight="1" x14ac:dyDescent="0.3">
      <c r="A9" s="370"/>
      <c r="B9" s="370" t="e">
        <f t="shared" ca="1" si="4"/>
        <v>#REF!</v>
      </c>
      <c r="C9" s="371" t="e">
        <f t="shared" ca="1" si="5"/>
        <v>#REF!</v>
      </c>
      <c r="D9" s="371" t="e">
        <f t="shared" ca="1" si="6"/>
        <v>#REF!</v>
      </c>
      <c r="E9" s="371" t="e">
        <f t="shared" ca="1" si="7"/>
        <v>#REF!</v>
      </c>
      <c r="F9" s="371" t="e">
        <f t="shared" ca="1" si="8"/>
        <v>#REF!</v>
      </c>
      <c r="G9" s="371" t="e">
        <f t="shared" ca="1" si="9"/>
        <v>#REF!</v>
      </c>
      <c r="H9" s="371" t="e">
        <f t="shared" ca="1" si="10"/>
        <v>#REF!</v>
      </c>
      <c r="I9" s="371" t="e">
        <f t="shared" ca="1" si="11"/>
        <v>#REF!</v>
      </c>
      <c r="J9" s="371" t="e">
        <f t="shared" ca="1" si="12"/>
        <v>#REF!</v>
      </c>
      <c r="K9" s="371" t="e">
        <f t="shared" ca="1" si="13"/>
        <v>#REF!</v>
      </c>
      <c r="L9" s="371" t="e">
        <f t="shared" ca="1" si="14"/>
        <v>#REF!</v>
      </c>
      <c r="M9" s="371" t="e">
        <f t="shared" ca="1" si="15"/>
        <v>#REF!</v>
      </c>
      <c r="N9" s="371" t="e">
        <f t="shared" ca="1" si="16"/>
        <v>#REF!</v>
      </c>
      <c r="O9" s="371" t="e">
        <f t="shared" ca="1" si="17"/>
        <v>#REF!</v>
      </c>
      <c r="P9" s="371" t="e">
        <f t="shared" ca="1" si="18"/>
        <v>#REF!</v>
      </c>
      <c r="Q9" s="371" t="e">
        <f t="shared" ca="1" si="19"/>
        <v>#REF!</v>
      </c>
      <c r="R9" s="371" t="e">
        <f t="shared" ca="1" si="20"/>
        <v>#REF!</v>
      </c>
      <c r="S9" s="371"/>
      <c r="T9" s="371"/>
      <c r="U9" s="371"/>
      <c r="V9" s="371"/>
      <c r="W9" s="371"/>
      <c r="X9" s="371"/>
      <c r="Y9" s="371" t="e">
        <f t="shared" ca="1" si="21"/>
        <v>#REF!</v>
      </c>
      <c r="Z9" s="372" t="e">
        <f t="shared" ca="1" si="22"/>
        <v>#REF!</v>
      </c>
      <c r="AA9" s="382" t="e">
        <f ca="1">SUM(C23:Y23)/COUNT(C9:Y9)</f>
        <v>#REF!</v>
      </c>
      <c r="AB9" s="371" t="e">
        <f t="shared" ca="1" si="23"/>
        <v>#REF!</v>
      </c>
      <c r="AC9" s="371" t="e">
        <f t="shared" ca="1" si="24"/>
        <v>#REF!</v>
      </c>
      <c r="AD9" s="371" t="e">
        <f t="shared" ca="1" si="25"/>
        <v>#REF!</v>
      </c>
      <c r="AE9" s="371" t="e">
        <f t="shared" ca="1" si="26"/>
        <v>#REF!</v>
      </c>
    </row>
    <row r="10" spans="1:45" ht="15" customHeight="1" x14ac:dyDescent="0.3">
      <c r="A10" s="370"/>
      <c r="B10" s="370" t="e">
        <f t="shared" ca="1" si="4"/>
        <v>#REF!</v>
      </c>
      <c r="C10" s="371" t="e">
        <f t="shared" ca="1" si="5"/>
        <v>#REF!</v>
      </c>
      <c r="D10" s="371" t="e">
        <f t="shared" ca="1" si="6"/>
        <v>#REF!</v>
      </c>
      <c r="E10" s="371" t="e">
        <f t="shared" ca="1" si="7"/>
        <v>#REF!</v>
      </c>
      <c r="F10" s="371" t="e">
        <f t="shared" ca="1" si="8"/>
        <v>#REF!</v>
      </c>
      <c r="G10" s="371" t="e">
        <f t="shared" ca="1" si="9"/>
        <v>#REF!</v>
      </c>
      <c r="H10" s="371" t="e">
        <f t="shared" ca="1" si="10"/>
        <v>#REF!</v>
      </c>
      <c r="I10" s="371" t="e">
        <f t="shared" ca="1" si="11"/>
        <v>#REF!</v>
      </c>
      <c r="J10" s="371" t="e">
        <f t="shared" ca="1" si="12"/>
        <v>#REF!</v>
      </c>
      <c r="K10" s="371" t="e">
        <f t="shared" ca="1" si="13"/>
        <v>#REF!</v>
      </c>
      <c r="L10" s="371" t="e">
        <f t="shared" ca="1" si="14"/>
        <v>#REF!</v>
      </c>
      <c r="M10" s="371" t="e">
        <f t="shared" ca="1" si="15"/>
        <v>#REF!</v>
      </c>
      <c r="N10" s="371" t="e">
        <f t="shared" ca="1" si="16"/>
        <v>#REF!</v>
      </c>
      <c r="O10" s="371" t="e">
        <f t="shared" ca="1" si="17"/>
        <v>#REF!</v>
      </c>
      <c r="P10" s="371" t="e">
        <f t="shared" ca="1" si="18"/>
        <v>#REF!</v>
      </c>
      <c r="Q10" s="371" t="e">
        <f t="shared" ca="1" si="19"/>
        <v>#REF!</v>
      </c>
      <c r="R10" s="371" t="e">
        <f t="shared" ca="1" si="20"/>
        <v>#REF!</v>
      </c>
      <c r="S10" s="371"/>
      <c r="T10" s="371"/>
      <c r="U10" s="371"/>
      <c r="V10" s="371"/>
      <c r="W10" s="371"/>
      <c r="X10" s="371"/>
      <c r="Y10" s="371" t="e">
        <f t="shared" ca="1" si="21"/>
        <v>#REF!</v>
      </c>
      <c r="Z10" s="372" t="e">
        <f t="shared" ca="1" si="22"/>
        <v>#REF!</v>
      </c>
      <c r="AA10" s="382" t="e">
        <f ca="1">SUM(C24:Y24)/COUNT(C10:Y10)</f>
        <v>#REF!</v>
      </c>
      <c r="AB10" s="371" t="e">
        <f t="shared" ca="1" si="23"/>
        <v>#REF!</v>
      </c>
      <c r="AC10" s="371" t="e">
        <f t="shared" ca="1" si="24"/>
        <v>#REF!</v>
      </c>
      <c r="AD10" s="371" t="e">
        <f t="shared" ca="1" si="25"/>
        <v>#REF!</v>
      </c>
      <c r="AE10" s="371" t="e">
        <f t="shared" ca="1" si="26"/>
        <v>#REF!</v>
      </c>
    </row>
    <row r="11" spans="1:45" ht="15" customHeight="1" x14ac:dyDescent="0.3">
      <c r="A11" s="370"/>
      <c r="B11" s="370" t="e">
        <f t="shared" ca="1" si="4"/>
        <v>#REF!</v>
      </c>
      <c r="C11" s="371" t="e">
        <f t="shared" ca="1" si="5"/>
        <v>#REF!</v>
      </c>
      <c r="D11" s="371" t="e">
        <f t="shared" ca="1" si="6"/>
        <v>#REF!</v>
      </c>
      <c r="E11" s="371" t="e">
        <f t="shared" ca="1" si="7"/>
        <v>#REF!</v>
      </c>
      <c r="F11" s="371" t="e">
        <f t="shared" ca="1" si="8"/>
        <v>#REF!</v>
      </c>
      <c r="G11" s="371" t="e">
        <f t="shared" ca="1" si="9"/>
        <v>#REF!</v>
      </c>
      <c r="H11" s="371" t="e">
        <f t="shared" ca="1" si="10"/>
        <v>#REF!</v>
      </c>
      <c r="I11" s="371" t="e">
        <f t="shared" ca="1" si="11"/>
        <v>#REF!</v>
      </c>
      <c r="J11" s="371" t="e">
        <f t="shared" ca="1" si="12"/>
        <v>#REF!</v>
      </c>
      <c r="K11" s="371" t="e">
        <f t="shared" ca="1" si="13"/>
        <v>#REF!</v>
      </c>
      <c r="L11" s="371" t="e">
        <f t="shared" ca="1" si="14"/>
        <v>#REF!</v>
      </c>
      <c r="M11" s="371" t="e">
        <f t="shared" ca="1" si="15"/>
        <v>#REF!</v>
      </c>
      <c r="N11" s="371" t="e">
        <f t="shared" ca="1" si="16"/>
        <v>#REF!</v>
      </c>
      <c r="O11" s="371" t="e">
        <f t="shared" ca="1" si="17"/>
        <v>#REF!</v>
      </c>
      <c r="P11" s="371" t="e">
        <f t="shared" ca="1" si="18"/>
        <v>#REF!</v>
      </c>
      <c r="Q11" s="371" t="e">
        <f t="shared" ca="1" si="19"/>
        <v>#REF!</v>
      </c>
      <c r="R11" s="371" t="e">
        <f t="shared" ca="1" si="20"/>
        <v>#REF!</v>
      </c>
      <c r="S11" s="371"/>
      <c r="T11" s="371"/>
      <c r="U11" s="371"/>
      <c r="V11" s="371"/>
      <c r="W11" s="371"/>
      <c r="X11" s="371"/>
      <c r="Y11" s="371" t="e">
        <f t="shared" ca="1" si="21"/>
        <v>#REF!</v>
      </c>
      <c r="Z11" s="372" t="e">
        <f t="shared" ca="1" si="22"/>
        <v>#REF!</v>
      </c>
      <c r="AA11" s="382" t="e">
        <f ca="1">SUM(C25:Y25)/COUNT(C11:Y11)</f>
        <v>#REF!</v>
      </c>
      <c r="AB11" s="371" t="e">
        <f t="shared" ca="1" si="23"/>
        <v>#REF!</v>
      </c>
      <c r="AC11" s="371" t="e">
        <f t="shared" ca="1" si="24"/>
        <v>#REF!</v>
      </c>
      <c r="AD11" s="371" t="e">
        <f t="shared" ca="1" si="25"/>
        <v>#REF!</v>
      </c>
      <c r="AE11" s="371" t="e">
        <f t="shared" ca="1" si="26"/>
        <v>#REF!</v>
      </c>
    </row>
    <row r="12" spans="1:45" ht="15" customHeight="1" thickBot="1" x14ac:dyDescent="0.35">
      <c r="A12" s="373"/>
      <c r="B12" s="373" t="e">
        <f t="shared" ca="1" si="4"/>
        <v>#REF!</v>
      </c>
      <c r="C12" s="374" t="e">
        <f t="shared" ca="1" si="5"/>
        <v>#REF!</v>
      </c>
      <c r="D12" s="374" t="e">
        <f t="shared" ca="1" si="6"/>
        <v>#REF!</v>
      </c>
      <c r="E12" s="374" t="e">
        <f t="shared" ca="1" si="7"/>
        <v>#REF!</v>
      </c>
      <c r="F12" s="374" t="e">
        <f t="shared" ca="1" si="8"/>
        <v>#REF!</v>
      </c>
      <c r="G12" s="374" t="e">
        <f t="shared" ca="1" si="9"/>
        <v>#REF!</v>
      </c>
      <c r="H12" s="374" t="e">
        <f t="shared" ca="1" si="10"/>
        <v>#REF!</v>
      </c>
      <c r="I12" s="374" t="e">
        <f t="shared" ca="1" si="11"/>
        <v>#REF!</v>
      </c>
      <c r="J12" s="374" t="e">
        <f t="shared" ca="1" si="12"/>
        <v>#REF!</v>
      </c>
      <c r="K12" s="374" t="e">
        <f t="shared" ca="1" si="13"/>
        <v>#REF!</v>
      </c>
      <c r="L12" s="374" t="e">
        <f t="shared" ca="1" si="14"/>
        <v>#REF!</v>
      </c>
      <c r="M12" s="374" t="e">
        <f t="shared" ca="1" si="15"/>
        <v>#REF!</v>
      </c>
      <c r="N12" s="374" t="e">
        <f t="shared" ca="1" si="16"/>
        <v>#REF!</v>
      </c>
      <c r="O12" s="374" t="e">
        <f t="shared" ca="1" si="17"/>
        <v>#REF!</v>
      </c>
      <c r="P12" s="374" t="e">
        <f t="shared" ca="1" si="18"/>
        <v>#REF!</v>
      </c>
      <c r="Q12" s="374" t="e">
        <f t="shared" ca="1" si="19"/>
        <v>#REF!</v>
      </c>
      <c r="R12" s="374" t="e">
        <f t="shared" ca="1" si="20"/>
        <v>#REF!</v>
      </c>
      <c r="S12" s="374"/>
      <c r="T12" s="374"/>
      <c r="U12" s="374"/>
      <c r="V12" s="374"/>
      <c r="W12" s="374"/>
      <c r="X12" s="374"/>
      <c r="Y12" s="374" t="e">
        <f t="shared" ca="1" si="21"/>
        <v>#REF!</v>
      </c>
      <c r="Z12" s="375" t="e">
        <f t="shared" ca="1" si="22"/>
        <v>#REF!</v>
      </c>
      <c r="AA12" s="382" t="e">
        <f ca="1">SUM(C26:Y26)/COUNT(C12:Y12)</f>
        <v>#REF!</v>
      </c>
      <c r="AB12" s="374" t="e">
        <f t="shared" ca="1" si="23"/>
        <v>#REF!</v>
      </c>
      <c r="AC12" s="374" t="e">
        <f t="shared" ca="1" si="24"/>
        <v>#REF!</v>
      </c>
      <c r="AD12" s="374" t="e">
        <f t="shared" ca="1" si="25"/>
        <v>#REF!</v>
      </c>
      <c r="AE12" s="374" t="e">
        <f t="shared" ca="1" si="26"/>
        <v>#REF!</v>
      </c>
    </row>
    <row r="13" spans="1:45" ht="15" customHeight="1" thickBot="1" x14ac:dyDescent="0.35">
      <c r="A13" s="376"/>
      <c r="B13" s="376" t="e">
        <f t="shared" ca="1" si="4"/>
        <v>#REF!</v>
      </c>
      <c r="C13" s="377" t="e">
        <f t="shared" ca="1" si="5"/>
        <v>#REF!</v>
      </c>
      <c r="D13" s="377" t="e">
        <f t="shared" ca="1" si="6"/>
        <v>#REF!</v>
      </c>
      <c r="E13" s="377" t="e">
        <f t="shared" ca="1" si="7"/>
        <v>#REF!</v>
      </c>
      <c r="F13" s="377" t="e">
        <f t="shared" ca="1" si="8"/>
        <v>#REF!</v>
      </c>
      <c r="G13" s="377" t="e">
        <f t="shared" ca="1" si="9"/>
        <v>#REF!</v>
      </c>
      <c r="H13" s="377" t="e">
        <f t="shared" ca="1" si="10"/>
        <v>#REF!</v>
      </c>
      <c r="I13" s="377" t="e">
        <f t="shared" ca="1" si="11"/>
        <v>#REF!</v>
      </c>
      <c r="J13" s="377" t="e">
        <f t="shared" ca="1" si="12"/>
        <v>#REF!</v>
      </c>
      <c r="K13" s="377" t="e">
        <f t="shared" ca="1" si="13"/>
        <v>#REF!</v>
      </c>
      <c r="L13" s="377" t="e">
        <f t="shared" ca="1" si="14"/>
        <v>#REF!</v>
      </c>
      <c r="M13" s="377" t="e">
        <f t="shared" ca="1" si="15"/>
        <v>#REF!</v>
      </c>
      <c r="N13" s="377" t="e">
        <f t="shared" ca="1" si="16"/>
        <v>#REF!</v>
      </c>
      <c r="O13" s="377" t="e">
        <f t="shared" ca="1" si="17"/>
        <v>#REF!</v>
      </c>
      <c r="P13" s="377" t="e">
        <f t="shared" ca="1" si="18"/>
        <v>#REF!</v>
      </c>
      <c r="Q13" s="377" t="e">
        <f t="shared" ca="1" si="19"/>
        <v>#REF!</v>
      </c>
      <c r="R13" s="377" t="e">
        <f t="shared" ca="1" si="20"/>
        <v>#REF!</v>
      </c>
      <c r="S13" s="377"/>
      <c r="T13" s="377"/>
      <c r="U13" s="377"/>
      <c r="V13" s="377"/>
      <c r="W13" s="377"/>
      <c r="X13" s="377"/>
      <c r="Y13" s="377" t="e">
        <f t="shared" ca="1" si="21"/>
        <v>#REF!</v>
      </c>
      <c r="Z13" s="378" t="e">
        <f t="shared" ca="1" si="22"/>
        <v>#REF!</v>
      </c>
      <c r="AA13" s="386" t="e">
        <f ca="1">SUM(C27:Y27)/COUNT(C13:Y13)</f>
        <v>#REF!</v>
      </c>
      <c r="AB13" s="377" t="e">
        <f t="shared" ca="1" si="23"/>
        <v>#REF!</v>
      </c>
      <c r="AC13" s="377" t="e">
        <f t="shared" ca="1" si="24"/>
        <v>#REF!</v>
      </c>
      <c r="AD13" s="377" t="e">
        <f t="shared" ca="1" si="25"/>
        <v>#REF!</v>
      </c>
      <c r="AE13" s="377" t="e">
        <f t="shared" ca="1" si="26"/>
        <v>#REF!</v>
      </c>
    </row>
    <row r="14" spans="1:45" ht="15" customHeight="1" x14ac:dyDescent="0.3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384"/>
      <c r="AB14" s="133"/>
      <c r="AC14" s="133"/>
      <c r="AD14" s="133"/>
      <c r="AE14" s="133"/>
    </row>
    <row r="15" spans="1:45" ht="15" customHeight="1" x14ac:dyDescent="0.3">
      <c r="A15" s="234"/>
      <c r="B15" s="234" t="e">
        <f t="shared" ca="1" si="4"/>
        <v>#REF!</v>
      </c>
      <c r="C15" s="235" t="e">
        <f t="shared" ca="1" si="5"/>
        <v>#REF!</v>
      </c>
      <c r="D15" s="235" t="e">
        <f t="shared" ca="1" si="6"/>
        <v>#REF!</v>
      </c>
      <c r="E15" s="235" t="e">
        <f t="shared" ca="1" si="7"/>
        <v>#REF!</v>
      </c>
      <c r="F15" s="235" t="e">
        <f t="shared" ca="1" si="8"/>
        <v>#REF!</v>
      </c>
      <c r="G15" s="235" t="e">
        <f t="shared" ca="1" si="9"/>
        <v>#REF!</v>
      </c>
      <c r="H15" s="235" t="e">
        <f t="shared" ca="1" si="10"/>
        <v>#REF!</v>
      </c>
      <c r="I15" s="235" t="e">
        <f t="shared" ca="1" si="11"/>
        <v>#REF!</v>
      </c>
      <c r="J15" s="235" t="e">
        <f t="shared" ca="1" si="12"/>
        <v>#REF!</v>
      </c>
      <c r="K15" s="235" t="e">
        <f t="shared" ca="1" si="13"/>
        <v>#REF!</v>
      </c>
      <c r="L15" s="235" t="e">
        <f t="shared" ca="1" si="14"/>
        <v>#REF!</v>
      </c>
      <c r="M15" s="235" t="e">
        <f t="shared" ca="1" si="15"/>
        <v>#REF!</v>
      </c>
      <c r="N15" s="235" t="e">
        <f t="shared" ca="1" si="16"/>
        <v>#REF!</v>
      </c>
      <c r="O15" s="235" t="e">
        <f t="shared" ca="1" si="17"/>
        <v>#REF!</v>
      </c>
      <c r="P15" s="235" t="e">
        <f t="shared" ca="1" si="18"/>
        <v>#REF!</v>
      </c>
      <c r="Q15" s="235" t="e">
        <f t="shared" ca="1" si="19"/>
        <v>#REF!</v>
      </c>
      <c r="R15" s="235" t="e">
        <f t="shared" ca="1" si="20"/>
        <v>#REF!</v>
      </c>
      <c r="S15" s="235"/>
      <c r="T15" s="235"/>
      <c r="U15" s="235"/>
      <c r="V15" s="235"/>
      <c r="W15" s="235"/>
      <c r="X15" s="235"/>
      <c r="Y15" s="235" t="e">
        <f t="shared" ca="1" si="21"/>
        <v>#REF!</v>
      </c>
      <c r="Z15" s="236" t="e">
        <f t="shared" ca="1" si="22"/>
        <v>#REF!</v>
      </c>
      <c r="AA15" s="385" t="e">
        <f ca="1">SUM(C29:Y29)/COUNT(C15:Y15)</f>
        <v>#REF!</v>
      </c>
      <c r="AB15" s="235" t="e">
        <f ca="1">INDIRECT("'"&amp;$A15&amp;"'!F36")</f>
        <v>#REF!</v>
      </c>
      <c r="AC15" s="235" t="e">
        <f ca="1">INDIRECT("'"&amp;$A15&amp;"'!H36")</f>
        <v>#REF!</v>
      </c>
      <c r="AD15" s="235" t="e">
        <f ca="1">INDIRECT("'"&amp;$A15&amp;"'!I36")</f>
        <v>#REF!</v>
      </c>
      <c r="AE15" s="235" t="e">
        <f ca="1">INDIRECT("'"&amp;$A15&amp;"'!J36")</f>
        <v>#REF!</v>
      </c>
    </row>
    <row r="16" spans="1:45" ht="15" customHeight="1" x14ac:dyDescent="0.3">
      <c r="A16" s="132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 t="e">
        <f t="shared" ca="1" si="12"/>
        <v>#REF!</v>
      </c>
      <c r="K16" s="133" t="e">
        <f t="shared" ca="1" si="13"/>
        <v>#REF!</v>
      </c>
      <c r="L16" s="133" t="e">
        <f t="shared" ca="1" si="14"/>
        <v>#REF!</v>
      </c>
      <c r="M16" s="133" t="e">
        <f t="shared" ca="1" si="15"/>
        <v>#REF!</v>
      </c>
      <c r="N16" s="133" t="e">
        <f t="shared" ca="1" si="16"/>
        <v>#REF!</v>
      </c>
      <c r="O16" s="133" t="e">
        <f t="shared" ca="1" si="17"/>
        <v>#REF!</v>
      </c>
      <c r="P16" s="133" t="e">
        <f t="shared" ca="1" si="18"/>
        <v>#REF!</v>
      </c>
      <c r="Q16" s="133" t="e">
        <f t="shared" ca="1" si="19"/>
        <v>#REF!</v>
      </c>
      <c r="R16" s="133" t="e">
        <f t="shared" ca="1" si="20"/>
        <v>#REF!</v>
      </c>
      <c r="S16" s="133"/>
      <c r="T16" s="133"/>
      <c r="U16" s="133"/>
      <c r="V16" s="133"/>
      <c r="W16" s="133"/>
      <c r="X16" s="133"/>
      <c r="Y16" s="133" t="e">
        <f t="shared" ca="1" si="21"/>
        <v>#REF!</v>
      </c>
      <c r="Z16" s="134" t="e">
        <f t="shared" ca="1" si="22"/>
        <v>#REF!</v>
      </c>
      <c r="AA16" s="385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t="15" hidden="1" customHeight="1" x14ac:dyDescent="0.3">
      <c r="A21" s="379" t="s">
        <v>227</v>
      </c>
      <c r="B21" s="379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</row>
    <row r="22" spans="1:25" ht="15" hidden="1" customHeight="1" x14ac:dyDescent="0.3">
      <c r="A22" s="379">
        <f>A8</f>
        <v>0</v>
      </c>
      <c r="B22" s="379" t="e">
        <f ca="1">B8</f>
        <v>#REF!</v>
      </c>
      <c r="C22" s="380" t="e">
        <f ca="1">IF(ABS(C$3/3-C8)&lt;=0.75,1,0)</f>
        <v>#REF!</v>
      </c>
      <c r="D22" s="380" t="e">
        <f t="shared" ref="D22:S22" ca="1" si="27">IF(ABS(D$3/3-D8)&lt;=0.75,1,0)</f>
        <v>#REF!</v>
      </c>
      <c r="E22" s="380" t="e">
        <f t="shared" ca="1" si="27"/>
        <v>#REF!</v>
      </c>
      <c r="F22" s="380" t="e">
        <f t="shared" ca="1" si="27"/>
        <v>#REF!</v>
      </c>
      <c r="G22" s="380" t="e">
        <f t="shared" ca="1" si="27"/>
        <v>#REF!</v>
      </c>
      <c r="H22" s="380" t="e">
        <f t="shared" ca="1" si="27"/>
        <v>#REF!</v>
      </c>
      <c r="I22" s="380" t="e">
        <f t="shared" ca="1" si="27"/>
        <v>#REF!</v>
      </c>
      <c r="J22" s="380" t="e">
        <f t="shared" ca="1" si="27"/>
        <v>#REF!</v>
      </c>
      <c r="K22" s="380" t="e">
        <f t="shared" ca="1" si="27"/>
        <v>#REF!</v>
      </c>
      <c r="L22" s="380" t="e">
        <f t="shared" ca="1" si="27"/>
        <v>#REF!</v>
      </c>
      <c r="M22" s="380" t="e">
        <f t="shared" ca="1" si="27"/>
        <v>#REF!</v>
      </c>
      <c r="N22" s="380" t="e">
        <f t="shared" ca="1" si="27"/>
        <v>#REF!</v>
      </c>
      <c r="O22" s="380" t="e">
        <f t="shared" ca="1" si="27"/>
        <v>#REF!</v>
      </c>
      <c r="P22" s="380" t="e">
        <f t="shared" ca="1" si="27"/>
        <v>#REF!</v>
      </c>
      <c r="Q22" s="380" t="e">
        <f t="shared" ca="1" si="27"/>
        <v>#REF!</v>
      </c>
      <c r="R22" s="380" t="e">
        <f t="shared" ca="1" si="27"/>
        <v>#REF!</v>
      </c>
      <c r="S22" s="380"/>
      <c r="Y22" s="380" t="e">
        <f t="shared" ref="Y22" ca="1" si="28">IF(ABS(Y$3/3-Y8)&lt;=0.75,1,0)</f>
        <v>#REF!</v>
      </c>
    </row>
    <row r="23" spans="1:25" ht="15" hidden="1" customHeight="1" x14ac:dyDescent="0.3">
      <c r="A23" s="379">
        <f>A9</f>
        <v>0</v>
      </c>
      <c r="B23" s="379" t="e">
        <f ca="1">B9</f>
        <v>#REF!</v>
      </c>
      <c r="C23" s="380" t="e">
        <f t="shared" ref="C23:S30" ca="1" si="29">IF(ABS(C$3/3-C9)&lt;=0.75,1,0)</f>
        <v>#REF!</v>
      </c>
      <c r="D23" s="380" t="e">
        <f t="shared" ca="1" si="29"/>
        <v>#REF!</v>
      </c>
      <c r="E23" s="380" t="e">
        <f t="shared" ca="1" si="29"/>
        <v>#REF!</v>
      </c>
      <c r="F23" s="380" t="e">
        <f t="shared" ca="1" si="29"/>
        <v>#REF!</v>
      </c>
      <c r="G23" s="380" t="e">
        <f t="shared" ca="1" si="29"/>
        <v>#REF!</v>
      </c>
      <c r="H23" s="380" t="e">
        <f t="shared" ca="1" si="29"/>
        <v>#REF!</v>
      </c>
      <c r="I23" s="380" t="e">
        <f t="shared" ca="1" si="29"/>
        <v>#REF!</v>
      </c>
      <c r="J23" s="380" t="e">
        <f t="shared" ca="1" si="29"/>
        <v>#REF!</v>
      </c>
      <c r="K23" s="380" t="e">
        <f t="shared" ca="1" si="29"/>
        <v>#REF!</v>
      </c>
      <c r="L23" s="380" t="e">
        <f t="shared" ca="1" si="29"/>
        <v>#REF!</v>
      </c>
      <c r="M23" s="380" t="e">
        <f t="shared" ca="1" si="29"/>
        <v>#REF!</v>
      </c>
      <c r="N23" s="380" t="e">
        <f t="shared" ca="1" si="29"/>
        <v>#REF!</v>
      </c>
      <c r="O23" s="380" t="e">
        <f t="shared" ca="1" si="29"/>
        <v>#REF!</v>
      </c>
      <c r="P23" s="380" t="e">
        <f t="shared" ca="1" si="29"/>
        <v>#REF!</v>
      </c>
      <c r="Q23" s="380" t="e">
        <f t="shared" ca="1" si="29"/>
        <v>#REF!</v>
      </c>
      <c r="R23" s="380" t="e">
        <f t="shared" ca="1" si="29"/>
        <v>#REF!</v>
      </c>
      <c r="S23" s="380"/>
      <c r="Y23" s="380" t="e">
        <f t="shared" ref="Y23" ca="1" si="30">IF(ABS(Y$3/3-Y9)&lt;=0.75,1,0)</f>
        <v>#REF!</v>
      </c>
    </row>
    <row r="24" spans="1:25" ht="15" hidden="1" customHeight="1" x14ac:dyDescent="0.3">
      <c r="A24" s="379">
        <f>A10</f>
        <v>0</v>
      </c>
      <c r="B24" s="379" t="e">
        <f t="shared" ref="B24:B30" ca="1" si="31">B10</f>
        <v>#REF!</v>
      </c>
      <c r="C24" s="380" t="e">
        <f t="shared" ca="1" si="29"/>
        <v>#REF!</v>
      </c>
      <c r="D24" s="380" t="e">
        <f t="shared" ca="1" si="29"/>
        <v>#REF!</v>
      </c>
      <c r="E24" s="380" t="e">
        <f t="shared" ca="1" si="29"/>
        <v>#REF!</v>
      </c>
      <c r="F24" s="380" t="e">
        <f t="shared" ca="1" si="29"/>
        <v>#REF!</v>
      </c>
      <c r="G24" s="380" t="e">
        <f t="shared" ca="1" si="29"/>
        <v>#REF!</v>
      </c>
      <c r="H24" s="380" t="e">
        <f t="shared" ca="1" si="29"/>
        <v>#REF!</v>
      </c>
      <c r="I24" s="380" t="e">
        <f t="shared" ca="1" si="29"/>
        <v>#REF!</v>
      </c>
      <c r="J24" s="380" t="e">
        <f t="shared" ca="1" si="29"/>
        <v>#REF!</v>
      </c>
      <c r="K24" s="380" t="e">
        <f t="shared" ca="1" si="29"/>
        <v>#REF!</v>
      </c>
      <c r="L24" s="380" t="e">
        <f t="shared" ca="1" si="29"/>
        <v>#REF!</v>
      </c>
      <c r="M24" s="380" t="e">
        <f t="shared" ca="1" si="29"/>
        <v>#REF!</v>
      </c>
      <c r="N24" s="380" t="e">
        <f t="shared" ca="1" si="29"/>
        <v>#REF!</v>
      </c>
      <c r="O24" s="380" t="e">
        <f t="shared" ca="1" si="29"/>
        <v>#REF!</v>
      </c>
      <c r="P24" s="380" t="e">
        <f t="shared" ca="1" si="29"/>
        <v>#REF!</v>
      </c>
      <c r="Q24" s="380" t="e">
        <f t="shared" ca="1" si="29"/>
        <v>#REF!</v>
      </c>
      <c r="R24" s="380" t="e">
        <f t="shared" ca="1" si="29"/>
        <v>#REF!</v>
      </c>
      <c r="S24" s="380"/>
      <c r="Y24" s="380" t="e">
        <f t="shared" ref="Y24" ca="1" si="32">IF(ABS(Y$3/3-Y10)&lt;=0.75,1,0)</f>
        <v>#REF!</v>
      </c>
    </row>
    <row r="25" spans="1:25" ht="15" hidden="1" customHeight="1" x14ac:dyDescent="0.3">
      <c r="A25" s="379">
        <f>A11</f>
        <v>0</v>
      </c>
      <c r="B25" s="379" t="e">
        <f t="shared" ca="1" si="31"/>
        <v>#REF!</v>
      </c>
      <c r="C25" s="380" t="e">
        <f t="shared" ca="1" si="29"/>
        <v>#REF!</v>
      </c>
      <c r="D25" s="380" t="e">
        <f t="shared" ca="1" si="29"/>
        <v>#REF!</v>
      </c>
      <c r="E25" s="380" t="e">
        <f t="shared" ca="1" si="29"/>
        <v>#REF!</v>
      </c>
      <c r="F25" s="380" t="e">
        <f t="shared" ca="1" si="29"/>
        <v>#REF!</v>
      </c>
      <c r="G25" s="380" t="e">
        <f t="shared" ca="1" si="29"/>
        <v>#REF!</v>
      </c>
      <c r="H25" s="380" t="e">
        <f t="shared" ca="1" si="29"/>
        <v>#REF!</v>
      </c>
      <c r="I25" s="380" t="e">
        <f t="shared" ca="1" si="29"/>
        <v>#REF!</v>
      </c>
      <c r="J25" s="380" t="e">
        <f t="shared" ca="1" si="29"/>
        <v>#REF!</v>
      </c>
      <c r="K25" s="380" t="e">
        <f t="shared" ca="1" si="29"/>
        <v>#REF!</v>
      </c>
      <c r="L25" s="380" t="e">
        <f t="shared" ca="1" si="29"/>
        <v>#REF!</v>
      </c>
      <c r="M25" s="380" t="e">
        <f t="shared" ca="1" si="29"/>
        <v>#REF!</v>
      </c>
      <c r="N25" s="380" t="e">
        <f t="shared" ca="1" si="29"/>
        <v>#REF!</v>
      </c>
      <c r="O25" s="380" t="e">
        <f t="shared" ca="1" si="29"/>
        <v>#REF!</v>
      </c>
      <c r="P25" s="380" t="e">
        <f t="shared" ca="1" si="29"/>
        <v>#REF!</v>
      </c>
      <c r="Q25" s="380" t="e">
        <f t="shared" ca="1" si="29"/>
        <v>#REF!</v>
      </c>
      <c r="R25" s="380" t="e">
        <f t="shared" ca="1" si="29"/>
        <v>#REF!</v>
      </c>
      <c r="S25" s="380"/>
      <c r="Y25" s="380" t="e">
        <f t="shared" ref="Y25" ca="1" si="33">IF(ABS(Y$3/3-Y11)&lt;=0.75,1,0)</f>
        <v>#REF!</v>
      </c>
    </row>
    <row r="26" spans="1:25" ht="15" hidden="1" customHeight="1" x14ac:dyDescent="0.3">
      <c r="A26" s="379">
        <f>A12</f>
        <v>0</v>
      </c>
      <c r="B26" s="379" t="e">
        <f t="shared" ca="1" si="31"/>
        <v>#REF!</v>
      </c>
      <c r="C26" s="380" t="e">
        <f t="shared" ca="1" si="29"/>
        <v>#REF!</v>
      </c>
      <c r="D26" s="380" t="e">
        <f t="shared" ca="1" si="29"/>
        <v>#REF!</v>
      </c>
      <c r="E26" s="380" t="e">
        <f t="shared" ca="1" si="29"/>
        <v>#REF!</v>
      </c>
      <c r="F26" s="380" t="e">
        <f t="shared" ca="1" si="29"/>
        <v>#REF!</v>
      </c>
      <c r="G26" s="380" t="e">
        <f t="shared" ca="1" si="29"/>
        <v>#REF!</v>
      </c>
      <c r="H26" s="380" t="e">
        <f t="shared" ca="1" si="29"/>
        <v>#REF!</v>
      </c>
      <c r="I26" s="380" t="e">
        <f t="shared" ca="1" si="29"/>
        <v>#REF!</v>
      </c>
      <c r="J26" s="380" t="e">
        <f t="shared" ca="1" si="29"/>
        <v>#REF!</v>
      </c>
      <c r="K26" s="380" t="e">
        <f t="shared" ca="1" si="29"/>
        <v>#REF!</v>
      </c>
      <c r="L26" s="380" t="e">
        <f t="shared" ca="1" si="29"/>
        <v>#REF!</v>
      </c>
      <c r="M26" s="380" t="e">
        <f t="shared" ca="1" si="29"/>
        <v>#REF!</v>
      </c>
      <c r="N26" s="380" t="e">
        <f t="shared" ca="1" si="29"/>
        <v>#REF!</v>
      </c>
      <c r="O26" s="380" t="e">
        <f t="shared" ca="1" si="29"/>
        <v>#REF!</v>
      </c>
      <c r="P26" s="380" t="e">
        <f t="shared" ca="1" si="29"/>
        <v>#REF!</v>
      </c>
      <c r="Q26" s="380" t="e">
        <f t="shared" ca="1" si="29"/>
        <v>#REF!</v>
      </c>
      <c r="R26" s="380" t="e">
        <f t="shared" ca="1" si="29"/>
        <v>#REF!</v>
      </c>
      <c r="S26" s="380"/>
      <c r="Y26" s="380" t="e">
        <f t="shared" ref="Y26" ca="1" si="34">IF(ABS(Y$3/3-Y12)&lt;=0.75,1,0)</f>
        <v>#REF!</v>
      </c>
    </row>
    <row r="27" spans="1:25" ht="15" hidden="1" customHeight="1" x14ac:dyDescent="0.3">
      <c r="A27" s="379">
        <f>A13</f>
        <v>0</v>
      </c>
      <c r="B27" s="379" t="e">
        <f t="shared" ca="1" si="31"/>
        <v>#REF!</v>
      </c>
      <c r="C27" s="380" t="e">
        <f t="shared" ca="1" si="29"/>
        <v>#REF!</v>
      </c>
      <c r="D27" s="380" t="e">
        <f t="shared" ca="1" si="29"/>
        <v>#REF!</v>
      </c>
      <c r="E27" s="380" t="e">
        <f t="shared" ca="1" si="29"/>
        <v>#REF!</v>
      </c>
      <c r="F27" s="380" t="e">
        <f t="shared" ca="1" si="29"/>
        <v>#REF!</v>
      </c>
      <c r="G27" s="380" t="e">
        <f t="shared" ca="1" si="29"/>
        <v>#REF!</v>
      </c>
      <c r="H27" s="380" t="e">
        <f t="shared" ca="1" si="29"/>
        <v>#REF!</v>
      </c>
      <c r="I27" s="380" t="e">
        <f t="shared" ca="1" si="29"/>
        <v>#REF!</v>
      </c>
      <c r="J27" s="380" t="e">
        <f t="shared" ca="1" si="29"/>
        <v>#REF!</v>
      </c>
      <c r="K27" s="380" t="e">
        <f t="shared" ca="1" si="29"/>
        <v>#REF!</v>
      </c>
      <c r="L27" s="380" t="e">
        <f t="shared" ca="1" si="29"/>
        <v>#REF!</v>
      </c>
      <c r="M27" s="380" t="e">
        <f t="shared" ca="1" si="29"/>
        <v>#REF!</v>
      </c>
      <c r="N27" s="380" t="e">
        <f t="shared" ca="1" si="29"/>
        <v>#REF!</v>
      </c>
      <c r="O27" s="380" t="e">
        <f t="shared" ca="1" si="29"/>
        <v>#REF!</v>
      </c>
      <c r="P27" s="380" t="e">
        <f t="shared" ca="1" si="29"/>
        <v>#REF!</v>
      </c>
      <c r="Q27" s="380" t="e">
        <f t="shared" ca="1" si="29"/>
        <v>#REF!</v>
      </c>
      <c r="R27" s="380" t="e">
        <f t="shared" ca="1" si="29"/>
        <v>#REF!</v>
      </c>
      <c r="S27" s="380"/>
      <c r="Y27" s="380" t="e">
        <f t="shared" ref="Y27" ca="1" si="35">IF(ABS(Y$3/3-Y13)&lt;=0.75,1,0)</f>
        <v>#REF!</v>
      </c>
    </row>
    <row r="28" spans="1:25" ht="15" hidden="1" customHeight="1" x14ac:dyDescent="0.3">
      <c r="B28" s="379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Y28" s="35"/>
    </row>
    <row r="29" spans="1:25" ht="15" hidden="1" customHeight="1" x14ac:dyDescent="0.3">
      <c r="A29" s="379">
        <f>A15</f>
        <v>0</v>
      </c>
      <c r="B29" s="379" t="e">
        <f t="shared" ca="1" si="31"/>
        <v>#REF!</v>
      </c>
      <c r="C29" s="380" t="e">
        <f t="shared" ca="1" si="29"/>
        <v>#REF!</v>
      </c>
      <c r="D29" s="380" t="e">
        <f t="shared" ca="1" si="29"/>
        <v>#REF!</v>
      </c>
      <c r="E29" s="380" t="e">
        <f t="shared" ca="1" si="29"/>
        <v>#REF!</v>
      </c>
      <c r="F29" s="380" t="e">
        <f t="shared" ca="1" si="29"/>
        <v>#REF!</v>
      </c>
      <c r="G29" s="380" t="e">
        <f t="shared" ca="1" si="29"/>
        <v>#REF!</v>
      </c>
      <c r="H29" s="380" t="e">
        <f t="shared" ca="1" si="29"/>
        <v>#REF!</v>
      </c>
      <c r="I29" s="380" t="e">
        <f t="shared" ca="1" si="29"/>
        <v>#REF!</v>
      </c>
      <c r="J29" s="380" t="e">
        <f t="shared" ca="1" si="29"/>
        <v>#REF!</v>
      </c>
      <c r="K29" s="380" t="e">
        <f t="shared" ca="1" si="29"/>
        <v>#REF!</v>
      </c>
      <c r="L29" s="380" t="e">
        <f t="shared" ca="1" si="29"/>
        <v>#REF!</v>
      </c>
      <c r="M29" s="380" t="e">
        <f t="shared" ca="1" si="29"/>
        <v>#REF!</v>
      </c>
      <c r="N29" s="380" t="e">
        <f t="shared" ca="1" si="29"/>
        <v>#REF!</v>
      </c>
      <c r="O29" s="380" t="e">
        <f t="shared" ca="1" si="29"/>
        <v>#REF!</v>
      </c>
      <c r="P29" s="380" t="e">
        <f t="shared" ca="1" si="29"/>
        <v>#REF!</v>
      </c>
      <c r="Q29" s="380" t="e">
        <f t="shared" ca="1" si="29"/>
        <v>#REF!</v>
      </c>
      <c r="R29" s="380" t="e">
        <f t="shared" ca="1" si="29"/>
        <v>#REF!</v>
      </c>
      <c r="S29" s="380"/>
      <c r="Y29" s="380" t="e">
        <f t="shared" ref="Y29" ca="1" si="36">IF(ABS(Y$3/3-Y15)&lt;=0.75,1,0)</f>
        <v>#REF!</v>
      </c>
    </row>
    <row r="30" spans="1:25" ht="15" hidden="1" customHeight="1" x14ac:dyDescent="0.3">
      <c r="A30" s="379">
        <f>A16</f>
        <v>0</v>
      </c>
      <c r="B30" s="379" t="e">
        <f t="shared" ca="1" si="31"/>
        <v>#REF!</v>
      </c>
      <c r="C30" s="380" t="e">
        <f t="shared" ca="1" si="29"/>
        <v>#REF!</v>
      </c>
      <c r="D30" s="380" t="e">
        <f t="shared" ca="1" si="29"/>
        <v>#REF!</v>
      </c>
      <c r="E30" s="380" t="e">
        <f t="shared" ca="1" si="29"/>
        <v>#REF!</v>
      </c>
      <c r="F30" s="380" t="e">
        <f t="shared" ca="1" si="29"/>
        <v>#REF!</v>
      </c>
      <c r="G30" s="380" t="e">
        <f t="shared" ca="1" si="29"/>
        <v>#REF!</v>
      </c>
      <c r="H30" s="380" t="e">
        <f t="shared" ca="1" si="29"/>
        <v>#REF!</v>
      </c>
      <c r="I30" s="380" t="e">
        <f t="shared" ca="1" si="29"/>
        <v>#REF!</v>
      </c>
      <c r="J30" s="380" t="e">
        <f t="shared" ca="1" si="29"/>
        <v>#REF!</v>
      </c>
      <c r="K30" s="380" t="e">
        <f t="shared" ca="1" si="29"/>
        <v>#REF!</v>
      </c>
      <c r="L30" s="380" t="e">
        <f t="shared" ca="1" si="29"/>
        <v>#REF!</v>
      </c>
      <c r="M30" s="380" t="e">
        <f t="shared" ca="1" si="29"/>
        <v>#REF!</v>
      </c>
      <c r="N30" s="380" t="e">
        <f t="shared" ca="1" si="29"/>
        <v>#REF!</v>
      </c>
      <c r="O30" s="380" t="e">
        <f t="shared" ca="1" si="29"/>
        <v>#REF!</v>
      </c>
      <c r="P30" s="380" t="e">
        <f t="shared" ca="1" si="29"/>
        <v>#REF!</v>
      </c>
      <c r="Q30" s="380" t="e">
        <f t="shared" ca="1" si="29"/>
        <v>#REF!</v>
      </c>
      <c r="R30" s="380" t="e">
        <f t="shared" ca="1" si="29"/>
        <v>#REF!</v>
      </c>
      <c r="S30" s="380"/>
      <c r="Y30" s="380" t="e">
        <f t="shared" ref="Y30" ca="1" si="37">IF(ABS(Y$3/3-Y16)&lt;=0.75,1,0)</f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Z4">
    <cfRule type="expression" dxfId="47" priority="9">
      <formula>Z4&gt;3</formula>
    </cfRule>
    <cfRule type="expression" dxfId="46" priority="10">
      <formula>AND(Z4&gt;2,Z4&lt;=3)</formula>
    </cfRule>
    <cfRule type="expression" dxfId="45" priority="11">
      <formula>AND(Z4&gt;1,Z4&lt;=2)</formula>
    </cfRule>
    <cfRule type="expression" dxfId="44" priority="12">
      <formula>Z4&lt;=1</formula>
    </cfRule>
  </conditionalFormatting>
  <conditionalFormatting sqref="Z8">
    <cfRule type="expression" dxfId="43" priority="7">
      <formula>Z$3/3-Z8&lt;-0.75</formula>
    </cfRule>
    <cfRule type="expression" dxfId="42" priority="8">
      <formula>Z$3/3-Z8&gt;0.75</formula>
    </cfRule>
  </conditionalFormatting>
  <conditionalFormatting sqref="C8:Y13">
    <cfRule type="expression" dxfId="41" priority="5">
      <formula>C$3/3-C8&lt;-0.75</formula>
    </cfRule>
    <cfRule type="expression" dxfId="40" priority="6">
      <formula>C$3/3-C8&gt;0.75</formula>
    </cfRule>
  </conditionalFormatting>
  <conditionalFormatting sqref="C4:Y4">
    <cfRule type="expression" dxfId="39" priority="1">
      <formula>C4&gt;3</formula>
    </cfRule>
    <cfRule type="expression" dxfId="38" priority="2">
      <formula>AND(C4&gt;2,C4&lt;=3)</formula>
    </cfRule>
    <cfRule type="expression" dxfId="37" priority="3">
      <formula>AND(C4&gt;1,C4&lt;=2)</formula>
    </cfRule>
    <cfRule type="expression" dxfId="36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AE30"/>
  <sheetViews>
    <sheetView zoomScale="115" zoomScaleNormal="115" workbookViewId="0"/>
  </sheetViews>
  <sheetFormatPr defaultColWidth="11.5546875" defaultRowHeight="14.4" x14ac:dyDescent="0.3"/>
  <cols>
    <col min="1" max="1" width="11.6640625" customWidth="1"/>
    <col min="2" max="2" width="18.5546875" customWidth="1"/>
    <col min="3" max="23" width="4.77734375" customWidth="1"/>
    <col min="24" max="24" width="4.77734375" hidden="1" customWidth="1"/>
    <col min="25" max="25" width="4.77734375" customWidth="1"/>
    <col min="26" max="26" width="6.77734375" customWidth="1"/>
    <col min="27" max="27" width="6.77734375" style="35" customWidth="1"/>
    <col min="28" max="28" width="4.77734375" style="35" customWidth="1"/>
    <col min="29" max="31" width="4.77734375" customWidth="1"/>
  </cols>
  <sheetData>
    <row r="1" spans="1:31" ht="15" customHeight="1" x14ac:dyDescent="0.3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69"/>
      <c r="AA1"/>
      <c r="AB1" s="63"/>
      <c r="AC1" s="88"/>
      <c r="AD1" s="88"/>
      <c r="AE1" s="88"/>
    </row>
    <row r="2" spans="1:31" ht="128.1" customHeight="1" x14ac:dyDescent="0.3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113</v>
      </c>
      <c r="E2" s="44" t="s">
        <v>114</v>
      </c>
      <c r="F2" s="44" t="s">
        <v>115</v>
      </c>
      <c r="G2" s="44" t="s">
        <v>116</v>
      </c>
      <c r="H2" s="44" t="s">
        <v>117</v>
      </c>
      <c r="I2" s="44" t="s">
        <v>119</v>
      </c>
      <c r="J2" s="44" t="s">
        <v>120</v>
      </c>
      <c r="K2" s="44" t="s">
        <v>121</v>
      </c>
      <c r="L2" s="44" t="s">
        <v>113</v>
      </c>
      <c r="M2" s="44" t="s">
        <v>123</v>
      </c>
      <c r="N2" s="44" t="s">
        <v>114</v>
      </c>
      <c r="O2" s="44" t="s">
        <v>107</v>
      </c>
      <c r="P2" s="44" t="s">
        <v>115</v>
      </c>
      <c r="Q2" s="44" t="s">
        <v>116</v>
      </c>
      <c r="R2" s="44" t="s">
        <v>124</v>
      </c>
      <c r="S2" s="44" t="s">
        <v>117</v>
      </c>
      <c r="T2" s="44" t="s">
        <v>119</v>
      </c>
      <c r="U2" s="44" t="s">
        <v>120</v>
      </c>
      <c r="V2" s="44" t="s">
        <v>126</v>
      </c>
      <c r="W2" s="44" t="s">
        <v>99</v>
      </c>
      <c r="X2" s="44"/>
      <c r="Y2" s="44" t="str">
        <f>Doku!B52</f>
        <v>Abgrüßen</v>
      </c>
      <c r="Z2" s="45" t="str">
        <f>Doku!B42</f>
        <v>Gesamt</v>
      </c>
      <c r="AA2" s="44" t="s">
        <v>226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3">
      <c r="A3" s="364" t="str">
        <f>Doku!B42&amp;":"</f>
        <v>Gesamt:</v>
      </c>
      <c r="B3" s="364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 t="e">
        <f t="shared" ref="S3:W3" ca="1" si="1">SUM(S8:S12)-MAX(S8:S12)-MIN(S8:S12)</f>
        <v>#REF!</v>
      </c>
      <c r="T3" s="36" t="e">
        <f t="shared" ca="1" si="1"/>
        <v>#REF!</v>
      </c>
      <c r="U3" s="36" t="e">
        <f t="shared" ca="1" si="1"/>
        <v>#REF!</v>
      </c>
      <c r="V3" s="36" t="e">
        <f t="shared" ca="1" si="1"/>
        <v>#REF!</v>
      </c>
      <c r="W3" s="36" t="e">
        <f t="shared" ca="1" si="1"/>
        <v>#REF!</v>
      </c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3">
      <c r="A4" s="366" t="str">
        <f>Doku!B49&amp;":"</f>
        <v>Spannweite:</v>
      </c>
      <c r="B4" s="366"/>
      <c r="C4" s="239" t="e">
        <f t="shared" ref="C4:R4" ca="1" si="2">MAX(C8:C12)-MIN(C8:C12)</f>
        <v>#REF!</v>
      </c>
      <c r="D4" s="239" t="e">
        <f t="shared" ca="1" si="2"/>
        <v>#REF!</v>
      </c>
      <c r="E4" s="239" t="e">
        <f t="shared" ca="1" si="2"/>
        <v>#REF!</v>
      </c>
      <c r="F4" s="239" t="e">
        <f t="shared" ca="1" si="2"/>
        <v>#REF!</v>
      </c>
      <c r="G4" s="239" t="e">
        <f t="shared" ca="1" si="2"/>
        <v>#REF!</v>
      </c>
      <c r="H4" s="239" t="e">
        <f t="shared" ca="1" si="2"/>
        <v>#REF!</v>
      </c>
      <c r="I4" s="239" t="e">
        <f t="shared" ca="1" si="2"/>
        <v>#REF!</v>
      </c>
      <c r="J4" s="239" t="e">
        <f t="shared" ca="1" si="2"/>
        <v>#REF!</v>
      </c>
      <c r="K4" s="239" t="e">
        <f t="shared" ca="1" si="2"/>
        <v>#REF!</v>
      </c>
      <c r="L4" s="239" t="e">
        <f t="shared" ca="1" si="2"/>
        <v>#REF!</v>
      </c>
      <c r="M4" s="239" t="e">
        <f t="shared" ca="1" si="2"/>
        <v>#REF!</v>
      </c>
      <c r="N4" s="239" t="e">
        <f t="shared" ca="1" si="2"/>
        <v>#REF!</v>
      </c>
      <c r="O4" s="239" t="e">
        <f t="shared" ca="1" si="2"/>
        <v>#REF!</v>
      </c>
      <c r="P4" s="239" t="e">
        <f t="shared" ca="1" si="2"/>
        <v>#REF!</v>
      </c>
      <c r="Q4" s="239" t="e">
        <f t="shared" ca="1" si="2"/>
        <v>#REF!</v>
      </c>
      <c r="R4" s="239" t="e">
        <f t="shared" ca="1" si="2"/>
        <v>#REF!</v>
      </c>
      <c r="S4" s="240" t="e">
        <f t="shared" ref="S4:W4" ca="1" si="3">MAX(S8:S12)-MIN(S8:S12)</f>
        <v>#REF!</v>
      </c>
      <c r="T4" s="240" t="e">
        <f t="shared" ca="1" si="3"/>
        <v>#REF!</v>
      </c>
      <c r="U4" s="240" t="e">
        <f t="shared" ca="1" si="3"/>
        <v>#REF!</v>
      </c>
      <c r="V4" s="240" t="e">
        <f t="shared" ca="1" si="3"/>
        <v>#REF!</v>
      </c>
      <c r="W4" s="240" t="e">
        <f t="shared" ca="1" si="3"/>
        <v>#REF!</v>
      </c>
      <c r="X4" s="240"/>
      <c r="Y4" s="239" t="e">
        <f ca="1">MAX(Y8:Y12)-MIN(Y8:Y12)</f>
        <v>#REF!</v>
      </c>
      <c r="Z4" s="39" t="e">
        <f ca="1">MAX(Z8:Z12)-MIN(Z8:Z12)</f>
        <v>#REF!</v>
      </c>
      <c r="AA4" s="240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MAX(AD8:AD13)-MIN(AD8:AD12)</f>
        <v>#REF!</v>
      </c>
      <c r="AE4" s="38" t="e">
        <f ca="1">MAX(AE8:AE13)-MIN(AE8:AE12)</f>
        <v>#REF!</v>
      </c>
    </row>
    <row r="5" spans="1:31" ht="15" customHeight="1" x14ac:dyDescent="0.3">
      <c r="A5" s="365" t="str">
        <f>Doku!B47&amp;":"</f>
        <v>Mittelwert:</v>
      </c>
      <c r="B5" s="365"/>
      <c r="C5" s="38" t="e">
        <f ca="1">C3/3</f>
        <v>#REF!</v>
      </c>
      <c r="D5" s="38" t="e">
        <f t="shared" ref="D5:Z5" ca="1" si="4">D3/3</f>
        <v>#REF!</v>
      </c>
      <c r="E5" s="38" t="e">
        <f t="shared" ca="1" si="4"/>
        <v>#REF!</v>
      </c>
      <c r="F5" s="38" t="e">
        <f t="shared" ca="1" si="4"/>
        <v>#REF!</v>
      </c>
      <c r="G5" s="38" t="e">
        <f t="shared" ca="1" si="4"/>
        <v>#REF!</v>
      </c>
      <c r="H5" s="38" t="e">
        <f t="shared" ca="1" si="4"/>
        <v>#REF!</v>
      </c>
      <c r="I5" s="38" t="e">
        <f t="shared" ca="1" si="4"/>
        <v>#REF!</v>
      </c>
      <c r="J5" s="38" t="e">
        <f t="shared" ca="1" si="4"/>
        <v>#REF!</v>
      </c>
      <c r="K5" s="38" t="e">
        <f t="shared" ca="1" si="4"/>
        <v>#REF!</v>
      </c>
      <c r="L5" s="38" t="e">
        <f t="shared" ca="1" si="4"/>
        <v>#REF!</v>
      </c>
      <c r="M5" s="38" t="e">
        <f t="shared" ca="1" si="4"/>
        <v>#REF!</v>
      </c>
      <c r="N5" s="38" t="e">
        <f t="shared" ca="1" si="4"/>
        <v>#REF!</v>
      </c>
      <c r="O5" s="38" t="e">
        <f t="shared" ca="1" si="4"/>
        <v>#REF!</v>
      </c>
      <c r="P5" s="38" t="e">
        <f t="shared" ca="1" si="4"/>
        <v>#REF!</v>
      </c>
      <c r="Q5" s="38" t="e">
        <f t="shared" ca="1" si="4"/>
        <v>#REF!</v>
      </c>
      <c r="R5" s="38" t="e">
        <f t="shared" ca="1" si="4"/>
        <v>#REF!</v>
      </c>
      <c r="S5" s="38" t="e">
        <f t="shared" ca="1" si="4"/>
        <v>#REF!</v>
      </c>
      <c r="T5" s="38" t="e">
        <f t="shared" ca="1" si="4"/>
        <v>#REF!</v>
      </c>
      <c r="U5" s="38" t="e">
        <f t="shared" ca="1" si="4"/>
        <v>#REF!</v>
      </c>
      <c r="V5" s="38" t="e">
        <f t="shared" ca="1" si="4"/>
        <v>#REF!</v>
      </c>
      <c r="W5" s="38" t="e">
        <f t="shared" ca="1" si="4"/>
        <v>#REF!</v>
      </c>
      <c r="X5" s="38"/>
      <c r="Y5" s="38" t="e">
        <f t="shared" ca="1" si="4"/>
        <v>#REF!</v>
      </c>
      <c r="Z5" s="39" t="e">
        <f t="shared" ca="1" si="4"/>
        <v>#REF!</v>
      </c>
      <c r="AA5" s="89"/>
      <c r="AB5" s="38" t="e">
        <f t="shared" ref="Y5:AE5" ca="1" si="5">AVERAGE(AB8:AB12)</f>
        <v>#REF!</v>
      </c>
      <c r="AC5" s="38" t="e">
        <f t="shared" ca="1" si="5"/>
        <v>#REF!</v>
      </c>
      <c r="AD5" s="38" t="e">
        <f t="shared" ca="1" si="5"/>
        <v>#REF!</v>
      </c>
      <c r="AE5" s="38" t="e">
        <f t="shared" ca="1" si="5"/>
        <v>#REF!</v>
      </c>
    </row>
    <row r="6" spans="1:31" ht="15" hidden="1" customHeight="1" x14ac:dyDescent="0.3">
      <c r="A6" s="365"/>
      <c r="B6" s="365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113"/>
      <c r="Y6" s="40"/>
      <c r="Z6" s="41"/>
      <c r="AA6" s="113"/>
      <c r="AB6" s="40"/>
      <c r="AC6" s="40"/>
      <c r="AD6" s="40"/>
      <c r="AE6" s="40"/>
    </row>
    <row r="7" spans="1:31" ht="15" customHeight="1" x14ac:dyDescent="0.3">
      <c r="A7" s="367"/>
      <c r="B7" s="367" t="e">
        <f t="shared" ref="B7:B16" ca="1" si="6">INDIRECT("'"&amp;$A7&amp;"'!E5")</f>
        <v>#REF!</v>
      </c>
      <c r="C7" s="368" t="e">
        <f t="shared" ref="C7:C16" ca="1" si="7">INDIRECT("'"&amp;$A7&amp;"'!K13")</f>
        <v>#REF!</v>
      </c>
      <c r="D7" s="368" t="e">
        <f t="shared" ref="D7:D16" ca="1" si="8">INDIRECT("'"&amp;$A7&amp;"'!K14")</f>
        <v>#REF!</v>
      </c>
      <c r="E7" s="368" t="e">
        <f t="shared" ref="E7:E16" ca="1" si="9">INDIRECT("'"&amp;$A7&amp;"'!K15")</f>
        <v>#REF!</v>
      </c>
      <c r="F7" s="368" t="e">
        <f t="shared" ref="F7:F16" ca="1" si="10">INDIRECT("'"&amp;$A7&amp;"'!K16")</f>
        <v>#REF!</v>
      </c>
      <c r="G7" s="368" t="e">
        <f t="shared" ref="G7:G16" ca="1" si="11">INDIRECT("'"&amp;$A7&amp;"'!K17")</f>
        <v>#REF!</v>
      </c>
      <c r="H7" s="368" t="e">
        <f t="shared" ref="H7:H16" ca="1" si="12">INDIRECT("'"&amp;$A7&amp;"'!K18")</f>
        <v>#REF!</v>
      </c>
      <c r="I7" s="368" t="e">
        <f t="shared" ref="I7:I16" ca="1" si="13">INDIRECT("'"&amp;$A7&amp;"'!K19")</f>
        <v>#REF!</v>
      </c>
      <c r="J7" s="368" t="e">
        <f t="shared" ref="J7:J16" ca="1" si="14">INDIRECT("'"&amp;$A7&amp;"'!K20")</f>
        <v>#REF!</v>
      </c>
      <c r="K7" s="368" t="e">
        <f t="shared" ref="K7:K16" ca="1" si="15">INDIRECT("'"&amp;$A7&amp;"'!K21")</f>
        <v>#REF!</v>
      </c>
      <c r="L7" s="368" t="e">
        <f t="shared" ref="L7:L16" ca="1" si="16">INDIRECT("'"&amp;$A7&amp;"'!K22")</f>
        <v>#REF!</v>
      </c>
      <c r="M7" s="368" t="e">
        <f t="shared" ref="M7:M16" ca="1" si="17">INDIRECT("'"&amp;$A7&amp;"'!K23")</f>
        <v>#REF!</v>
      </c>
      <c r="N7" s="368" t="e">
        <f t="shared" ref="N7:N16" ca="1" si="18">INDIRECT("'"&amp;$A7&amp;"'!K24")</f>
        <v>#REF!</v>
      </c>
      <c r="O7" s="368" t="e">
        <f t="shared" ref="O7:O16" ca="1" si="19">INDIRECT("'"&amp;$A7&amp;"'!K25")</f>
        <v>#REF!</v>
      </c>
      <c r="P7" s="368" t="e">
        <f t="shared" ref="P7:P16" ca="1" si="20">INDIRECT("'"&amp;$A7&amp;"'!K26")</f>
        <v>#REF!</v>
      </c>
      <c r="Q7" s="368" t="e">
        <f t="shared" ref="Q7:Q16" ca="1" si="21">INDIRECT("'"&amp;$A7&amp;"'!K27")</f>
        <v>#REF!</v>
      </c>
      <c r="R7" s="368" t="e">
        <f t="shared" ref="R7:R16" ca="1" si="22">INDIRECT("'"&amp;$A7&amp;"'!K28")</f>
        <v>#REF!</v>
      </c>
      <c r="S7" s="368" t="e">
        <f ca="1">INDIRECT("'"&amp;$A7&amp;"'!K29")</f>
        <v>#REF!</v>
      </c>
      <c r="T7" s="368" t="e">
        <f ca="1">INDIRECT("'"&amp;$A7&amp;"'!K30")</f>
        <v>#REF!</v>
      </c>
      <c r="U7" s="368" t="e">
        <f ca="1">INDIRECT("'"&amp;$A7&amp;"'!K31")</f>
        <v>#REF!</v>
      </c>
      <c r="V7" s="368" t="e">
        <f ca="1">INDIRECT("'"&amp;$A7&amp;"'!K32")</f>
        <v>#REF!</v>
      </c>
      <c r="W7" s="368" t="e">
        <f ca="1">INDIRECT("'"&amp;$A7&amp;"'!K33")</f>
        <v>#REF!</v>
      </c>
      <c r="X7" s="368"/>
      <c r="Y7" s="368" t="e">
        <f ca="1">INDIRECT("'"&amp;$A7&amp;"'!K34")</f>
        <v>#REF!</v>
      </c>
      <c r="Z7" s="369" t="e">
        <f ca="1">INDIRECT("'"&amp;$A7&amp;"'!K36")</f>
        <v>#REF!</v>
      </c>
      <c r="AA7" s="368"/>
      <c r="AB7" s="368" t="e">
        <f t="shared" ref="AB7:AB13" ca="1" si="23">INDIRECT("'"&amp;$A7&amp;"'!F36")</f>
        <v>#REF!</v>
      </c>
      <c r="AC7" s="368" t="e">
        <f t="shared" ref="AC7:AC13" ca="1" si="24">INDIRECT("'"&amp;$A7&amp;"'!H36")</f>
        <v>#REF!</v>
      </c>
      <c r="AD7" s="368" t="e">
        <f t="shared" ref="AD7:AD13" ca="1" si="25">INDIRECT("'"&amp;$A7&amp;"'!I36")</f>
        <v>#REF!</v>
      </c>
      <c r="AE7" s="368" t="e">
        <f t="shared" ref="AE7:AE13" ca="1" si="26">INDIRECT("'"&amp;$A7&amp;"'!J36")</f>
        <v>#REF!</v>
      </c>
    </row>
    <row r="8" spans="1:31" ht="15" customHeight="1" x14ac:dyDescent="0.3">
      <c r="A8" s="370"/>
      <c r="B8" s="370" t="e">
        <f t="shared" ca="1" si="6"/>
        <v>#REF!</v>
      </c>
      <c r="C8" s="383" t="e">
        <f t="shared" ca="1" si="7"/>
        <v>#REF!</v>
      </c>
      <c r="D8" s="383" t="e">
        <f t="shared" ca="1" si="8"/>
        <v>#REF!</v>
      </c>
      <c r="E8" s="383" t="e">
        <f t="shared" ca="1" si="9"/>
        <v>#REF!</v>
      </c>
      <c r="F8" s="383" t="e">
        <f t="shared" ca="1" si="10"/>
        <v>#REF!</v>
      </c>
      <c r="G8" s="383" t="e">
        <f t="shared" ca="1" si="11"/>
        <v>#REF!</v>
      </c>
      <c r="H8" s="383" t="e">
        <f t="shared" ca="1" si="12"/>
        <v>#REF!</v>
      </c>
      <c r="I8" s="383" t="e">
        <f t="shared" ca="1" si="13"/>
        <v>#REF!</v>
      </c>
      <c r="J8" s="383" t="e">
        <f t="shared" ca="1" si="14"/>
        <v>#REF!</v>
      </c>
      <c r="K8" s="383" t="e">
        <f t="shared" ca="1" si="15"/>
        <v>#REF!</v>
      </c>
      <c r="L8" s="383" t="e">
        <f t="shared" ca="1" si="16"/>
        <v>#REF!</v>
      </c>
      <c r="M8" s="383" t="e">
        <f t="shared" ca="1" si="17"/>
        <v>#REF!</v>
      </c>
      <c r="N8" s="383" t="e">
        <f t="shared" ca="1" si="18"/>
        <v>#REF!</v>
      </c>
      <c r="O8" s="383" t="e">
        <f t="shared" ca="1" si="19"/>
        <v>#REF!</v>
      </c>
      <c r="P8" s="383" t="e">
        <f t="shared" ca="1" si="20"/>
        <v>#REF!</v>
      </c>
      <c r="Q8" s="383" t="e">
        <f t="shared" ca="1" si="21"/>
        <v>#REF!</v>
      </c>
      <c r="R8" s="383" t="e">
        <f t="shared" ca="1" si="22"/>
        <v>#REF!</v>
      </c>
      <c r="S8" s="383" t="e">
        <f t="shared" ref="S8:S16" ca="1" si="27">INDIRECT("'"&amp;$A8&amp;"'!K29")</f>
        <v>#REF!</v>
      </c>
      <c r="T8" s="383" t="e">
        <f t="shared" ref="T8:T16" ca="1" si="28">INDIRECT("'"&amp;$A8&amp;"'!K30")</f>
        <v>#REF!</v>
      </c>
      <c r="U8" s="383" t="e">
        <f t="shared" ref="U8:U16" ca="1" si="29">INDIRECT("'"&amp;$A8&amp;"'!K31")</f>
        <v>#REF!</v>
      </c>
      <c r="V8" s="383" t="e">
        <f t="shared" ref="V8:V16" ca="1" si="30">INDIRECT("'"&amp;$A8&amp;"'!K32")</f>
        <v>#REF!</v>
      </c>
      <c r="W8" s="383" t="e">
        <f t="shared" ref="W8:W16" ca="1" si="31">INDIRECT("'"&amp;$A8&amp;"'!K33")</f>
        <v>#REF!</v>
      </c>
      <c r="X8" s="383"/>
      <c r="Y8" s="383" t="e">
        <f t="shared" ref="Y8:Y16" ca="1" si="32">INDIRECT("'"&amp;$A8&amp;"'!K34")</f>
        <v>#REF!</v>
      </c>
      <c r="Z8" s="372" t="e">
        <f t="shared" ref="Z8:Z16" ca="1" si="33">INDIRECT("'"&amp;$A8&amp;"'!K36")</f>
        <v>#REF!</v>
      </c>
      <c r="AA8" s="381" t="e">
        <f ca="1">SUM(C22:Y22)/COUNT(C8:Y8)</f>
        <v>#REF!</v>
      </c>
      <c r="AB8" s="371" t="e">
        <f t="shared" ca="1" si="23"/>
        <v>#REF!</v>
      </c>
      <c r="AC8" s="371" t="e">
        <f t="shared" ca="1" si="24"/>
        <v>#REF!</v>
      </c>
      <c r="AD8" s="371" t="e">
        <f t="shared" ca="1" si="25"/>
        <v>#REF!</v>
      </c>
      <c r="AE8" s="371" t="e">
        <f t="shared" ca="1" si="26"/>
        <v>#REF!</v>
      </c>
    </row>
    <row r="9" spans="1:31" ht="15" customHeight="1" x14ac:dyDescent="0.3">
      <c r="A9" s="370"/>
      <c r="B9" s="370" t="e">
        <f t="shared" ca="1" si="6"/>
        <v>#REF!</v>
      </c>
      <c r="C9" s="371" t="e">
        <f t="shared" ca="1" si="7"/>
        <v>#REF!</v>
      </c>
      <c r="D9" s="371" t="e">
        <f t="shared" ca="1" si="8"/>
        <v>#REF!</v>
      </c>
      <c r="E9" s="371" t="e">
        <f t="shared" ca="1" si="9"/>
        <v>#REF!</v>
      </c>
      <c r="F9" s="371" t="e">
        <f t="shared" ca="1" si="10"/>
        <v>#REF!</v>
      </c>
      <c r="G9" s="371" t="e">
        <f t="shared" ca="1" si="11"/>
        <v>#REF!</v>
      </c>
      <c r="H9" s="371" t="e">
        <f t="shared" ca="1" si="12"/>
        <v>#REF!</v>
      </c>
      <c r="I9" s="371" t="e">
        <f t="shared" ca="1" si="13"/>
        <v>#REF!</v>
      </c>
      <c r="J9" s="371" t="e">
        <f t="shared" ca="1" si="14"/>
        <v>#REF!</v>
      </c>
      <c r="K9" s="371" t="e">
        <f t="shared" ca="1" si="15"/>
        <v>#REF!</v>
      </c>
      <c r="L9" s="371" t="e">
        <f t="shared" ca="1" si="16"/>
        <v>#REF!</v>
      </c>
      <c r="M9" s="371" t="e">
        <f t="shared" ca="1" si="17"/>
        <v>#REF!</v>
      </c>
      <c r="N9" s="371" t="e">
        <f t="shared" ca="1" si="18"/>
        <v>#REF!</v>
      </c>
      <c r="O9" s="371" t="e">
        <f t="shared" ca="1" si="19"/>
        <v>#REF!</v>
      </c>
      <c r="P9" s="371" t="e">
        <f t="shared" ca="1" si="20"/>
        <v>#REF!</v>
      </c>
      <c r="Q9" s="371" t="e">
        <f t="shared" ca="1" si="21"/>
        <v>#REF!</v>
      </c>
      <c r="R9" s="371" t="e">
        <f t="shared" ca="1" si="22"/>
        <v>#REF!</v>
      </c>
      <c r="S9" s="371" t="e">
        <f t="shared" ca="1" si="27"/>
        <v>#REF!</v>
      </c>
      <c r="T9" s="371" t="e">
        <f t="shared" ca="1" si="28"/>
        <v>#REF!</v>
      </c>
      <c r="U9" s="371" t="e">
        <f t="shared" ca="1" si="29"/>
        <v>#REF!</v>
      </c>
      <c r="V9" s="371" t="e">
        <f t="shared" ca="1" si="30"/>
        <v>#REF!</v>
      </c>
      <c r="W9" s="371" t="e">
        <f t="shared" ca="1" si="31"/>
        <v>#REF!</v>
      </c>
      <c r="X9" s="371"/>
      <c r="Y9" s="371" t="e">
        <f t="shared" ca="1" si="32"/>
        <v>#REF!</v>
      </c>
      <c r="Z9" s="372" t="e">
        <f t="shared" ca="1" si="33"/>
        <v>#REF!</v>
      </c>
      <c r="AA9" s="382" t="e">
        <f ca="1">SUM(C23:Y23)/COUNT(C9:Y9)</f>
        <v>#REF!</v>
      </c>
      <c r="AB9" s="371" t="e">
        <f t="shared" ca="1" si="23"/>
        <v>#REF!</v>
      </c>
      <c r="AC9" s="371" t="e">
        <f t="shared" ca="1" si="24"/>
        <v>#REF!</v>
      </c>
      <c r="AD9" s="371" t="e">
        <f t="shared" ca="1" si="25"/>
        <v>#REF!</v>
      </c>
      <c r="AE9" s="371" t="e">
        <f t="shared" ca="1" si="26"/>
        <v>#REF!</v>
      </c>
    </row>
    <row r="10" spans="1:31" ht="15" customHeight="1" x14ac:dyDescent="0.3">
      <c r="A10" s="370"/>
      <c r="B10" s="370" t="e">
        <f t="shared" ca="1" si="6"/>
        <v>#REF!</v>
      </c>
      <c r="C10" s="371" t="e">
        <f t="shared" ca="1" si="7"/>
        <v>#REF!</v>
      </c>
      <c r="D10" s="371" t="e">
        <f t="shared" ca="1" si="8"/>
        <v>#REF!</v>
      </c>
      <c r="E10" s="371" t="e">
        <f t="shared" ca="1" si="9"/>
        <v>#REF!</v>
      </c>
      <c r="F10" s="371" t="e">
        <f t="shared" ca="1" si="10"/>
        <v>#REF!</v>
      </c>
      <c r="G10" s="371" t="e">
        <f t="shared" ca="1" si="11"/>
        <v>#REF!</v>
      </c>
      <c r="H10" s="371" t="e">
        <f t="shared" ca="1" si="12"/>
        <v>#REF!</v>
      </c>
      <c r="I10" s="371" t="e">
        <f t="shared" ca="1" si="13"/>
        <v>#REF!</v>
      </c>
      <c r="J10" s="371" t="e">
        <f t="shared" ca="1" si="14"/>
        <v>#REF!</v>
      </c>
      <c r="K10" s="371" t="e">
        <f t="shared" ca="1" si="15"/>
        <v>#REF!</v>
      </c>
      <c r="L10" s="371" t="e">
        <f t="shared" ca="1" si="16"/>
        <v>#REF!</v>
      </c>
      <c r="M10" s="371" t="e">
        <f t="shared" ca="1" si="17"/>
        <v>#REF!</v>
      </c>
      <c r="N10" s="371" t="e">
        <f t="shared" ca="1" si="18"/>
        <v>#REF!</v>
      </c>
      <c r="O10" s="371" t="e">
        <f t="shared" ca="1" si="19"/>
        <v>#REF!</v>
      </c>
      <c r="P10" s="371" t="e">
        <f t="shared" ca="1" si="20"/>
        <v>#REF!</v>
      </c>
      <c r="Q10" s="371" t="e">
        <f t="shared" ca="1" si="21"/>
        <v>#REF!</v>
      </c>
      <c r="R10" s="371" t="e">
        <f t="shared" ca="1" si="22"/>
        <v>#REF!</v>
      </c>
      <c r="S10" s="371" t="e">
        <f t="shared" ca="1" si="27"/>
        <v>#REF!</v>
      </c>
      <c r="T10" s="371" t="e">
        <f t="shared" ca="1" si="28"/>
        <v>#REF!</v>
      </c>
      <c r="U10" s="371" t="e">
        <f t="shared" ca="1" si="29"/>
        <v>#REF!</v>
      </c>
      <c r="V10" s="371" t="e">
        <f t="shared" ca="1" si="30"/>
        <v>#REF!</v>
      </c>
      <c r="W10" s="371" t="e">
        <f t="shared" ca="1" si="31"/>
        <v>#REF!</v>
      </c>
      <c r="X10" s="371"/>
      <c r="Y10" s="371" t="e">
        <f t="shared" ca="1" si="32"/>
        <v>#REF!</v>
      </c>
      <c r="Z10" s="372" t="e">
        <f t="shared" ca="1" si="33"/>
        <v>#REF!</v>
      </c>
      <c r="AA10" s="382" t="e">
        <f ca="1">SUM(C24:Y24)/COUNT(C10:Y10)</f>
        <v>#REF!</v>
      </c>
      <c r="AB10" s="371" t="e">
        <f t="shared" ca="1" si="23"/>
        <v>#REF!</v>
      </c>
      <c r="AC10" s="371" t="e">
        <f t="shared" ca="1" si="24"/>
        <v>#REF!</v>
      </c>
      <c r="AD10" s="371" t="e">
        <f t="shared" ca="1" si="25"/>
        <v>#REF!</v>
      </c>
      <c r="AE10" s="371" t="e">
        <f t="shared" ca="1" si="26"/>
        <v>#REF!</v>
      </c>
    </row>
    <row r="11" spans="1:31" ht="15" customHeight="1" x14ac:dyDescent="0.3">
      <c r="A11" s="370"/>
      <c r="B11" s="370" t="e">
        <f t="shared" ca="1" si="6"/>
        <v>#REF!</v>
      </c>
      <c r="C11" s="371" t="e">
        <f t="shared" ca="1" si="7"/>
        <v>#REF!</v>
      </c>
      <c r="D11" s="371" t="e">
        <f t="shared" ca="1" si="8"/>
        <v>#REF!</v>
      </c>
      <c r="E11" s="371" t="e">
        <f t="shared" ca="1" si="9"/>
        <v>#REF!</v>
      </c>
      <c r="F11" s="371" t="e">
        <f t="shared" ca="1" si="10"/>
        <v>#REF!</v>
      </c>
      <c r="G11" s="371" t="e">
        <f t="shared" ca="1" si="11"/>
        <v>#REF!</v>
      </c>
      <c r="H11" s="371" t="e">
        <f t="shared" ca="1" si="12"/>
        <v>#REF!</v>
      </c>
      <c r="I11" s="371" t="e">
        <f t="shared" ca="1" si="13"/>
        <v>#REF!</v>
      </c>
      <c r="J11" s="371" t="e">
        <f t="shared" ca="1" si="14"/>
        <v>#REF!</v>
      </c>
      <c r="K11" s="371" t="e">
        <f t="shared" ca="1" si="15"/>
        <v>#REF!</v>
      </c>
      <c r="L11" s="371" t="e">
        <f t="shared" ca="1" si="16"/>
        <v>#REF!</v>
      </c>
      <c r="M11" s="371" t="e">
        <f t="shared" ca="1" si="17"/>
        <v>#REF!</v>
      </c>
      <c r="N11" s="371" t="e">
        <f t="shared" ca="1" si="18"/>
        <v>#REF!</v>
      </c>
      <c r="O11" s="371" t="e">
        <f t="shared" ca="1" si="19"/>
        <v>#REF!</v>
      </c>
      <c r="P11" s="371" t="e">
        <f t="shared" ca="1" si="20"/>
        <v>#REF!</v>
      </c>
      <c r="Q11" s="371" t="e">
        <f t="shared" ca="1" si="21"/>
        <v>#REF!</v>
      </c>
      <c r="R11" s="371" t="e">
        <f t="shared" ca="1" si="22"/>
        <v>#REF!</v>
      </c>
      <c r="S11" s="371" t="e">
        <f t="shared" ca="1" si="27"/>
        <v>#REF!</v>
      </c>
      <c r="T11" s="371" t="e">
        <f t="shared" ca="1" si="28"/>
        <v>#REF!</v>
      </c>
      <c r="U11" s="371" t="e">
        <f t="shared" ca="1" si="29"/>
        <v>#REF!</v>
      </c>
      <c r="V11" s="371" t="e">
        <f t="shared" ca="1" si="30"/>
        <v>#REF!</v>
      </c>
      <c r="W11" s="371" t="e">
        <f t="shared" ca="1" si="31"/>
        <v>#REF!</v>
      </c>
      <c r="X11" s="371"/>
      <c r="Y11" s="371" t="e">
        <f t="shared" ca="1" si="32"/>
        <v>#REF!</v>
      </c>
      <c r="Z11" s="372" t="e">
        <f t="shared" ca="1" si="33"/>
        <v>#REF!</v>
      </c>
      <c r="AA11" s="382" t="e">
        <f ca="1">SUM(C25:Y25)/COUNT(C11:Y11)</f>
        <v>#REF!</v>
      </c>
      <c r="AB11" s="371" t="e">
        <f t="shared" ca="1" si="23"/>
        <v>#REF!</v>
      </c>
      <c r="AC11" s="371" t="e">
        <f t="shared" ca="1" si="24"/>
        <v>#REF!</v>
      </c>
      <c r="AD11" s="371" t="e">
        <f t="shared" ca="1" si="25"/>
        <v>#REF!</v>
      </c>
      <c r="AE11" s="371" t="e">
        <f t="shared" ca="1" si="26"/>
        <v>#REF!</v>
      </c>
    </row>
    <row r="12" spans="1:31" ht="15" customHeight="1" thickBot="1" x14ac:dyDescent="0.35">
      <c r="A12" s="370"/>
      <c r="B12" s="373" t="e">
        <f t="shared" ca="1" si="6"/>
        <v>#REF!</v>
      </c>
      <c r="C12" s="374" t="e">
        <f t="shared" ca="1" si="7"/>
        <v>#REF!</v>
      </c>
      <c r="D12" s="374" t="e">
        <f t="shared" ca="1" si="8"/>
        <v>#REF!</v>
      </c>
      <c r="E12" s="374" t="e">
        <f t="shared" ca="1" si="9"/>
        <v>#REF!</v>
      </c>
      <c r="F12" s="374" t="e">
        <f t="shared" ca="1" si="10"/>
        <v>#REF!</v>
      </c>
      <c r="G12" s="374" t="e">
        <f t="shared" ca="1" si="11"/>
        <v>#REF!</v>
      </c>
      <c r="H12" s="374" t="e">
        <f t="shared" ca="1" si="12"/>
        <v>#REF!</v>
      </c>
      <c r="I12" s="374" t="e">
        <f t="shared" ca="1" si="13"/>
        <v>#REF!</v>
      </c>
      <c r="J12" s="374" t="e">
        <f t="shared" ca="1" si="14"/>
        <v>#REF!</v>
      </c>
      <c r="K12" s="374" t="e">
        <f t="shared" ca="1" si="15"/>
        <v>#REF!</v>
      </c>
      <c r="L12" s="374" t="e">
        <f t="shared" ca="1" si="16"/>
        <v>#REF!</v>
      </c>
      <c r="M12" s="374" t="e">
        <f t="shared" ca="1" si="17"/>
        <v>#REF!</v>
      </c>
      <c r="N12" s="374" t="e">
        <f t="shared" ca="1" si="18"/>
        <v>#REF!</v>
      </c>
      <c r="O12" s="374" t="e">
        <f t="shared" ca="1" si="19"/>
        <v>#REF!</v>
      </c>
      <c r="P12" s="374" t="e">
        <f t="shared" ca="1" si="20"/>
        <v>#REF!</v>
      </c>
      <c r="Q12" s="374" t="e">
        <f t="shared" ca="1" si="21"/>
        <v>#REF!</v>
      </c>
      <c r="R12" s="374" t="e">
        <f t="shared" ca="1" si="22"/>
        <v>#REF!</v>
      </c>
      <c r="S12" s="374" t="e">
        <f t="shared" ca="1" si="27"/>
        <v>#REF!</v>
      </c>
      <c r="T12" s="374" t="e">
        <f t="shared" ca="1" si="28"/>
        <v>#REF!</v>
      </c>
      <c r="U12" s="374" t="e">
        <f t="shared" ca="1" si="29"/>
        <v>#REF!</v>
      </c>
      <c r="V12" s="374" t="e">
        <f t="shared" ca="1" si="30"/>
        <v>#REF!</v>
      </c>
      <c r="W12" s="374" t="e">
        <f t="shared" ca="1" si="31"/>
        <v>#REF!</v>
      </c>
      <c r="X12" s="374"/>
      <c r="Y12" s="374" t="e">
        <f t="shared" ca="1" si="32"/>
        <v>#REF!</v>
      </c>
      <c r="Z12" s="375" t="e">
        <f t="shared" ca="1" si="33"/>
        <v>#REF!</v>
      </c>
      <c r="AA12" s="382" t="e">
        <f ca="1">SUM(C26:Y26)/COUNT(C12:Y12)</f>
        <v>#REF!</v>
      </c>
      <c r="AB12" s="374" t="e">
        <f t="shared" ca="1" si="23"/>
        <v>#REF!</v>
      </c>
      <c r="AC12" s="374" t="e">
        <f t="shared" ca="1" si="24"/>
        <v>#REF!</v>
      </c>
      <c r="AD12" s="374" t="e">
        <f t="shared" ca="1" si="25"/>
        <v>#REF!</v>
      </c>
      <c r="AE12" s="374" t="e">
        <f t="shared" ca="1" si="26"/>
        <v>#REF!</v>
      </c>
    </row>
    <row r="13" spans="1:31" ht="15" thickBot="1" x14ac:dyDescent="0.35">
      <c r="A13" s="376"/>
      <c r="B13" s="376" t="e">
        <f t="shared" ca="1" si="6"/>
        <v>#REF!</v>
      </c>
      <c r="C13" s="377" t="e">
        <f t="shared" ca="1" si="7"/>
        <v>#REF!</v>
      </c>
      <c r="D13" s="377" t="e">
        <f t="shared" ca="1" si="8"/>
        <v>#REF!</v>
      </c>
      <c r="E13" s="377" t="e">
        <f t="shared" ca="1" si="9"/>
        <v>#REF!</v>
      </c>
      <c r="F13" s="377" t="e">
        <f t="shared" ca="1" si="10"/>
        <v>#REF!</v>
      </c>
      <c r="G13" s="377" t="e">
        <f t="shared" ca="1" si="11"/>
        <v>#REF!</v>
      </c>
      <c r="H13" s="377" t="e">
        <f t="shared" ca="1" si="12"/>
        <v>#REF!</v>
      </c>
      <c r="I13" s="377" t="e">
        <f t="shared" ca="1" si="13"/>
        <v>#REF!</v>
      </c>
      <c r="J13" s="377" t="e">
        <f t="shared" ca="1" si="14"/>
        <v>#REF!</v>
      </c>
      <c r="K13" s="377" t="e">
        <f t="shared" ca="1" si="15"/>
        <v>#REF!</v>
      </c>
      <c r="L13" s="377" t="e">
        <f t="shared" ca="1" si="16"/>
        <v>#REF!</v>
      </c>
      <c r="M13" s="377" t="e">
        <f t="shared" ca="1" si="17"/>
        <v>#REF!</v>
      </c>
      <c r="N13" s="377" t="e">
        <f t="shared" ca="1" si="18"/>
        <v>#REF!</v>
      </c>
      <c r="O13" s="377" t="e">
        <f t="shared" ca="1" si="19"/>
        <v>#REF!</v>
      </c>
      <c r="P13" s="377" t="e">
        <f t="shared" ca="1" si="20"/>
        <v>#REF!</v>
      </c>
      <c r="Q13" s="377" t="e">
        <f t="shared" ca="1" si="21"/>
        <v>#REF!</v>
      </c>
      <c r="R13" s="377" t="e">
        <f t="shared" ca="1" si="22"/>
        <v>#REF!</v>
      </c>
      <c r="S13" s="377" t="e">
        <f t="shared" ca="1" si="27"/>
        <v>#REF!</v>
      </c>
      <c r="T13" s="377" t="e">
        <f t="shared" ca="1" si="28"/>
        <v>#REF!</v>
      </c>
      <c r="U13" s="377" t="e">
        <f t="shared" ca="1" si="29"/>
        <v>#REF!</v>
      </c>
      <c r="V13" s="377" t="e">
        <f t="shared" ca="1" si="30"/>
        <v>#REF!</v>
      </c>
      <c r="W13" s="377" t="e">
        <f t="shared" ca="1" si="31"/>
        <v>#REF!</v>
      </c>
      <c r="X13" s="377"/>
      <c r="Y13" s="377" t="e">
        <f t="shared" ca="1" si="32"/>
        <v>#REF!</v>
      </c>
      <c r="Z13" s="378" t="e">
        <f t="shared" ca="1" si="33"/>
        <v>#REF!</v>
      </c>
      <c r="AA13" s="386" t="e">
        <f ca="1">SUM(C27:Y27)/COUNT(C13:Y13)</f>
        <v>#REF!</v>
      </c>
      <c r="AB13" s="377" t="e">
        <f t="shared" ca="1" si="23"/>
        <v>#REF!</v>
      </c>
      <c r="AC13" s="377" t="e">
        <f t="shared" ca="1" si="24"/>
        <v>#REF!</v>
      </c>
      <c r="AD13" s="377" t="e">
        <f t="shared" ca="1" si="25"/>
        <v>#REF!</v>
      </c>
      <c r="AE13" s="377" t="e">
        <f t="shared" ca="1" si="26"/>
        <v>#REF!</v>
      </c>
    </row>
    <row r="14" spans="1:31" ht="15" customHeight="1" x14ac:dyDescent="0.3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AA14"/>
      <c r="AB14" s="133"/>
      <c r="AC14" s="133"/>
      <c r="AD14" s="133"/>
      <c r="AE14" s="133"/>
    </row>
    <row r="15" spans="1:31" ht="15" customHeight="1" x14ac:dyDescent="0.3">
      <c r="A15" s="370"/>
      <c r="B15" s="234" t="e">
        <f t="shared" ca="1" si="6"/>
        <v>#REF!</v>
      </c>
      <c r="C15" s="235" t="e">
        <f t="shared" ca="1" si="7"/>
        <v>#REF!</v>
      </c>
      <c r="D15" s="235" t="e">
        <f t="shared" ca="1" si="8"/>
        <v>#REF!</v>
      </c>
      <c r="E15" s="235" t="e">
        <f t="shared" ca="1" si="9"/>
        <v>#REF!</v>
      </c>
      <c r="F15" s="235" t="e">
        <f t="shared" ca="1" si="10"/>
        <v>#REF!</v>
      </c>
      <c r="G15" s="235" t="e">
        <f t="shared" ca="1" si="11"/>
        <v>#REF!</v>
      </c>
      <c r="H15" s="235" t="e">
        <f t="shared" ca="1" si="12"/>
        <v>#REF!</v>
      </c>
      <c r="I15" s="235" t="e">
        <f t="shared" ca="1" si="13"/>
        <v>#REF!</v>
      </c>
      <c r="J15" s="235" t="e">
        <f t="shared" ca="1" si="14"/>
        <v>#REF!</v>
      </c>
      <c r="K15" s="235" t="e">
        <f t="shared" ca="1" si="15"/>
        <v>#REF!</v>
      </c>
      <c r="L15" s="235" t="e">
        <f t="shared" ca="1" si="16"/>
        <v>#REF!</v>
      </c>
      <c r="M15" s="235" t="e">
        <f t="shared" ca="1" si="17"/>
        <v>#REF!</v>
      </c>
      <c r="N15" s="235" t="e">
        <f t="shared" ca="1" si="18"/>
        <v>#REF!</v>
      </c>
      <c r="O15" s="235" t="e">
        <f t="shared" ca="1" si="19"/>
        <v>#REF!</v>
      </c>
      <c r="P15" s="235" t="e">
        <f t="shared" ca="1" si="20"/>
        <v>#REF!</v>
      </c>
      <c r="Q15" s="235" t="e">
        <f t="shared" ca="1" si="21"/>
        <v>#REF!</v>
      </c>
      <c r="R15" s="235" t="e">
        <f t="shared" ca="1" si="22"/>
        <v>#REF!</v>
      </c>
      <c r="S15" s="235" t="e">
        <f t="shared" ca="1" si="27"/>
        <v>#REF!</v>
      </c>
      <c r="T15" s="235" t="e">
        <f t="shared" ca="1" si="28"/>
        <v>#REF!</v>
      </c>
      <c r="U15" s="235" t="e">
        <f t="shared" ca="1" si="29"/>
        <v>#REF!</v>
      </c>
      <c r="V15" s="235" t="e">
        <f t="shared" ca="1" si="30"/>
        <v>#REF!</v>
      </c>
      <c r="W15" s="235" t="e">
        <f t="shared" ca="1" si="31"/>
        <v>#REF!</v>
      </c>
      <c r="X15" s="235"/>
      <c r="Y15" s="235" t="e">
        <f t="shared" ca="1" si="32"/>
        <v>#REF!</v>
      </c>
      <c r="Z15" s="236" t="e">
        <f t="shared" ca="1" si="33"/>
        <v>#REF!</v>
      </c>
      <c r="AA15" s="385" t="e">
        <f ca="1">SUM(C29:Y29)/COUNT(C15:Y15)</f>
        <v>#REF!</v>
      </c>
      <c r="AB15" s="235" t="e">
        <f ca="1">INDIRECT("'"&amp;$A15&amp;"'!F36")</f>
        <v>#REF!</v>
      </c>
      <c r="AC15" s="235" t="e">
        <f ca="1">INDIRECT("'"&amp;$A15&amp;"'!H36")</f>
        <v>#REF!</v>
      </c>
      <c r="AD15" s="235" t="e">
        <f ca="1">INDIRECT("'"&amp;$A15&amp;"'!I36")</f>
        <v>#REF!</v>
      </c>
      <c r="AE15" s="235" t="e">
        <f ca="1">INDIRECT("'"&amp;$A15&amp;"'!J36")</f>
        <v>#REF!</v>
      </c>
    </row>
    <row r="16" spans="1:31" ht="15" customHeight="1" x14ac:dyDescent="0.3">
      <c r="A16" s="370"/>
      <c r="B16" s="132" t="e">
        <f t="shared" ca="1" si="6"/>
        <v>#REF!</v>
      </c>
      <c r="C16" s="133" t="e">
        <f t="shared" ca="1" si="7"/>
        <v>#REF!</v>
      </c>
      <c r="D16" s="133" t="e">
        <f t="shared" ca="1" si="8"/>
        <v>#REF!</v>
      </c>
      <c r="E16" s="133" t="e">
        <f t="shared" ca="1" si="9"/>
        <v>#REF!</v>
      </c>
      <c r="F16" s="133" t="e">
        <f t="shared" ca="1" si="10"/>
        <v>#REF!</v>
      </c>
      <c r="G16" s="133" t="e">
        <f t="shared" ca="1" si="11"/>
        <v>#REF!</v>
      </c>
      <c r="H16" s="133" t="e">
        <f t="shared" ca="1" si="12"/>
        <v>#REF!</v>
      </c>
      <c r="I16" s="133" t="e">
        <f t="shared" ca="1" si="13"/>
        <v>#REF!</v>
      </c>
      <c r="J16" s="133" t="e">
        <f t="shared" ca="1" si="14"/>
        <v>#REF!</v>
      </c>
      <c r="K16" s="133" t="e">
        <f t="shared" ca="1" si="15"/>
        <v>#REF!</v>
      </c>
      <c r="L16" s="133" t="e">
        <f t="shared" ca="1" si="16"/>
        <v>#REF!</v>
      </c>
      <c r="M16" s="133" t="e">
        <f t="shared" ca="1" si="17"/>
        <v>#REF!</v>
      </c>
      <c r="N16" s="133" t="e">
        <f t="shared" ca="1" si="18"/>
        <v>#REF!</v>
      </c>
      <c r="O16" s="133" t="e">
        <f t="shared" ca="1" si="19"/>
        <v>#REF!</v>
      </c>
      <c r="P16" s="133" t="e">
        <f t="shared" ca="1" si="20"/>
        <v>#REF!</v>
      </c>
      <c r="Q16" s="133" t="e">
        <f t="shared" ca="1" si="21"/>
        <v>#REF!</v>
      </c>
      <c r="R16" s="133" t="e">
        <f t="shared" ca="1" si="22"/>
        <v>#REF!</v>
      </c>
      <c r="S16" s="133" t="e">
        <f t="shared" ca="1" si="27"/>
        <v>#REF!</v>
      </c>
      <c r="T16" s="133" t="e">
        <f t="shared" ca="1" si="28"/>
        <v>#REF!</v>
      </c>
      <c r="U16" s="133" t="e">
        <f t="shared" ca="1" si="29"/>
        <v>#REF!</v>
      </c>
      <c r="V16" s="133" t="e">
        <f t="shared" ca="1" si="30"/>
        <v>#REF!</v>
      </c>
      <c r="W16" s="133" t="e">
        <f t="shared" ca="1" si="31"/>
        <v>#REF!</v>
      </c>
      <c r="X16" s="133"/>
      <c r="Y16" s="133" t="e">
        <f t="shared" ca="1" si="32"/>
        <v>#REF!</v>
      </c>
      <c r="Z16" s="134" t="e">
        <f t="shared" ca="1" si="33"/>
        <v>#REF!</v>
      </c>
      <c r="AA16" s="385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17" spans="1:31" ht="15" customHeight="1" x14ac:dyDescent="0.3">
      <c r="A17" s="365"/>
      <c r="B17" s="365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AB17"/>
      <c r="AC17" s="40"/>
      <c r="AD17" s="40"/>
      <c r="AE17" s="40"/>
    </row>
    <row r="18" spans="1:31" ht="15" customHeight="1" x14ac:dyDescent="0.3">
      <c r="A18" s="365"/>
      <c r="B18" s="36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AB18"/>
      <c r="AC18" s="36"/>
      <c r="AD18" s="36"/>
      <c r="AE18" s="36"/>
    </row>
    <row r="19" spans="1:31" x14ac:dyDescent="0.3">
      <c r="AB19"/>
    </row>
    <row r="20" spans="1:31" x14ac:dyDescent="0.3">
      <c r="AC20" s="90"/>
    </row>
    <row r="21" spans="1:31" hidden="1" x14ac:dyDescent="0.3">
      <c r="A21" s="379" t="s">
        <v>227</v>
      </c>
      <c r="B21" s="379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Y21" s="380"/>
    </row>
    <row r="22" spans="1:31" hidden="1" x14ac:dyDescent="0.3">
      <c r="A22" s="379">
        <f>A8</f>
        <v>0</v>
      </c>
      <c r="B22" s="379" t="e">
        <f ca="1">B8</f>
        <v>#REF!</v>
      </c>
      <c r="C22" s="380" t="e">
        <f ca="1">IF(ABS(C$3/3-C8)&lt;=0.75,1,0)</f>
        <v>#REF!</v>
      </c>
      <c r="D22" s="380" t="e">
        <f t="shared" ref="D22:R22" ca="1" si="34">IF(ABS(D$3/3-D8)&lt;=0.75,1,0)</f>
        <v>#REF!</v>
      </c>
      <c r="E22" s="380" t="e">
        <f t="shared" ca="1" si="34"/>
        <v>#REF!</v>
      </c>
      <c r="F22" s="380" t="e">
        <f t="shared" ca="1" si="34"/>
        <v>#REF!</v>
      </c>
      <c r="G22" s="380" t="e">
        <f t="shared" ca="1" si="34"/>
        <v>#REF!</v>
      </c>
      <c r="H22" s="380" t="e">
        <f t="shared" ca="1" si="34"/>
        <v>#REF!</v>
      </c>
      <c r="I22" s="380" t="e">
        <f t="shared" ca="1" si="34"/>
        <v>#REF!</v>
      </c>
      <c r="J22" s="380" t="e">
        <f t="shared" ca="1" si="34"/>
        <v>#REF!</v>
      </c>
      <c r="K22" s="380" t="e">
        <f t="shared" ca="1" si="34"/>
        <v>#REF!</v>
      </c>
      <c r="L22" s="380" t="e">
        <f t="shared" ca="1" si="34"/>
        <v>#REF!</v>
      </c>
      <c r="M22" s="380" t="e">
        <f t="shared" ca="1" si="34"/>
        <v>#REF!</v>
      </c>
      <c r="N22" s="380" t="e">
        <f t="shared" ca="1" si="34"/>
        <v>#REF!</v>
      </c>
      <c r="O22" s="380" t="e">
        <f t="shared" ca="1" si="34"/>
        <v>#REF!</v>
      </c>
      <c r="P22" s="380" t="e">
        <f t="shared" ca="1" si="34"/>
        <v>#REF!</v>
      </c>
      <c r="Q22" s="380" t="e">
        <f t="shared" ca="1" si="34"/>
        <v>#REF!</v>
      </c>
      <c r="R22" s="380" t="e">
        <f t="shared" ca="1" si="34"/>
        <v>#REF!</v>
      </c>
      <c r="S22" s="380" t="e">
        <f t="shared" ref="S22:W22" ca="1" si="35">IF(ABS(S$3/3-S8)&lt;=0.75,1,0)</f>
        <v>#REF!</v>
      </c>
      <c r="T22" s="380" t="e">
        <f t="shared" ca="1" si="35"/>
        <v>#REF!</v>
      </c>
      <c r="U22" s="380" t="e">
        <f t="shared" ca="1" si="35"/>
        <v>#REF!</v>
      </c>
      <c r="V22" s="380" t="e">
        <f t="shared" ca="1" si="35"/>
        <v>#REF!</v>
      </c>
      <c r="W22" s="380" t="e">
        <f t="shared" ca="1" si="35"/>
        <v>#REF!</v>
      </c>
      <c r="Y22" s="380" t="e">
        <f t="shared" ref="Y22" ca="1" si="36">IF(ABS(Y$3/3-Y8)&lt;=0.75,1,0)</f>
        <v>#REF!</v>
      </c>
    </row>
    <row r="23" spans="1:31" hidden="1" x14ac:dyDescent="0.3">
      <c r="A23" s="379">
        <f>A9</f>
        <v>0</v>
      </c>
      <c r="B23" s="379" t="e">
        <f ca="1">B9</f>
        <v>#REF!</v>
      </c>
      <c r="C23" s="380" t="e">
        <f t="shared" ref="C23:R30" ca="1" si="37">IF(ABS(C$3/3-C9)&lt;=0.75,1,0)</f>
        <v>#REF!</v>
      </c>
      <c r="D23" s="380" t="e">
        <f t="shared" ca="1" si="37"/>
        <v>#REF!</v>
      </c>
      <c r="E23" s="380" t="e">
        <f t="shared" ca="1" si="37"/>
        <v>#REF!</v>
      </c>
      <c r="F23" s="380" t="e">
        <f t="shared" ca="1" si="37"/>
        <v>#REF!</v>
      </c>
      <c r="G23" s="380" t="e">
        <f t="shared" ca="1" si="37"/>
        <v>#REF!</v>
      </c>
      <c r="H23" s="380" t="e">
        <f t="shared" ca="1" si="37"/>
        <v>#REF!</v>
      </c>
      <c r="I23" s="380" t="e">
        <f t="shared" ca="1" si="37"/>
        <v>#REF!</v>
      </c>
      <c r="J23" s="380" t="e">
        <f t="shared" ca="1" si="37"/>
        <v>#REF!</v>
      </c>
      <c r="K23" s="380" t="e">
        <f t="shared" ca="1" si="37"/>
        <v>#REF!</v>
      </c>
      <c r="L23" s="380" t="e">
        <f t="shared" ca="1" si="37"/>
        <v>#REF!</v>
      </c>
      <c r="M23" s="380" t="e">
        <f t="shared" ca="1" si="37"/>
        <v>#REF!</v>
      </c>
      <c r="N23" s="380" t="e">
        <f t="shared" ca="1" si="37"/>
        <v>#REF!</v>
      </c>
      <c r="O23" s="380" t="e">
        <f t="shared" ca="1" si="37"/>
        <v>#REF!</v>
      </c>
      <c r="P23" s="380" t="e">
        <f t="shared" ca="1" si="37"/>
        <v>#REF!</v>
      </c>
      <c r="Q23" s="380" t="e">
        <f t="shared" ca="1" si="37"/>
        <v>#REF!</v>
      </c>
      <c r="R23" s="380" t="e">
        <f t="shared" ca="1" si="37"/>
        <v>#REF!</v>
      </c>
      <c r="S23" s="380" t="e">
        <f t="shared" ref="S23:W23" ca="1" si="38">IF(ABS(S$3/3-S9)&lt;=0.75,1,0)</f>
        <v>#REF!</v>
      </c>
      <c r="T23" s="380" t="e">
        <f t="shared" ca="1" si="38"/>
        <v>#REF!</v>
      </c>
      <c r="U23" s="380" t="e">
        <f t="shared" ca="1" si="38"/>
        <v>#REF!</v>
      </c>
      <c r="V23" s="380" t="e">
        <f t="shared" ca="1" si="38"/>
        <v>#REF!</v>
      </c>
      <c r="W23" s="380" t="e">
        <f t="shared" ca="1" si="38"/>
        <v>#REF!</v>
      </c>
      <c r="Y23" s="380" t="e">
        <f t="shared" ref="Y23" ca="1" si="39">IF(ABS(Y$3/3-Y9)&lt;=0.75,1,0)</f>
        <v>#REF!</v>
      </c>
    </row>
    <row r="24" spans="1:31" hidden="1" x14ac:dyDescent="0.3">
      <c r="A24" s="379">
        <f>A10</f>
        <v>0</v>
      </c>
      <c r="B24" s="379" t="e">
        <f t="shared" ref="B24:B30" ca="1" si="40">B10</f>
        <v>#REF!</v>
      </c>
      <c r="C24" s="380" t="e">
        <f t="shared" ca="1" si="37"/>
        <v>#REF!</v>
      </c>
      <c r="D24" s="380" t="e">
        <f t="shared" ca="1" si="37"/>
        <v>#REF!</v>
      </c>
      <c r="E24" s="380" t="e">
        <f t="shared" ca="1" si="37"/>
        <v>#REF!</v>
      </c>
      <c r="F24" s="380" t="e">
        <f t="shared" ca="1" si="37"/>
        <v>#REF!</v>
      </c>
      <c r="G24" s="380" t="e">
        <f t="shared" ca="1" si="37"/>
        <v>#REF!</v>
      </c>
      <c r="H24" s="380" t="e">
        <f t="shared" ca="1" si="37"/>
        <v>#REF!</v>
      </c>
      <c r="I24" s="380" t="e">
        <f t="shared" ca="1" si="37"/>
        <v>#REF!</v>
      </c>
      <c r="J24" s="380" t="e">
        <f t="shared" ca="1" si="37"/>
        <v>#REF!</v>
      </c>
      <c r="K24" s="380" t="e">
        <f t="shared" ca="1" si="37"/>
        <v>#REF!</v>
      </c>
      <c r="L24" s="380" t="e">
        <f t="shared" ca="1" si="37"/>
        <v>#REF!</v>
      </c>
      <c r="M24" s="380" t="e">
        <f t="shared" ca="1" si="37"/>
        <v>#REF!</v>
      </c>
      <c r="N24" s="380" t="e">
        <f t="shared" ca="1" si="37"/>
        <v>#REF!</v>
      </c>
      <c r="O24" s="380" t="e">
        <f t="shared" ca="1" si="37"/>
        <v>#REF!</v>
      </c>
      <c r="P24" s="380" t="e">
        <f t="shared" ca="1" si="37"/>
        <v>#REF!</v>
      </c>
      <c r="Q24" s="380" t="e">
        <f t="shared" ca="1" si="37"/>
        <v>#REF!</v>
      </c>
      <c r="R24" s="380" t="e">
        <f t="shared" ca="1" si="37"/>
        <v>#REF!</v>
      </c>
      <c r="S24" s="380" t="e">
        <f t="shared" ref="S24:W24" ca="1" si="41">IF(ABS(S$3/3-S10)&lt;=0.75,1,0)</f>
        <v>#REF!</v>
      </c>
      <c r="T24" s="380" t="e">
        <f t="shared" ca="1" si="41"/>
        <v>#REF!</v>
      </c>
      <c r="U24" s="380" t="e">
        <f t="shared" ca="1" si="41"/>
        <v>#REF!</v>
      </c>
      <c r="V24" s="380" t="e">
        <f t="shared" ca="1" si="41"/>
        <v>#REF!</v>
      </c>
      <c r="W24" s="380" t="e">
        <f t="shared" ca="1" si="41"/>
        <v>#REF!</v>
      </c>
      <c r="Y24" s="380" t="e">
        <f t="shared" ref="Y24" ca="1" si="42">IF(ABS(Y$3/3-Y10)&lt;=0.75,1,0)</f>
        <v>#REF!</v>
      </c>
    </row>
    <row r="25" spans="1:31" hidden="1" x14ac:dyDescent="0.3">
      <c r="A25" s="379">
        <f>A11</f>
        <v>0</v>
      </c>
      <c r="B25" s="379" t="e">
        <f t="shared" ca="1" si="40"/>
        <v>#REF!</v>
      </c>
      <c r="C25" s="380" t="e">
        <f t="shared" ca="1" si="37"/>
        <v>#REF!</v>
      </c>
      <c r="D25" s="380" t="e">
        <f t="shared" ca="1" si="37"/>
        <v>#REF!</v>
      </c>
      <c r="E25" s="380" t="e">
        <f t="shared" ca="1" si="37"/>
        <v>#REF!</v>
      </c>
      <c r="F25" s="380" t="e">
        <f t="shared" ca="1" si="37"/>
        <v>#REF!</v>
      </c>
      <c r="G25" s="380" t="e">
        <f t="shared" ca="1" si="37"/>
        <v>#REF!</v>
      </c>
      <c r="H25" s="380" t="e">
        <f t="shared" ca="1" si="37"/>
        <v>#REF!</v>
      </c>
      <c r="I25" s="380" t="e">
        <f t="shared" ca="1" si="37"/>
        <v>#REF!</v>
      </c>
      <c r="J25" s="380" t="e">
        <f t="shared" ca="1" si="37"/>
        <v>#REF!</v>
      </c>
      <c r="K25" s="380" t="e">
        <f t="shared" ca="1" si="37"/>
        <v>#REF!</v>
      </c>
      <c r="L25" s="380" t="e">
        <f t="shared" ca="1" si="37"/>
        <v>#REF!</v>
      </c>
      <c r="M25" s="380" t="e">
        <f t="shared" ca="1" si="37"/>
        <v>#REF!</v>
      </c>
      <c r="N25" s="380" t="e">
        <f t="shared" ca="1" si="37"/>
        <v>#REF!</v>
      </c>
      <c r="O25" s="380" t="e">
        <f t="shared" ca="1" si="37"/>
        <v>#REF!</v>
      </c>
      <c r="P25" s="380" t="e">
        <f t="shared" ca="1" si="37"/>
        <v>#REF!</v>
      </c>
      <c r="Q25" s="380" t="e">
        <f t="shared" ca="1" si="37"/>
        <v>#REF!</v>
      </c>
      <c r="R25" s="380" t="e">
        <f t="shared" ca="1" si="37"/>
        <v>#REF!</v>
      </c>
      <c r="S25" s="380" t="e">
        <f t="shared" ref="S25:W25" ca="1" si="43">IF(ABS(S$3/3-S11)&lt;=0.75,1,0)</f>
        <v>#REF!</v>
      </c>
      <c r="T25" s="380" t="e">
        <f t="shared" ca="1" si="43"/>
        <v>#REF!</v>
      </c>
      <c r="U25" s="380" t="e">
        <f t="shared" ca="1" si="43"/>
        <v>#REF!</v>
      </c>
      <c r="V25" s="380" t="e">
        <f t="shared" ca="1" si="43"/>
        <v>#REF!</v>
      </c>
      <c r="W25" s="380" t="e">
        <f t="shared" ca="1" si="43"/>
        <v>#REF!</v>
      </c>
      <c r="Y25" s="380" t="e">
        <f t="shared" ref="Y25" ca="1" si="44">IF(ABS(Y$3/3-Y11)&lt;=0.75,1,0)</f>
        <v>#REF!</v>
      </c>
    </row>
    <row r="26" spans="1:31" hidden="1" x14ac:dyDescent="0.3">
      <c r="A26" s="379">
        <f>A12</f>
        <v>0</v>
      </c>
      <c r="B26" s="379" t="e">
        <f t="shared" ca="1" si="40"/>
        <v>#REF!</v>
      </c>
      <c r="C26" s="380" t="e">
        <f t="shared" ca="1" si="37"/>
        <v>#REF!</v>
      </c>
      <c r="D26" s="380" t="e">
        <f t="shared" ca="1" si="37"/>
        <v>#REF!</v>
      </c>
      <c r="E26" s="380" t="e">
        <f t="shared" ca="1" si="37"/>
        <v>#REF!</v>
      </c>
      <c r="F26" s="380" t="e">
        <f t="shared" ca="1" si="37"/>
        <v>#REF!</v>
      </c>
      <c r="G26" s="380" t="e">
        <f t="shared" ca="1" si="37"/>
        <v>#REF!</v>
      </c>
      <c r="H26" s="380" t="e">
        <f t="shared" ca="1" si="37"/>
        <v>#REF!</v>
      </c>
      <c r="I26" s="380" t="e">
        <f t="shared" ca="1" si="37"/>
        <v>#REF!</v>
      </c>
      <c r="J26" s="380" t="e">
        <f t="shared" ca="1" si="37"/>
        <v>#REF!</v>
      </c>
      <c r="K26" s="380" t="e">
        <f t="shared" ca="1" si="37"/>
        <v>#REF!</v>
      </c>
      <c r="L26" s="380" t="e">
        <f t="shared" ca="1" si="37"/>
        <v>#REF!</v>
      </c>
      <c r="M26" s="380" t="e">
        <f t="shared" ca="1" si="37"/>
        <v>#REF!</v>
      </c>
      <c r="N26" s="380" t="e">
        <f t="shared" ca="1" si="37"/>
        <v>#REF!</v>
      </c>
      <c r="O26" s="380" t="e">
        <f t="shared" ca="1" si="37"/>
        <v>#REF!</v>
      </c>
      <c r="P26" s="380" t="e">
        <f t="shared" ca="1" si="37"/>
        <v>#REF!</v>
      </c>
      <c r="Q26" s="380" t="e">
        <f t="shared" ca="1" si="37"/>
        <v>#REF!</v>
      </c>
      <c r="R26" s="380" t="e">
        <f t="shared" ca="1" si="37"/>
        <v>#REF!</v>
      </c>
      <c r="S26" s="380" t="e">
        <f t="shared" ref="S26:W26" ca="1" si="45">IF(ABS(S$3/3-S12)&lt;=0.75,1,0)</f>
        <v>#REF!</v>
      </c>
      <c r="T26" s="380" t="e">
        <f t="shared" ca="1" si="45"/>
        <v>#REF!</v>
      </c>
      <c r="U26" s="380" t="e">
        <f t="shared" ca="1" si="45"/>
        <v>#REF!</v>
      </c>
      <c r="V26" s="380" t="e">
        <f t="shared" ca="1" si="45"/>
        <v>#REF!</v>
      </c>
      <c r="W26" s="380" t="e">
        <f t="shared" ca="1" si="45"/>
        <v>#REF!</v>
      </c>
      <c r="Y26" s="380" t="e">
        <f t="shared" ref="Y26" ca="1" si="46">IF(ABS(Y$3/3-Y12)&lt;=0.75,1,0)</f>
        <v>#REF!</v>
      </c>
    </row>
    <row r="27" spans="1:31" hidden="1" x14ac:dyDescent="0.3">
      <c r="A27" s="379">
        <f>A13</f>
        <v>0</v>
      </c>
      <c r="B27" s="379" t="e">
        <f t="shared" ca="1" si="40"/>
        <v>#REF!</v>
      </c>
      <c r="C27" s="380" t="e">
        <f t="shared" ca="1" si="37"/>
        <v>#REF!</v>
      </c>
      <c r="D27" s="380" t="e">
        <f t="shared" ca="1" si="37"/>
        <v>#REF!</v>
      </c>
      <c r="E27" s="380" t="e">
        <f t="shared" ca="1" si="37"/>
        <v>#REF!</v>
      </c>
      <c r="F27" s="380" t="e">
        <f t="shared" ca="1" si="37"/>
        <v>#REF!</v>
      </c>
      <c r="G27" s="380" t="e">
        <f t="shared" ca="1" si="37"/>
        <v>#REF!</v>
      </c>
      <c r="H27" s="380" t="e">
        <f t="shared" ca="1" si="37"/>
        <v>#REF!</v>
      </c>
      <c r="I27" s="380" t="e">
        <f t="shared" ca="1" si="37"/>
        <v>#REF!</v>
      </c>
      <c r="J27" s="380" t="e">
        <f t="shared" ca="1" si="37"/>
        <v>#REF!</v>
      </c>
      <c r="K27" s="380" t="e">
        <f t="shared" ca="1" si="37"/>
        <v>#REF!</v>
      </c>
      <c r="L27" s="380" t="e">
        <f t="shared" ca="1" si="37"/>
        <v>#REF!</v>
      </c>
      <c r="M27" s="380" t="e">
        <f t="shared" ca="1" si="37"/>
        <v>#REF!</v>
      </c>
      <c r="N27" s="380" t="e">
        <f t="shared" ca="1" si="37"/>
        <v>#REF!</v>
      </c>
      <c r="O27" s="380" t="e">
        <f t="shared" ca="1" si="37"/>
        <v>#REF!</v>
      </c>
      <c r="P27" s="380" t="e">
        <f t="shared" ca="1" si="37"/>
        <v>#REF!</v>
      </c>
      <c r="Q27" s="380" t="e">
        <f t="shared" ca="1" si="37"/>
        <v>#REF!</v>
      </c>
      <c r="R27" s="380" t="e">
        <f t="shared" ca="1" si="37"/>
        <v>#REF!</v>
      </c>
      <c r="S27" s="380" t="e">
        <f t="shared" ref="S27:W27" ca="1" si="47">IF(ABS(S$3/3-S13)&lt;=0.75,1,0)</f>
        <v>#REF!</v>
      </c>
      <c r="T27" s="380" t="e">
        <f t="shared" ca="1" si="47"/>
        <v>#REF!</v>
      </c>
      <c r="U27" s="380" t="e">
        <f t="shared" ca="1" si="47"/>
        <v>#REF!</v>
      </c>
      <c r="V27" s="380" t="e">
        <f t="shared" ca="1" si="47"/>
        <v>#REF!</v>
      </c>
      <c r="W27" s="380" t="e">
        <f t="shared" ca="1" si="47"/>
        <v>#REF!</v>
      </c>
      <c r="Y27" s="380" t="e">
        <f t="shared" ref="Y27" ca="1" si="48">IF(ABS(Y$3/3-Y13)&lt;=0.75,1,0)</f>
        <v>#REF!</v>
      </c>
    </row>
    <row r="28" spans="1:31" hidden="1" x14ac:dyDescent="0.3">
      <c r="B28" s="379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Y28" s="35"/>
    </row>
    <row r="29" spans="1:31" hidden="1" x14ac:dyDescent="0.3">
      <c r="A29" s="379">
        <f>A15</f>
        <v>0</v>
      </c>
      <c r="B29" s="379" t="e">
        <f t="shared" ca="1" si="40"/>
        <v>#REF!</v>
      </c>
      <c r="C29" s="380" t="e">
        <f t="shared" ca="1" si="37"/>
        <v>#REF!</v>
      </c>
      <c r="D29" s="380" t="e">
        <f t="shared" ca="1" si="37"/>
        <v>#REF!</v>
      </c>
      <c r="E29" s="380" t="e">
        <f t="shared" ca="1" si="37"/>
        <v>#REF!</v>
      </c>
      <c r="F29" s="380" t="e">
        <f t="shared" ca="1" si="37"/>
        <v>#REF!</v>
      </c>
      <c r="G29" s="380" t="e">
        <f t="shared" ca="1" si="37"/>
        <v>#REF!</v>
      </c>
      <c r="H29" s="380" t="e">
        <f t="shared" ca="1" si="37"/>
        <v>#REF!</v>
      </c>
      <c r="I29" s="380" t="e">
        <f t="shared" ca="1" si="37"/>
        <v>#REF!</v>
      </c>
      <c r="J29" s="380" t="e">
        <f t="shared" ca="1" si="37"/>
        <v>#REF!</v>
      </c>
      <c r="K29" s="380" t="e">
        <f t="shared" ca="1" si="37"/>
        <v>#REF!</v>
      </c>
      <c r="L29" s="380" t="e">
        <f t="shared" ca="1" si="37"/>
        <v>#REF!</v>
      </c>
      <c r="M29" s="380" t="e">
        <f t="shared" ca="1" si="37"/>
        <v>#REF!</v>
      </c>
      <c r="N29" s="380" t="e">
        <f t="shared" ca="1" si="37"/>
        <v>#REF!</v>
      </c>
      <c r="O29" s="380" t="e">
        <f t="shared" ca="1" si="37"/>
        <v>#REF!</v>
      </c>
      <c r="P29" s="380" t="e">
        <f t="shared" ca="1" si="37"/>
        <v>#REF!</v>
      </c>
      <c r="Q29" s="380" t="e">
        <f t="shared" ca="1" si="37"/>
        <v>#REF!</v>
      </c>
      <c r="R29" s="380" t="e">
        <f t="shared" ca="1" si="37"/>
        <v>#REF!</v>
      </c>
      <c r="S29" s="380" t="e">
        <f t="shared" ref="S29:W29" ca="1" si="49">IF(ABS(S$3/3-S15)&lt;=0.75,1,0)</f>
        <v>#REF!</v>
      </c>
      <c r="T29" s="380" t="e">
        <f t="shared" ca="1" si="49"/>
        <v>#REF!</v>
      </c>
      <c r="U29" s="380" t="e">
        <f t="shared" ca="1" si="49"/>
        <v>#REF!</v>
      </c>
      <c r="V29" s="380" t="e">
        <f t="shared" ca="1" si="49"/>
        <v>#REF!</v>
      </c>
      <c r="W29" s="380" t="e">
        <f t="shared" ca="1" si="49"/>
        <v>#REF!</v>
      </c>
      <c r="Y29" s="380" t="e">
        <f t="shared" ref="Y29" ca="1" si="50">IF(ABS(Y$3/3-Y15)&lt;=0.75,1,0)</f>
        <v>#REF!</v>
      </c>
    </row>
    <row r="30" spans="1:31" hidden="1" x14ac:dyDescent="0.3">
      <c r="A30" s="379">
        <f>A16</f>
        <v>0</v>
      </c>
      <c r="B30" s="379" t="e">
        <f t="shared" ca="1" si="40"/>
        <v>#REF!</v>
      </c>
      <c r="C30" s="380" t="e">
        <f t="shared" ca="1" si="37"/>
        <v>#REF!</v>
      </c>
      <c r="D30" s="380" t="e">
        <f t="shared" ca="1" si="37"/>
        <v>#REF!</v>
      </c>
      <c r="E30" s="380" t="e">
        <f t="shared" ca="1" si="37"/>
        <v>#REF!</v>
      </c>
      <c r="F30" s="380" t="e">
        <f t="shared" ca="1" si="37"/>
        <v>#REF!</v>
      </c>
      <c r="G30" s="380" t="e">
        <f t="shared" ca="1" si="37"/>
        <v>#REF!</v>
      </c>
      <c r="H30" s="380" t="e">
        <f t="shared" ca="1" si="37"/>
        <v>#REF!</v>
      </c>
      <c r="I30" s="380" t="e">
        <f t="shared" ca="1" si="37"/>
        <v>#REF!</v>
      </c>
      <c r="J30" s="380" t="e">
        <f t="shared" ca="1" si="37"/>
        <v>#REF!</v>
      </c>
      <c r="K30" s="380" t="e">
        <f t="shared" ca="1" si="37"/>
        <v>#REF!</v>
      </c>
      <c r="L30" s="380" t="e">
        <f t="shared" ca="1" si="37"/>
        <v>#REF!</v>
      </c>
      <c r="M30" s="380" t="e">
        <f t="shared" ca="1" si="37"/>
        <v>#REF!</v>
      </c>
      <c r="N30" s="380" t="e">
        <f t="shared" ca="1" si="37"/>
        <v>#REF!</v>
      </c>
      <c r="O30" s="380" t="e">
        <f t="shared" ca="1" si="37"/>
        <v>#REF!</v>
      </c>
      <c r="P30" s="380" t="e">
        <f t="shared" ca="1" si="37"/>
        <v>#REF!</v>
      </c>
      <c r="Q30" s="380" t="e">
        <f t="shared" ca="1" si="37"/>
        <v>#REF!</v>
      </c>
      <c r="R30" s="380" t="e">
        <f t="shared" ca="1" si="37"/>
        <v>#REF!</v>
      </c>
      <c r="S30" s="380" t="e">
        <f t="shared" ref="S30:W30" ca="1" si="51">IF(ABS(S$3/3-S16)&lt;=0.75,1,0)</f>
        <v>#REF!</v>
      </c>
      <c r="T30" s="380" t="e">
        <f t="shared" ca="1" si="51"/>
        <v>#REF!</v>
      </c>
      <c r="U30" s="380" t="e">
        <f t="shared" ca="1" si="51"/>
        <v>#REF!</v>
      </c>
      <c r="V30" s="380" t="e">
        <f t="shared" ca="1" si="51"/>
        <v>#REF!</v>
      </c>
      <c r="W30" s="380" t="e">
        <f t="shared" ca="1" si="51"/>
        <v>#REF!</v>
      </c>
      <c r="Y30" s="380" t="e">
        <f t="shared" ref="Y30" ca="1" si="52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8:Y13">
    <cfRule type="expression" dxfId="35" priority="5">
      <formula>C$3/3-C8&lt;-0.75</formula>
    </cfRule>
    <cfRule type="expression" dxfId="34" priority="6">
      <formula>C$3/3-C8&gt;0.75</formula>
    </cfRule>
  </conditionalFormatting>
  <conditionalFormatting sqref="C4:Y4">
    <cfRule type="expression" dxfId="33" priority="1">
      <formula>C4&gt;3</formula>
    </cfRule>
    <cfRule type="expression" dxfId="32" priority="2">
      <formula>AND(C4&gt;2,C4&lt;=3)</formula>
    </cfRule>
    <cfRule type="expression" dxfId="31" priority="3">
      <formula>AND(C4&gt;1,C4&lt;=2)</formula>
    </cfRule>
    <cfRule type="expression" dxfId="30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AE30"/>
  <sheetViews>
    <sheetView zoomScale="115" zoomScaleNormal="115" workbookViewId="0"/>
  </sheetViews>
  <sheetFormatPr defaultColWidth="11.5546875" defaultRowHeight="14.4" x14ac:dyDescent="0.3"/>
  <cols>
    <col min="1" max="1" width="11.6640625" customWidth="1"/>
    <col min="2" max="2" width="14.88671875" customWidth="1"/>
    <col min="3" max="25" width="4.77734375" customWidth="1"/>
    <col min="26" max="26" width="6.77734375" customWidth="1"/>
    <col min="27" max="27" width="6.77734375" style="35" customWidth="1"/>
    <col min="28" max="28" width="4.77734375" style="35" customWidth="1"/>
    <col min="29" max="31" width="4.77734375" customWidth="1"/>
  </cols>
  <sheetData>
    <row r="1" spans="1:31" ht="15" customHeight="1" x14ac:dyDescent="0.3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69"/>
      <c r="AA1"/>
      <c r="AB1" s="63"/>
      <c r="AC1" s="42"/>
      <c r="AD1" s="42"/>
      <c r="AE1" s="42"/>
    </row>
    <row r="2" spans="1:31" ht="128.1" customHeight="1" x14ac:dyDescent="0.3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113</v>
      </c>
      <c r="E2" s="44" t="s">
        <v>129</v>
      </c>
      <c r="F2" s="44" t="s">
        <v>130</v>
      </c>
      <c r="G2" s="44" t="s">
        <v>131</v>
      </c>
      <c r="H2" s="44" t="s">
        <v>132</v>
      </c>
      <c r="I2" s="44" t="s">
        <v>133</v>
      </c>
      <c r="J2" s="44" t="s">
        <v>134</v>
      </c>
      <c r="K2" s="44" t="s">
        <v>101</v>
      </c>
      <c r="L2" s="44" t="s">
        <v>136</v>
      </c>
      <c r="M2" s="44" t="s">
        <v>137</v>
      </c>
      <c r="N2" s="44" t="s">
        <v>138</v>
      </c>
      <c r="O2" s="44" t="s">
        <v>139</v>
      </c>
      <c r="P2" s="44" t="s">
        <v>114</v>
      </c>
      <c r="Q2" s="44" t="s">
        <v>140</v>
      </c>
      <c r="R2" s="44" t="s">
        <v>141</v>
      </c>
      <c r="S2" s="44" t="s">
        <v>143</v>
      </c>
      <c r="T2" s="44" t="s">
        <v>144</v>
      </c>
      <c r="U2" s="44" t="s">
        <v>145</v>
      </c>
      <c r="V2" s="44" t="s">
        <v>147</v>
      </c>
      <c r="W2" s="44" t="s">
        <v>148</v>
      </c>
      <c r="X2" s="44" t="s">
        <v>149</v>
      </c>
      <c r="Y2" s="44" t="str">
        <f>Doku!B52</f>
        <v>Abgrüßen</v>
      </c>
      <c r="Z2" s="45" t="str">
        <f>Doku!B42</f>
        <v>Gesamt</v>
      </c>
      <c r="AA2" s="44" t="s">
        <v>226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3">
      <c r="A3" s="364" t="str">
        <f>Doku!B42&amp;":"</f>
        <v>Gesamt:</v>
      </c>
      <c r="B3" s="364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 t="e">
        <f t="shared" ref="S3:W3" ca="1" si="1">SUM(S8:S12)-MAX(S8:S12)-MIN(S8:S12)</f>
        <v>#REF!</v>
      </c>
      <c r="T3" s="36" t="e">
        <f t="shared" ca="1" si="1"/>
        <v>#REF!</v>
      </c>
      <c r="U3" s="36" t="e">
        <f t="shared" ca="1" si="1"/>
        <v>#REF!</v>
      </c>
      <c r="V3" s="36" t="e">
        <f t="shared" ca="1" si="1"/>
        <v>#REF!</v>
      </c>
      <c r="W3" s="36" t="e">
        <f t="shared" ca="1" si="1"/>
        <v>#REF!</v>
      </c>
      <c r="X3" s="36" t="e">
        <f t="shared" ref="X3" ca="1" si="2">SUM(X8:X12)-MAX(X8:X12)-MIN(X8:X12)</f>
        <v>#REF!</v>
      </c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3">
      <c r="A4" s="366" t="str">
        <f>Doku!B49&amp;":"</f>
        <v>Spannweite:</v>
      </c>
      <c r="B4" s="366"/>
      <c r="C4" s="239" t="e">
        <f t="shared" ref="C4:R4" ca="1" si="3">MAX(C8:C12)-MIN(C8:C12)</f>
        <v>#REF!</v>
      </c>
      <c r="D4" s="239" t="e">
        <f t="shared" ca="1" si="3"/>
        <v>#REF!</v>
      </c>
      <c r="E4" s="239" t="e">
        <f t="shared" ca="1" si="3"/>
        <v>#REF!</v>
      </c>
      <c r="F4" s="239" t="e">
        <f t="shared" ca="1" si="3"/>
        <v>#REF!</v>
      </c>
      <c r="G4" s="239" t="e">
        <f t="shared" ca="1" si="3"/>
        <v>#REF!</v>
      </c>
      <c r="H4" s="239" t="e">
        <f t="shared" ca="1" si="3"/>
        <v>#REF!</v>
      </c>
      <c r="I4" s="239" t="e">
        <f t="shared" ca="1" si="3"/>
        <v>#REF!</v>
      </c>
      <c r="J4" s="239" t="e">
        <f t="shared" ca="1" si="3"/>
        <v>#REF!</v>
      </c>
      <c r="K4" s="239" t="e">
        <f t="shared" ca="1" si="3"/>
        <v>#REF!</v>
      </c>
      <c r="L4" s="239" t="e">
        <f t="shared" ca="1" si="3"/>
        <v>#REF!</v>
      </c>
      <c r="M4" s="239" t="e">
        <f t="shared" ca="1" si="3"/>
        <v>#REF!</v>
      </c>
      <c r="N4" s="239" t="e">
        <f t="shared" ca="1" si="3"/>
        <v>#REF!</v>
      </c>
      <c r="O4" s="239" t="e">
        <f t="shared" ca="1" si="3"/>
        <v>#REF!</v>
      </c>
      <c r="P4" s="239" t="e">
        <f t="shared" ca="1" si="3"/>
        <v>#REF!</v>
      </c>
      <c r="Q4" s="239" t="e">
        <f t="shared" ca="1" si="3"/>
        <v>#REF!</v>
      </c>
      <c r="R4" s="239" t="e">
        <f t="shared" ca="1" si="3"/>
        <v>#REF!</v>
      </c>
      <c r="S4" s="240" t="e">
        <f t="shared" ref="S4:W4" ca="1" si="4">MAX(S8:S12)-MIN(S8:S12)</f>
        <v>#REF!</v>
      </c>
      <c r="T4" s="240" t="e">
        <f t="shared" ca="1" si="4"/>
        <v>#REF!</v>
      </c>
      <c r="U4" s="240" t="e">
        <f t="shared" ca="1" si="4"/>
        <v>#REF!</v>
      </c>
      <c r="V4" s="240" t="e">
        <f t="shared" ca="1" si="4"/>
        <v>#REF!</v>
      </c>
      <c r="W4" s="240" t="e">
        <f t="shared" ca="1" si="4"/>
        <v>#REF!</v>
      </c>
      <c r="X4" s="240" t="e">
        <f t="shared" ref="X4" ca="1" si="5">MAX(X8:X12)-MIN(X8:X12)</f>
        <v>#REF!</v>
      </c>
      <c r="Y4" s="239" t="e">
        <f ca="1">MAX(Y8:Y12)-MIN(Y8:Y12)</f>
        <v>#REF!</v>
      </c>
      <c r="Z4" s="39" t="e">
        <f ca="1">MAX(Z8:Z12)-MIN(Z8:Z12)</f>
        <v>#REF!</v>
      </c>
      <c r="AA4" s="240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MAX(AD8:AD13)-MIN(AD8:AD12)</f>
        <v>#REF!</v>
      </c>
      <c r="AE4" s="38" t="e">
        <f ca="1">MAX(AE8:AE13)-MIN(AE8:AE12)</f>
        <v>#REF!</v>
      </c>
    </row>
    <row r="5" spans="1:31" ht="15" customHeight="1" x14ac:dyDescent="0.3">
      <c r="A5" s="365" t="str">
        <f>Doku!B47&amp;":"</f>
        <v>Mittelwert:</v>
      </c>
      <c r="B5" s="365"/>
      <c r="C5" s="38" t="e">
        <f ca="1">C3/3</f>
        <v>#REF!</v>
      </c>
      <c r="D5" s="38" t="e">
        <f t="shared" ref="D5:Z5" ca="1" si="6">D3/3</f>
        <v>#REF!</v>
      </c>
      <c r="E5" s="38" t="e">
        <f t="shared" ca="1" si="6"/>
        <v>#REF!</v>
      </c>
      <c r="F5" s="38" t="e">
        <f t="shared" ca="1" si="6"/>
        <v>#REF!</v>
      </c>
      <c r="G5" s="38" t="e">
        <f t="shared" ca="1" si="6"/>
        <v>#REF!</v>
      </c>
      <c r="H5" s="38" t="e">
        <f t="shared" ca="1" si="6"/>
        <v>#REF!</v>
      </c>
      <c r="I5" s="38" t="e">
        <f t="shared" ca="1" si="6"/>
        <v>#REF!</v>
      </c>
      <c r="J5" s="38" t="e">
        <f t="shared" ca="1" si="6"/>
        <v>#REF!</v>
      </c>
      <c r="K5" s="38" t="e">
        <f t="shared" ca="1" si="6"/>
        <v>#REF!</v>
      </c>
      <c r="L5" s="38" t="e">
        <f t="shared" ca="1" si="6"/>
        <v>#REF!</v>
      </c>
      <c r="M5" s="38" t="e">
        <f t="shared" ca="1" si="6"/>
        <v>#REF!</v>
      </c>
      <c r="N5" s="38" t="e">
        <f t="shared" ca="1" si="6"/>
        <v>#REF!</v>
      </c>
      <c r="O5" s="38" t="e">
        <f t="shared" ca="1" si="6"/>
        <v>#REF!</v>
      </c>
      <c r="P5" s="38" t="e">
        <f t="shared" ca="1" si="6"/>
        <v>#REF!</v>
      </c>
      <c r="Q5" s="38" t="e">
        <f t="shared" ca="1" si="6"/>
        <v>#REF!</v>
      </c>
      <c r="R5" s="38" t="e">
        <f t="shared" ca="1" si="6"/>
        <v>#REF!</v>
      </c>
      <c r="S5" s="38" t="e">
        <f t="shared" ca="1" si="6"/>
        <v>#REF!</v>
      </c>
      <c r="T5" s="38" t="e">
        <f t="shared" ca="1" si="6"/>
        <v>#REF!</v>
      </c>
      <c r="U5" s="38" t="e">
        <f t="shared" ca="1" si="6"/>
        <v>#REF!</v>
      </c>
      <c r="V5" s="38" t="e">
        <f t="shared" ca="1" si="6"/>
        <v>#REF!</v>
      </c>
      <c r="W5" s="38" t="e">
        <f t="shared" ca="1" si="6"/>
        <v>#REF!</v>
      </c>
      <c r="X5" s="38" t="e">
        <f t="shared" ca="1" si="6"/>
        <v>#REF!</v>
      </c>
      <c r="Y5" s="38" t="e">
        <f t="shared" ca="1" si="6"/>
        <v>#REF!</v>
      </c>
      <c r="Z5" s="39" t="e">
        <f t="shared" ca="1" si="6"/>
        <v>#REF!</v>
      </c>
      <c r="AA5" s="89"/>
      <c r="AB5" s="38" t="e">
        <f ca="1">AVERAGE(AB8:AB12)</f>
        <v>#REF!</v>
      </c>
      <c r="AC5" s="38" t="e">
        <f ca="1">AVERAGE(AC8:AC12)</f>
        <v>#REF!</v>
      </c>
      <c r="AD5" s="38" t="e">
        <f ca="1">AVERAGE(AD8:AD12)</f>
        <v>#REF!</v>
      </c>
      <c r="AE5" s="38" t="e">
        <f ca="1">AVERAGE(AE8:AE12)</f>
        <v>#REF!</v>
      </c>
    </row>
    <row r="6" spans="1:31" ht="15" hidden="1" customHeight="1" x14ac:dyDescent="0.3">
      <c r="A6" s="365"/>
      <c r="B6" s="365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1"/>
      <c r="AA6" s="113"/>
      <c r="AB6" s="40"/>
      <c r="AC6" s="40"/>
      <c r="AD6" s="40"/>
      <c r="AE6" s="40"/>
    </row>
    <row r="7" spans="1:31" ht="15" customHeight="1" x14ac:dyDescent="0.3">
      <c r="A7" s="367"/>
      <c r="B7" s="367" t="e">
        <f t="shared" ref="B7:B16" ca="1" si="7">INDIRECT("'"&amp;$A7&amp;"'!E5")</f>
        <v>#REF!</v>
      </c>
      <c r="C7" s="368" t="e">
        <f t="shared" ref="C7:C16" ca="1" si="8">INDIRECT("'"&amp;$A7&amp;"'!K13")</f>
        <v>#REF!</v>
      </c>
      <c r="D7" s="368" t="e">
        <f t="shared" ref="D7:D16" ca="1" si="9">INDIRECT("'"&amp;$A7&amp;"'!K14")</f>
        <v>#REF!</v>
      </c>
      <c r="E7" s="368" t="e">
        <f t="shared" ref="E7:E16" ca="1" si="10">INDIRECT("'"&amp;$A7&amp;"'!K15")</f>
        <v>#REF!</v>
      </c>
      <c r="F7" s="368" t="e">
        <f t="shared" ref="F7:F16" ca="1" si="11">INDIRECT("'"&amp;$A7&amp;"'!K16")</f>
        <v>#REF!</v>
      </c>
      <c r="G7" s="368" t="e">
        <f t="shared" ref="G7:G16" ca="1" si="12">INDIRECT("'"&amp;$A7&amp;"'!K17")</f>
        <v>#REF!</v>
      </c>
      <c r="H7" s="368" t="e">
        <f t="shared" ref="H7:H16" ca="1" si="13">INDIRECT("'"&amp;$A7&amp;"'!K18")</f>
        <v>#REF!</v>
      </c>
      <c r="I7" s="368" t="e">
        <f t="shared" ref="I7:I16" ca="1" si="14">INDIRECT("'"&amp;$A7&amp;"'!K19")</f>
        <v>#REF!</v>
      </c>
      <c r="J7" s="368" t="e">
        <f t="shared" ref="J7:J16" ca="1" si="15">INDIRECT("'"&amp;$A7&amp;"'!K20")</f>
        <v>#REF!</v>
      </c>
      <c r="K7" s="368" t="e">
        <f t="shared" ref="K7:K16" ca="1" si="16">INDIRECT("'"&amp;$A7&amp;"'!K21")</f>
        <v>#REF!</v>
      </c>
      <c r="L7" s="368" t="e">
        <f t="shared" ref="L7:M16" ca="1" si="17">INDIRECT("'"&amp;$A7&amp;"'!K22")</f>
        <v>#REF!</v>
      </c>
      <c r="M7" s="368" t="e">
        <f t="shared" ref="M7:M16" ca="1" si="18">INDIRECT("'"&amp;$A7&amp;"'!K23")</f>
        <v>#REF!</v>
      </c>
      <c r="N7" s="368" t="e">
        <f t="shared" ref="N7:N16" ca="1" si="19">INDIRECT("'"&amp;$A7&amp;"'!K24")</f>
        <v>#REF!</v>
      </c>
      <c r="O7" s="368" t="e">
        <f t="shared" ref="O7:O16" ca="1" si="20">INDIRECT("'"&amp;$A7&amp;"'!K25")</f>
        <v>#REF!</v>
      </c>
      <c r="P7" s="368" t="e">
        <f t="shared" ref="P7:P16" ca="1" si="21">INDIRECT("'"&amp;$A7&amp;"'!K26")</f>
        <v>#REF!</v>
      </c>
      <c r="Q7" s="368" t="e">
        <f t="shared" ref="Q7:Q16" ca="1" si="22">INDIRECT("'"&amp;$A7&amp;"'!K27")</f>
        <v>#REF!</v>
      </c>
      <c r="R7" s="368" t="e">
        <f t="shared" ref="R7:R16" ca="1" si="23">INDIRECT("'"&amp;$A7&amp;"'!K28")</f>
        <v>#REF!</v>
      </c>
      <c r="S7" s="368" t="e">
        <f ca="1">INDIRECT("'"&amp;$A7&amp;"'!K29")</f>
        <v>#REF!</v>
      </c>
      <c r="T7" s="368" t="e">
        <f ca="1">INDIRECT("'"&amp;$A7&amp;"'!K30")</f>
        <v>#REF!</v>
      </c>
      <c r="U7" s="368" t="e">
        <f ca="1">INDIRECT("'"&amp;$A7&amp;"'!K31")</f>
        <v>#REF!</v>
      </c>
      <c r="V7" s="368" t="e">
        <f ca="1">INDIRECT("'"&amp;$A7&amp;"'!K32")</f>
        <v>#REF!</v>
      </c>
      <c r="W7" s="368" t="e">
        <f ca="1">INDIRECT("'"&amp;$A7&amp;"'!K33")</f>
        <v>#REF!</v>
      </c>
      <c r="X7" s="368" t="e">
        <f ca="1">INDIRECT("'"&amp;$A7&amp;"'!K34")</f>
        <v>#REF!</v>
      </c>
      <c r="Y7" s="368" t="e">
        <f ca="1">INDIRECT("'"&amp;$A7&amp;"'!K35")</f>
        <v>#REF!</v>
      </c>
      <c r="Z7" s="369" t="e">
        <f ca="1">INDIRECT("'"&amp;$A7&amp;"'!K36")</f>
        <v>#REF!</v>
      </c>
      <c r="AA7" s="368"/>
      <c r="AB7" s="368" t="e">
        <f t="shared" ref="AB7:AB13" ca="1" si="24">INDIRECT("'"&amp;$A7&amp;"'!F36")</f>
        <v>#REF!</v>
      </c>
      <c r="AC7" s="368" t="e">
        <f t="shared" ref="AC7:AC13" ca="1" si="25">INDIRECT("'"&amp;$A7&amp;"'!H36")</f>
        <v>#REF!</v>
      </c>
      <c r="AD7" s="368" t="e">
        <f t="shared" ref="AD7:AD13" ca="1" si="26">INDIRECT("'"&amp;$A7&amp;"'!I36")</f>
        <v>#REF!</v>
      </c>
      <c r="AE7" s="368" t="e">
        <f t="shared" ref="AE7:AE13" ca="1" si="27">INDIRECT("'"&amp;$A7&amp;"'!J36")</f>
        <v>#REF!</v>
      </c>
    </row>
    <row r="8" spans="1:31" ht="15" customHeight="1" x14ac:dyDescent="0.3">
      <c r="A8" s="370"/>
      <c r="B8" s="370" t="e">
        <f t="shared" ca="1" si="7"/>
        <v>#REF!</v>
      </c>
      <c r="C8" s="383" t="e">
        <f t="shared" ca="1" si="8"/>
        <v>#REF!</v>
      </c>
      <c r="D8" s="383" t="e">
        <f t="shared" ca="1" si="9"/>
        <v>#REF!</v>
      </c>
      <c r="E8" s="383" t="e">
        <f t="shared" ca="1" si="10"/>
        <v>#REF!</v>
      </c>
      <c r="F8" s="383" t="e">
        <f t="shared" ca="1" si="11"/>
        <v>#REF!</v>
      </c>
      <c r="G8" s="383" t="e">
        <f t="shared" ca="1" si="12"/>
        <v>#REF!</v>
      </c>
      <c r="H8" s="383" t="e">
        <f t="shared" ca="1" si="13"/>
        <v>#REF!</v>
      </c>
      <c r="I8" s="383" t="e">
        <f t="shared" ca="1" si="14"/>
        <v>#REF!</v>
      </c>
      <c r="J8" s="383" t="e">
        <f t="shared" ca="1" si="15"/>
        <v>#REF!</v>
      </c>
      <c r="K8" s="383" t="e">
        <f t="shared" ca="1" si="16"/>
        <v>#REF!</v>
      </c>
      <c r="L8" s="383" t="e">
        <f t="shared" ca="1" si="17"/>
        <v>#REF!</v>
      </c>
      <c r="M8" s="383" t="e">
        <f t="shared" ca="1" si="18"/>
        <v>#REF!</v>
      </c>
      <c r="N8" s="383" t="e">
        <f t="shared" ca="1" si="19"/>
        <v>#REF!</v>
      </c>
      <c r="O8" s="383" t="e">
        <f t="shared" ca="1" si="20"/>
        <v>#REF!</v>
      </c>
      <c r="P8" s="383" t="e">
        <f t="shared" ca="1" si="21"/>
        <v>#REF!</v>
      </c>
      <c r="Q8" s="383" t="e">
        <f t="shared" ca="1" si="22"/>
        <v>#REF!</v>
      </c>
      <c r="R8" s="383" t="e">
        <f t="shared" ca="1" si="23"/>
        <v>#REF!</v>
      </c>
      <c r="S8" s="383" t="e">
        <f t="shared" ref="S8:S16" ca="1" si="28">INDIRECT("'"&amp;$A8&amp;"'!K29")</f>
        <v>#REF!</v>
      </c>
      <c r="T8" s="383" t="e">
        <f t="shared" ref="T8:T16" ca="1" si="29">INDIRECT("'"&amp;$A8&amp;"'!K30")</f>
        <v>#REF!</v>
      </c>
      <c r="U8" s="383" t="e">
        <f t="shared" ref="U8:U16" ca="1" si="30">INDIRECT("'"&amp;$A8&amp;"'!K31")</f>
        <v>#REF!</v>
      </c>
      <c r="V8" s="383" t="e">
        <f t="shared" ref="V8:V16" ca="1" si="31">INDIRECT("'"&amp;$A8&amp;"'!K32")</f>
        <v>#REF!</v>
      </c>
      <c r="W8" s="383" t="e">
        <f t="shared" ref="W8:W16" ca="1" si="32">INDIRECT("'"&amp;$A8&amp;"'!K33")</f>
        <v>#REF!</v>
      </c>
      <c r="X8" s="383" t="e">
        <f t="shared" ref="X8:X16" ca="1" si="33">INDIRECT("'"&amp;$A8&amp;"'!K34")</f>
        <v>#REF!</v>
      </c>
      <c r="Y8" s="383" t="e">
        <f t="shared" ref="Y8:Y16" ca="1" si="34">INDIRECT("'"&amp;$A8&amp;"'!K35")</f>
        <v>#REF!</v>
      </c>
      <c r="Z8" s="372" t="e">
        <f t="shared" ref="Z8:Z16" ca="1" si="35">INDIRECT("'"&amp;$A8&amp;"'!K36")</f>
        <v>#REF!</v>
      </c>
      <c r="AA8" s="381" t="e">
        <f ca="1">SUM(C22:Y22)/COUNT(C8:Y8)</f>
        <v>#REF!</v>
      </c>
      <c r="AB8" s="371" t="e">
        <f t="shared" ca="1" si="24"/>
        <v>#REF!</v>
      </c>
      <c r="AC8" s="371" t="e">
        <f t="shared" ca="1" si="25"/>
        <v>#REF!</v>
      </c>
      <c r="AD8" s="371" t="e">
        <f t="shared" ca="1" si="26"/>
        <v>#REF!</v>
      </c>
      <c r="AE8" s="371" t="e">
        <f t="shared" ca="1" si="27"/>
        <v>#REF!</v>
      </c>
    </row>
    <row r="9" spans="1:31" ht="15" customHeight="1" x14ac:dyDescent="0.3">
      <c r="A9" s="370"/>
      <c r="B9" s="370" t="e">
        <f t="shared" ca="1" si="7"/>
        <v>#REF!</v>
      </c>
      <c r="C9" s="371" t="e">
        <f t="shared" ca="1" si="8"/>
        <v>#REF!</v>
      </c>
      <c r="D9" s="371" t="e">
        <f t="shared" ca="1" si="9"/>
        <v>#REF!</v>
      </c>
      <c r="E9" s="371" t="e">
        <f t="shared" ca="1" si="10"/>
        <v>#REF!</v>
      </c>
      <c r="F9" s="371" t="e">
        <f t="shared" ca="1" si="11"/>
        <v>#REF!</v>
      </c>
      <c r="G9" s="371" t="e">
        <f t="shared" ca="1" si="12"/>
        <v>#REF!</v>
      </c>
      <c r="H9" s="371" t="e">
        <f t="shared" ca="1" si="13"/>
        <v>#REF!</v>
      </c>
      <c r="I9" s="371" t="e">
        <f t="shared" ca="1" si="14"/>
        <v>#REF!</v>
      </c>
      <c r="J9" s="371" t="e">
        <f t="shared" ca="1" si="15"/>
        <v>#REF!</v>
      </c>
      <c r="K9" s="371" t="e">
        <f t="shared" ca="1" si="16"/>
        <v>#REF!</v>
      </c>
      <c r="L9" s="371" t="e">
        <f t="shared" ca="1" si="17"/>
        <v>#REF!</v>
      </c>
      <c r="M9" s="371" t="e">
        <f t="shared" ca="1" si="17"/>
        <v>#REF!</v>
      </c>
      <c r="N9" s="371" t="e">
        <f t="shared" ca="1" si="19"/>
        <v>#REF!</v>
      </c>
      <c r="O9" s="371" t="e">
        <f t="shared" ca="1" si="20"/>
        <v>#REF!</v>
      </c>
      <c r="P9" s="371" t="e">
        <f t="shared" ca="1" si="21"/>
        <v>#REF!</v>
      </c>
      <c r="Q9" s="371" t="e">
        <f t="shared" ca="1" si="22"/>
        <v>#REF!</v>
      </c>
      <c r="R9" s="371" t="e">
        <f t="shared" ca="1" si="23"/>
        <v>#REF!</v>
      </c>
      <c r="S9" s="371" t="e">
        <f t="shared" ca="1" si="28"/>
        <v>#REF!</v>
      </c>
      <c r="T9" s="371" t="e">
        <f t="shared" ca="1" si="29"/>
        <v>#REF!</v>
      </c>
      <c r="U9" s="371" t="e">
        <f t="shared" ca="1" si="30"/>
        <v>#REF!</v>
      </c>
      <c r="V9" s="371" t="e">
        <f t="shared" ca="1" si="31"/>
        <v>#REF!</v>
      </c>
      <c r="W9" s="371" t="e">
        <f t="shared" ca="1" si="32"/>
        <v>#REF!</v>
      </c>
      <c r="X9" s="371" t="e">
        <f t="shared" ca="1" si="33"/>
        <v>#REF!</v>
      </c>
      <c r="Y9" s="371" t="e">
        <f t="shared" ca="1" si="34"/>
        <v>#REF!</v>
      </c>
      <c r="Z9" s="372" t="e">
        <f t="shared" ca="1" si="35"/>
        <v>#REF!</v>
      </c>
      <c r="AA9" s="382" t="e">
        <f ca="1">SUM(C23:Y23)/COUNT(C9:Y9)</f>
        <v>#REF!</v>
      </c>
      <c r="AB9" s="371" t="e">
        <f t="shared" ca="1" si="24"/>
        <v>#REF!</v>
      </c>
      <c r="AC9" s="371" t="e">
        <f t="shared" ca="1" si="25"/>
        <v>#REF!</v>
      </c>
      <c r="AD9" s="371" t="e">
        <f t="shared" ca="1" si="26"/>
        <v>#REF!</v>
      </c>
      <c r="AE9" s="371" t="e">
        <f t="shared" ca="1" si="27"/>
        <v>#REF!</v>
      </c>
    </row>
    <row r="10" spans="1:31" ht="15" customHeight="1" x14ac:dyDescent="0.3">
      <c r="A10" s="370"/>
      <c r="B10" s="370" t="e">
        <f t="shared" ca="1" si="7"/>
        <v>#REF!</v>
      </c>
      <c r="C10" s="371" t="e">
        <f t="shared" ca="1" si="8"/>
        <v>#REF!</v>
      </c>
      <c r="D10" s="371" t="e">
        <f t="shared" ca="1" si="9"/>
        <v>#REF!</v>
      </c>
      <c r="E10" s="371" t="e">
        <f t="shared" ca="1" si="10"/>
        <v>#REF!</v>
      </c>
      <c r="F10" s="371" t="e">
        <f t="shared" ca="1" si="11"/>
        <v>#REF!</v>
      </c>
      <c r="G10" s="371" t="e">
        <f t="shared" ca="1" si="12"/>
        <v>#REF!</v>
      </c>
      <c r="H10" s="371" t="e">
        <f t="shared" ca="1" si="13"/>
        <v>#REF!</v>
      </c>
      <c r="I10" s="371" t="e">
        <f t="shared" ca="1" si="14"/>
        <v>#REF!</v>
      </c>
      <c r="J10" s="371" t="e">
        <f t="shared" ca="1" si="15"/>
        <v>#REF!</v>
      </c>
      <c r="K10" s="371" t="e">
        <f t="shared" ca="1" si="16"/>
        <v>#REF!</v>
      </c>
      <c r="L10" s="371" t="e">
        <f t="shared" ca="1" si="17"/>
        <v>#REF!</v>
      </c>
      <c r="M10" s="371" t="e">
        <f t="shared" ca="1" si="18"/>
        <v>#REF!</v>
      </c>
      <c r="N10" s="371" t="e">
        <f t="shared" ca="1" si="19"/>
        <v>#REF!</v>
      </c>
      <c r="O10" s="371" t="e">
        <f t="shared" ca="1" si="20"/>
        <v>#REF!</v>
      </c>
      <c r="P10" s="371" t="e">
        <f t="shared" ca="1" si="21"/>
        <v>#REF!</v>
      </c>
      <c r="Q10" s="371" t="e">
        <f t="shared" ca="1" si="22"/>
        <v>#REF!</v>
      </c>
      <c r="R10" s="371" t="e">
        <f t="shared" ca="1" si="23"/>
        <v>#REF!</v>
      </c>
      <c r="S10" s="371" t="e">
        <f t="shared" ca="1" si="28"/>
        <v>#REF!</v>
      </c>
      <c r="T10" s="371" t="e">
        <f t="shared" ca="1" si="29"/>
        <v>#REF!</v>
      </c>
      <c r="U10" s="371" t="e">
        <f t="shared" ca="1" si="30"/>
        <v>#REF!</v>
      </c>
      <c r="V10" s="371" t="e">
        <f t="shared" ca="1" si="31"/>
        <v>#REF!</v>
      </c>
      <c r="W10" s="371" t="e">
        <f t="shared" ca="1" si="32"/>
        <v>#REF!</v>
      </c>
      <c r="X10" s="371" t="e">
        <f t="shared" ca="1" si="33"/>
        <v>#REF!</v>
      </c>
      <c r="Y10" s="371" t="e">
        <f t="shared" ca="1" si="34"/>
        <v>#REF!</v>
      </c>
      <c r="Z10" s="372" t="e">
        <f t="shared" ca="1" si="35"/>
        <v>#REF!</v>
      </c>
      <c r="AA10" s="382" t="e">
        <f ca="1">SUM(C24:Y24)/COUNT(C10:Y10)</f>
        <v>#REF!</v>
      </c>
      <c r="AB10" s="371" t="e">
        <f t="shared" ca="1" si="24"/>
        <v>#REF!</v>
      </c>
      <c r="AC10" s="371" t="e">
        <f t="shared" ca="1" si="25"/>
        <v>#REF!</v>
      </c>
      <c r="AD10" s="371" t="e">
        <f t="shared" ca="1" si="26"/>
        <v>#REF!</v>
      </c>
      <c r="AE10" s="371" t="e">
        <f t="shared" ca="1" si="27"/>
        <v>#REF!</v>
      </c>
    </row>
    <row r="11" spans="1:31" ht="15" customHeight="1" x14ac:dyDescent="0.3">
      <c r="A11" s="370"/>
      <c r="B11" s="370" t="e">
        <f t="shared" ca="1" si="7"/>
        <v>#REF!</v>
      </c>
      <c r="C11" s="371" t="e">
        <f t="shared" ca="1" si="8"/>
        <v>#REF!</v>
      </c>
      <c r="D11" s="371" t="e">
        <f t="shared" ca="1" si="9"/>
        <v>#REF!</v>
      </c>
      <c r="E11" s="371" t="e">
        <f t="shared" ca="1" si="10"/>
        <v>#REF!</v>
      </c>
      <c r="F11" s="371" t="e">
        <f t="shared" ca="1" si="11"/>
        <v>#REF!</v>
      </c>
      <c r="G11" s="371" t="e">
        <f t="shared" ca="1" si="12"/>
        <v>#REF!</v>
      </c>
      <c r="H11" s="371" t="e">
        <f t="shared" ca="1" si="13"/>
        <v>#REF!</v>
      </c>
      <c r="I11" s="371" t="e">
        <f t="shared" ca="1" si="14"/>
        <v>#REF!</v>
      </c>
      <c r="J11" s="371" t="e">
        <f t="shared" ca="1" si="15"/>
        <v>#REF!</v>
      </c>
      <c r="K11" s="371" t="e">
        <f t="shared" ca="1" si="16"/>
        <v>#REF!</v>
      </c>
      <c r="L11" s="371" t="e">
        <f t="shared" ca="1" si="17"/>
        <v>#REF!</v>
      </c>
      <c r="M11" s="371" t="e">
        <f t="shared" ca="1" si="18"/>
        <v>#REF!</v>
      </c>
      <c r="N11" s="371" t="e">
        <f t="shared" ca="1" si="19"/>
        <v>#REF!</v>
      </c>
      <c r="O11" s="371" t="e">
        <f t="shared" ca="1" si="20"/>
        <v>#REF!</v>
      </c>
      <c r="P11" s="371" t="e">
        <f t="shared" ca="1" si="21"/>
        <v>#REF!</v>
      </c>
      <c r="Q11" s="371" t="e">
        <f t="shared" ca="1" si="22"/>
        <v>#REF!</v>
      </c>
      <c r="R11" s="371" t="e">
        <f t="shared" ca="1" si="23"/>
        <v>#REF!</v>
      </c>
      <c r="S11" s="371" t="e">
        <f t="shared" ca="1" si="28"/>
        <v>#REF!</v>
      </c>
      <c r="T11" s="371" t="e">
        <f t="shared" ca="1" si="29"/>
        <v>#REF!</v>
      </c>
      <c r="U11" s="371" t="e">
        <f t="shared" ca="1" si="30"/>
        <v>#REF!</v>
      </c>
      <c r="V11" s="371" t="e">
        <f t="shared" ca="1" si="31"/>
        <v>#REF!</v>
      </c>
      <c r="W11" s="371" t="e">
        <f t="shared" ca="1" si="32"/>
        <v>#REF!</v>
      </c>
      <c r="X11" s="371" t="e">
        <f t="shared" ca="1" si="33"/>
        <v>#REF!</v>
      </c>
      <c r="Y11" s="371" t="e">
        <f t="shared" ca="1" si="34"/>
        <v>#REF!</v>
      </c>
      <c r="Z11" s="372" t="e">
        <f t="shared" ca="1" si="35"/>
        <v>#REF!</v>
      </c>
      <c r="AA11" s="382" t="e">
        <f ca="1">SUM(C25:Y25)/COUNT(C11:Y11)</f>
        <v>#REF!</v>
      </c>
      <c r="AB11" s="371" t="e">
        <f t="shared" ca="1" si="24"/>
        <v>#REF!</v>
      </c>
      <c r="AC11" s="371" t="e">
        <f t="shared" ca="1" si="25"/>
        <v>#REF!</v>
      </c>
      <c r="AD11" s="371" t="e">
        <f t="shared" ca="1" si="26"/>
        <v>#REF!</v>
      </c>
      <c r="AE11" s="371" t="e">
        <f t="shared" ca="1" si="27"/>
        <v>#REF!</v>
      </c>
    </row>
    <row r="12" spans="1:31" ht="15" customHeight="1" thickBot="1" x14ac:dyDescent="0.35">
      <c r="A12" s="373"/>
      <c r="B12" s="373" t="e">
        <f t="shared" ca="1" si="7"/>
        <v>#REF!</v>
      </c>
      <c r="C12" s="374" t="e">
        <f t="shared" ca="1" si="8"/>
        <v>#REF!</v>
      </c>
      <c r="D12" s="374" t="e">
        <f t="shared" ca="1" si="9"/>
        <v>#REF!</v>
      </c>
      <c r="E12" s="374" t="e">
        <f t="shared" ca="1" si="10"/>
        <v>#REF!</v>
      </c>
      <c r="F12" s="374" t="e">
        <f t="shared" ca="1" si="11"/>
        <v>#REF!</v>
      </c>
      <c r="G12" s="374" t="e">
        <f t="shared" ca="1" si="12"/>
        <v>#REF!</v>
      </c>
      <c r="H12" s="374" t="e">
        <f t="shared" ca="1" si="13"/>
        <v>#REF!</v>
      </c>
      <c r="I12" s="374" t="e">
        <f t="shared" ca="1" si="14"/>
        <v>#REF!</v>
      </c>
      <c r="J12" s="374" t="e">
        <f t="shared" ca="1" si="15"/>
        <v>#REF!</v>
      </c>
      <c r="K12" s="374" t="e">
        <f t="shared" ca="1" si="16"/>
        <v>#REF!</v>
      </c>
      <c r="L12" s="374" t="e">
        <f t="shared" ca="1" si="17"/>
        <v>#REF!</v>
      </c>
      <c r="M12" s="374" t="e">
        <f t="shared" ca="1" si="18"/>
        <v>#REF!</v>
      </c>
      <c r="N12" s="374" t="e">
        <f t="shared" ca="1" si="19"/>
        <v>#REF!</v>
      </c>
      <c r="O12" s="374" t="e">
        <f t="shared" ca="1" si="20"/>
        <v>#REF!</v>
      </c>
      <c r="P12" s="374" t="e">
        <f t="shared" ca="1" si="21"/>
        <v>#REF!</v>
      </c>
      <c r="Q12" s="374" t="e">
        <f t="shared" ca="1" si="22"/>
        <v>#REF!</v>
      </c>
      <c r="R12" s="374" t="e">
        <f t="shared" ca="1" si="23"/>
        <v>#REF!</v>
      </c>
      <c r="S12" s="374" t="e">
        <f t="shared" ca="1" si="28"/>
        <v>#REF!</v>
      </c>
      <c r="T12" s="374" t="e">
        <f t="shared" ca="1" si="29"/>
        <v>#REF!</v>
      </c>
      <c r="U12" s="374" t="e">
        <f t="shared" ca="1" si="30"/>
        <v>#REF!</v>
      </c>
      <c r="V12" s="374" t="e">
        <f t="shared" ca="1" si="31"/>
        <v>#REF!</v>
      </c>
      <c r="W12" s="374" t="e">
        <f t="shared" ca="1" si="32"/>
        <v>#REF!</v>
      </c>
      <c r="X12" s="374" t="e">
        <f t="shared" ca="1" si="33"/>
        <v>#REF!</v>
      </c>
      <c r="Y12" s="374" t="e">
        <f t="shared" ca="1" si="34"/>
        <v>#REF!</v>
      </c>
      <c r="Z12" s="375" t="e">
        <f t="shared" ca="1" si="35"/>
        <v>#REF!</v>
      </c>
      <c r="AA12" s="382" t="e">
        <f ca="1">SUM(C26:Y26)/COUNT(C12:Y12)</f>
        <v>#REF!</v>
      </c>
      <c r="AB12" s="374" t="e">
        <f t="shared" ca="1" si="24"/>
        <v>#REF!</v>
      </c>
      <c r="AC12" s="374" t="e">
        <f t="shared" ca="1" si="25"/>
        <v>#REF!</v>
      </c>
      <c r="AD12" s="374" t="e">
        <f t="shared" ca="1" si="26"/>
        <v>#REF!</v>
      </c>
      <c r="AE12" s="374" t="e">
        <f t="shared" ca="1" si="27"/>
        <v>#REF!</v>
      </c>
    </row>
    <row r="13" spans="1:31" ht="15" thickBot="1" x14ac:dyDescent="0.35">
      <c r="A13" s="376"/>
      <c r="B13" s="376" t="e">
        <f t="shared" ca="1" si="7"/>
        <v>#REF!</v>
      </c>
      <c r="C13" s="377" t="e">
        <f t="shared" ca="1" si="8"/>
        <v>#REF!</v>
      </c>
      <c r="D13" s="377" t="e">
        <f t="shared" ca="1" si="9"/>
        <v>#REF!</v>
      </c>
      <c r="E13" s="377" t="e">
        <f t="shared" ca="1" si="10"/>
        <v>#REF!</v>
      </c>
      <c r="F13" s="377" t="e">
        <f t="shared" ca="1" si="11"/>
        <v>#REF!</v>
      </c>
      <c r="G13" s="377" t="e">
        <f t="shared" ca="1" si="12"/>
        <v>#REF!</v>
      </c>
      <c r="H13" s="377" t="e">
        <f t="shared" ca="1" si="13"/>
        <v>#REF!</v>
      </c>
      <c r="I13" s="377" t="e">
        <f t="shared" ca="1" si="14"/>
        <v>#REF!</v>
      </c>
      <c r="J13" s="377" t="e">
        <f t="shared" ca="1" si="15"/>
        <v>#REF!</v>
      </c>
      <c r="K13" s="377" t="e">
        <f t="shared" ca="1" si="16"/>
        <v>#REF!</v>
      </c>
      <c r="L13" s="377" t="e">
        <f t="shared" ca="1" si="17"/>
        <v>#REF!</v>
      </c>
      <c r="M13" s="377" t="e">
        <f t="shared" ca="1" si="18"/>
        <v>#REF!</v>
      </c>
      <c r="N13" s="377" t="e">
        <f t="shared" ca="1" si="19"/>
        <v>#REF!</v>
      </c>
      <c r="O13" s="377" t="e">
        <f t="shared" ca="1" si="20"/>
        <v>#REF!</v>
      </c>
      <c r="P13" s="377" t="e">
        <f t="shared" ca="1" si="21"/>
        <v>#REF!</v>
      </c>
      <c r="Q13" s="377" t="e">
        <f t="shared" ca="1" si="22"/>
        <v>#REF!</v>
      </c>
      <c r="R13" s="377" t="e">
        <f t="shared" ca="1" si="23"/>
        <v>#REF!</v>
      </c>
      <c r="S13" s="377" t="e">
        <f t="shared" ca="1" si="28"/>
        <v>#REF!</v>
      </c>
      <c r="T13" s="377" t="e">
        <f t="shared" ca="1" si="29"/>
        <v>#REF!</v>
      </c>
      <c r="U13" s="377" t="e">
        <f t="shared" ca="1" si="30"/>
        <v>#REF!</v>
      </c>
      <c r="V13" s="377" t="e">
        <f t="shared" ca="1" si="31"/>
        <v>#REF!</v>
      </c>
      <c r="W13" s="377" t="e">
        <f t="shared" ca="1" si="32"/>
        <v>#REF!</v>
      </c>
      <c r="X13" s="377" t="e">
        <f t="shared" ca="1" si="33"/>
        <v>#REF!</v>
      </c>
      <c r="Y13" s="377" t="e">
        <f t="shared" ca="1" si="34"/>
        <v>#REF!</v>
      </c>
      <c r="Z13" s="378" t="e">
        <f t="shared" ca="1" si="35"/>
        <v>#REF!</v>
      </c>
      <c r="AA13" s="386" t="e">
        <f ca="1">SUM(C27:Y27)/COUNT(C13:Y13)</f>
        <v>#REF!</v>
      </c>
      <c r="AB13" s="377" t="e">
        <f t="shared" ca="1" si="24"/>
        <v>#REF!</v>
      </c>
      <c r="AC13" s="377" t="e">
        <f t="shared" ca="1" si="25"/>
        <v>#REF!</v>
      </c>
      <c r="AD13" s="377" t="e">
        <f t="shared" ca="1" si="26"/>
        <v>#REF!</v>
      </c>
      <c r="AE13" s="377" t="e">
        <f t="shared" ca="1" si="27"/>
        <v>#REF!</v>
      </c>
    </row>
    <row r="14" spans="1:31" ht="15" customHeight="1" x14ac:dyDescent="0.3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35"/>
      <c r="AA14"/>
      <c r="AB14" s="133"/>
      <c r="AC14" s="133"/>
      <c r="AD14" s="133"/>
      <c r="AE14" s="133"/>
    </row>
    <row r="15" spans="1:31" x14ac:dyDescent="0.3">
      <c r="A15" s="234"/>
      <c r="B15" s="234" t="e">
        <f t="shared" ca="1" si="7"/>
        <v>#REF!</v>
      </c>
      <c r="C15" s="235" t="e">
        <f t="shared" ca="1" si="8"/>
        <v>#REF!</v>
      </c>
      <c r="D15" s="235" t="e">
        <f t="shared" ca="1" si="9"/>
        <v>#REF!</v>
      </c>
      <c r="E15" s="235" t="e">
        <f t="shared" ca="1" si="10"/>
        <v>#REF!</v>
      </c>
      <c r="F15" s="235" t="e">
        <f t="shared" ca="1" si="11"/>
        <v>#REF!</v>
      </c>
      <c r="G15" s="235" t="e">
        <f t="shared" ca="1" si="12"/>
        <v>#REF!</v>
      </c>
      <c r="H15" s="235" t="e">
        <f t="shared" ca="1" si="13"/>
        <v>#REF!</v>
      </c>
      <c r="I15" s="235" t="e">
        <f t="shared" ca="1" si="14"/>
        <v>#REF!</v>
      </c>
      <c r="J15" s="235" t="e">
        <f t="shared" ca="1" si="15"/>
        <v>#REF!</v>
      </c>
      <c r="K15" s="235" t="e">
        <f t="shared" ca="1" si="16"/>
        <v>#REF!</v>
      </c>
      <c r="L15" s="235" t="e">
        <f t="shared" ca="1" si="17"/>
        <v>#REF!</v>
      </c>
      <c r="M15" s="235" t="e">
        <f t="shared" ca="1" si="18"/>
        <v>#REF!</v>
      </c>
      <c r="N15" s="235" t="e">
        <f t="shared" ca="1" si="19"/>
        <v>#REF!</v>
      </c>
      <c r="O15" s="235" t="e">
        <f t="shared" ca="1" si="20"/>
        <v>#REF!</v>
      </c>
      <c r="P15" s="235" t="e">
        <f t="shared" ca="1" si="21"/>
        <v>#REF!</v>
      </c>
      <c r="Q15" s="235" t="e">
        <f t="shared" ca="1" si="22"/>
        <v>#REF!</v>
      </c>
      <c r="R15" s="235" t="e">
        <f t="shared" ca="1" si="23"/>
        <v>#REF!</v>
      </c>
      <c r="S15" s="235" t="e">
        <f t="shared" ca="1" si="28"/>
        <v>#REF!</v>
      </c>
      <c r="T15" s="235" t="e">
        <f t="shared" ca="1" si="29"/>
        <v>#REF!</v>
      </c>
      <c r="U15" s="235" t="e">
        <f t="shared" ca="1" si="30"/>
        <v>#REF!</v>
      </c>
      <c r="V15" s="235" t="e">
        <f t="shared" ca="1" si="31"/>
        <v>#REF!</v>
      </c>
      <c r="W15" s="235" t="e">
        <f t="shared" ca="1" si="32"/>
        <v>#REF!</v>
      </c>
      <c r="X15" s="235" t="e">
        <f t="shared" ca="1" si="33"/>
        <v>#REF!</v>
      </c>
      <c r="Y15" s="235" t="e">
        <f t="shared" ca="1" si="34"/>
        <v>#REF!</v>
      </c>
      <c r="Z15" s="236" t="e">
        <f t="shared" ca="1" si="35"/>
        <v>#REF!</v>
      </c>
      <c r="AA15" s="385" t="e">
        <f ca="1">SUM(C29:Y29)/COUNT(C15:Y15)</f>
        <v>#REF!</v>
      </c>
      <c r="AB15" s="235" t="e">
        <f ca="1">INDIRECT("'"&amp;$A15&amp;"'!F36")</f>
        <v>#REF!</v>
      </c>
      <c r="AC15" s="235" t="e">
        <f ca="1">INDIRECT("'"&amp;$A15&amp;"'!H36")</f>
        <v>#REF!</v>
      </c>
      <c r="AD15" s="235" t="e">
        <f ca="1">INDIRECT("'"&amp;$A15&amp;"'!I36")</f>
        <v>#REF!</v>
      </c>
      <c r="AE15" s="235" t="e">
        <f ca="1">INDIRECT("'"&amp;$A15&amp;"'!J36")</f>
        <v>#REF!</v>
      </c>
    </row>
    <row r="16" spans="1:31" x14ac:dyDescent="0.3">
      <c r="A16" s="132"/>
      <c r="B16" s="132" t="e">
        <f t="shared" ca="1" si="7"/>
        <v>#REF!</v>
      </c>
      <c r="C16" s="133" t="e">
        <f t="shared" ca="1" si="8"/>
        <v>#REF!</v>
      </c>
      <c r="D16" s="133" t="e">
        <f t="shared" ca="1" si="9"/>
        <v>#REF!</v>
      </c>
      <c r="E16" s="133" t="e">
        <f t="shared" ca="1" si="10"/>
        <v>#REF!</v>
      </c>
      <c r="F16" s="133" t="e">
        <f t="shared" ca="1" si="11"/>
        <v>#REF!</v>
      </c>
      <c r="G16" s="133" t="e">
        <f t="shared" ca="1" si="12"/>
        <v>#REF!</v>
      </c>
      <c r="H16" s="133" t="e">
        <f t="shared" ca="1" si="13"/>
        <v>#REF!</v>
      </c>
      <c r="I16" s="133" t="e">
        <f t="shared" ca="1" si="14"/>
        <v>#REF!</v>
      </c>
      <c r="J16" s="133" t="e">
        <f t="shared" ca="1" si="15"/>
        <v>#REF!</v>
      </c>
      <c r="K16" s="133" t="e">
        <f t="shared" ca="1" si="16"/>
        <v>#REF!</v>
      </c>
      <c r="L16" s="133" t="e">
        <f t="shared" ca="1" si="17"/>
        <v>#REF!</v>
      </c>
      <c r="M16" s="133" t="e">
        <f t="shared" ca="1" si="18"/>
        <v>#REF!</v>
      </c>
      <c r="N16" s="133" t="e">
        <f t="shared" ca="1" si="19"/>
        <v>#REF!</v>
      </c>
      <c r="O16" s="133" t="e">
        <f t="shared" ca="1" si="20"/>
        <v>#REF!</v>
      </c>
      <c r="P16" s="133" t="e">
        <f t="shared" ca="1" si="21"/>
        <v>#REF!</v>
      </c>
      <c r="Q16" s="133" t="e">
        <f t="shared" ca="1" si="22"/>
        <v>#REF!</v>
      </c>
      <c r="R16" s="133" t="e">
        <f t="shared" ca="1" si="23"/>
        <v>#REF!</v>
      </c>
      <c r="S16" s="133" t="e">
        <f t="shared" ca="1" si="28"/>
        <v>#REF!</v>
      </c>
      <c r="T16" s="133" t="e">
        <f t="shared" ca="1" si="29"/>
        <v>#REF!</v>
      </c>
      <c r="U16" s="133" t="e">
        <f t="shared" ca="1" si="30"/>
        <v>#REF!</v>
      </c>
      <c r="V16" s="133" t="e">
        <f t="shared" ca="1" si="31"/>
        <v>#REF!</v>
      </c>
      <c r="W16" s="133" t="e">
        <f t="shared" ca="1" si="32"/>
        <v>#REF!</v>
      </c>
      <c r="X16" s="133" t="e">
        <f t="shared" ca="1" si="33"/>
        <v>#REF!</v>
      </c>
      <c r="Y16" s="133" t="e">
        <f t="shared" ca="1" si="34"/>
        <v>#REF!</v>
      </c>
      <c r="Z16" s="134" t="e">
        <f t="shared" ca="1" si="35"/>
        <v>#REF!</v>
      </c>
      <c r="AA16" s="385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idden="1" x14ac:dyDescent="0.3">
      <c r="A21" s="379" t="s">
        <v>227</v>
      </c>
      <c r="B21" s="379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Y21" s="380"/>
    </row>
    <row r="22" spans="1:25" hidden="1" x14ac:dyDescent="0.3">
      <c r="A22" s="379">
        <f>A8</f>
        <v>0</v>
      </c>
      <c r="B22" s="379" t="e">
        <f ca="1">B8</f>
        <v>#REF!</v>
      </c>
      <c r="C22" s="380" t="e">
        <f ca="1">IF(ABS(C$3/3-C8)&lt;=0.75,1,0)</f>
        <v>#REF!</v>
      </c>
      <c r="D22" s="380" t="e">
        <f t="shared" ref="D22:W27" ca="1" si="36">IF(ABS(D$3/3-D8)&lt;=0.75,1,0)</f>
        <v>#REF!</v>
      </c>
      <c r="E22" s="380" t="e">
        <f t="shared" ca="1" si="36"/>
        <v>#REF!</v>
      </c>
      <c r="F22" s="380" t="e">
        <f t="shared" ca="1" si="36"/>
        <v>#REF!</v>
      </c>
      <c r="G22" s="380" t="e">
        <f t="shared" ca="1" si="36"/>
        <v>#REF!</v>
      </c>
      <c r="H22" s="380" t="e">
        <f t="shared" ca="1" si="36"/>
        <v>#REF!</v>
      </c>
      <c r="I22" s="380" t="e">
        <f t="shared" ca="1" si="36"/>
        <v>#REF!</v>
      </c>
      <c r="J22" s="380" t="e">
        <f t="shared" ca="1" si="36"/>
        <v>#REF!</v>
      </c>
      <c r="K22" s="380" t="e">
        <f t="shared" ca="1" si="36"/>
        <v>#REF!</v>
      </c>
      <c r="L22" s="380" t="e">
        <f t="shared" ca="1" si="36"/>
        <v>#REF!</v>
      </c>
      <c r="M22" s="380" t="e">
        <f t="shared" ca="1" si="36"/>
        <v>#REF!</v>
      </c>
      <c r="N22" s="380" t="e">
        <f t="shared" ca="1" si="36"/>
        <v>#REF!</v>
      </c>
      <c r="O22" s="380" t="e">
        <f t="shared" ca="1" si="36"/>
        <v>#REF!</v>
      </c>
      <c r="P22" s="380" t="e">
        <f t="shared" ca="1" si="36"/>
        <v>#REF!</v>
      </c>
      <c r="Q22" s="380" t="e">
        <f t="shared" ca="1" si="36"/>
        <v>#REF!</v>
      </c>
      <c r="R22" s="380" t="e">
        <f t="shared" ca="1" si="36"/>
        <v>#REF!</v>
      </c>
      <c r="S22" s="380" t="e">
        <f t="shared" ca="1" si="36"/>
        <v>#REF!</v>
      </c>
      <c r="T22" s="380" t="e">
        <f t="shared" ca="1" si="36"/>
        <v>#REF!</v>
      </c>
      <c r="U22" s="380" t="e">
        <f t="shared" ca="1" si="36"/>
        <v>#REF!</v>
      </c>
      <c r="V22" s="380" t="e">
        <f t="shared" ca="1" si="36"/>
        <v>#REF!</v>
      </c>
      <c r="W22" s="380" t="e">
        <f t="shared" ca="1" si="36"/>
        <v>#REF!</v>
      </c>
      <c r="X22" s="380" t="e">
        <f t="shared" ref="X22" ca="1" si="37">IF(ABS(X$3/3-X8)&lt;=0.75,1,0)</f>
        <v>#REF!</v>
      </c>
      <c r="Y22" s="380" t="e">
        <f t="shared" ref="Y22:Y27" ca="1" si="38">IF(ABS(Y$3/3-Y8)&lt;=0.75,1,0)</f>
        <v>#REF!</v>
      </c>
    </row>
    <row r="23" spans="1:25" hidden="1" x14ac:dyDescent="0.3">
      <c r="A23" s="379">
        <f>A9</f>
        <v>0</v>
      </c>
      <c r="B23" s="379" t="e">
        <f ca="1">B9</f>
        <v>#REF!</v>
      </c>
      <c r="C23" s="380" t="e">
        <f t="shared" ref="C23:R30" ca="1" si="39">IF(ABS(C$3/3-C9)&lt;=0.75,1,0)</f>
        <v>#REF!</v>
      </c>
      <c r="D23" s="380" t="e">
        <f t="shared" ca="1" si="39"/>
        <v>#REF!</v>
      </c>
      <c r="E23" s="380" t="e">
        <f t="shared" ca="1" si="39"/>
        <v>#REF!</v>
      </c>
      <c r="F23" s="380" t="e">
        <f t="shared" ca="1" si="39"/>
        <v>#REF!</v>
      </c>
      <c r="G23" s="380" t="e">
        <f t="shared" ca="1" si="39"/>
        <v>#REF!</v>
      </c>
      <c r="H23" s="380" t="e">
        <f t="shared" ca="1" si="39"/>
        <v>#REF!</v>
      </c>
      <c r="I23" s="380" t="e">
        <f t="shared" ca="1" si="39"/>
        <v>#REF!</v>
      </c>
      <c r="J23" s="380" t="e">
        <f t="shared" ca="1" si="39"/>
        <v>#REF!</v>
      </c>
      <c r="K23" s="380" t="e">
        <f t="shared" ca="1" si="39"/>
        <v>#REF!</v>
      </c>
      <c r="L23" s="380" t="e">
        <f t="shared" ca="1" si="39"/>
        <v>#REF!</v>
      </c>
      <c r="M23" s="380" t="e">
        <f t="shared" ca="1" si="39"/>
        <v>#REF!</v>
      </c>
      <c r="N23" s="380" t="e">
        <f t="shared" ca="1" si="39"/>
        <v>#REF!</v>
      </c>
      <c r="O23" s="380" t="e">
        <f t="shared" ca="1" si="39"/>
        <v>#REF!</v>
      </c>
      <c r="P23" s="380" t="e">
        <f t="shared" ca="1" si="39"/>
        <v>#REF!</v>
      </c>
      <c r="Q23" s="380" t="e">
        <f t="shared" ca="1" si="39"/>
        <v>#REF!</v>
      </c>
      <c r="R23" s="380" t="e">
        <f t="shared" ca="1" si="39"/>
        <v>#REF!</v>
      </c>
      <c r="S23" s="380" t="e">
        <f t="shared" ca="1" si="36"/>
        <v>#REF!</v>
      </c>
      <c r="T23" s="380" t="e">
        <f t="shared" ca="1" si="36"/>
        <v>#REF!</v>
      </c>
      <c r="U23" s="380" t="e">
        <f t="shared" ca="1" si="36"/>
        <v>#REF!</v>
      </c>
      <c r="V23" s="380" t="e">
        <f t="shared" ca="1" si="36"/>
        <v>#REF!</v>
      </c>
      <c r="W23" s="380" t="e">
        <f t="shared" ca="1" si="36"/>
        <v>#REF!</v>
      </c>
      <c r="X23" s="380" t="e">
        <f t="shared" ref="X23" ca="1" si="40">IF(ABS(X$3/3-X9)&lt;=0.75,1,0)</f>
        <v>#REF!</v>
      </c>
      <c r="Y23" s="380" t="e">
        <f t="shared" ca="1" si="38"/>
        <v>#REF!</v>
      </c>
    </row>
    <row r="24" spans="1:25" hidden="1" x14ac:dyDescent="0.3">
      <c r="A24" s="379">
        <f>A10</f>
        <v>0</v>
      </c>
      <c r="B24" s="379" t="e">
        <f t="shared" ref="B24:B30" ca="1" si="41">B10</f>
        <v>#REF!</v>
      </c>
      <c r="C24" s="380" t="e">
        <f t="shared" ca="1" si="39"/>
        <v>#REF!</v>
      </c>
      <c r="D24" s="380" t="e">
        <f t="shared" ca="1" si="39"/>
        <v>#REF!</v>
      </c>
      <c r="E24" s="380" t="e">
        <f t="shared" ca="1" si="39"/>
        <v>#REF!</v>
      </c>
      <c r="F24" s="380" t="e">
        <f t="shared" ca="1" si="39"/>
        <v>#REF!</v>
      </c>
      <c r="G24" s="380" t="e">
        <f t="shared" ca="1" si="39"/>
        <v>#REF!</v>
      </c>
      <c r="H24" s="380" t="e">
        <f t="shared" ca="1" si="39"/>
        <v>#REF!</v>
      </c>
      <c r="I24" s="380" t="e">
        <f t="shared" ca="1" si="39"/>
        <v>#REF!</v>
      </c>
      <c r="J24" s="380" t="e">
        <f t="shared" ca="1" si="39"/>
        <v>#REF!</v>
      </c>
      <c r="K24" s="380" t="e">
        <f t="shared" ca="1" si="39"/>
        <v>#REF!</v>
      </c>
      <c r="L24" s="380" t="e">
        <f t="shared" ca="1" si="39"/>
        <v>#REF!</v>
      </c>
      <c r="M24" s="380" t="e">
        <f t="shared" ca="1" si="39"/>
        <v>#REF!</v>
      </c>
      <c r="N24" s="380" t="e">
        <f t="shared" ca="1" si="39"/>
        <v>#REF!</v>
      </c>
      <c r="O24" s="380" t="e">
        <f t="shared" ca="1" si="39"/>
        <v>#REF!</v>
      </c>
      <c r="P24" s="380" t="e">
        <f t="shared" ca="1" si="39"/>
        <v>#REF!</v>
      </c>
      <c r="Q24" s="380" t="e">
        <f t="shared" ca="1" si="39"/>
        <v>#REF!</v>
      </c>
      <c r="R24" s="380" t="e">
        <f t="shared" ca="1" si="39"/>
        <v>#REF!</v>
      </c>
      <c r="S24" s="380" t="e">
        <f t="shared" ca="1" si="36"/>
        <v>#REF!</v>
      </c>
      <c r="T24" s="380" t="e">
        <f t="shared" ca="1" si="36"/>
        <v>#REF!</v>
      </c>
      <c r="U24" s="380" t="e">
        <f t="shared" ca="1" si="36"/>
        <v>#REF!</v>
      </c>
      <c r="V24" s="380" t="e">
        <f t="shared" ca="1" si="36"/>
        <v>#REF!</v>
      </c>
      <c r="W24" s="380" t="e">
        <f t="shared" ca="1" si="36"/>
        <v>#REF!</v>
      </c>
      <c r="X24" s="380" t="e">
        <f t="shared" ref="X24" ca="1" si="42">IF(ABS(X$3/3-X10)&lt;=0.75,1,0)</f>
        <v>#REF!</v>
      </c>
      <c r="Y24" s="380" t="e">
        <f t="shared" ca="1" si="38"/>
        <v>#REF!</v>
      </c>
    </row>
    <row r="25" spans="1:25" hidden="1" x14ac:dyDescent="0.3">
      <c r="A25" s="379">
        <f>A11</f>
        <v>0</v>
      </c>
      <c r="B25" s="379" t="e">
        <f t="shared" ca="1" si="41"/>
        <v>#REF!</v>
      </c>
      <c r="C25" s="380" t="e">
        <f t="shared" ca="1" si="39"/>
        <v>#REF!</v>
      </c>
      <c r="D25" s="380" t="e">
        <f t="shared" ca="1" si="39"/>
        <v>#REF!</v>
      </c>
      <c r="E25" s="380" t="e">
        <f t="shared" ca="1" si="39"/>
        <v>#REF!</v>
      </c>
      <c r="F25" s="380" t="e">
        <f t="shared" ca="1" si="39"/>
        <v>#REF!</v>
      </c>
      <c r="G25" s="380" t="e">
        <f t="shared" ca="1" si="39"/>
        <v>#REF!</v>
      </c>
      <c r="H25" s="380" t="e">
        <f t="shared" ca="1" si="39"/>
        <v>#REF!</v>
      </c>
      <c r="I25" s="380" t="e">
        <f t="shared" ca="1" si="39"/>
        <v>#REF!</v>
      </c>
      <c r="J25" s="380" t="e">
        <f t="shared" ca="1" si="39"/>
        <v>#REF!</v>
      </c>
      <c r="K25" s="380" t="e">
        <f t="shared" ca="1" si="39"/>
        <v>#REF!</v>
      </c>
      <c r="L25" s="380" t="e">
        <f t="shared" ca="1" si="39"/>
        <v>#REF!</v>
      </c>
      <c r="M25" s="380" t="e">
        <f t="shared" ca="1" si="39"/>
        <v>#REF!</v>
      </c>
      <c r="N25" s="380" t="e">
        <f t="shared" ca="1" si="39"/>
        <v>#REF!</v>
      </c>
      <c r="O25" s="380" t="e">
        <f t="shared" ca="1" si="39"/>
        <v>#REF!</v>
      </c>
      <c r="P25" s="380" t="e">
        <f t="shared" ca="1" si="39"/>
        <v>#REF!</v>
      </c>
      <c r="Q25" s="380" t="e">
        <f t="shared" ca="1" si="39"/>
        <v>#REF!</v>
      </c>
      <c r="R25" s="380" t="e">
        <f t="shared" ca="1" si="39"/>
        <v>#REF!</v>
      </c>
      <c r="S25" s="380" t="e">
        <f t="shared" ca="1" si="36"/>
        <v>#REF!</v>
      </c>
      <c r="T25" s="380" t="e">
        <f t="shared" ca="1" si="36"/>
        <v>#REF!</v>
      </c>
      <c r="U25" s="380" t="e">
        <f t="shared" ca="1" si="36"/>
        <v>#REF!</v>
      </c>
      <c r="V25" s="380" t="e">
        <f t="shared" ca="1" si="36"/>
        <v>#REF!</v>
      </c>
      <c r="W25" s="380" t="e">
        <f t="shared" ca="1" si="36"/>
        <v>#REF!</v>
      </c>
      <c r="X25" s="380" t="e">
        <f t="shared" ref="X25" ca="1" si="43">IF(ABS(X$3/3-X11)&lt;=0.75,1,0)</f>
        <v>#REF!</v>
      </c>
      <c r="Y25" s="380" t="e">
        <f t="shared" ca="1" si="38"/>
        <v>#REF!</v>
      </c>
    </row>
    <row r="26" spans="1:25" hidden="1" x14ac:dyDescent="0.3">
      <c r="A26" s="379">
        <f>A12</f>
        <v>0</v>
      </c>
      <c r="B26" s="379" t="e">
        <f t="shared" ca="1" si="41"/>
        <v>#REF!</v>
      </c>
      <c r="C26" s="380" t="e">
        <f t="shared" ca="1" si="39"/>
        <v>#REF!</v>
      </c>
      <c r="D26" s="380" t="e">
        <f t="shared" ca="1" si="39"/>
        <v>#REF!</v>
      </c>
      <c r="E26" s="380" t="e">
        <f t="shared" ca="1" si="39"/>
        <v>#REF!</v>
      </c>
      <c r="F26" s="380" t="e">
        <f t="shared" ca="1" si="39"/>
        <v>#REF!</v>
      </c>
      <c r="G26" s="380" t="e">
        <f t="shared" ca="1" si="39"/>
        <v>#REF!</v>
      </c>
      <c r="H26" s="380" t="e">
        <f t="shared" ca="1" si="39"/>
        <v>#REF!</v>
      </c>
      <c r="I26" s="380" t="e">
        <f t="shared" ca="1" si="39"/>
        <v>#REF!</v>
      </c>
      <c r="J26" s="380" t="e">
        <f t="shared" ca="1" si="39"/>
        <v>#REF!</v>
      </c>
      <c r="K26" s="380" t="e">
        <f t="shared" ca="1" si="39"/>
        <v>#REF!</v>
      </c>
      <c r="L26" s="380" t="e">
        <f t="shared" ca="1" si="39"/>
        <v>#REF!</v>
      </c>
      <c r="M26" s="380" t="e">
        <f t="shared" ca="1" si="39"/>
        <v>#REF!</v>
      </c>
      <c r="N26" s="380" t="e">
        <f t="shared" ca="1" si="39"/>
        <v>#REF!</v>
      </c>
      <c r="O26" s="380" t="e">
        <f t="shared" ca="1" si="39"/>
        <v>#REF!</v>
      </c>
      <c r="P26" s="380" t="e">
        <f t="shared" ca="1" si="39"/>
        <v>#REF!</v>
      </c>
      <c r="Q26" s="380" t="e">
        <f t="shared" ca="1" si="39"/>
        <v>#REF!</v>
      </c>
      <c r="R26" s="380" t="e">
        <f t="shared" ca="1" si="39"/>
        <v>#REF!</v>
      </c>
      <c r="S26" s="380" t="e">
        <f t="shared" ca="1" si="36"/>
        <v>#REF!</v>
      </c>
      <c r="T26" s="380" t="e">
        <f t="shared" ca="1" si="36"/>
        <v>#REF!</v>
      </c>
      <c r="U26" s="380" t="e">
        <f t="shared" ca="1" si="36"/>
        <v>#REF!</v>
      </c>
      <c r="V26" s="380" t="e">
        <f t="shared" ca="1" si="36"/>
        <v>#REF!</v>
      </c>
      <c r="W26" s="380" t="e">
        <f t="shared" ca="1" si="36"/>
        <v>#REF!</v>
      </c>
      <c r="X26" s="380" t="e">
        <f t="shared" ref="X26" ca="1" si="44">IF(ABS(X$3/3-X12)&lt;=0.75,1,0)</f>
        <v>#REF!</v>
      </c>
      <c r="Y26" s="380" t="e">
        <f t="shared" ca="1" si="38"/>
        <v>#REF!</v>
      </c>
    </row>
    <row r="27" spans="1:25" hidden="1" x14ac:dyDescent="0.3">
      <c r="A27" s="379">
        <f>A13</f>
        <v>0</v>
      </c>
      <c r="B27" s="379" t="e">
        <f t="shared" ca="1" si="41"/>
        <v>#REF!</v>
      </c>
      <c r="C27" s="380" t="e">
        <f t="shared" ca="1" si="39"/>
        <v>#REF!</v>
      </c>
      <c r="D27" s="380" t="e">
        <f t="shared" ca="1" si="39"/>
        <v>#REF!</v>
      </c>
      <c r="E27" s="380" t="e">
        <f t="shared" ca="1" si="39"/>
        <v>#REF!</v>
      </c>
      <c r="F27" s="380" t="e">
        <f t="shared" ca="1" si="39"/>
        <v>#REF!</v>
      </c>
      <c r="G27" s="380" t="e">
        <f t="shared" ca="1" si="39"/>
        <v>#REF!</v>
      </c>
      <c r="H27" s="380" t="e">
        <f t="shared" ca="1" si="39"/>
        <v>#REF!</v>
      </c>
      <c r="I27" s="380" t="e">
        <f t="shared" ca="1" si="39"/>
        <v>#REF!</v>
      </c>
      <c r="J27" s="380" t="e">
        <f t="shared" ca="1" si="39"/>
        <v>#REF!</v>
      </c>
      <c r="K27" s="380" t="e">
        <f t="shared" ca="1" si="39"/>
        <v>#REF!</v>
      </c>
      <c r="L27" s="380" t="e">
        <f t="shared" ca="1" si="39"/>
        <v>#REF!</v>
      </c>
      <c r="M27" s="380" t="e">
        <f t="shared" ca="1" si="39"/>
        <v>#REF!</v>
      </c>
      <c r="N27" s="380" t="e">
        <f t="shared" ca="1" si="39"/>
        <v>#REF!</v>
      </c>
      <c r="O27" s="380" t="e">
        <f t="shared" ca="1" si="39"/>
        <v>#REF!</v>
      </c>
      <c r="P27" s="380" t="e">
        <f t="shared" ca="1" si="39"/>
        <v>#REF!</v>
      </c>
      <c r="Q27" s="380" t="e">
        <f t="shared" ca="1" si="39"/>
        <v>#REF!</v>
      </c>
      <c r="R27" s="380" t="e">
        <f t="shared" ca="1" si="39"/>
        <v>#REF!</v>
      </c>
      <c r="S27" s="380" t="e">
        <f t="shared" ca="1" si="36"/>
        <v>#REF!</v>
      </c>
      <c r="T27" s="380" t="e">
        <f t="shared" ca="1" si="36"/>
        <v>#REF!</v>
      </c>
      <c r="U27" s="380" t="e">
        <f t="shared" ca="1" si="36"/>
        <v>#REF!</v>
      </c>
      <c r="V27" s="380" t="e">
        <f t="shared" ca="1" si="36"/>
        <v>#REF!</v>
      </c>
      <c r="W27" s="380" t="e">
        <f t="shared" ca="1" si="36"/>
        <v>#REF!</v>
      </c>
      <c r="X27" s="380" t="e">
        <f t="shared" ref="X27" ca="1" si="45">IF(ABS(X$3/3-X13)&lt;=0.75,1,0)</f>
        <v>#REF!</v>
      </c>
      <c r="Y27" s="380" t="e">
        <f t="shared" ca="1" si="38"/>
        <v>#REF!</v>
      </c>
    </row>
    <row r="28" spans="1:25" hidden="1" x14ac:dyDescent="0.3">
      <c r="B28" s="379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</row>
    <row r="29" spans="1:25" hidden="1" x14ac:dyDescent="0.3">
      <c r="A29" s="379">
        <f>A15</f>
        <v>0</v>
      </c>
      <c r="B29" s="379" t="e">
        <f t="shared" ca="1" si="41"/>
        <v>#REF!</v>
      </c>
      <c r="C29" s="380" t="e">
        <f t="shared" ca="1" si="39"/>
        <v>#REF!</v>
      </c>
      <c r="D29" s="380" t="e">
        <f t="shared" ca="1" si="39"/>
        <v>#REF!</v>
      </c>
      <c r="E29" s="380" t="e">
        <f t="shared" ca="1" si="39"/>
        <v>#REF!</v>
      </c>
      <c r="F29" s="380" t="e">
        <f t="shared" ca="1" si="39"/>
        <v>#REF!</v>
      </c>
      <c r="G29" s="380" t="e">
        <f t="shared" ca="1" si="39"/>
        <v>#REF!</v>
      </c>
      <c r="H29" s="380" t="e">
        <f t="shared" ca="1" si="39"/>
        <v>#REF!</v>
      </c>
      <c r="I29" s="380" t="e">
        <f t="shared" ca="1" si="39"/>
        <v>#REF!</v>
      </c>
      <c r="J29" s="380" t="e">
        <f t="shared" ca="1" si="39"/>
        <v>#REF!</v>
      </c>
      <c r="K29" s="380" t="e">
        <f t="shared" ca="1" si="39"/>
        <v>#REF!</v>
      </c>
      <c r="L29" s="380" t="e">
        <f t="shared" ca="1" si="39"/>
        <v>#REF!</v>
      </c>
      <c r="M29" s="380" t="e">
        <f t="shared" ca="1" si="39"/>
        <v>#REF!</v>
      </c>
      <c r="N29" s="380" t="e">
        <f t="shared" ca="1" si="39"/>
        <v>#REF!</v>
      </c>
      <c r="O29" s="380" t="e">
        <f t="shared" ca="1" si="39"/>
        <v>#REF!</v>
      </c>
      <c r="P29" s="380" t="e">
        <f t="shared" ca="1" si="39"/>
        <v>#REF!</v>
      </c>
      <c r="Q29" s="380" t="e">
        <f t="shared" ca="1" si="39"/>
        <v>#REF!</v>
      </c>
      <c r="R29" s="380" t="e">
        <f t="shared" ca="1" si="39"/>
        <v>#REF!</v>
      </c>
      <c r="S29" s="380" t="e">
        <f t="shared" ref="S29:W30" ca="1" si="46">IF(ABS(S$3/3-S15)&lt;=0.75,1,0)</f>
        <v>#REF!</v>
      </c>
      <c r="T29" s="380" t="e">
        <f t="shared" ca="1" si="46"/>
        <v>#REF!</v>
      </c>
      <c r="U29" s="380" t="e">
        <f t="shared" ca="1" si="46"/>
        <v>#REF!</v>
      </c>
      <c r="V29" s="380" t="e">
        <f t="shared" ca="1" si="46"/>
        <v>#REF!</v>
      </c>
      <c r="W29" s="380" t="e">
        <f t="shared" ca="1" si="46"/>
        <v>#REF!</v>
      </c>
      <c r="X29" s="380" t="e">
        <f t="shared" ref="X29" ca="1" si="47">IF(ABS(X$3/3-X15)&lt;=0.75,1,0)</f>
        <v>#REF!</v>
      </c>
      <c r="Y29" s="380" t="e">
        <f t="shared" ref="Y29:Y30" ca="1" si="48">IF(ABS(Y$3/3-Y15)&lt;=0.75,1,0)</f>
        <v>#REF!</v>
      </c>
    </row>
    <row r="30" spans="1:25" hidden="1" x14ac:dyDescent="0.3">
      <c r="A30" s="379">
        <f>A16</f>
        <v>0</v>
      </c>
      <c r="B30" s="379" t="e">
        <f t="shared" ca="1" si="41"/>
        <v>#REF!</v>
      </c>
      <c r="C30" s="380" t="e">
        <f t="shared" ca="1" si="39"/>
        <v>#REF!</v>
      </c>
      <c r="D30" s="380" t="e">
        <f t="shared" ca="1" si="39"/>
        <v>#REF!</v>
      </c>
      <c r="E30" s="380" t="e">
        <f t="shared" ca="1" si="39"/>
        <v>#REF!</v>
      </c>
      <c r="F30" s="380" t="e">
        <f t="shared" ca="1" si="39"/>
        <v>#REF!</v>
      </c>
      <c r="G30" s="380" t="e">
        <f t="shared" ca="1" si="39"/>
        <v>#REF!</v>
      </c>
      <c r="H30" s="380" t="e">
        <f t="shared" ca="1" si="39"/>
        <v>#REF!</v>
      </c>
      <c r="I30" s="380" t="e">
        <f t="shared" ca="1" si="39"/>
        <v>#REF!</v>
      </c>
      <c r="J30" s="380" t="e">
        <f t="shared" ca="1" si="39"/>
        <v>#REF!</v>
      </c>
      <c r="K30" s="380" t="e">
        <f t="shared" ca="1" si="39"/>
        <v>#REF!</v>
      </c>
      <c r="L30" s="380" t="e">
        <f t="shared" ca="1" si="39"/>
        <v>#REF!</v>
      </c>
      <c r="M30" s="380" t="e">
        <f t="shared" ca="1" si="39"/>
        <v>#REF!</v>
      </c>
      <c r="N30" s="380" t="e">
        <f t="shared" ca="1" si="39"/>
        <v>#REF!</v>
      </c>
      <c r="O30" s="380" t="e">
        <f t="shared" ca="1" si="39"/>
        <v>#REF!</v>
      </c>
      <c r="P30" s="380" t="e">
        <f t="shared" ca="1" si="39"/>
        <v>#REF!</v>
      </c>
      <c r="Q30" s="380" t="e">
        <f t="shared" ca="1" si="39"/>
        <v>#REF!</v>
      </c>
      <c r="R30" s="380" t="e">
        <f t="shared" ca="1" si="39"/>
        <v>#REF!</v>
      </c>
      <c r="S30" s="380" t="e">
        <f t="shared" ca="1" si="46"/>
        <v>#REF!</v>
      </c>
      <c r="T30" s="380" t="e">
        <f t="shared" ca="1" si="46"/>
        <v>#REF!</v>
      </c>
      <c r="U30" s="380" t="e">
        <f t="shared" ca="1" si="46"/>
        <v>#REF!</v>
      </c>
      <c r="V30" s="380" t="e">
        <f t="shared" ca="1" si="46"/>
        <v>#REF!</v>
      </c>
      <c r="W30" s="380" t="e">
        <f t="shared" ca="1" si="46"/>
        <v>#REF!</v>
      </c>
      <c r="X30" s="380" t="e">
        <f t="shared" ref="X30" ca="1" si="49">IF(ABS(X$3/3-X16)&lt;=0.75,1,0)</f>
        <v>#REF!</v>
      </c>
      <c r="Y30" s="380" t="e">
        <f t="shared" ca="1" si="48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8:Y13">
    <cfRule type="expression" dxfId="29" priority="5">
      <formula>C$3/3-C8&lt;-0.75</formula>
    </cfRule>
    <cfRule type="expression" dxfId="28" priority="6">
      <formula>C$3/3-C8&gt;0.75</formula>
    </cfRule>
  </conditionalFormatting>
  <conditionalFormatting sqref="C4:Y4">
    <cfRule type="expression" dxfId="27" priority="1">
      <formula>C4&gt;3</formula>
    </cfRule>
    <cfRule type="expression" dxfId="26" priority="2">
      <formula>AND(C4&gt;2,C4&lt;=3)</formula>
    </cfRule>
    <cfRule type="expression" dxfId="25" priority="3">
      <formula>AND(C4&gt;1,C4&lt;=2)</formula>
    </cfRule>
    <cfRule type="expression" dxfId="24" priority="4">
      <formula>C4&lt;=1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AE30"/>
  <sheetViews>
    <sheetView zoomScale="115" zoomScaleNormal="115" workbookViewId="0"/>
  </sheetViews>
  <sheetFormatPr defaultColWidth="11.5546875" defaultRowHeight="14.4" x14ac:dyDescent="0.3"/>
  <cols>
    <col min="1" max="1" width="11.6640625" customWidth="1"/>
    <col min="2" max="2" width="14.88671875" customWidth="1"/>
    <col min="3" max="25" width="4.77734375" customWidth="1"/>
    <col min="26" max="26" width="6.77734375" customWidth="1"/>
    <col min="27" max="27" width="6.77734375" style="35" customWidth="1"/>
    <col min="28" max="28" width="4.77734375" style="35" customWidth="1"/>
    <col min="29" max="31" width="4.77734375" customWidth="1"/>
  </cols>
  <sheetData>
    <row r="1" spans="1:31" ht="15" customHeight="1" x14ac:dyDescent="0.3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Z1" s="43"/>
      <c r="AA1"/>
      <c r="AB1" s="63"/>
      <c r="AC1" s="42"/>
      <c r="AD1" s="42"/>
      <c r="AE1" s="42"/>
    </row>
    <row r="2" spans="1:31" ht="128.1" customHeight="1" x14ac:dyDescent="0.3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152</v>
      </c>
      <c r="E2" s="44" t="s">
        <v>153</v>
      </c>
      <c r="F2" s="44" t="s">
        <v>154</v>
      </c>
      <c r="G2" s="44" t="s">
        <v>155</v>
      </c>
      <c r="H2" s="44" t="s">
        <v>156</v>
      </c>
      <c r="I2" s="44" t="s">
        <v>157</v>
      </c>
      <c r="J2" s="44" t="s">
        <v>158</v>
      </c>
      <c r="K2" s="44" t="s">
        <v>174</v>
      </c>
      <c r="L2" s="44" t="s">
        <v>160</v>
      </c>
      <c r="M2" s="44" t="s">
        <v>175</v>
      </c>
      <c r="N2" s="44" t="s">
        <v>162</v>
      </c>
      <c r="O2" s="44" t="s">
        <v>176</v>
      </c>
      <c r="P2" s="44" t="s">
        <v>177</v>
      </c>
      <c r="Q2" s="44" t="s">
        <v>165</v>
      </c>
      <c r="R2" s="44" t="s">
        <v>167</v>
      </c>
      <c r="S2" s="44" t="s">
        <v>168</v>
      </c>
      <c r="T2" s="44" t="s">
        <v>169</v>
      </c>
      <c r="U2" s="44" t="s">
        <v>170</v>
      </c>
      <c r="V2" s="44" t="s">
        <v>171</v>
      </c>
      <c r="W2" s="44" t="s">
        <v>172</v>
      </c>
      <c r="X2" s="44" t="s">
        <v>173</v>
      </c>
      <c r="Y2" s="44" t="str">
        <f>Doku!B52</f>
        <v>Abgrüßen</v>
      </c>
      <c r="Z2" s="45" t="str">
        <f>Doku!B42</f>
        <v>Gesamt</v>
      </c>
      <c r="AA2" s="44" t="s">
        <v>226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3">
      <c r="A3" s="364" t="str">
        <f>Doku!B42&amp;":"</f>
        <v>Gesamt:</v>
      </c>
      <c r="B3" s="364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36" t="e">
        <f t="shared" ref="S3:X3" ca="1" si="1">SUM(S8:S12)-MAX(S8:S12)-MIN(S8:S12)</f>
        <v>#REF!</v>
      </c>
      <c r="T3" s="36" t="e">
        <f t="shared" ca="1" si="1"/>
        <v>#REF!</v>
      </c>
      <c r="U3" s="36" t="e">
        <f t="shared" ca="1" si="1"/>
        <v>#REF!</v>
      </c>
      <c r="V3" s="36" t="e">
        <f t="shared" ca="1" si="1"/>
        <v>#REF!</v>
      </c>
      <c r="W3" s="36" t="e">
        <f t="shared" ca="1" si="1"/>
        <v>#REF!</v>
      </c>
      <c r="X3" s="36" t="e">
        <f t="shared" ca="1" si="1"/>
        <v>#REF!</v>
      </c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3">
      <c r="A4" s="366" t="str">
        <f>Doku!B49&amp;":"</f>
        <v>Spannweite:</v>
      </c>
      <c r="B4" s="366"/>
      <c r="C4" s="239" t="e">
        <f t="shared" ref="C4:R4" ca="1" si="2">MAX(C8:C12)-MIN(C8:C12)</f>
        <v>#REF!</v>
      </c>
      <c r="D4" s="239" t="e">
        <f t="shared" ca="1" si="2"/>
        <v>#REF!</v>
      </c>
      <c r="E4" s="239" t="e">
        <f t="shared" ca="1" si="2"/>
        <v>#REF!</v>
      </c>
      <c r="F4" s="239" t="e">
        <f t="shared" ca="1" si="2"/>
        <v>#REF!</v>
      </c>
      <c r="G4" s="239" t="e">
        <f t="shared" ca="1" si="2"/>
        <v>#REF!</v>
      </c>
      <c r="H4" s="239" t="e">
        <f t="shared" ca="1" si="2"/>
        <v>#REF!</v>
      </c>
      <c r="I4" s="239" t="e">
        <f t="shared" ca="1" si="2"/>
        <v>#REF!</v>
      </c>
      <c r="J4" s="239" t="e">
        <f t="shared" ca="1" si="2"/>
        <v>#REF!</v>
      </c>
      <c r="K4" s="239" t="e">
        <f t="shared" ca="1" si="2"/>
        <v>#REF!</v>
      </c>
      <c r="L4" s="239" t="e">
        <f t="shared" ca="1" si="2"/>
        <v>#REF!</v>
      </c>
      <c r="M4" s="239" t="e">
        <f t="shared" ca="1" si="2"/>
        <v>#REF!</v>
      </c>
      <c r="N4" s="239" t="e">
        <f t="shared" ca="1" si="2"/>
        <v>#REF!</v>
      </c>
      <c r="O4" s="239" t="e">
        <f t="shared" ca="1" si="2"/>
        <v>#REF!</v>
      </c>
      <c r="P4" s="239" t="e">
        <f t="shared" ca="1" si="2"/>
        <v>#REF!</v>
      </c>
      <c r="Q4" s="239" t="e">
        <f t="shared" ca="1" si="2"/>
        <v>#REF!</v>
      </c>
      <c r="R4" s="239" t="e">
        <f t="shared" ca="1" si="2"/>
        <v>#REF!</v>
      </c>
      <c r="S4" s="240" t="e">
        <f t="shared" ref="S4:X4" ca="1" si="3">MAX(S8:S12)-MIN(S8:S12)</f>
        <v>#REF!</v>
      </c>
      <c r="T4" s="240" t="e">
        <f t="shared" ca="1" si="3"/>
        <v>#REF!</v>
      </c>
      <c r="U4" s="240" t="e">
        <f t="shared" ca="1" si="3"/>
        <v>#REF!</v>
      </c>
      <c r="V4" s="240" t="e">
        <f t="shared" ca="1" si="3"/>
        <v>#REF!</v>
      </c>
      <c r="W4" s="240" t="e">
        <f t="shared" ca="1" si="3"/>
        <v>#REF!</v>
      </c>
      <c r="X4" s="240" t="e">
        <f t="shared" ca="1" si="3"/>
        <v>#REF!</v>
      </c>
      <c r="Y4" s="239" t="e">
        <f ca="1">MAX(Y8:Y12)-MIN(Y8:Y12)</f>
        <v>#REF!</v>
      </c>
      <c r="Z4" s="39" t="e">
        <f ca="1">MAX(Z8:Z12)-MIN(Z8:Z12)</f>
        <v>#REF!</v>
      </c>
      <c r="AA4" s="240"/>
      <c r="AB4" s="38" t="e">
        <f ca="1">MAX(AB8:AB12)-MIN(AB8:AB12)</f>
        <v>#REF!</v>
      </c>
      <c r="AC4" s="38" t="e">
        <f ca="1">MAX(AC8:AC12)-MIN(AC8:AC12)</f>
        <v>#REF!</v>
      </c>
      <c r="AD4" s="38" t="e">
        <f ca="1">MAX(AD8:AD13)-MIN(AD8:AD12)</f>
        <v>#REF!</v>
      </c>
      <c r="AE4" s="38" t="e">
        <f ca="1">MAX(AE8:AE13)-MIN(AE8:AE12)</f>
        <v>#REF!</v>
      </c>
    </row>
    <row r="5" spans="1:31" ht="15" customHeight="1" x14ac:dyDescent="0.3">
      <c r="A5" s="365" t="str">
        <f>Doku!B47&amp;":"</f>
        <v>Mittelwert:</v>
      </c>
      <c r="B5" s="365"/>
      <c r="C5" s="38" t="e">
        <f ca="1">C3/3</f>
        <v>#REF!</v>
      </c>
      <c r="D5" s="38" t="e">
        <f t="shared" ref="D5:Z5" ca="1" si="4">D3/3</f>
        <v>#REF!</v>
      </c>
      <c r="E5" s="38" t="e">
        <f t="shared" ca="1" si="4"/>
        <v>#REF!</v>
      </c>
      <c r="F5" s="38" t="e">
        <f t="shared" ca="1" si="4"/>
        <v>#REF!</v>
      </c>
      <c r="G5" s="38" t="e">
        <f t="shared" ca="1" si="4"/>
        <v>#REF!</v>
      </c>
      <c r="H5" s="38" t="e">
        <f t="shared" ca="1" si="4"/>
        <v>#REF!</v>
      </c>
      <c r="I5" s="38" t="e">
        <f t="shared" ca="1" si="4"/>
        <v>#REF!</v>
      </c>
      <c r="J5" s="38" t="e">
        <f t="shared" ca="1" si="4"/>
        <v>#REF!</v>
      </c>
      <c r="K5" s="38" t="e">
        <f t="shared" ca="1" si="4"/>
        <v>#REF!</v>
      </c>
      <c r="L5" s="38" t="e">
        <f t="shared" ca="1" si="4"/>
        <v>#REF!</v>
      </c>
      <c r="M5" s="38" t="e">
        <f t="shared" ca="1" si="4"/>
        <v>#REF!</v>
      </c>
      <c r="N5" s="38" t="e">
        <f t="shared" ca="1" si="4"/>
        <v>#REF!</v>
      </c>
      <c r="O5" s="38" t="e">
        <f t="shared" ca="1" si="4"/>
        <v>#REF!</v>
      </c>
      <c r="P5" s="38" t="e">
        <f t="shared" ca="1" si="4"/>
        <v>#REF!</v>
      </c>
      <c r="Q5" s="38" t="e">
        <f t="shared" ca="1" si="4"/>
        <v>#REF!</v>
      </c>
      <c r="R5" s="38" t="e">
        <f t="shared" ca="1" si="4"/>
        <v>#REF!</v>
      </c>
      <c r="S5" s="38" t="e">
        <f t="shared" ca="1" si="4"/>
        <v>#REF!</v>
      </c>
      <c r="T5" s="38" t="e">
        <f t="shared" ca="1" si="4"/>
        <v>#REF!</v>
      </c>
      <c r="U5" s="38" t="e">
        <f t="shared" ca="1" si="4"/>
        <v>#REF!</v>
      </c>
      <c r="V5" s="38" t="e">
        <f t="shared" ca="1" si="4"/>
        <v>#REF!</v>
      </c>
      <c r="W5" s="38" t="e">
        <f t="shared" ca="1" si="4"/>
        <v>#REF!</v>
      </c>
      <c r="X5" s="38" t="e">
        <f t="shared" ca="1" si="4"/>
        <v>#REF!</v>
      </c>
      <c r="Y5" s="38" t="e">
        <f t="shared" ca="1" si="4"/>
        <v>#REF!</v>
      </c>
      <c r="Z5" s="39" t="e">
        <f t="shared" ca="1" si="4"/>
        <v>#REF!</v>
      </c>
      <c r="AA5" s="89"/>
      <c r="AB5" s="38" t="e">
        <f t="shared" ref="AB5:AE5" ca="1" si="5">AVERAGE(AB8:AB12)</f>
        <v>#REF!</v>
      </c>
      <c r="AC5" s="38" t="e">
        <f t="shared" ca="1" si="5"/>
        <v>#REF!</v>
      </c>
      <c r="AD5" s="38" t="e">
        <f t="shared" ca="1" si="5"/>
        <v>#REF!</v>
      </c>
      <c r="AE5" s="38" t="e">
        <f t="shared" ca="1" si="5"/>
        <v>#REF!</v>
      </c>
    </row>
    <row r="6" spans="1:31" ht="15" hidden="1" customHeight="1" x14ac:dyDescent="0.3">
      <c r="A6" s="365"/>
      <c r="B6" s="365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1"/>
      <c r="AA6" s="113"/>
      <c r="AB6" s="40"/>
      <c r="AC6" s="40"/>
      <c r="AD6" s="40"/>
      <c r="AE6" s="40"/>
    </row>
    <row r="7" spans="1:31" ht="15" customHeight="1" x14ac:dyDescent="0.3">
      <c r="A7" s="367"/>
      <c r="B7" s="367" t="e">
        <f t="shared" ref="B7:B16" ca="1" si="6">INDIRECT("'"&amp;$A7&amp;"'!E5")</f>
        <v>#REF!</v>
      </c>
      <c r="C7" s="368" t="e">
        <f t="shared" ref="C7:C16" ca="1" si="7">INDIRECT("'"&amp;$A7&amp;"'!K13")</f>
        <v>#REF!</v>
      </c>
      <c r="D7" s="368" t="e">
        <f t="shared" ref="D7:D16" ca="1" si="8">INDIRECT("'"&amp;$A7&amp;"'!K14")</f>
        <v>#REF!</v>
      </c>
      <c r="E7" s="368" t="e">
        <f t="shared" ref="E7:E16" ca="1" si="9">INDIRECT("'"&amp;$A7&amp;"'!K15")</f>
        <v>#REF!</v>
      </c>
      <c r="F7" s="368" t="e">
        <f t="shared" ref="F7:F16" ca="1" si="10">INDIRECT("'"&amp;$A7&amp;"'!K16")</f>
        <v>#REF!</v>
      </c>
      <c r="G7" s="368" t="e">
        <f t="shared" ref="G7:G16" ca="1" si="11">INDIRECT("'"&amp;$A7&amp;"'!K17")</f>
        <v>#REF!</v>
      </c>
      <c r="H7" s="368" t="e">
        <f t="shared" ref="H7:H16" ca="1" si="12">INDIRECT("'"&amp;$A7&amp;"'!K18")</f>
        <v>#REF!</v>
      </c>
      <c r="I7" s="368" t="e">
        <f t="shared" ref="I7:I16" ca="1" si="13">INDIRECT("'"&amp;$A7&amp;"'!K19")</f>
        <v>#REF!</v>
      </c>
      <c r="J7" s="368" t="e">
        <f t="shared" ref="J7:J16" ca="1" si="14">INDIRECT("'"&amp;$A7&amp;"'!K20")</f>
        <v>#REF!</v>
      </c>
      <c r="K7" s="368" t="e">
        <f t="shared" ref="K7:K16" ca="1" si="15">INDIRECT("'"&amp;$A7&amp;"'!K21")</f>
        <v>#REF!</v>
      </c>
      <c r="L7" s="368" t="e">
        <f t="shared" ref="L7:L16" ca="1" si="16">INDIRECT("'"&amp;$A7&amp;"'!K22")</f>
        <v>#REF!</v>
      </c>
      <c r="M7" s="368" t="e">
        <f t="shared" ref="M7:M16" ca="1" si="17">INDIRECT("'"&amp;$A7&amp;"'!K23")</f>
        <v>#REF!</v>
      </c>
      <c r="N7" s="368" t="e">
        <f t="shared" ref="N7:N16" ca="1" si="18">INDIRECT("'"&amp;$A7&amp;"'!K24")</f>
        <v>#REF!</v>
      </c>
      <c r="O7" s="368" t="e">
        <f t="shared" ref="O7:O16" ca="1" si="19">INDIRECT("'"&amp;$A7&amp;"'!K25")</f>
        <v>#REF!</v>
      </c>
      <c r="P7" s="368" t="e">
        <f t="shared" ref="P7:P16" ca="1" si="20">INDIRECT("'"&amp;$A7&amp;"'!K26")</f>
        <v>#REF!</v>
      </c>
      <c r="Q7" s="368" t="e">
        <f t="shared" ref="Q7:Q16" ca="1" si="21">INDIRECT("'"&amp;$A7&amp;"'!K27")</f>
        <v>#REF!</v>
      </c>
      <c r="R7" s="368" t="e">
        <f t="shared" ref="R7:R16" ca="1" si="22">INDIRECT("'"&amp;$A7&amp;"'!K28")</f>
        <v>#REF!</v>
      </c>
      <c r="S7" s="368" t="e">
        <f ca="1">INDIRECT("'"&amp;$A7&amp;"'!K29")</f>
        <v>#REF!</v>
      </c>
      <c r="T7" s="368" t="e">
        <f ca="1">INDIRECT("'"&amp;$A7&amp;"'!K30")</f>
        <v>#REF!</v>
      </c>
      <c r="U7" s="368" t="e">
        <f ca="1">INDIRECT("'"&amp;$A7&amp;"'!K31")</f>
        <v>#REF!</v>
      </c>
      <c r="V7" s="368" t="e">
        <f ca="1">INDIRECT("'"&amp;$A7&amp;"'!K32")</f>
        <v>#REF!</v>
      </c>
      <c r="W7" s="368" t="e">
        <f ca="1">INDIRECT("'"&amp;$A7&amp;"'!K33")</f>
        <v>#REF!</v>
      </c>
      <c r="X7" s="368" t="e">
        <f ca="1">INDIRECT("'"&amp;$A7&amp;"'!K34")</f>
        <v>#REF!</v>
      </c>
      <c r="Y7" s="368" t="e">
        <f ca="1">INDIRECT("'"&amp;$A7&amp;"'!K35")</f>
        <v>#REF!</v>
      </c>
      <c r="Z7" s="369" t="e">
        <f ca="1">INDIRECT("'"&amp;$A7&amp;"'!K36")</f>
        <v>#REF!</v>
      </c>
      <c r="AA7" s="368"/>
      <c r="AB7" s="368" t="e">
        <f t="shared" ref="AB7:AB13" ca="1" si="23">INDIRECT("'"&amp;$A7&amp;"'!F36")</f>
        <v>#REF!</v>
      </c>
      <c r="AC7" s="368" t="e">
        <f t="shared" ref="AC7:AC13" ca="1" si="24">INDIRECT("'"&amp;$A7&amp;"'!H36")</f>
        <v>#REF!</v>
      </c>
      <c r="AD7" s="368" t="e">
        <f t="shared" ref="AD7:AD13" ca="1" si="25">INDIRECT("'"&amp;$A7&amp;"'!I36")</f>
        <v>#REF!</v>
      </c>
      <c r="AE7" s="368" t="e">
        <f t="shared" ref="AE7:AE13" ca="1" si="26">INDIRECT("'"&amp;$A7&amp;"'!J36")</f>
        <v>#REF!</v>
      </c>
    </row>
    <row r="8" spans="1:31" ht="15" customHeight="1" x14ac:dyDescent="0.3">
      <c r="A8" s="370"/>
      <c r="B8" s="370" t="e">
        <f t="shared" ca="1" si="6"/>
        <v>#REF!</v>
      </c>
      <c r="C8" s="383" t="e">
        <f t="shared" ca="1" si="7"/>
        <v>#REF!</v>
      </c>
      <c r="D8" s="383" t="e">
        <f t="shared" ca="1" si="8"/>
        <v>#REF!</v>
      </c>
      <c r="E8" s="383" t="e">
        <f t="shared" ca="1" si="9"/>
        <v>#REF!</v>
      </c>
      <c r="F8" s="383" t="e">
        <f t="shared" ca="1" si="10"/>
        <v>#REF!</v>
      </c>
      <c r="G8" s="383" t="e">
        <f t="shared" ca="1" si="11"/>
        <v>#REF!</v>
      </c>
      <c r="H8" s="383" t="e">
        <f t="shared" ca="1" si="12"/>
        <v>#REF!</v>
      </c>
      <c r="I8" s="383" t="e">
        <f t="shared" ca="1" si="13"/>
        <v>#REF!</v>
      </c>
      <c r="J8" s="383" t="e">
        <f t="shared" ca="1" si="14"/>
        <v>#REF!</v>
      </c>
      <c r="K8" s="383" t="e">
        <f t="shared" ca="1" si="15"/>
        <v>#REF!</v>
      </c>
      <c r="L8" s="383" t="e">
        <f t="shared" ca="1" si="16"/>
        <v>#REF!</v>
      </c>
      <c r="M8" s="383" t="e">
        <f t="shared" ca="1" si="17"/>
        <v>#REF!</v>
      </c>
      <c r="N8" s="383" t="e">
        <f t="shared" ca="1" si="18"/>
        <v>#REF!</v>
      </c>
      <c r="O8" s="383" t="e">
        <f t="shared" ca="1" si="19"/>
        <v>#REF!</v>
      </c>
      <c r="P8" s="383" t="e">
        <f t="shared" ca="1" si="20"/>
        <v>#REF!</v>
      </c>
      <c r="Q8" s="383" t="e">
        <f t="shared" ca="1" si="21"/>
        <v>#REF!</v>
      </c>
      <c r="R8" s="383" t="e">
        <f t="shared" ca="1" si="22"/>
        <v>#REF!</v>
      </c>
      <c r="S8" s="383" t="e">
        <f t="shared" ref="S8:S16" ca="1" si="27">INDIRECT("'"&amp;$A8&amp;"'!K29")</f>
        <v>#REF!</v>
      </c>
      <c r="T8" s="383" t="e">
        <f t="shared" ref="T8:T16" ca="1" si="28">INDIRECT("'"&amp;$A8&amp;"'!K30")</f>
        <v>#REF!</v>
      </c>
      <c r="U8" s="383" t="e">
        <f t="shared" ref="U8:U16" ca="1" si="29">INDIRECT("'"&amp;$A8&amp;"'!K31")</f>
        <v>#REF!</v>
      </c>
      <c r="V8" s="383" t="e">
        <f t="shared" ref="V8:V16" ca="1" si="30">INDIRECT("'"&amp;$A8&amp;"'!K32")</f>
        <v>#REF!</v>
      </c>
      <c r="W8" s="383" t="e">
        <f t="shared" ref="W8:W16" ca="1" si="31">INDIRECT("'"&amp;$A8&amp;"'!K33")</f>
        <v>#REF!</v>
      </c>
      <c r="X8" s="383" t="e">
        <f t="shared" ref="X8:X16" ca="1" si="32">INDIRECT("'"&amp;$A8&amp;"'!K34")</f>
        <v>#REF!</v>
      </c>
      <c r="Y8" s="383" t="e">
        <f t="shared" ref="Y8:Y16" ca="1" si="33">INDIRECT("'"&amp;$A8&amp;"'!K35")</f>
        <v>#REF!</v>
      </c>
      <c r="Z8" s="372" t="e">
        <f t="shared" ref="Z8:Z16" ca="1" si="34">INDIRECT("'"&amp;$A8&amp;"'!K36")</f>
        <v>#REF!</v>
      </c>
      <c r="AA8" s="381" t="e">
        <f ca="1">SUM('6 Koshiki A'!C22:Y22)/COUNT(C8:Y8)</f>
        <v>#REF!</v>
      </c>
      <c r="AB8" s="371" t="e">
        <f t="shared" ca="1" si="23"/>
        <v>#REF!</v>
      </c>
      <c r="AC8" s="371" t="e">
        <f t="shared" ca="1" si="24"/>
        <v>#REF!</v>
      </c>
      <c r="AD8" s="371" t="e">
        <f t="shared" ca="1" si="25"/>
        <v>#REF!</v>
      </c>
      <c r="AE8" s="371" t="e">
        <f t="shared" ca="1" si="26"/>
        <v>#REF!</v>
      </c>
    </row>
    <row r="9" spans="1:31" ht="15" customHeight="1" x14ac:dyDescent="0.3">
      <c r="A9" s="370"/>
      <c r="B9" s="370" t="e">
        <f t="shared" ca="1" si="6"/>
        <v>#REF!</v>
      </c>
      <c r="C9" s="371" t="e">
        <f t="shared" ca="1" si="7"/>
        <v>#REF!</v>
      </c>
      <c r="D9" s="371" t="e">
        <f t="shared" ca="1" si="8"/>
        <v>#REF!</v>
      </c>
      <c r="E9" s="371" t="e">
        <f t="shared" ca="1" si="9"/>
        <v>#REF!</v>
      </c>
      <c r="F9" s="371" t="e">
        <f t="shared" ca="1" si="10"/>
        <v>#REF!</v>
      </c>
      <c r="G9" s="371" t="e">
        <f t="shared" ca="1" si="11"/>
        <v>#REF!</v>
      </c>
      <c r="H9" s="371" t="e">
        <f t="shared" ca="1" si="12"/>
        <v>#REF!</v>
      </c>
      <c r="I9" s="371" t="e">
        <f t="shared" ca="1" si="13"/>
        <v>#REF!</v>
      </c>
      <c r="J9" s="371" t="e">
        <f t="shared" ca="1" si="14"/>
        <v>#REF!</v>
      </c>
      <c r="K9" s="371" t="e">
        <f t="shared" ca="1" si="15"/>
        <v>#REF!</v>
      </c>
      <c r="L9" s="371" t="e">
        <f t="shared" ca="1" si="16"/>
        <v>#REF!</v>
      </c>
      <c r="M9" s="371" t="e">
        <f t="shared" ca="1" si="17"/>
        <v>#REF!</v>
      </c>
      <c r="N9" s="371" t="e">
        <f t="shared" ca="1" si="18"/>
        <v>#REF!</v>
      </c>
      <c r="O9" s="371" t="e">
        <f t="shared" ca="1" si="19"/>
        <v>#REF!</v>
      </c>
      <c r="P9" s="371" t="e">
        <f t="shared" ca="1" si="20"/>
        <v>#REF!</v>
      </c>
      <c r="Q9" s="371" t="e">
        <f t="shared" ca="1" si="21"/>
        <v>#REF!</v>
      </c>
      <c r="R9" s="371" t="e">
        <f t="shared" ca="1" si="22"/>
        <v>#REF!</v>
      </c>
      <c r="S9" s="371" t="e">
        <f t="shared" ca="1" si="27"/>
        <v>#REF!</v>
      </c>
      <c r="T9" s="371" t="e">
        <f t="shared" ca="1" si="28"/>
        <v>#REF!</v>
      </c>
      <c r="U9" s="371" t="e">
        <f t="shared" ca="1" si="29"/>
        <v>#REF!</v>
      </c>
      <c r="V9" s="371" t="e">
        <f t="shared" ca="1" si="30"/>
        <v>#REF!</v>
      </c>
      <c r="W9" s="371" t="e">
        <f t="shared" ca="1" si="31"/>
        <v>#REF!</v>
      </c>
      <c r="X9" s="371" t="e">
        <f t="shared" ca="1" si="32"/>
        <v>#REF!</v>
      </c>
      <c r="Y9" s="371" t="e">
        <f t="shared" ca="1" si="33"/>
        <v>#REF!</v>
      </c>
      <c r="Z9" s="372" t="e">
        <f t="shared" ca="1" si="34"/>
        <v>#REF!</v>
      </c>
      <c r="AA9" s="382" t="e">
        <f ca="1">SUM('6 Koshiki A'!C23:Y23)/COUNT(C9:Y9)</f>
        <v>#REF!</v>
      </c>
      <c r="AB9" s="371" t="e">
        <f t="shared" ca="1" si="23"/>
        <v>#REF!</v>
      </c>
      <c r="AC9" s="371" t="e">
        <f t="shared" ca="1" si="24"/>
        <v>#REF!</v>
      </c>
      <c r="AD9" s="371" t="e">
        <f t="shared" ca="1" si="25"/>
        <v>#REF!</v>
      </c>
      <c r="AE9" s="371" t="e">
        <f t="shared" ca="1" si="26"/>
        <v>#REF!</v>
      </c>
    </row>
    <row r="10" spans="1:31" ht="15" customHeight="1" x14ac:dyDescent="0.3">
      <c r="A10" s="370"/>
      <c r="B10" s="370" t="e">
        <f t="shared" ca="1" si="6"/>
        <v>#REF!</v>
      </c>
      <c r="C10" s="371" t="e">
        <f t="shared" ca="1" si="7"/>
        <v>#REF!</v>
      </c>
      <c r="D10" s="371" t="e">
        <f t="shared" ca="1" si="8"/>
        <v>#REF!</v>
      </c>
      <c r="E10" s="371" t="e">
        <f t="shared" ca="1" si="9"/>
        <v>#REF!</v>
      </c>
      <c r="F10" s="371" t="e">
        <f t="shared" ca="1" si="10"/>
        <v>#REF!</v>
      </c>
      <c r="G10" s="371" t="e">
        <f t="shared" ca="1" si="11"/>
        <v>#REF!</v>
      </c>
      <c r="H10" s="371" t="e">
        <f t="shared" ca="1" si="12"/>
        <v>#REF!</v>
      </c>
      <c r="I10" s="371" t="e">
        <f t="shared" ca="1" si="13"/>
        <v>#REF!</v>
      </c>
      <c r="J10" s="371" t="e">
        <f t="shared" ca="1" si="14"/>
        <v>#REF!</v>
      </c>
      <c r="K10" s="371" t="e">
        <f t="shared" ca="1" si="15"/>
        <v>#REF!</v>
      </c>
      <c r="L10" s="371" t="e">
        <f t="shared" ca="1" si="16"/>
        <v>#REF!</v>
      </c>
      <c r="M10" s="371" t="e">
        <f t="shared" ca="1" si="17"/>
        <v>#REF!</v>
      </c>
      <c r="N10" s="371" t="e">
        <f t="shared" ca="1" si="18"/>
        <v>#REF!</v>
      </c>
      <c r="O10" s="371" t="e">
        <f t="shared" ca="1" si="19"/>
        <v>#REF!</v>
      </c>
      <c r="P10" s="371" t="e">
        <f t="shared" ca="1" si="20"/>
        <v>#REF!</v>
      </c>
      <c r="Q10" s="371" t="e">
        <f t="shared" ca="1" si="21"/>
        <v>#REF!</v>
      </c>
      <c r="R10" s="371" t="e">
        <f t="shared" ca="1" si="22"/>
        <v>#REF!</v>
      </c>
      <c r="S10" s="371" t="e">
        <f t="shared" ca="1" si="27"/>
        <v>#REF!</v>
      </c>
      <c r="T10" s="371" t="e">
        <f t="shared" ca="1" si="28"/>
        <v>#REF!</v>
      </c>
      <c r="U10" s="371" t="e">
        <f t="shared" ca="1" si="29"/>
        <v>#REF!</v>
      </c>
      <c r="V10" s="371" t="e">
        <f t="shared" ca="1" si="30"/>
        <v>#REF!</v>
      </c>
      <c r="W10" s="371" t="e">
        <f t="shared" ca="1" si="31"/>
        <v>#REF!</v>
      </c>
      <c r="X10" s="371" t="e">
        <f t="shared" ca="1" si="32"/>
        <v>#REF!</v>
      </c>
      <c r="Y10" s="371" t="e">
        <f t="shared" ca="1" si="33"/>
        <v>#REF!</v>
      </c>
      <c r="Z10" s="372" t="e">
        <f t="shared" ca="1" si="34"/>
        <v>#REF!</v>
      </c>
      <c r="AA10" s="382" t="e">
        <f ca="1">SUM('6 Koshiki A'!C24:Y24)/COUNT(C10:Y10)</f>
        <v>#REF!</v>
      </c>
      <c r="AB10" s="371" t="e">
        <f t="shared" ca="1" si="23"/>
        <v>#REF!</v>
      </c>
      <c r="AC10" s="371" t="e">
        <f t="shared" ca="1" si="24"/>
        <v>#REF!</v>
      </c>
      <c r="AD10" s="371" t="e">
        <f t="shared" ca="1" si="25"/>
        <v>#REF!</v>
      </c>
      <c r="AE10" s="371" t="e">
        <f t="shared" ca="1" si="26"/>
        <v>#REF!</v>
      </c>
    </row>
    <row r="11" spans="1:31" ht="15" customHeight="1" x14ac:dyDescent="0.3">
      <c r="A11" s="370"/>
      <c r="B11" s="370" t="e">
        <f t="shared" ca="1" si="6"/>
        <v>#REF!</v>
      </c>
      <c r="C11" s="371" t="e">
        <f t="shared" ca="1" si="7"/>
        <v>#REF!</v>
      </c>
      <c r="D11" s="371" t="e">
        <f t="shared" ca="1" si="8"/>
        <v>#REF!</v>
      </c>
      <c r="E11" s="371" t="e">
        <f t="shared" ca="1" si="9"/>
        <v>#REF!</v>
      </c>
      <c r="F11" s="371" t="e">
        <f t="shared" ca="1" si="10"/>
        <v>#REF!</v>
      </c>
      <c r="G11" s="371" t="e">
        <f t="shared" ca="1" si="11"/>
        <v>#REF!</v>
      </c>
      <c r="H11" s="371" t="e">
        <f t="shared" ca="1" si="12"/>
        <v>#REF!</v>
      </c>
      <c r="I11" s="371" t="e">
        <f t="shared" ca="1" si="13"/>
        <v>#REF!</v>
      </c>
      <c r="J11" s="371" t="e">
        <f t="shared" ca="1" si="14"/>
        <v>#REF!</v>
      </c>
      <c r="K11" s="371" t="e">
        <f t="shared" ca="1" si="15"/>
        <v>#REF!</v>
      </c>
      <c r="L11" s="371" t="e">
        <f t="shared" ca="1" si="16"/>
        <v>#REF!</v>
      </c>
      <c r="M11" s="371" t="e">
        <f t="shared" ca="1" si="17"/>
        <v>#REF!</v>
      </c>
      <c r="N11" s="371" t="e">
        <f t="shared" ca="1" si="18"/>
        <v>#REF!</v>
      </c>
      <c r="O11" s="371" t="e">
        <f t="shared" ca="1" si="19"/>
        <v>#REF!</v>
      </c>
      <c r="P11" s="371" t="e">
        <f t="shared" ca="1" si="20"/>
        <v>#REF!</v>
      </c>
      <c r="Q11" s="371" t="e">
        <f t="shared" ca="1" si="21"/>
        <v>#REF!</v>
      </c>
      <c r="R11" s="371" t="e">
        <f t="shared" ca="1" si="22"/>
        <v>#REF!</v>
      </c>
      <c r="S11" s="371" t="e">
        <f t="shared" ca="1" si="27"/>
        <v>#REF!</v>
      </c>
      <c r="T11" s="371" t="e">
        <f t="shared" ca="1" si="28"/>
        <v>#REF!</v>
      </c>
      <c r="U11" s="371" t="e">
        <f t="shared" ca="1" si="29"/>
        <v>#REF!</v>
      </c>
      <c r="V11" s="371" t="e">
        <f t="shared" ca="1" si="30"/>
        <v>#REF!</v>
      </c>
      <c r="W11" s="371" t="e">
        <f t="shared" ca="1" si="31"/>
        <v>#REF!</v>
      </c>
      <c r="X11" s="371" t="e">
        <f t="shared" ca="1" si="32"/>
        <v>#REF!</v>
      </c>
      <c r="Y11" s="371" t="e">
        <f t="shared" ca="1" si="33"/>
        <v>#REF!</v>
      </c>
      <c r="Z11" s="372" t="e">
        <f t="shared" ca="1" si="34"/>
        <v>#REF!</v>
      </c>
      <c r="AA11" s="382" t="e">
        <f ca="1">SUM('6 Koshiki A'!C25:Y25)/COUNT(C11:Y11)</f>
        <v>#REF!</v>
      </c>
      <c r="AB11" s="371" t="e">
        <f t="shared" ca="1" si="23"/>
        <v>#REF!</v>
      </c>
      <c r="AC11" s="371" t="e">
        <f t="shared" ca="1" si="24"/>
        <v>#REF!</v>
      </c>
      <c r="AD11" s="371" t="e">
        <f t="shared" ca="1" si="25"/>
        <v>#REF!</v>
      </c>
      <c r="AE11" s="371" t="e">
        <f t="shared" ca="1" si="26"/>
        <v>#REF!</v>
      </c>
    </row>
    <row r="12" spans="1:31" ht="15" customHeight="1" thickBot="1" x14ac:dyDescent="0.35">
      <c r="A12" s="373"/>
      <c r="B12" s="373" t="e">
        <f t="shared" ca="1" si="6"/>
        <v>#REF!</v>
      </c>
      <c r="C12" s="374" t="e">
        <f t="shared" ca="1" si="7"/>
        <v>#REF!</v>
      </c>
      <c r="D12" s="374" t="e">
        <f t="shared" ca="1" si="8"/>
        <v>#REF!</v>
      </c>
      <c r="E12" s="374" t="e">
        <f t="shared" ca="1" si="9"/>
        <v>#REF!</v>
      </c>
      <c r="F12" s="374" t="e">
        <f t="shared" ca="1" si="10"/>
        <v>#REF!</v>
      </c>
      <c r="G12" s="374" t="e">
        <f t="shared" ca="1" si="11"/>
        <v>#REF!</v>
      </c>
      <c r="H12" s="374" t="e">
        <f t="shared" ca="1" si="12"/>
        <v>#REF!</v>
      </c>
      <c r="I12" s="374" t="e">
        <f t="shared" ca="1" si="13"/>
        <v>#REF!</v>
      </c>
      <c r="J12" s="374" t="e">
        <f t="shared" ca="1" si="14"/>
        <v>#REF!</v>
      </c>
      <c r="K12" s="374" t="e">
        <f t="shared" ca="1" si="15"/>
        <v>#REF!</v>
      </c>
      <c r="L12" s="374" t="e">
        <f t="shared" ca="1" si="16"/>
        <v>#REF!</v>
      </c>
      <c r="M12" s="374" t="e">
        <f t="shared" ca="1" si="17"/>
        <v>#REF!</v>
      </c>
      <c r="N12" s="374" t="e">
        <f t="shared" ca="1" si="18"/>
        <v>#REF!</v>
      </c>
      <c r="O12" s="374" t="e">
        <f t="shared" ca="1" si="19"/>
        <v>#REF!</v>
      </c>
      <c r="P12" s="374" t="e">
        <f t="shared" ca="1" si="20"/>
        <v>#REF!</v>
      </c>
      <c r="Q12" s="374" t="e">
        <f t="shared" ca="1" si="21"/>
        <v>#REF!</v>
      </c>
      <c r="R12" s="374" t="e">
        <f t="shared" ca="1" si="22"/>
        <v>#REF!</v>
      </c>
      <c r="S12" s="374" t="e">
        <f t="shared" ca="1" si="27"/>
        <v>#REF!</v>
      </c>
      <c r="T12" s="374" t="e">
        <f t="shared" ca="1" si="28"/>
        <v>#REF!</v>
      </c>
      <c r="U12" s="374" t="e">
        <f t="shared" ca="1" si="29"/>
        <v>#REF!</v>
      </c>
      <c r="V12" s="374" t="e">
        <f t="shared" ca="1" si="30"/>
        <v>#REF!</v>
      </c>
      <c r="W12" s="374" t="e">
        <f t="shared" ca="1" si="31"/>
        <v>#REF!</v>
      </c>
      <c r="X12" s="374" t="e">
        <f t="shared" ca="1" si="32"/>
        <v>#REF!</v>
      </c>
      <c r="Y12" s="374" t="e">
        <f t="shared" ca="1" si="33"/>
        <v>#REF!</v>
      </c>
      <c r="Z12" s="375" t="e">
        <f t="shared" ca="1" si="34"/>
        <v>#REF!</v>
      </c>
      <c r="AA12" s="382" t="e">
        <f ca="1">SUM('6 Koshiki A'!C26:Y26)/COUNT(C12:Y12)</f>
        <v>#REF!</v>
      </c>
      <c r="AB12" s="374" t="e">
        <f t="shared" ca="1" si="23"/>
        <v>#REF!</v>
      </c>
      <c r="AC12" s="374" t="e">
        <f t="shared" ca="1" si="24"/>
        <v>#REF!</v>
      </c>
      <c r="AD12" s="374" t="e">
        <f t="shared" ca="1" si="25"/>
        <v>#REF!</v>
      </c>
      <c r="AE12" s="374" t="e">
        <f t="shared" ca="1" si="26"/>
        <v>#REF!</v>
      </c>
    </row>
    <row r="13" spans="1:31" ht="15" thickBot="1" x14ac:dyDescent="0.35">
      <c r="A13" s="376"/>
      <c r="B13" s="376" t="e">
        <f t="shared" ca="1" si="6"/>
        <v>#REF!</v>
      </c>
      <c r="C13" s="377" t="e">
        <f t="shared" ca="1" si="7"/>
        <v>#REF!</v>
      </c>
      <c r="D13" s="377" t="e">
        <f t="shared" ca="1" si="8"/>
        <v>#REF!</v>
      </c>
      <c r="E13" s="377" t="e">
        <f t="shared" ca="1" si="9"/>
        <v>#REF!</v>
      </c>
      <c r="F13" s="377" t="e">
        <f t="shared" ca="1" si="10"/>
        <v>#REF!</v>
      </c>
      <c r="G13" s="377" t="e">
        <f t="shared" ca="1" si="11"/>
        <v>#REF!</v>
      </c>
      <c r="H13" s="377" t="e">
        <f t="shared" ca="1" si="12"/>
        <v>#REF!</v>
      </c>
      <c r="I13" s="377" t="e">
        <f t="shared" ca="1" si="13"/>
        <v>#REF!</v>
      </c>
      <c r="J13" s="377" t="e">
        <f t="shared" ca="1" si="14"/>
        <v>#REF!</v>
      </c>
      <c r="K13" s="377" t="e">
        <f t="shared" ca="1" si="15"/>
        <v>#REF!</v>
      </c>
      <c r="L13" s="377" t="e">
        <f t="shared" ca="1" si="16"/>
        <v>#REF!</v>
      </c>
      <c r="M13" s="377" t="e">
        <f t="shared" ca="1" si="17"/>
        <v>#REF!</v>
      </c>
      <c r="N13" s="377" t="e">
        <f t="shared" ca="1" si="18"/>
        <v>#REF!</v>
      </c>
      <c r="O13" s="377" t="e">
        <f t="shared" ca="1" si="19"/>
        <v>#REF!</v>
      </c>
      <c r="P13" s="377" t="e">
        <f t="shared" ca="1" si="20"/>
        <v>#REF!</v>
      </c>
      <c r="Q13" s="377" t="e">
        <f t="shared" ca="1" si="21"/>
        <v>#REF!</v>
      </c>
      <c r="R13" s="377" t="e">
        <f t="shared" ca="1" si="22"/>
        <v>#REF!</v>
      </c>
      <c r="S13" s="377" t="e">
        <f t="shared" ca="1" si="27"/>
        <v>#REF!</v>
      </c>
      <c r="T13" s="377" t="e">
        <f t="shared" ca="1" si="28"/>
        <v>#REF!</v>
      </c>
      <c r="U13" s="377" t="e">
        <f t="shared" ca="1" si="29"/>
        <v>#REF!</v>
      </c>
      <c r="V13" s="377" t="e">
        <f t="shared" ca="1" si="30"/>
        <v>#REF!</v>
      </c>
      <c r="W13" s="377" t="e">
        <f t="shared" ca="1" si="31"/>
        <v>#REF!</v>
      </c>
      <c r="X13" s="377" t="e">
        <f t="shared" ca="1" si="32"/>
        <v>#REF!</v>
      </c>
      <c r="Y13" s="377" t="e">
        <f t="shared" ca="1" si="33"/>
        <v>#REF!</v>
      </c>
      <c r="Z13" s="378" t="e">
        <f t="shared" ca="1" si="34"/>
        <v>#REF!</v>
      </c>
      <c r="AA13" s="386" t="e">
        <f ca="1">SUM('6 Koshiki A'!C27:Y27)/COUNT(C13:Y13)</f>
        <v>#REF!</v>
      </c>
      <c r="AB13" s="377" t="e">
        <f t="shared" ca="1" si="23"/>
        <v>#REF!</v>
      </c>
      <c r="AC13" s="377" t="e">
        <f t="shared" ca="1" si="24"/>
        <v>#REF!</v>
      </c>
      <c r="AD13" s="377" t="e">
        <f t="shared" ca="1" si="25"/>
        <v>#REF!</v>
      </c>
      <c r="AE13" s="377" t="e">
        <f t="shared" ca="1" si="26"/>
        <v>#REF!</v>
      </c>
    </row>
    <row r="14" spans="1:31" ht="15" customHeight="1" x14ac:dyDescent="0.3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/>
      <c r="AB14" s="133"/>
      <c r="AC14" s="133"/>
      <c r="AD14" s="133"/>
      <c r="AE14" s="133"/>
    </row>
    <row r="15" spans="1:31" x14ac:dyDescent="0.3">
      <c r="A15" s="234"/>
      <c r="B15" s="234" t="e">
        <f t="shared" ca="1" si="6"/>
        <v>#REF!</v>
      </c>
      <c r="C15" s="235" t="e">
        <f t="shared" ca="1" si="7"/>
        <v>#REF!</v>
      </c>
      <c r="D15" s="235" t="e">
        <f t="shared" ca="1" si="8"/>
        <v>#REF!</v>
      </c>
      <c r="E15" s="235" t="e">
        <f t="shared" ca="1" si="9"/>
        <v>#REF!</v>
      </c>
      <c r="F15" s="235" t="e">
        <f t="shared" ca="1" si="10"/>
        <v>#REF!</v>
      </c>
      <c r="G15" s="235" t="e">
        <f t="shared" ca="1" si="11"/>
        <v>#REF!</v>
      </c>
      <c r="H15" s="235" t="e">
        <f t="shared" ca="1" si="12"/>
        <v>#REF!</v>
      </c>
      <c r="I15" s="235" t="e">
        <f t="shared" ca="1" si="13"/>
        <v>#REF!</v>
      </c>
      <c r="J15" s="235" t="e">
        <f t="shared" ca="1" si="14"/>
        <v>#REF!</v>
      </c>
      <c r="K15" s="235" t="e">
        <f t="shared" ca="1" si="15"/>
        <v>#REF!</v>
      </c>
      <c r="L15" s="235" t="e">
        <f t="shared" ca="1" si="16"/>
        <v>#REF!</v>
      </c>
      <c r="M15" s="235" t="e">
        <f t="shared" ca="1" si="17"/>
        <v>#REF!</v>
      </c>
      <c r="N15" s="235" t="e">
        <f t="shared" ca="1" si="18"/>
        <v>#REF!</v>
      </c>
      <c r="O15" s="235" t="e">
        <f t="shared" ca="1" si="19"/>
        <v>#REF!</v>
      </c>
      <c r="P15" s="235" t="e">
        <f t="shared" ca="1" si="20"/>
        <v>#REF!</v>
      </c>
      <c r="Q15" s="235" t="e">
        <f t="shared" ca="1" si="21"/>
        <v>#REF!</v>
      </c>
      <c r="R15" s="235" t="e">
        <f t="shared" ca="1" si="22"/>
        <v>#REF!</v>
      </c>
      <c r="S15" s="235" t="e">
        <f t="shared" ca="1" si="27"/>
        <v>#REF!</v>
      </c>
      <c r="T15" s="235" t="e">
        <f t="shared" ca="1" si="28"/>
        <v>#REF!</v>
      </c>
      <c r="U15" s="235" t="e">
        <f t="shared" ca="1" si="29"/>
        <v>#REF!</v>
      </c>
      <c r="V15" s="235" t="e">
        <f t="shared" ca="1" si="30"/>
        <v>#REF!</v>
      </c>
      <c r="W15" s="235" t="e">
        <f t="shared" ca="1" si="31"/>
        <v>#REF!</v>
      </c>
      <c r="X15" s="235" t="e">
        <f t="shared" ca="1" si="32"/>
        <v>#REF!</v>
      </c>
      <c r="Y15" s="235" t="e">
        <f t="shared" ca="1" si="33"/>
        <v>#REF!</v>
      </c>
      <c r="Z15" s="236" t="e">
        <f t="shared" ca="1" si="34"/>
        <v>#REF!</v>
      </c>
      <c r="AA15" s="385" t="e">
        <f ca="1">SUM('6 Koshiki A'!C29:Y29)/COUNT(C15:Y15)</f>
        <v>#REF!</v>
      </c>
      <c r="AB15" s="235" t="e">
        <f ca="1">INDIRECT("'"&amp;$A15&amp;"'!F36")</f>
        <v>#REF!</v>
      </c>
      <c r="AC15" s="235" t="e">
        <f ca="1">INDIRECT("'"&amp;$A15&amp;"'!H36")</f>
        <v>#REF!</v>
      </c>
      <c r="AD15" s="235" t="e">
        <f ca="1">INDIRECT("'"&amp;$A15&amp;"'!I36")</f>
        <v>#REF!</v>
      </c>
      <c r="AE15" s="235" t="e">
        <f ca="1">INDIRECT("'"&amp;$A15&amp;"'!J36")</f>
        <v>#REF!</v>
      </c>
    </row>
    <row r="16" spans="1:31" x14ac:dyDescent="0.3">
      <c r="A16" s="132"/>
      <c r="B16" s="132" t="e">
        <f t="shared" ca="1" si="6"/>
        <v>#REF!</v>
      </c>
      <c r="C16" s="133" t="e">
        <f t="shared" ca="1" si="7"/>
        <v>#REF!</v>
      </c>
      <c r="D16" s="133" t="e">
        <f t="shared" ca="1" si="8"/>
        <v>#REF!</v>
      </c>
      <c r="E16" s="133" t="e">
        <f t="shared" ca="1" si="9"/>
        <v>#REF!</v>
      </c>
      <c r="F16" s="133" t="e">
        <f t="shared" ca="1" si="10"/>
        <v>#REF!</v>
      </c>
      <c r="G16" s="133" t="e">
        <f t="shared" ca="1" si="11"/>
        <v>#REF!</v>
      </c>
      <c r="H16" s="133" t="e">
        <f t="shared" ca="1" si="12"/>
        <v>#REF!</v>
      </c>
      <c r="I16" s="133" t="e">
        <f t="shared" ca="1" si="13"/>
        <v>#REF!</v>
      </c>
      <c r="J16" s="133" t="e">
        <f t="shared" ca="1" si="14"/>
        <v>#REF!</v>
      </c>
      <c r="K16" s="133" t="e">
        <f t="shared" ca="1" si="15"/>
        <v>#REF!</v>
      </c>
      <c r="L16" s="133" t="e">
        <f t="shared" ca="1" si="16"/>
        <v>#REF!</v>
      </c>
      <c r="M16" s="133" t="e">
        <f t="shared" ca="1" si="17"/>
        <v>#REF!</v>
      </c>
      <c r="N16" s="133" t="e">
        <f t="shared" ca="1" si="18"/>
        <v>#REF!</v>
      </c>
      <c r="O16" s="133" t="e">
        <f t="shared" ca="1" si="19"/>
        <v>#REF!</v>
      </c>
      <c r="P16" s="133" t="e">
        <f t="shared" ca="1" si="20"/>
        <v>#REF!</v>
      </c>
      <c r="Q16" s="133" t="e">
        <f t="shared" ca="1" si="21"/>
        <v>#REF!</v>
      </c>
      <c r="R16" s="133" t="e">
        <f t="shared" ca="1" si="22"/>
        <v>#REF!</v>
      </c>
      <c r="S16" s="133" t="e">
        <f t="shared" ca="1" si="27"/>
        <v>#REF!</v>
      </c>
      <c r="T16" s="133" t="e">
        <f t="shared" ca="1" si="28"/>
        <v>#REF!</v>
      </c>
      <c r="U16" s="133" t="e">
        <f t="shared" ca="1" si="29"/>
        <v>#REF!</v>
      </c>
      <c r="V16" s="133" t="e">
        <f t="shared" ca="1" si="30"/>
        <v>#REF!</v>
      </c>
      <c r="W16" s="133" t="e">
        <f t="shared" ca="1" si="31"/>
        <v>#REF!</v>
      </c>
      <c r="X16" s="133" t="e">
        <f t="shared" ca="1" si="32"/>
        <v>#REF!</v>
      </c>
      <c r="Y16" s="133" t="e">
        <f t="shared" ca="1" si="33"/>
        <v>#REF!</v>
      </c>
      <c r="Z16" s="134" t="e">
        <f t="shared" ca="1" si="34"/>
        <v>#REF!</v>
      </c>
      <c r="AA16" s="385" t="e">
        <f ca="1">SUM('6 Koshiki A'!C30:Y30)/COUNT(C16:Y16)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idden="1" x14ac:dyDescent="0.3">
      <c r="A21" s="379" t="s">
        <v>227</v>
      </c>
      <c r="B21" s="379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Y21" s="380"/>
    </row>
    <row r="22" spans="1:25" hidden="1" x14ac:dyDescent="0.3">
      <c r="A22" s="379">
        <f>A8</f>
        <v>0</v>
      </c>
      <c r="B22" s="379" t="e">
        <f ca="1">B8</f>
        <v>#REF!</v>
      </c>
      <c r="C22" s="380" t="e">
        <f ca="1">IF(ABS(C$3/3-C8)&lt;=0.75,1,0)</f>
        <v>#REF!</v>
      </c>
      <c r="D22" s="380" t="e">
        <f t="shared" ref="D22:W27" ca="1" si="35">IF(ABS(D$3/3-D8)&lt;=0.75,1,0)</f>
        <v>#REF!</v>
      </c>
      <c r="E22" s="380" t="e">
        <f t="shared" ca="1" si="35"/>
        <v>#REF!</v>
      </c>
      <c r="F22" s="380" t="e">
        <f t="shared" ca="1" si="35"/>
        <v>#REF!</v>
      </c>
      <c r="G22" s="380" t="e">
        <f t="shared" ca="1" si="35"/>
        <v>#REF!</v>
      </c>
      <c r="H22" s="380" t="e">
        <f t="shared" ca="1" si="35"/>
        <v>#REF!</v>
      </c>
      <c r="I22" s="380" t="e">
        <f t="shared" ca="1" si="35"/>
        <v>#REF!</v>
      </c>
      <c r="J22" s="380" t="e">
        <f t="shared" ca="1" si="35"/>
        <v>#REF!</v>
      </c>
      <c r="K22" s="380" t="e">
        <f t="shared" ca="1" si="35"/>
        <v>#REF!</v>
      </c>
      <c r="L22" s="380" t="e">
        <f t="shared" ca="1" si="35"/>
        <v>#REF!</v>
      </c>
      <c r="M22" s="380" t="e">
        <f t="shared" ca="1" si="35"/>
        <v>#REF!</v>
      </c>
      <c r="N22" s="380" t="e">
        <f t="shared" ca="1" si="35"/>
        <v>#REF!</v>
      </c>
      <c r="O22" s="380" t="e">
        <f t="shared" ca="1" si="35"/>
        <v>#REF!</v>
      </c>
      <c r="P22" s="380" t="e">
        <f t="shared" ca="1" si="35"/>
        <v>#REF!</v>
      </c>
      <c r="Q22" s="380" t="e">
        <f t="shared" ca="1" si="35"/>
        <v>#REF!</v>
      </c>
      <c r="R22" s="380" t="e">
        <f t="shared" ca="1" si="35"/>
        <v>#REF!</v>
      </c>
      <c r="S22" s="380" t="e">
        <f t="shared" ca="1" si="35"/>
        <v>#REF!</v>
      </c>
      <c r="T22" s="380" t="e">
        <f t="shared" ca="1" si="35"/>
        <v>#REF!</v>
      </c>
      <c r="U22" s="380" t="e">
        <f t="shared" ca="1" si="35"/>
        <v>#REF!</v>
      </c>
      <c r="V22" s="380" t="e">
        <f t="shared" ca="1" si="35"/>
        <v>#REF!</v>
      </c>
      <c r="W22" s="380" t="e">
        <f t="shared" ca="1" si="35"/>
        <v>#REF!</v>
      </c>
      <c r="X22" s="380" t="e">
        <f t="shared" ref="X22" ca="1" si="36">IF(ABS(X$3/3-X8)&lt;=0.75,1,0)</f>
        <v>#REF!</v>
      </c>
      <c r="Y22" s="380" t="e">
        <f t="shared" ref="Y22:Y27" ca="1" si="37">IF(ABS(Y$3/3-Y8)&lt;=0.75,1,0)</f>
        <v>#REF!</v>
      </c>
    </row>
    <row r="23" spans="1:25" hidden="1" x14ac:dyDescent="0.3">
      <c r="A23" s="379">
        <f>A9</f>
        <v>0</v>
      </c>
      <c r="B23" s="379" t="e">
        <f ca="1">B9</f>
        <v>#REF!</v>
      </c>
      <c r="C23" s="380" t="e">
        <f t="shared" ref="C23:R30" ca="1" si="38">IF(ABS(C$3/3-C9)&lt;=0.75,1,0)</f>
        <v>#REF!</v>
      </c>
      <c r="D23" s="380" t="e">
        <f t="shared" ca="1" si="38"/>
        <v>#REF!</v>
      </c>
      <c r="E23" s="380" t="e">
        <f t="shared" ca="1" si="38"/>
        <v>#REF!</v>
      </c>
      <c r="F23" s="380" t="e">
        <f t="shared" ca="1" si="38"/>
        <v>#REF!</v>
      </c>
      <c r="G23" s="380" t="e">
        <f t="shared" ca="1" si="38"/>
        <v>#REF!</v>
      </c>
      <c r="H23" s="380" t="e">
        <f t="shared" ca="1" si="38"/>
        <v>#REF!</v>
      </c>
      <c r="I23" s="380" t="e">
        <f t="shared" ca="1" si="38"/>
        <v>#REF!</v>
      </c>
      <c r="J23" s="380" t="e">
        <f t="shared" ca="1" si="38"/>
        <v>#REF!</v>
      </c>
      <c r="K23" s="380" t="e">
        <f t="shared" ca="1" si="38"/>
        <v>#REF!</v>
      </c>
      <c r="L23" s="380" t="e">
        <f t="shared" ca="1" si="38"/>
        <v>#REF!</v>
      </c>
      <c r="M23" s="380" t="e">
        <f t="shared" ca="1" si="38"/>
        <v>#REF!</v>
      </c>
      <c r="N23" s="380" t="e">
        <f t="shared" ca="1" si="38"/>
        <v>#REF!</v>
      </c>
      <c r="O23" s="380" t="e">
        <f t="shared" ca="1" si="38"/>
        <v>#REF!</v>
      </c>
      <c r="P23" s="380" t="e">
        <f t="shared" ca="1" si="38"/>
        <v>#REF!</v>
      </c>
      <c r="Q23" s="380" t="e">
        <f t="shared" ca="1" si="38"/>
        <v>#REF!</v>
      </c>
      <c r="R23" s="380" t="e">
        <f t="shared" ca="1" si="38"/>
        <v>#REF!</v>
      </c>
      <c r="S23" s="380" t="e">
        <f t="shared" ca="1" si="35"/>
        <v>#REF!</v>
      </c>
      <c r="T23" s="380" t="e">
        <f t="shared" ca="1" si="35"/>
        <v>#REF!</v>
      </c>
      <c r="U23" s="380" t="e">
        <f t="shared" ca="1" si="35"/>
        <v>#REF!</v>
      </c>
      <c r="V23" s="380" t="e">
        <f t="shared" ca="1" si="35"/>
        <v>#REF!</v>
      </c>
      <c r="W23" s="380" t="e">
        <f t="shared" ca="1" si="35"/>
        <v>#REF!</v>
      </c>
      <c r="X23" s="380" t="e">
        <f t="shared" ref="X23" ca="1" si="39">IF(ABS(X$3/3-X9)&lt;=0.75,1,0)</f>
        <v>#REF!</v>
      </c>
      <c r="Y23" s="380" t="e">
        <f t="shared" ca="1" si="37"/>
        <v>#REF!</v>
      </c>
    </row>
    <row r="24" spans="1:25" hidden="1" x14ac:dyDescent="0.3">
      <c r="A24" s="379">
        <f>A10</f>
        <v>0</v>
      </c>
      <c r="B24" s="379" t="e">
        <f t="shared" ref="B24:B30" ca="1" si="40">B10</f>
        <v>#REF!</v>
      </c>
      <c r="C24" s="380" t="e">
        <f t="shared" ca="1" si="38"/>
        <v>#REF!</v>
      </c>
      <c r="D24" s="380" t="e">
        <f t="shared" ca="1" si="38"/>
        <v>#REF!</v>
      </c>
      <c r="E24" s="380" t="e">
        <f t="shared" ca="1" si="38"/>
        <v>#REF!</v>
      </c>
      <c r="F24" s="380" t="e">
        <f t="shared" ca="1" si="38"/>
        <v>#REF!</v>
      </c>
      <c r="G24" s="380" t="e">
        <f t="shared" ca="1" si="38"/>
        <v>#REF!</v>
      </c>
      <c r="H24" s="380" t="e">
        <f t="shared" ca="1" si="38"/>
        <v>#REF!</v>
      </c>
      <c r="I24" s="380" t="e">
        <f t="shared" ca="1" si="38"/>
        <v>#REF!</v>
      </c>
      <c r="J24" s="380" t="e">
        <f t="shared" ca="1" si="38"/>
        <v>#REF!</v>
      </c>
      <c r="K24" s="380" t="e">
        <f t="shared" ca="1" si="38"/>
        <v>#REF!</v>
      </c>
      <c r="L24" s="380" t="e">
        <f t="shared" ca="1" si="38"/>
        <v>#REF!</v>
      </c>
      <c r="M24" s="380" t="e">
        <f t="shared" ca="1" si="38"/>
        <v>#REF!</v>
      </c>
      <c r="N24" s="380" t="e">
        <f t="shared" ca="1" si="38"/>
        <v>#REF!</v>
      </c>
      <c r="O24" s="380" t="e">
        <f t="shared" ca="1" si="38"/>
        <v>#REF!</v>
      </c>
      <c r="P24" s="380" t="e">
        <f t="shared" ca="1" si="38"/>
        <v>#REF!</v>
      </c>
      <c r="Q24" s="380" t="e">
        <f t="shared" ca="1" si="38"/>
        <v>#REF!</v>
      </c>
      <c r="R24" s="380" t="e">
        <f t="shared" ca="1" si="38"/>
        <v>#REF!</v>
      </c>
      <c r="S24" s="380" t="e">
        <f t="shared" ca="1" si="35"/>
        <v>#REF!</v>
      </c>
      <c r="T24" s="380" t="e">
        <f t="shared" ca="1" si="35"/>
        <v>#REF!</v>
      </c>
      <c r="U24" s="380" t="e">
        <f t="shared" ca="1" si="35"/>
        <v>#REF!</v>
      </c>
      <c r="V24" s="380" t="e">
        <f t="shared" ca="1" si="35"/>
        <v>#REF!</v>
      </c>
      <c r="W24" s="380" t="e">
        <f t="shared" ca="1" si="35"/>
        <v>#REF!</v>
      </c>
      <c r="X24" s="380" t="e">
        <f t="shared" ref="X24" ca="1" si="41">IF(ABS(X$3/3-X10)&lt;=0.75,1,0)</f>
        <v>#REF!</v>
      </c>
      <c r="Y24" s="380" t="e">
        <f t="shared" ca="1" si="37"/>
        <v>#REF!</v>
      </c>
    </row>
    <row r="25" spans="1:25" hidden="1" x14ac:dyDescent="0.3">
      <c r="A25" s="379">
        <f>A11</f>
        <v>0</v>
      </c>
      <c r="B25" s="379" t="e">
        <f t="shared" ca="1" si="40"/>
        <v>#REF!</v>
      </c>
      <c r="C25" s="380" t="e">
        <f t="shared" ca="1" si="38"/>
        <v>#REF!</v>
      </c>
      <c r="D25" s="380" t="e">
        <f t="shared" ca="1" si="38"/>
        <v>#REF!</v>
      </c>
      <c r="E25" s="380" t="e">
        <f t="shared" ca="1" si="38"/>
        <v>#REF!</v>
      </c>
      <c r="F25" s="380" t="e">
        <f t="shared" ca="1" si="38"/>
        <v>#REF!</v>
      </c>
      <c r="G25" s="380" t="e">
        <f t="shared" ca="1" si="38"/>
        <v>#REF!</v>
      </c>
      <c r="H25" s="380" t="e">
        <f t="shared" ca="1" si="38"/>
        <v>#REF!</v>
      </c>
      <c r="I25" s="380" t="e">
        <f t="shared" ca="1" si="38"/>
        <v>#REF!</v>
      </c>
      <c r="J25" s="380" t="e">
        <f t="shared" ca="1" si="38"/>
        <v>#REF!</v>
      </c>
      <c r="K25" s="380" t="e">
        <f t="shared" ca="1" si="38"/>
        <v>#REF!</v>
      </c>
      <c r="L25" s="380" t="e">
        <f t="shared" ca="1" si="38"/>
        <v>#REF!</v>
      </c>
      <c r="M25" s="380" t="e">
        <f t="shared" ca="1" si="38"/>
        <v>#REF!</v>
      </c>
      <c r="N25" s="380" t="e">
        <f t="shared" ca="1" si="38"/>
        <v>#REF!</v>
      </c>
      <c r="O25" s="380" t="e">
        <f t="shared" ca="1" si="38"/>
        <v>#REF!</v>
      </c>
      <c r="P25" s="380" t="e">
        <f t="shared" ca="1" si="38"/>
        <v>#REF!</v>
      </c>
      <c r="Q25" s="380" t="e">
        <f t="shared" ca="1" si="38"/>
        <v>#REF!</v>
      </c>
      <c r="R25" s="380" t="e">
        <f t="shared" ca="1" si="38"/>
        <v>#REF!</v>
      </c>
      <c r="S25" s="380" t="e">
        <f t="shared" ca="1" si="35"/>
        <v>#REF!</v>
      </c>
      <c r="T25" s="380" t="e">
        <f t="shared" ca="1" si="35"/>
        <v>#REF!</v>
      </c>
      <c r="U25" s="380" t="e">
        <f t="shared" ca="1" si="35"/>
        <v>#REF!</v>
      </c>
      <c r="V25" s="380" t="e">
        <f t="shared" ca="1" si="35"/>
        <v>#REF!</v>
      </c>
      <c r="W25" s="380" t="e">
        <f t="shared" ca="1" si="35"/>
        <v>#REF!</v>
      </c>
      <c r="X25" s="380" t="e">
        <f t="shared" ref="X25" ca="1" si="42">IF(ABS(X$3/3-X11)&lt;=0.75,1,0)</f>
        <v>#REF!</v>
      </c>
      <c r="Y25" s="380" t="e">
        <f t="shared" ca="1" si="37"/>
        <v>#REF!</v>
      </c>
    </row>
    <row r="26" spans="1:25" hidden="1" x14ac:dyDescent="0.3">
      <c r="A26" s="379">
        <f>A12</f>
        <v>0</v>
      </c>
      <c r="B26" s="379" t="e">
        <f t="shared" ca="1" si="40"/>
        <v>#REF!</v>
      </c>
      <c r="C26" s="380" t="e">
        <f t="shared" ca="1" si="38"/>
        <v>#REF!</v>
      </c>
      <c r="D26" s="380" t="e">
        <f t="shared" ca="1" si="38"/>
        <v>#REF!</v>
      </c>
      <c r="E26" s="380" t="e">
        <f t="shared" ca="1" si="38"/>
        <v>#REF!</v>
      </c>
      <c r="F26" s="380" t="e">
        <f t="shared" ca="1" si="38"/>
        <v>#REF!</v>
      </c>
      <c r="G26" s="380" t="e">
        <f t="shared" ca="1" si="38"/>
        <v>#REF!</v>
      </c>
      <c r="H26" s="380" t="e">
        <f t="shared" ca="1" si="38"/>
        <v>#REF!</v>
      </c>
      <c r="I26" s="380" t="e">
        <f t="shared" ca="1" si="38"/>
        <v>#REF!</v>
      </c>
      <c r="J26" s="380" t="e">
        <f t="shared" ca="1" si="38"/>
        <v>#REF!</v>
      </c>
      <c r="K26" s="380" t="e">
        <f t="shared" ca="1" si="38"/>
        <v>#REF!</v>
      </c>
      <c r="L26" s="380" t="e">
        <f t="shared" ca="1" si="38"/>
        <v>#REF!</v>
      </c>
      <c r="M26" s="380" t="e">
        <f t="shared" ca="1" si="38"/>
        <v>#REF!</v>
      </c>
      <c r="N26" s="380" t="e">
        <f t="shared" ca="1" si="38"/>
        <v>#REF!</v>
      </c>
      <c r="O26" s="380" t="e">
        <f t="shared" ca="1" si="38"/>
        <v>#REF!</v>
      </c>
      <c r="P26" s="380" t="e">
        <f t="shared" ca="1" si="38"/>
        <v>#REF!</v>
      </c>
      <c r="Q26" s="380" t="e">
        <f t="shared" ca="1" si="38"/>
        <v>#REF!</v>
      </c>
      <c r="R26" s="380" t="e">
        <f t="shared" ca="1" si="38"/>
        <v>#REF!</v>
      </c>
      <c r="S26" s="380" t="e">
        <f t="shared" ca="1" si="35"/>
        <v>#REF!</v>
      </c>
      <c r="T26" s="380" t="e">
        <f t="shared" ca="1" si="35"/>
        <v>#REF!</v>
      </c>
      <c r="U26" s="380" t="e">
        <f t="shared" ca="1" si="35"/>
        <v>#REF!</v>
      </c>
      <c r="V26" s="380" t="e">
        <f t="shared" ca="1" si="35"/>
        <v>#REF!</v>
      </c>
      <c r="W26" s="380" t="e">
        <f t="shared" ca="1" si="35"/>
        <v>#REF!</v>
      </c>
      <c r="X26" s="380" t="e">
        <f t="shared" ref="X26" ca="1" si="43">IF(ABS(X$3/3-X12)&lt;=0.75,1,0)</f>
        <v>#REF!</v>
      </c>
      <c r="Y26" s="380" t="e">
        <f t="shared" ca="1" si="37"/>
        <v>#REF!</v>
      </c>
    </row>
    <row r="27" spans="1:25" hidden="1" x14ac:dyDescent="0.3">
      <c r="A27" s="379">
        <f>A13</f>
        <v>0</v>
      </c>
      <c r="B27" s="379" t="e">
        <f t="shared" ca="1" si="40"/>
        <v>#REF!</v>
      </c>
      <c r="C27" s="380" t="e">
        <f t="shared" ca="1" si="38"/>
        <v>#REF!</v>
      </c>
      <c r="D27" s="380" t="e">
        <f t="shared" ca="1" si="38"/>
        <v>#REF!</v>
      </c>
      <c r="E27" s="380" t="e">
        <f t="shared" ca="1" si="38"/>
        <v>#REF!</v>
      </c>
      <c r="F27" s="380" t="e">
        <f t="shared" ca="1" si="38"/>
        <v>#REF!</v>
      </c>
      <c r="G27" s="380" t="e">
        <f t="shared" ca="1" si="38"/>
        <v>#REF!</v>
      </c>
      <c r="H27" s="380" t="e">
        <f t="shared" ca="1" si="38"/>
        <v>#REF!</v>
      </c>
      <c r="I27" s="380" t="e">
        <f t="shared" ca="1" si="38"/>
        <v>#REF!</v>
      </c>
      <c r="J27" s="380" t="e">
        <f t="shared" ca="1" si="38"/>
        <v>#REF!</v>
      </c>
      <c r="K27" s="380" t="e">
        <f t="shared" ca="1" si="38"/>
        <v>#REF!</v>
      </c>
      <c r="L27" s="380" t="e">
        <f t="shared" ca="1" si="38"/>
        <v>#REF!</v>
      </c>
      <c r="M27" s="380" t="e">
        <f t="shared" ca="1" si="38"/>
        <v>#REF!</v>
      </c>
      <c r="N27" s="380" t="e">
        <f t="shared" ca="1" si="38"/>
        <v>#REF!</v>
      </c>
      <c r="O27" s="380" t="e">
        <f t="shared" ca="1" si="38"/>
        <v>#REF!</v>
      </c>
      <c r="P27" s="380" t="e">
        <f t="shared" ca="1" si="38"/>
        <v>#REF!</v>
      </c>
      <c r="Q27" s="380" t="e">
        <f t="shared" ca="1" si="38"/>
        <v>#REF!</v>
      </c>
      <c r="R27" s="380" t="e">
        <f t="shared" ca="1" si="38"/>
        <v>#REF!</v>
      </c>
      <c r="S27" s="380" t="e">
        <f t="shared" ca="1" si="35"/>
        <v>#REF!</v>
      </c>
      <c r="T27" s="380" t="e">
        <f t="shared" ca="1" si="35"/>
        <v>#REF!</v>
      </c>
      <c r="U27" s="380" t="e">
        <f t="shared" ca="1" si="35"/>
        <v>#REF!</v>
      </c>
      <c r="V27" s="380" t="e">
        <f t="shared" ca="1" si="35"/>
        <v>#REF!</v>
      </c>
      <c r="W27" s="380" t="e">
        <f t="shared" ca="1" si="35"/>
        <v>#REF!</v>
      </c>
      <c r="X27" s="380" t="e">
        <f t="shared" ref="X27" ca="1" si="44">IF(ABS(X$3/3-X13)&lt;=0.75,1,0)</f>
        <v>#REF!</v>
      </c>
      <c r="Y27" s="380" t="e">
        <f t="shared" ca="1" si="37"/>
        <v>#REF!</v>
      </c>
    </row>
    <row r="28" spans="1:25" hidden="1" x14ac:dyDescent="0.3">
      <c r="B28" s="379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</row>
    <row r="29" spans="1:25" hidden="1" x14ac:dyDescent="0.3">
      <c r="A29" s="379">
        <f>A15</f>
        <v>0</v>
      </c>
      <c r="B29" s="379" t="e">
        <f t="shared" ca="1" si="40"/>
        <v>#REF!</v>
      </c>
      <c r="C29" s="380" t="e">
        <f t="shared" ca="1" si="38"/>
        <v>#REF!</v>
      </c>
      <c r="D29" s="380" t="e">
        <f t="shared" ca="1" si="38"/>
        <v>#REF!</v>
      </c>
      <c r="E29" s="380" t="e">
        <f t="shared" ca="1" si="38"/>
        <v>#REF!</v>
      </c>
      <c r="F29" s="380" t="e">
        <f t="shared" ca="1" si="38"/>
        <v>#REF!</v>
      </c>
      <c r="G29" s="380" t="e">
        <f t="shared" ca="1" si="38"/>
        <v>#REF!</v>
      </c>
      <c r="H29" s="380" t="e">
        <f t="shared" ca="1" si="38"/>
        <v>#REF!</v>
      </c>
      <c r="I29" s="380" t="e">
        <f t="shared" ca="1" si="38"/>
        <v>#REF!</v>
      </c>
      <c r="J29" s="380" t="e">
        <f t="shared" ca="1" si="38"/>
        <v>#REF!</v>
      </c>
      <c r="K29" s="380" t="e">
        <f t="shared" ca="1" si="38"/>
        <v>#REF!</v>
      </c>
      <c r="L29" s="380" t="e">
        <f t="shared" ca="1" si="38"/>
        <v>#REF!</v>
      </c>
      <c r="M29" s="380" t="e">
        <f t="shared" ca="1" si="38"/>
        <v>#REF!</v>
      </c>
      <c r="N29" s="380" t="e">
        <f t="shared" ca="1" si="38"/>
        <v>#REF!</v>
      </c>
      <c r="O29" s="380" t="e">
        <f t="shared" ca="1" si="38"/>
        <v>#REF!</v>
      </c>
      <c r="P29" s="380" t="e">
        <f t="shared" ca="1" si="38"/>
        <v>#REF!</v>
      </c>
      <c r="Q29" s="380" t="e">
        <f t="shared" ca="1" si="38"/>
        <v>#REF!</v>
      </c>
      <c r="R29" s="380" t="e">
        <f t="shared" ca="1" si="38"/>
        <v>#REF!</v>
      </c>
      <c r="S29" s="380" t="e">
        <f t="shared" ref="S29:W30" ca="1" si="45">IF(ABS(S$3/3-S15)&lt;=0.75,1,0)</f>
        <v>#REF!</v>
      </c>
      <c r="T29" s="380" t="e">
        <f t="shared" ca="1" si="45"/>
        <v>#REF!</v>
      </c>
      <c r="U29" s="380" t="e">
        <f t="shared" ca="1" si="45"/>
        <v>#REF!</v>
      </c>
      <c r="V29" s="380" t="e">
        <f t="shared" ca="1" si="45"/>
        <v>#REF!</v>
      </c>
      <c r="W29" s="380" t="e">
        <f t="shared" ca="1" si="45"/>
        <v>#REF!</v>
      </c>
      <c r="X29" s="380" t="e">
        <f t="shared" ref="X29" ca="1" si="46">IF(ABS(X$3/3-X15)&lt;=0.75,1,0)</f>
        <v>#REF!</v>
      </c>
      <c r="Y29" s="380" t="e">
        <f t="shared" ref="Y29:Y30" ca="1" si="47">IF(ABS(Y$3/3-Y15)&lt;=0.75,1,0)</f>
        <v>#REF!</v>
      </c>
    </row>
    <row r="30" spans="1:25" hidden="1" x14ac:dyDescent="0.3">
      <c r="A30" s="379">
        <f>A16</f>
        <v>0</v>
      </c>
      <c r="B30" s="379" t="e">
        <f t="shared" ca="1" si="40"/>
        <v>#REF!</v>
      </c>
      <c r="C30" s="380" t="e">
        <f t="shared" ca="1" si="38"/>
        <v>#REF!</v>
      </c>
      <c r="D30" s="380" t="e">
        <f t="shared" ca="1" si="38"/>
        <v>#REF!</v>
      </c>
      <c r="E30" s="380" t="e">
        <f t="shared" ca="1" si="38"/>
        <v>#REF!</v>
      </c>
      <c r="F30" s="380" t="e">
        <f t="shared" ca="1" si="38"/>
        <v>#REF!</v>
      </c>
      <c r="G30" s="380" t="e">
        <f t="shared" ca="1" si="38"/>
        <v>#REF!</v>
      </c>
      <c r="H30" s="380" t="e">
        <f t="shared" ca="1" si="38"/>
        <v>#REF!</v>
      </c>
      <c r="I30" s="380" t="e">
        <f t="shared" ca="1" si="38"/>
        <v>#REF!</v>
      </c>
      <c r="J30" s="380" t="e">
        <f t="shared" ca="1" si="38"/>
        <v>#REF!</v>
      </c>
      <c r="K30" s="380" t="e">
        <f t="shared" ca="1" si="38"/>
        <v>#REF!</v>
      </c>
      <c r="L30" s="380" t="e">
        <f t="shared" ca="1" si="38"/>
        <v>#REF!</v>
      </c>
      <c r="M30" s="380" t="e">
        <f t="shared" ca="1" si="38"/>
        <v>#REF!</v>
      </c>
      <c r="N30" s="380" t="e">
        <f t="shared" ca="1" si="38"/>
        <v>#REF!</v>
      </c>
      <c r="O30" s="380" t="e">
        <f t="shared" ca="1" si="38"/>
        <v>#REF!</v>
      </c>
      <c r="P30" s="380" t="e">
        <f t="shared" ca="1" si="38"/>
        <v>#REF!</v>
      </c>
      <c r="Q30" s="380" t="e">
        <f t="shared" ca="1" si="38"/>
        <v>#REF!</v>
      </c>
      <c r="R30" s="380" t="e">
        <f t="shared" ca="1" si="38"/>
        <v>#REF!</v>
      </c>
      <c r="S30" s="380" t="e">
        <f t="shared" ca="1" si="45"/>
        <v>#REF!</v>
      </c>
      <c r="T30" s="380" t="e">
        <f t="shared" ca="1" si="45"/>
        <v>#REF!</v>
      </c>
      <c r="U30" s="380" t="e">
        <f t="shared" ca="1" si="45"/>
        <v>#REF!</v>
      </c>
      <c r="V30" s="380" t="e">
        <f t="shared" ca="1" si="45"/>
        <v>#REF!</v>
      </c>
      <c r="W30" s="380" t="e">
        <f t="shared" ca="1" si="45"/>
        <v>#REF!</v>
      </c>
      <c r="X30" s="380" t="e">
        <f t="shared" ref="X30" ca="1" si="48">IF(ABS(X$3/3-X16)&lt;=0.75,1,0)</f>
        <v>#REF!</v>
      </c>
      <c r="Y30" s="380" t="e">
        <f t="shared" ca="1" si="47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23" priority="3">
      <formula>C4&gt;3</formula>
    </cfRule>
    <cfRule type="expression" dxfId="22" priority="4">
      <formula>AND(C4&gt;2,C4&lt;=3)</formula>
    </cfRule>
    <cfRule type="expression" dxfId="21" priority="5">
      <formula>AND(C4&gt;1,C4&lt;=2)</formula>
    </cfRule>
    <cfRule type="expression" dxfId="20" priority="6">
      <formula>C4&lt;=1</formula>
    </cfRule>
  </conditionalFormatting>
  <conditionalFormatting sqref="C8:Y13">
    <cfRule type="expression" dxfId="19" priority="1">
      <formula>C$3/3-C8&lt;-0.75</formula>
    </cfRule>
    <cfRule type="expression" dxfId="18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AE30"/>
  <sheetViews>
    <sheetView zoomScale="115" zoomScaleNormal="115" workbookViewId="0"/>
  </sheetViews>
  <sheetFormatPr defaultColWidth="11.5546875" defaultRowHeight="15" customHeight="1" x14ac:dyDescent="0.3"/>
  <cols>
    <col min="1" max="1" width="11.6640625" customWidth="1"/>
    <col min="2" max="2" width="22.6640625" customWidth="1"/>
    <col min="3" max="18" width="4.77734375" style="35" customWidth="1"/>
    <col min="19" max="24" width="4.77734375" style="35" hidden="1" customWidth="1"/>
    <col min="25" max="25" width="4.77734375" style="35" customWidth="1"/>
    <col min="26" max="27" width="6.77734375" style="35" customWidth="1"/>
    <col min="28" max="31" width="4.77734375" style="35" customWidth="1"/>
  </cols>
  <sheetData>
    <row r="1" spans="1:31" ht="15" customHeight="1" x14ac:dyDescent="0.3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130"/>
      <c r="T1" s="130"/>
      <c r="U1" s="130"/>
      <c r="V1" s="130"/>
      <c r="W1" s="130"/>
      <c r="X1" s="130"/>
      <c r="Y1" s="42"/>
      <c r="Z1"/>
      <c r="AA1"/>
      <c r="AB1"/>
      <c r="AC1"/>
      <c r="AD1"/>
      <c r="AE1" s="42"/>
    </row>
    <row r="2" spans="1:31" ht="127.95" customHeight="1" x14ac:dyDescent="0.3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9</v>
      </c>
      <c r="E2" s="44" t="s">
        <v>10</v>
      </c>
      <c r="F2" s="44" t="s">
        <v>11</v>
      </c>
      <c r="G2" s="44" t="s">
        <v>13</v>
      </c>
      <c r="H2" s="44" t="s">
        <v>14</v>
      </c>
      <c r="I2" s="44" t="s">
        <v>15</v>
      </c>
      <c r="J2" s="44" t="s">
        <v>17</v>
      </c>
      <c r="K2" s="44" t="s">
        <v>18</v>
      </c>
      <c r="L2" s="44" t="s">
        <v>19</v>
      </c>
      <c r="M2" s="44" t="s">
        <v>21</v>
      </c>
      <c r="N2" s="44" t="s">
        <v>22</v>
      </c>
      <c r="O2" s="44" t="s">
        <v>23</v>
      </c>
      <c r="P2" s="44" t="s">
        <v>25</v>
      </c>
      <c r="Q2" s="44" t="s">
        <v>26</v>
      </c>
      <c r="R2" s="44" t="s">
        <v>27</v>
      </c>
      <c r="S2" s="46"/>
      <c r="T2" s="46"/>
      <c r="U2" s="46"/>
      <c r="V2" s="46"/>
      <c r="W2" s="46"/>
      <c r="X2" s="46"/>
      <c r="Y2" s="44" t="str">
        <f>Doku!B52</f>
        <v>Abgrüßen</v>
      </c>
      <c r="Z2" s="45" t="str">
        <f>Doku!B42</f>
        <v>Gesamt</v>
      </c>
      <c r="AA2" s="44" t="s">
        <v>226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3">
      <c r="A3" s="364" t="str">
        <f>Doku!B42&amp;":"</f>
        <v>Gesamt:</v>
      </c>
      <c r="B3" s="364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 t="e">
        <f t="shared" ca="1" si="0"/>
        <v>#REF!</v>
      </c>
      <c r="K3" s="36" t="e">
        <f t="shared" ca="1" si="0"/>
        <v>#REF!</v>
      </c>
      <c r="L3" s="36" t="e">
        <f t="shared" ca="1" si="0"/>
        <v>#REF!</v>
      </c>
      <c r="M3" s="36" t="e">
        <f t="shared" ca="1" si="0"/>
        <v>#REF!</v>
      </c>
      <c r="N3" s="36" t="e">
        <f t="shared" ca="1" si="0"/>
        <v>#REF!</v>
      </c>
      <c r="O3" s="36" t="e">
        <f t="shared" ca="1" si="0"/>
        <v>#REF!</v>
      </c>
      <c r="P3" s="36" t="e">
        <f t="shared" ca="1" si="0"/>
        <v>#REF!</v>
      </c>
      <c r="Q3" s="36" t="e">
        <f t="shared" ca="1" si="0"/>
        <v>#REF!</v>
      </c>
      <c r="R3" s="36" t="e">
        <f t="shared" ca="1" si="0"/>
        <v>#REF!</v>
      </c>
      <c r="S3" s="112"/>
      <c r="T3" s="112"/>
      <c r="U3" s="112"/>
      <c r="V3" s="112"/>
      <c r="W3" s="112"/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3">
      <c r="A4" s="366" t="str">
        <f>Doku!B49&amp;":"</f>
        <v>Spannweite:</v>
      </c>
      <c r="B4" s="366"/>
      <c r="C4" s="239" t="e">
        <f t="shared" ref="C4:R4" ca="1" si="1">MAX(C8:C12)-MIN(C8:C12)</f>
        <v>#REF!</v>
      </c>
      <c r="D4" s="239" t="e">
        <f t="shared" ca="1" si="1"/>
        <v>#REF!</v>
      </c>
      <c r="E4" s="239" t="e">
        <f t="shared" ca="1" si="1"/>
        <v>#REF!</v>
      </c>
      <c r="F4" s="239" t="e">
        <f t="shared" ca="1" si="1"/>
        <v>#REF!</v>
      </c>
      <c r="G4" s="239" t="e">
        <f t="shared" ca="1" si="1"/>
        <v>#REF!</v>
      </c>
      <c r="H4" s="239" t="e">
        <f t="shared" ca="1" si="1"/>
        <v>#REF!</v>
      </c>
      <c r="I4" s="239" t="e">
        <f t="shared" ca="1" si="1"/>
        <v>#REF!</v>
      </c>
      <c r="J4" s="239" t="e">
        <f t="shared" ca="1" si="1"/>
        <v>#REF!</v>
      </c>
      <c r="K4" s="239" t="e">
        <f t="shared" ca="1" si="1"/>
        <v>#REF!</v>
      </c>
      <c r="L4" s="239" t="e">
        <f t="shared" ca="1" si="1"/>
        <v>#REF!</v>
      </c>
      <c r="M4" s="239" t="e">
        <f t="shared" ca="1" si="1"/>
        <v>#REF!</v>
      </c>
      <c r="N4" s="239" t="e">
        <f t="shared" ca="1" si="1"/>
        <v>#REF!</v>
      </c>
      <c r="O4" s="239" t="e">
        <f t="shared" ca="1" si="1"/>
        <v>#REF!</v>
      </c>
      <c r="P4" s="239" t="e">
        <f t="shared" ca="1" si="1"/>
        <v>#REF!</v>
      </c>
      <c r="Q4" s="239" t="e">
        <f t="shared" ca="1" si="1"/>
        <v>#REF!</v>
      </c>
      <c r="R4" s="239" t="e">
        <f t="shared" ca="1" si="1"/>
        <v>#REF!</v>
      </c>
      <c r="S4" s="240"/>
      <c r="T4" s="240"/>
      <c r="U4" s="240"/>
      <c r="V4" s="240"/>
      <c r="W4" s="240"/>
      <c r="X4" s="240"/>
      <c r="Y4" s="239" t="e">
        <f ca="1">MAX(Y8:Y12)-MIN(Y8:Y12)</f>
        <v>#REF!</v>
      </c>
      <c r="Z4" s="241" t="e">
        <f ca="1">MAX(Z8:Z12)-MIN(Z8:Z12)</f>
        <v>#REF!</v>
      </c>
      <c r="AA4" s="240"/>
      <c r="AB4" s="239" t="e">
        <f ca="1">MAX(AB8:AB12)-MIN(AB8:AB12)</f>
        <v>#REF!</v>
      </c>
      <c r="AC4" s="239" t="e">
        <f ca="1">MAX(AC8:AC12)-MIN(AC8:AC12)</f>
        <v>#REF!</v>
      </c>
      <c r="AD4" s="239" t="e">
        <f ca="1">MAX(AD8:AD13)-MIN(AD8:AD12)</f>
        <v>#REF!</v>
      </c>
      <c r="AE4" s="239" t="e">
        <f ca="1">MAX(AE8:AE13)-MIN(AE8:AE12)</f>
        <v>#REF!</v>
      </c>
    </row>
    <row r="5" spans="1:31" ht="15" customHeight="1" x14ac:dyDescent="0.3">
      <c r="A5" s="365" t="str">
        <f>Doku!B47&amp;":"</f>
        <v>Mittelwert:</v>
      </c>
      <c r="B5" s="365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 t="e">
        <f t="shared" ca="1" si="2"/>
        <v>#REF!</v>
      </c>
      <c r="K5" s="38" t="e">
        <f t="shared" ca="1" si="2"/>
        <v>#REF!</v>
      </c>
      <c r="L5" s="38" t="e">
        <f t="shared" ca="1" si="2"/>
        <v>#REF!</v>
      </c>
      <c r="M5" s="38" t="e">
        <f t="shared" ca="1" si="2"/>
        <v>#REF!</v>
      </c>
      <c r="N5" s="38" t="e">
        <f t="shared" ca="1" si="2"/>
        <v>#REF!</v>
      </c>
      <c r="O5" s="38" t="e">
        <f t="shared" ca="1" si="2"/>
        <v>#REF!</v>
      </c>
      <c r="P5" s="38" t="e">
        <f t="shared" ca="1" si="2"/>
        <v>#REF!</v>
      </c>
      <c r="Q5" s="38" t="e">
        <f t="shared" ca="1" si="2"/>
        <v>#REF!</v>
      </c>
      <c r="R5" s="38" t="e">
        <f t="shared" ca="1" si="2"/>
        <v>#REF!</v>
      </c>
      <c r="S5" s="38"/>
      <c r="T5" s="38"/>
      <c r="U5" s="38"/>
      <c r="V5" s="38"/>
      <c r="W5" s="38"/>
      <c r="X5" s="38"/>
      <c r="Y5" s="38" t="e">
        <f t="shared" ca="1" si="2"/>
        <v>#REF!</v>
      </c>
      <c r="Z5" s="39" t="e">
        <f t="shared" ca="1" si="2"/>
        <v>#REF!</v>
      </c>
      <c r="AA5" s="89"/>
      <c r="AB5" s="38" t="e">
        <f t="shared" ref="AB5:AH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31" ht="15" hidden="1" customHeight="1" x14ac:dyDescent="0.3">
      <c r="A6" s="365"/>
      <c r="B6" s="365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113"/>
      <c r="T6" s="113"/>
      <c r="U6" s="113"/>
      <c r="V6" s="113"/>
      <c r="W6" s="113"/>
      <c r="X6" s="113"/>
      <c r="Y6" s="40"/>
      <c r="Z6" s="41"/>
      <c r="AA6" s="113"/>
      <c r="AB6" s="40"/>
      <c r="AC6" s="40"/>
      <c r="AD6" s="40"/>
      <c r="AE6" s="40"/>
    </row>
    <row r="7" spans="1:31" ht="15" customHeight="1" x14ac:dyDescent="0.3">
      <c r="A7" s="367"/>
      <c r="B7" s="367" t="e">
        <f t="shared" ref="B7:B16" ca="1" si="4">INDIRECT("'"&amp;$A7&amp;"'!E5")</f>
        <v>#REF!</v>
      </c>
      <c r="C7" s="368" t="e">
        <f t="shared" ref="C7:C16" ca="1" si="5">INDIRECT("'"&amp;$A7&amp;"'!K13")</f>
        <v>#REF!</v>
      </c>
      <c r="D7" s="368" t="e">
        <f t="shared" ref="D7:D16" ca="1" si="6">INDIRECT("'"&amp;$A7&amp;"'!K14")</f>
        <v>#REF!</v>
      </c>
      <c r="E7" s="368" t="e">
        <f t="shared" ref="E7:E16" ca="1" si="7">INDIRECT("'"&amp;$A7&amp;"'!K15")</f>
        <v>#REF!</v>
      </c>
      <c r="F7" s="368" t="e">
        <f t="shared" ref="F7:F16" ca="1" si="8">INDIRECT("'"&amp;$A7&amp;"'!K16")</f>
        <v>#REF!</v>
      </c>
      <c r="G7" s="368" t="e">
        <f t="shared" ref="G7:G16" ca="1" si="9">INDIRECT("'"&amp;$A7&amp;"'!K17")</f>
        <v>#REF!</v>
      </c>
      <c r="H7" s="368" t="e">
        <f t="shared" ref="H7:H16" ca="1" si="10">INDIRECT("'"&amp;$A7&amp;"'!K18")</f>
        <v>#REF!</v>
      </c>
      <c r="I7" s="368" t="e">
        <f t="shared" ref="I7:I16" ca="1" si="11">INDIRECT("'"&amp;$A7&amp;"'!K19")</f>
        <v>#REF!</v>
      </c>
      <c r="J7" s="368" t="e">
        <f t="shared" ref="J7:J16" ca="1" si="12">INDIRECT("'"&amp;$A7&amp;"'!K20")</f>
        <v>#REF!</v>
      </c>
      <c r="K7" s="368" t="e">
        <f t="shared" ref="K7:K16" ca="1" si="13">INDIRECT("'"&amp;$A7&amp;"'!K21")</f>
        <v>#REF!</v>
      </c>
      <c r="L7" s="368" t="e">
        <f t="shared" ref="L7:L16" ca="1" si="14">INDIRECT("'"&amp;$A7&amp;"'!K22")</f>
        <v>#REF!</v>
      </c>
      <c r="M7" s="368" t="e">
        <f t="shared" ref="M7:M16" ca="1" si="15">INDIRECT("'"&amp;$A7&amp;"'!K23")</f>
        <v>#REF!</v>
      </c>
      <c r="N7" s="368" t="e">
        <f t="shared" ref="N7:N16" ca="1" si="16">INDIRECT("'"&amp;$A7&amp;"'!K24")</f>
        <v>#REF!</v>
      </c>
      <c r="O7" s="368" t="e">
        <f t="shared" ref="O7:O16" ca="1" si="17">INDIRECT("'"&amp;$A7&amp;"'!K25")</f>
        <v>#REF!</v>
      </c>
      <c r="P7" s="368" t="e">
        <f t="shared" ref="P7:P16" ca="1" si="18">INDIRECT("'"&amp;$A7&amp;"'!K26")</f>
        <v>#REF!</v>
      </c>
      <c r="Q7" s="368" t="e">
        <f t="shared" ref="Q7:Q16" ca="1" si="19">INDIRECT("'"&amp;$A7&amp;"'!K27")</f>
        <v>#REF!</v>
      </c>
      <c r="R7" s="368" t="e">
        <f t="shared" ref="R7:R16" ca="1" si="20">INDIRECT("'"&amp;$A7&amp;"'!K28")</f>
        <v>#REF!</v>
      </c>
      <c r="S7" s="368"/>
      <c r="T7" s="368"/>
      <c r="U7" s="368"/>
      <c r="V7" s="368"/>
      <c r="W7" s="368"/>
      <c r="X7" s="368"/>
      <c r="Y7" s="368" t="e">
        <f t="shared" ref="Y7:Y16" ca="1" si="21">INDIRECT("'"&amp;$A7&amp;"'!K29")</f>
        <v>#REF!</v>
      </c>
      <c r="Z7" s="369" t="e">
        <f t="shared" ref="Z7:Z16" ca="1" si="22">INDIRECT("'"&amp;$A7&amp;"'!K36")</f>
        <v>#REF!</v>
      </c>
      <c r="AA7" s="368"/>
      <c r="AB7" s="368" t="e">
        <f t="shared" ref="AB7:AB13" ca="1" si="23">INDIRECT("'"&amp;$A7&amp;"'!F36")</f>
        <v>#REF!</v>
      </c>
      <c r="AC7" s="368" t="e">
        <f t="shared" ref="AC7:AC13" ca="1" si="24">INDIRECT("'"&amp;$A7&amp;"'!H36")</f>
        <v>#REF!</v>
      </c>
      <c r="AD7" s="368" t="e">
        <f t="shared" ref="AD7:AD13" ca="1" si="25">INDIRECT("'"&amp;$A7&amp;"'!I36")</f>
        <v>#REF!</v>
      </c>
      <c r="AE7" s="368" t="e">
        <f t="shared" ref="AE7:AE13" ca="1" si="26">INDIRECT("'"&amp;$A7&amp;"'!J36")</f>
        <v>#REF!</v>
      </c>
    </row>
    <row r="8" spans="1:31" ht="15" customHeight="1" x14ac:dyDescent="0.3">
      <c r="A8" s="370"/>
      <c r="B8" s="370" t="e">
        <f t="shared" ca="1" si="4"/>
        <v>#REF!</v>
      </c>
      <c r="C8" s="383" t="e">
        <f t="shared" ca="1" si="5"/>
        <v>#REF!</v>
      </c>
      <c r="D8" s="383" t="e">
        <f t="shared" ca="1" si="6"/>
        <v>#REF!</v>
      </c>
      <c r="E8" s="383" t="e">
        <f t="shared" ca="1" si="7"/>
        <v>#REF!</v>
      </c>
      <c r="F8" s="383" t="e">
        <f t="shared" ca="1" si="8"/>
        <v>#REF!</v>
      </c>
      <c r="G8" s="383" t="e">
        <f t="shared" ca="1" si="9"/>
        <v>#REF!</v>
      </c>
      <c r="H8" s="383" t="e">
        <f t="shared" ca="1" si="10"/>
        <v>#REF!</v>
      </c>
      <c r="I8" s="383" t="e">
        <f t="shared" ca="1" si="11"/>
        <v>#REF!</v>
      </c>
      <c r="J8" s="383" t="e">
        <f t="shared" ca="1" si="12"/>
        <v>#REF!</v>
      </c>
      <c r="K8" s="383" t="e">
        <f t="shared" ca="1" si="13"/>
        <v>#REF!</v>
      </c>
      <c r="L8" s="383" t="e">
        <f t="shared" ca="1" si="14"/>
        <v>#REF!</v>
      </c>
      <c r="M8" s="383" t="e">
        <f t="shared" ca="1" si="15"/>
        <v>#REF!</v>
      </c>
      <c r="N8" s="383" t="e">
        <f t="shared" ca="1" si="16"/>
        <v>#REF!</v>
      </c>
      <c r="O8" s="383" t="e">
        <f t="shared" ca="1" si="17"/>
        <v>#REF!</v>
      </c>
      <c r="P8" s="383" t="e">
        <f t="shared" ca="1" si="18"/>
        <v>#REF!</v>
      </c>
      <c r="Q8" s="383" t="e">
        <f t="shared" ca="1" si="19"/>
        <v>#REF!</v>
      </c>
      <c r="R8" s="383" t="e">
        <f t="shared" ca="1" si="20"/>
        <v>#REF!</v>
      </c>
      <c r="S8" s="383"/>
      <c r="T8" s="383"/>
      <c r="U8" s="383"/>
      <c r="V8" s="383"/>
      <c r="W8" s="383"/>
      <c r="X8" s="383"/>
      <c r="Y8" s="383" t="e">
        <f t="shared" ca="1" si="21"/>
        <v>#REF!</v>
      </c>
      <c r="Z8" s="372" t="e">
        <f t="shared" ca="1" si="22"/>
        <v>#REF!</v>
      </c>
      <c r="AA8" s="381" t="e">
        <f ca="1">SUM(C22:Y22)/COUNT(C8:Y8)</f>
        <v>#REF!</v>
      </c>
      <c r="AB8" s="371" t="e">
        <f t="shared" ca="1" si="23"/>
        <v>#REF!</v>
      </c>
      <c r="AC8" s="371" t="e">
        <f t="shared" ca="1" si="24"/>
        <v>#REF!</v>
      </c>
      <c r="AD8" s="371" t="e">
        <f t="shared" ca="1" si="25"/>
        <v>#REF!</v>
      </c>
      <c r="AE8" s="371" t="e">
        <f t="shared" ca="1" si="26"/>
        <v>#REF!</v>
      </c>
    </row>
    <row r="9" spans="1:31" ht="15" customHeight="1" x14ac:dyDescent="0.3">
      <c r="A9" s="370"/>
      <c r="B9" s="370" t="e">
        <f t="shared" ca="1" si="4"/>
        <v>#REF!</v>
      </c>
      <c r="C9" s="371" t="e">
        <f t="shared" ca="1" si="5"/>
        <v>#REF!</v>
      </c>
      <c r="D9" s="371" t="e">
        <f t="shared" ca="1" si="6"/>
        <v>#REF!</v>
      </c>
      <c r="E9" s="371" t="e">
        <f t="shared" ca="1" si="7"/>
        <v>#REF!</v>
      </c>
      <c r="F9" s="371" t="e">
        <f t="shared" ca="1" si="8"/>
        <v>#REF!</v>
      </c>
      <c r="G9" s="371" t="e">
        <f t="shared" ca="1" si="9"/>
        <v>#REF!</v>
      </c>
      <c r="H9" s="371" t="e">
        <f t="shared" ca="1" si="10"/>
        <v>#REF!</v>
      </c>
      <c r="I9" s="371" t="e">
        <f t="shared" ca="1" si="11"/>
        <v>#REF!</v>
      </c>
      <c r="J9" s="371" t="e">
        <f t="shared" ca="1" si="12"/>
        <v>#REF!</v>
      </c>
      <c r="K9" s="371" t="e">
        <f t="shared" ca="1" si="13"/>
        <v>#REF!</v>
      </c>
      <c r="L9" s="371" t="e">
        <f t="shared" ca="1" si="14"/>
        <v>#REF!</v>
      </c>
      <c r="M9" s="371" t="e">
        <f t="shared" ca="1" si="15"/>
        <v>#REF!</v>
      </c>
      <c r="N9" s="371" t="e">
        <f t="shared" ca="1" si="16"/>
        <v>#REF!</v>
      </c>
      <c r="O9" s="371" t="e">
        <f t="shared" ca="1" si="17"/>
        <v>#REF!</v>
      </c>
      <c r="P9" s="371" t="e">
        <f t="shared" ca="1" si="18"/>
        <v>#REF!</v>
      </c>
      <c r="Q9" s="371" t="e">
        <f t="shared" ca="1" si="19"/>
        <v>#REF!</v>
      </c>
      <c r="R9" s="371" t="e">
        <f t="shared" ca="1" si="20"/>
        <v>#REF!</v>
      </c>
      <c r="S9" s="371"/>
      <c r="T9" s="371"/>
      <c r="U9" s="371"/>
      <c r="V9" s="371"/>
      <c r="W9" s="371"/>
      <c r="X9" s="371"/>
      <c r="Y9" s="371" t="e">
        <f t="shared" ca="1" si="21"/>
        <v>#REF!</v>
      </c>
      <c r="Z9" s="372" t="e">
        <f t="shared" ca="1" si="22"/>
        <v>#REF!</v>
      </c>
      <c r="AA9" s="382" t="e">
        <f ca="1">SUM(C23:Y23)/COUNT(C9:Y9)</f>
        <v>#REF!</v>
      </c>
      <c r="AB9" s="371" t="e">
        <f t="shared" ca="1" si="23"/>
        <v>#REF!</v>
      </c>
      <c r="AC9" s="371" t="e">
        <f t="shared" ca="1" si="24"/>
        <v>#REF!</v>
      </c>
      <c r="AD9" s="371" t="e">
        <f t="shared" ca="1" si="25"/>
        <v>#REF!</v>
      </c>
      <c r="AE9" s="371" t="e">
        <f t="shared" ca="1" si="26"/>
        <v>#REF!</v>
      </c>
    </row>
    <row r="10" spans="1:31" ht="15" customHeight="1" x14ac:dyDescent="0.3">
      <c r="A10" s="370"/>
      <c r="B10" s="370" t="e">
        <f t="shared" ca="1" si="4"/>
        <v>#REF!</v>
      </c>
      <c r="C10" s="371" t="e">
        <f t="shared" ca="1" si="5"/>
        <v>#REF!</v>
      </c>
      <c r="D10" s="371" t="e">
        <f t="shared" ca="1" si="6"/>
        <v>#REF!</v>
      </c>
      <c r="E10" s="371" t="e">
        <f t="shared" ca="1" si="7"/>
        <v>#REF!</v>
      </c>
      <c r="F10" s="371" t="e">
        <f t="shared" ca="1" si="8"/>
        <v>#REF!</v>
      </c>
      <c r="G10" s="371" t="e">
        <f t="shared" ca="1" si="9"/>
        <v>#REF!</v>
      </c>
      <c r="H10" s="371" t="e">
        <f t="shared" ca="1" si="10"/>
        <v>#REF!</v>
      </c>
      <c r="I10" s="371" t="e">
        <f t="shared" ca="1" si="11"/>
        <v>#REF!</v>
      </c>
      <c r="J10" s="371" t="e">
        <f t="shared" ca="1" si="12"/>
        <v>#REF!</v>
      </c>
      <c r="K10" s="371" t="e">
        <f t="shared" ca="1" si="13"/>
        <v>#REF!</v>
      </c>
      <c r="L10" s="371" t="e">
        <f t="shared" ca="1" si="14"/>
        <v>#REF!</v>
      </c>
      <c r="M10" s="371" t="e">
        <f t="shared" ca="1" si="15"/>
        <v>#REF!</v>
      </c>
      <c r="N10" s="371" t="e">
        <f t="shared" ca="1" si="16"/>
        <v>#REF!</v>
      </c>
      <c r="O10" s="371" t="e">
        <f t="shared" ca="1" si="17"/>
        <v>#REF!</v>
      </c>
      <c r="P10" s="371" t="e">
        <f t="shared" ca="1" si="18"/>
        <v>#REF!</v>
      </c>
      <c r="Q10" s="371" t="e">
        <f t="shared" ca="1" si="19"/>
        <v>#REF!</v>
      </c>
      <c r="R10" s="371" t="e">
        <f t="shared" ca="1" si="20"/>
        <v>#REF!</v>
      </c>
      <c r="S10" s="371"/>
      <c r="T10" s="371"/>
      <c r="U10" s="371"/>
      <c r="V10" s="371"/>
      <c r="W10" s="371"/>
      <c r="X10" s="371"/>
      <c r="Y10" s="371" t="e">
        <f t="shared" ca="1" si="21"/>
        <v>#REF!</v>
      </c>
      <c r="Z10" s="372" t="e">
        <f t="shared" ca="1" si="22"/>
        <v>#REF!</v>
      </c>
      <c r="AA10" s="382" t="e">
        <f ca="1">SUM(C24:Y24)/COUNT(C10:Y10)</f>
        <v>#REF!</v>
      </c>
      <c r="AB10" s="371" t="e">
        <f t="shared" ca="1" si="23"/>
        <v>#REF!</v>
      </c>
      <c r="AC10" s="371" t="e">
        <f t="shared" ca="1" si="24"/>
        <v>#REF!</v>
      </c>
      <c r="AD10" s="371" t="e">
        <f t="shared" ca="1" si="25"/>
        <v>#REF!</v>
      </c>
      <c r="AE10" s="371" t="e">
        <f t="shared" ca="1" si="26"/>
        <v>#REF!</v>
      </c>
    </row>
    <row r="11" spans="1:31" ht="15" customHeight="1" x14ac:dyDescent="0.3">
      <c r="A11" s="370"/>
      <c r="B11" s="370" t="e">
        <f t="shared" ca="1" si="4"/>
        <v>#REF!</v>
      </c>
      <c r="C11" s="371" t="e">
        <f t="shared" ca="1" si="5"/>
        <v>#REF!</v>
      </c>
      <c r="D11" s="371" t="e">
        <f t="shared" ca="1" si="6"/>
        <v>#REF!</v>
      </c>
      <c r="E11" s="371" t="e">
        <f t="shared" ca="1" si="7"/>
        <v>#REF!</v>
      </c>
      <c r="F11" s="371" t="e">
        <f t="shared" ca="1" si="8"/>
        <v>#REF!</v>
      </c>
      <c r="G11" s="371" t="e">
        <f t="shared" ca="1" si="9"/>
        <v>#REF!</v>
      </c>
      <c r="H11" s="371" t="e">
        <f t="shared" ca="1" si="10"/>
        <v>#REF!</v>
      </c>
      <c r="I11" s="371" t="e">
        <f t="shared" ca="1" si="11"/>
        <v>#REF!</v>
      </c>
      <c r="J11" s="371" t="e">
        <f t="shared" ca="1" si="12"/>
        <v>#REF!</v>
      </c>
      <c r="K11" s="371" t="e">
        <f t="shared" ca="1" si="13"/>
        <v>#REF!</v>
      </c>
      <c r="L11" s="371" t="e">
        <f t="shared" ca="1" si="14"/>
        <v>#REF!</v>
      </c>
      <c r="M11" s="371" t="e">
        <f t="shared" ca="1" si="15"/>
        <v>#REF!</v>
      </c>
      <c r="N11" s="371" t="e">
        <f t="shared" ca="1" si="16"/>
        <v>#REF!</v>
      </c>
      <c r="O11" s="371" t="e">
        <f t="shared" ca="1" si="17"/>
        <v>#REF!</v>
      </c>
      <c r="P11" s="371" t="e">
        <f t="shared" ca="1" si="18"/>
        <v>#REF!</v>
      </c>
      <c r="Q11" s="371" t="e">
        <f t="shared" ca="1" si="19"/>
        <v>#REF!</v>
      </c>
      <c r="R11" s="371" t="e">
        <f t="shared" ca="1" si="20"/>
        <v>#REF!</v>
      </c>
      <c r="S11" s="371"/>
      <c r="T11" s="371"/>
      <c r="U11" s="371"/>
      <c r="V11" s="371"/>
      <c r="W11" s="371"/>
      <c r="X11" s="371"/>
      <c r="Y11" s="371" t="e">
        <f t="shared" ca="1" si="21"/>
        <v>#REF!</v>
      </c>
      <c r="Z11" s="372" t="e">
        <f t="shared" ca="1" si="22"/>
        <v>#REF!</v>
      </c>
      <c r="AA11" s="382" t="e">
        <f ca="1">SUM(C25:Y25)/COUNT(C11:Y11)</f>
        <v>#REF!</v>
      </c>
      <c r="AB11" s="371" t="e">
        <f t="shared" ca="1" si="23"/>
        <v>#REF!</v>
      </c>
      <c r="AC11" s="371" t="e">
        <f t="shared" ca="1" si="24"/>
        <v>#REF!</v>
      </c>
      <c r="AD11" s="371" t="e">
        <f t="shared" ca="1" si="25"/>
        <v>#REF!</v>
      </c>
      <c r="AE11" s="371" t="e">
        <f t="shared" ca="1" si="26"/>
        <v>#REF!</v>
      </c>
    </row>
    <row r="12" spans="1:31" ht="15" customHeight="1" thickBot="1" x14ac:dyDescent="0.35">
      <c r="A12" s="373"/>
      <c r="B12" s="373" t="e">
        <f t="shared" ca="1" si="4"/>
        <v>#REF!</v>
      </c>
      <c r="C12" s="374" t="e">
        <f t="shared" ca="1" si="5"/>
        <v>#REF!</v>
      </c>
      <c r="D12" s="374" t="e">
        <f t="shared" ca="1" si="6"/>
        <v>#REF!</v>
      </c>
      <c r="E12" s="374" t="e">
        <f t="shared" ca="1" si="7"/>
        <v>#REF!</v>
      </c>
      <c r="F12" s="374" t="e">
        <f t="shared" ca="1" si="8"/>
        <v>#REF!</v>
      </c>
      <c r="G12" s="374" t="e">
        <f t="shared" ca="1" si="9"/>
        <v>#REF!</v>
      </c>
      <c r="H12" s="374" t="e">
        <f t="shared" ca="1" si="10"/>
        <v>#REF!</v>
      </c>
      <c r="I12" s="374" t="e">
        <f t="shared" ca="1" si="11"/>
        <v>#REF!</v>
      </c>
      <c r="J12" s="374" t="e">
        <f t="shared" ca="1" si="12"/>
        <v>#REF!</v>
      </c>
      <c r="K12" s="374" t="e">
        <f t="shared" ca="1" si="13"/>
        <v>#REF!</v>
      </c>
      <c r="L12" s="374" t="e">
        <f t="shared" ca="1" si="14"/>
        <v>#REF!</v>
      </c>
      <c r="M12" s="374" t="e">
        <f t="shared" ca="1" si="15"/>
        <v>#REF!</v>
      </c>
      <c r="N12" s="374" t="e">
        <f t="shared" ca="1" si="16"/>
        <v>#REF!</v>
      </c>
      <c r="O12" s="374" t="e">
        <f t="shared" ca="1" si="17"/>
        <v>#REF!</v>
      </c>
      <c r="P12" s="374" t="e">
        <f t="shared" ca="1" si="18"/>
        <v>#REF!</v>
      </c>
      <c r="Q12" s="374" t="e">
        <f t="shared" ca="1" si="19"/>
        <v>#REF!</v>
      </c>
      <c r="R12" s="374" t="e">
        <f t="shared" ca="1" si="20"/>
        <v>#REF!</v>
      </c>
      <c r="S12" s="374"/>
      <c r="T12" s="374"/>
      <c r="U12" s="374"/>
      <c r="V12" s="374"/>
      <c r="W12" s="374"/>
      <c r="X12" s="374"/>
      <c r="Y12" s="374" t="e">
        <f t="shared" ca="1" si="21"/>
        <v>#REF!</v>
      </c>
      <c r="Z12" s="375" t="e">
        <f t="shared" ca="1" si="22"/>
        <v>#REF!</v>
      </c>
      <c r="AA12" s="382" t="e">
        <f ca="1">SUM(C26:Y26)/COUNT(C12:Y12)</f>
        <v>#REF!</v>
      </c>
      <c r="AB12" s="374" t="e">
        <f t="shared" ca="1" si="23"/>
        <v>#REF!</v>
      </c>
      <c r="AC12" s="374" t="e">
        <f t="shared" ca="1" si="24"/>
        <v>#REF!</v>
      </c>
      <c r="AD12" s="374" t="e">
        <f t="shared" ca="1" si="25"/>
        <v>#REF!</v>
      </c>
      <c r="AE12" s="374" t="e">
        <f t="shared" ca="1" si="26"/>
        <v>#REF!</v>
      </c>
    </row>
    <row r="13" spans="1:31" ht="15" customHeight="1" thickBot="1" x14ac:dyDescent="0.35">
      <c r="A13" s="376"/>
      <c r="B13" s="376" t="e">
        <f t="shared" ca="1" si="4"/>
        <v>#REF!</v>
      </c>
      <c r="C13" s="377" t="e">
        <f t="shared" ca="1" si="5"/>
        <v>#REF!</v>
      </c>
      <c r="D13" s="377" t="e">
        <f t="shared" ca="1" si="6"/>
        <v>#REF!</v>
      </c>
      <c r="E13" s="377" t="e">
        <f t="shared" ca="1" si="7"/>
        <v>#REF!</v>
      </c>
      <c r="F13" s="377" t="e">
        <f t="shared" ca="1" si="8"/>
        <v>#REF!</v>
      </c>
      <c r="G13" s="377" t="e">
        <f t="shared" ca="1" si="9"/>
        <v>#REF!</v>
      </c>
      <c r="H13" s="377" t="e">
        <f t="shared" ca="1" si="10"/>
        <v>#REF!</v>
      </c>
      <c r="I13" s="377" t="e">
        <f t="shared" ca="1" si="11"/>
        <v>#REF!</v>
      </c>
      <c r="J13" s="377" t="e">
        <f t="shared" ca="1" si="12"/>
        <v>#REF!</v>
      </c>
      <c r="K13" s="377" t="e">
        <f t="shared" ca="1" si="13"/>
        <v>#REF!</v>
      </c>
      <c r="L13" s="377" t="e">
        <f t="shared" ca="1" si="14"/>
        <v>#REF!</v>
      </c>
      <c r="M13" s="377" t="e">
        <f t="shared" ca="1" si="15"/>
        <v>#REF!</v>
      </c>
      <c r="N13" s="377" t="e">
        <f t="shared" ca="1" si="16"/>
        <v>#REF!</v>
      </c>
      <c r="O13" s="377" t="e">
        <f t="shared" ca="1" si="17"/>
        <v>#REF!</v>
      </c>
      <c r="P13" s="377" t="e">
        <f t="shared" ca="1" si="18"/>
        <v>#REF!</v>
      </c>
      <c r="Q13" s="377" t="e">
        <f t="shared" ca="1" si="19"/>
        <v>#REF!</v>
      </c>
      <c r="R13" s="377" t="e">
        <f t="shared" ca="1" si="20"/>
        <v>#REF!</v>
      </c>
      <c r="S13" s="377"/>
      <c r="T13" s="377"/>
      <c r="U13" s="377"/>
      <c r="V13" s="377"/>
      <c r="W13" s="377"/>
      <c r="X13" s="377"/>
      <c r="Y13" s="377" t="e">
        <f t="shared" ca="1" si="21"/>
        <v>#REF!</v>
      </c>
      <c r="Z13" s="378" t="e">
        <f t="shared" ca="1" si="22"/>
        <v>#REF!</v>
      </c>
      <c r="AA13" s="386" t="e">
        <f ca="1">SUM(C27:Y27)/COUNT(C13:Y13)</f>
        <v>#REF!</v>
      </c>
      <c r="AB13" s="377" t="e">
        <f t="shared" ca="1" si="23"/>
        <v>#REF!</v>
      </c>
      <c r="AC13" s="377" t="e">
        <f t="shared" ca="1" si="24"/>
        <v>#REF!</v>
      </c>
      <c r="AD13" s="377" t="e">
        <f t="shared" ca="1" si="25"/>
        <v>#REF!</v>
      </c>
      <c r="AE13" s="377" t="e">
        <f t="shared" ca="1" si="26"/>
        <v>#REF!</v>
      </c>
    </row>
    <row r="14" spans="1:31" ht="15" customHeight="1" x14ac:dyDescent="0.3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384"/>
      <c r="AB14" s="133"/>
      <c r="AC14" s="133"/>
      <c r="AD14" s="133"/>
      <c r="AE14" s="133"/>
    </row>
    <row r="15" spans="1:31" ht="15" customHeight="1" x14ac:dyDescent="0.3">
      <c r="A15" s="234"/>
      <c r="B15" s="234" t="e">
        <f t="shared" ca="1" si="4"/>
        <v>#REF!</v>
      </c>
      <c r="C15" s="235" t="e">
        <f t="shared" ca="1" si="5"/>
        <v>#REF!</v>
      </c>
      <c r="D15" s="235" t="e">
        <f t="shared" ca="1" si="6"/>
        <v>#REF!</v>
      </c>
      <c r="E15" s="235" t="e">
        <f t="shared" ca="1" si="7"/>
        <v>#REF!</v>
      </c>
      <c r="F15" s="235" t="e">
        <f t="shared" ca="1" si="8"/>
        <v>#REF!</v>
      </c>
      <c r="G15" s="235" t="e">
        <f t="shared" ca="1" si="9"/>
        <v>#REF!</v>
      </c>
      <c r="H15" s="235" t="e">
        <f t="shared" ca="1" si="10"/>
        <v>#REF!</v>
      </c>
      <c r="I15" s="235" t="e">
        <f t="shared" ca="1" si="11"/>
        <v>#REF!</v>
      </c>
      <c r="J15" s="235" t="e">
        <f t="shared" ca="1" si="12"/>
        <v>#REF!</v>
      </c>
      <c r="K15" s="235" t="e">
        <f t="shared" ca="1" si="13"/>
        <v>#REF!</v>
      </c>
      <c r="L15" s="235" t="e">
        <f t="shared" ca="1" si="14"/>
        <v>#REF!</v>
      </c>
      <c r="M15" s="235" t="e">
        <f t="shared" ca="1" si="15"/>
        <v>#REF!</v>
      </c>
      <c r="N15" s="235" t="e">
        <f t="shared" ca="1" si="16"/>
        <v>#REF!</v>
      </c>
      <c r="O15" s="235" t="e">
        <f t="shared" ca="1" si="17"/>
        <v>#REF!</v>
      </c>
      <c r="P15" s="235" t="e">
        <f t="shared" ca="1" si="18"/>
        <v>#REF!</v>
      </c>
      <c r="Q15" s="235" t="e">
        <f t="shared" ca="1" si="19"/>
        <v>#REF!</v>
      </c>
      <c r="R15" s="235" t="e">
        <f t="shared" ca="1" si="20"/>
        <v>#REF!</v>
      </c>
      <c r="S15" s="235"/>
      <c r="T15" s="235"/>
      <c r="U15" s="235"/>
      <c r="V15" s="235"/>
      <c r="W15" s="235"/>
      <c r="X15" s="235"/>
      <c r="Y15" s="235" t="e">
        <f t="shared" ca="1" si="21"/>
        <v>#REF!</v>
      </c>
      <c r="Z15" s="236" t="e">
        <f t="shared" ca="1" si="22"/>
        <v>#REF!</v>
      </c>
      <c r="AA15" s="385" t="e">
        <f ca="1">SUM(C29:Y29)/COUNT(C15:Y15)</f>
        <v>#REF!</v>
      </c>
      <c r="AB15" s="235" t="e">
        <f ca="1">INDIRECT("'"&amp;$A15&amp;"'!F36")</f>
        <v>#REF!</v>
      </c>
      <c r="AC15" s="235" t="e">
        <f ca="1">INDIRECT("'"&amp;$A15&amp;"'!H36")</f>
        <v>#REF!</v>
      </c>
      <c r="AD15" s="235" t="e">
        <f ca="1">INDIRECT("'"&amp;$A15&amp;"'!I36")</f>
        <v>#REF!</v>
      </c>
      <c r="AE15" s="235" t="e">
        <f ca="1">INDIRECT("'"&amp;$A15&amp;"'!J36")</f>
        <v>#REF!</v>
      </c>
    </row>
    <row r="16" spans="1:31" ht="15" customHeight="1" x14ac:dyDescent="0.3">
      <c r="A16" s="132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 t="e">
        <f t="shared" ca="1" si="12"/>
        <v>#REF!</v>
      </c>
      <c r="K16" s="133" t="e">
        <f t="shared" ca="1" si="13"/>
        <v>#REF!</v>
      </c>
      <c r="L16" s="133" t="e">
        <f t="shared" ca="1" si="14"/>
        <v>#REF!</v>
      </c>
      <c r="M16" s="133" t="e">
        <f t="shared" ca="1" si="15"/>
        <v>#REF!</v>
      </c>
      <c r="N16" s="133" t="e">
        <f t="shared" ca="1" si="16"/>
        <v>#REF!</v>
      </c>
      <c r="O16" s="133" t="e">
        <f t="shared" ca="1" si="17"/>
        <v>#REF!</v>
      </c>
      <c r="P16" s="133" t="e">
        <f t="shared" ca="1" si="18"/>
        <v>#REF!</v>
      </c>
      <c r="Q16" s="133" t="e">
        <f t="shared" ca="1" si="19"/>
        <v>#REF!</v>
      </c>
      <c r="R16" s="133" t="e">
        <f t="shared" ca="1" si="20"/>
        <v>#REF!</v>
      </c>
      <c r="S16" s="133"/>
      <c r="T16" s="133"/>
      <c r="U16" s="133"/>
      <c r="V16" s="133"/>
      <c r="W16" s="133"/>
      <c r="X16" s="133"/>
      <c r="Y16" s="133" t="e">
        <f t="shared" ca="1" si="21"/>
        <v>#REF!</v>
      </c>
      <c r="Z16" s="134" t="e">
        <f t="shared" ca="1" si="22"/>
        <v>#REF!</v>
      </c>
      <c r="AA16" s="385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t="15" hidden="1" customHeight="1" x14ac:dyDescent="0.3">
      <c r="A21" s="379" t="s">
        <v>227</v>
      </c>
      <c r="B21" s="379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X21" s="380"/>
      <c r="Y21" s="380"/>
    </row>
    <row r="22" spans="1:25" ht="15" hidden="1" customHeight="1" x14ac:dyDescent="0.3">
      <c r="A22" s="379">
        <f>A8</f>
        <v>0</v>
      </c>
      <c r="B22" s="379" t="e">
        <f ca="1">B8</f>
        <v>#REF!</v>
      </c>
      <c r="C22" s="380" t="e">
        <f ca="1">IF(ABS(C$3/3-C8)&lt;=0.75,1,0)</f>
        <v>#REF!</v>
      </c>
      <c r="D22" s="380" t="e">
        <f t="shared" ref="D22:Y22" ca="1" si="27">IF(ABS(D$3/3-D8)&lt;=0.75,1,0)</f>
        <v>#REF!</v>
      </c>
      <c r="E22" s="380" t="e">
        <f t="shared" ca="1" si="27"/>
        <v>#REF!</v>
      </c>
      <c r="F22" s="380" t="e">
        <f t="shared" ca="1" si="27"/>
        <v>#REF!</v>
      </c>
      <c r="G22" s="380" t="e">
        <f t="shared" ca="1" si="27"/>
        <v>#REF!</v>
      </c>
      <c r="H22" s="380" t="e">
        <f t="shared" ca="1" si="27"/>
        <v>#REF!</v>
      </c>
      <c r="I22" s="380" t="e">
        <f t="shared" ca="1" si="27"/>
        <v>#REF!</v>
      </c>
      <c r="J22" s="380" t="e">
        <f t="shared" ca="1" si="27"/>
        <v>#REF!</v>
      </c>
      <c r="K22" s="380" t="e">
        <f t="shared" ca="1" si="27"/>
        <v>#REF!</v>
      </c>
      <c r="L22" s="380" t="e">
        <f t="shared" ca="1" si="27"/>
        <v>#REF!</v>
      </c>
      <c r="M22" s="380" t="e">
        <f t="shared" ca="1" si="27"/>
        <v>#REF!</v>
      </c>
      <c r="N22" s="380" t="e">
        <f t="shared" ca="1" si="27"/>
        <v>#REF!</v>
      </c>
      <c r="O22" s="380" t="e">
        <f t="shared" ca="1" si="27"/>
        <v>#REF!</v>
      </c>
      <c r="P22" s="380" t="e">
        <f t="shared" ca="1" si="27"/>
        <v>#REF!</v>
      </c>
      <c r="Q22" s="380" t="e">
        <f t="shared" ca="1" si="27"/>
        <v>#REF!</v>
      </c>
      <c r="R22" s="380" t="e">
        <f t="shared" ca="1" si="27"/>
        <v>#REF!</v>
      </c>
      <c r="S22" s="380"/>
      <c r="T22" s="380"/>
      <c r="U22" s="380"/>
      <c r="V22" s="380"/>
      <c r="W22" s="380"/>
      <c r="X22" s="380"/>
      <c r="Y22" s="380" t="e">
        <f t="shared" ca="1" si="27"/>
        <v>#REF!</v>
      </c>
    </row>
    <row r="23" spans="1:25" ht="15" hidden="1" customHeight="1" x14ac:dyDescent="0.3">
      <c r="A23" s="379">
        <f>A9</f>
        <v>0</v>
      </c>
      <c r="B23" s="379" t="e">
        <f ca="1">B9</f>
        <v>#REF!</v>
      </c>
      <c r="C23" s="380" t="e">
        <f t="shared" ref="C23:Y30" ca="1" si="28">IF(ABS(C$3/3-C9)&lt;=0.75,1,0)</f>
        <v>#REF!</v>
      </c>
      <c r="D23" s="380" t="e">
        <f t="shared" ca="1" si="28"/>
        <v>#REF!</v>
      </c>
      <c r="E23" s="380" t="e">
        <f t="shared" ca="1" si="28"/>
        <v>#REF!</v>
      </c>
      <c r="F23" s="380" t="e">
        <f t="shared" ca="1" si="28"/>
        <v>#REF!</v>
      </c>
      <c r="G23" s="380" t="e">
        <f t="shared" ca="1" si="28"/>
        <v>#REF!</v>
      </c>
      <c r="H23" s="380" t="e">
        <f t="shared" ca="1" si="28"/>
        <v>#REF!</v>
      </c>
      <c r="I23" s="380" t="e">
        <f t="shared" ca="1" si="28"/>
        <v>#REF!</v>
      </c>
      <c r="J23" s="380" t="e">
        <f t="shared" ca="1" si="28"/>
        <v>#REF!</v>
      </c>
      <c r="K23" s="380" t="e">
        <f t="shared" ca="1" si="28"/>
        <v>#REF!</v>
      </c>
      <c r="L23" s="380" t="e">
        <f t="shared" ca="1" si="28"/>
        <v>#REF!</v>
      </c>
      <c r="M23" s="380" t="e">
        <f t="shared" ca="1" si="28"/>
        <v>#REF!</v>
      </c>
      <c r="N23" s="380" t="e">
        <f t="shared" ca="1" si="28"/>
        <v>#REF!</v>
      </c>
      <c r="O23" s="380" t="e">
        <f t="shared" ca="1" si="28"/>
        <v>#REF!</v>
      </c>
      <c r="P23" s="380" t="e">
        <f t="shared" ca="1" si="28"/>
        <v>#REF!</v>
      </c>
      <c r="Q23" s="380" t="e">
        <f t="shared" ca="1" si="28"/>
        <v>#REF!</v>
      </c>
      <c r="R23" s="380" t="e">
        <f t="shared" ca="1" si="28"/>
        <v>#REF!</v>
      </c>
      <c r="S23" s="380"/>
      <c r="T23" s="380"/>
      <c r="U23" s="380"/>
      <c r="V23" s="380"/>
      <c r="W23" s="380"/>
      <c r="X23" s="380"/>
      <c r="Y23" s="380" t="e">
        <f t="shared" ca="1" si="28"/>
        <v>#REF!</v>
      </c>
    </row>
    <row r="24" spans="1:25" ht="15" hidden="1" customHeight="1" x14ac:dyDescent="0.3">
      <c r="A24" s="379">
        <f>A10</f>
        <v>0</v>
      </c>
      <c r="B24" s="379" t="e">
        <f t="shared" ref="B24:B30" ca="1" si="29">B10</f>
        <v>#REF!</v>
      </c>
      <c r="C24" s="380" t="e">
        <f t="shared" ca="1" si="28"/>
        <v>#REF!</v>
      </c>
      <c r="D24" s="380" t="e">
        <f t="shared" ca="1" si="28"/>
        <v>#REF!</v>
      </c>
      <c r="E24" s="380" t="e">
        <f t="shared" ca="1" si="28"/>
        <v>#REF!</v>
      </c>
      <c r="F24" s="380" t="e">
        <f t="shared" ca="1" si="28"/>
        <v>#REF!</v>
      </c>
      <c r="G24" s="380" t="e">
        <f t="shared" ca="1" si="28"/>
        <v>#REF!</v>
      </c>
      <c r="H24" s="380" t="e">
        <f t="shared" ca="1" si="28"/>
        <v>#REF!</v>
      </c>
      <c r="I24" s="380" t="e">
        <f t="shared" ca="1" si="28"/>
        <v>#REF!</v>
      </c>
      <c r="J24" s="380" t="e">
        <f t="shared" ca="1" si="28"/>
        <v>#REF!</v>
      </c>
      <c r="K24" s="380" t="e">
        <f t="shared" ca="1" si="28"/>
        <v>#REF!</v>
      </c>
      <c r="L24" s="380" t="e">
        <f t="shared" ca="1" si="28"/>
        <v>#REF!</v>
      </c>
      <c r="M24" s="380" t="e">
        <f t="shared" ca="1" si="28"/>
        <v>#REF!</v>
      </c>
      <c r="N24" s="380" t="e">
        <f t="shared" ca="1" si="28"/>
        <v>#REF!</v>
      </c>
      <c r="O24" s="380" t="e">
        <f t="shared" ca="1" si="28"/>
        <v>#REF!</v>
      </c>
      <c r="P24" s="380" t="e">
        <f t="shared" ca="1" si="28"/>
        <v>#REF!</v>
      </c>
      <c r="Q24" s="380" t="e">
        <f t="shared" ca="1" si="28"/>
        <v>#REF!</v>
      </c>
      <c r="R24" s="380" t="e">
        <f t="shared" ca="1" si="28"/>
        <v>#REF!</v>
      </c>
      <c r="S24" s="380"/>
      <c r="T24" s="380"/>
      <c r="U24" s="380"/>
      <c r="V24" s="380"/>
      <c r="W24" s="380"/>
      <c r="X24" s="380"/>
      <c r="Y24" s="380" t="e">
        <f t="shared" ca="1" si="28"/>
        <v>#REF!</v>
      </c>
    </row>
    <row r="25" spans="1:25" ht="15" hidden="1" customHeight="1" x14ac:dyDescent="0.3">
      <c r="A25" s="379">
        <f>A11</f>
        <v>0</v>
      </c>
      <c r="B25" s="379" t="e">
        <f t="shared" ca="1" si="29"/>
        <v>#REF!</v>
      </c>
      <c r="C25" s="380" t="e">
        <f t="shared" ca="1" si="28"/>
        <v>#REF!</v>
      </c>
      <c r="D25" s="380" t="e">
        <f t="shared" ca="1" si="28"/>
        <v>#REF!</v>
      </c>
      <c r="E25" s="380" t="e">
        <f t="shared" ca="1" si="28"/>
        <v>#REF!</v>
      </c>
      <c r="F25" s="380" t="e">
        <f t="shared" ca="1" si="28"/>
        <v>#REF!</v>
      </c>
      <c r="G25" s="380" t="e">
        <f t="shared" ca="1" si="28"/>
        <v>#REF!</v>
      </c>
      <c r="H25" s="380" t="e">
        <f t="shared" ca="1" si="28"/>
        <v>#REF!</v>
      </c>
      <c r="I25" s="380" t="e">
        <f t="shared" ca="1" si="28"/>
        <v>#REF!</v>
      </c>
      <c r="J25" s="380" t="e">
        <f t="shared" ca="1" si="28"/>
        <v>#REF!</v>
      </c>
      <c r="K25" s="380" t="e">
        <f t="shared" ca="1" si="28"/>
        <v>#REF!</v>
      </c>
      <c r="L25" s="380" t="e">
        <f t="shared" ca="1" si="28"/>
        <v>#REF!</v>
      </c>
      <c r="M25" s="380" t="e">
        <f t="shared" ca="1" si="28"/>
        <v>#REF!</v>
      </c>
      <c r="N25" s="380" t="e">
        <f t="shared" ca="1" si="28"/>
        <v>#REF!</v>
      </c>
      <c r="O25" s="380" t="e">
        <f t="shared" ca="1" si="28"/>
        <v>#REF!</v>
      </c>
      <c r="P25" s="380" t="e">
        <f t="shared" ca="1" si="28"/>
        <v>#REF!</v>
      </c>
      <c r="Q25" s="380" t="e">
        <f t="shared" ca="1" si="28"/>
        <v>#REF!</v>
      </c>
      <c r="R25" s="380" t="e">
        <f t="shared" ca="1" si="28"/>
        <v>#REF!</v>
      </c>
      <c r="S25" s="380"/>
      <c r="T25" s="380"/>
      <c r="U25" s="380"/>
      <c r="V25" s="380"/>
      <c r="W25" s="380"/>
      <c r="X25" s="380"/>
      <c r="Y25" s="380" t="e">
        <f t="shared" ca="1" si="28"/>
        <v>#REF!</v>
      </c>
    </row>
    <row r="26" spans="1:25" ht="15" hidden="1" customHeight="1" x14ac:dyDescent="0.3">
      <c r="A26" s="379">
        <f>A12</f>
        <v>0</v>
      </c>
      <c r="B26" s="379" t="e">
        <f t="shared" ca="1" si="29"/>
        <v>#REF!</v>
      </c>
      <c r="C26" s="380" t="e">
        <f t="shared" ca="1" si="28"/>
        <v>#REF!</v>
      </c>
      <c r="D26" s="380" t="e">
        <f t="shared" ca="1" si="28"/>
        <v>#REF!</v>
      </c>
      <c r="E26" s="380" t="e">
        <f t="shared" ca="1" si="28"/>
        <v>#REF!</v>
      </c>
      <c r="F26" s="380" t="e">
        <f t="shared" ca="1" si="28"/>
        <v>#REF!</v>
      </c>
      <c r="G26" s="380" t="e">
        <f t="shared" ca="1" si="28"/>
        <v>#REF!</v>
      </c>
      <c r="H26" s="380" t="e">
        <f t="shared" ca="1" si="28"/>
        <v>#REF!</v>
      </c>
      <c r="I26" s="380" t="e">
        <f t="shared" ca="1" si="28"/>
        <v>#REF!</v>
      </c>
      <c r="J26" s="380" t="e">
        <f t="shared" ca="1" si="28"/>
        <v>#REF!</v>
      </c>
      <c r="K26" s="380" t="e">
        <f t="shared" ca="1" si="28"/>
        <v>#REF!</v>
      </c>
      <c r="L26" s="380" t="e">
        <f t="shared" ca="1" si="28"/>
        <v>#REF!</v>
      </c>
      <c r="M26" s="380" t="e">
        <f t="shared" ca="1" si="28"/>
        <v>#REF!</v>
      </c>
      <c r="N26" s="380" t="e">
        <f t="shared" ca="1" si="28"/>
        <v>#REF!</v>
      </c>
      <c r="O26" s="380" t="e">
        <f t="shared" ca="1" si="28"/>
        <v>#REF!</v>
      </c>
      <c r="P26" s="380" t="e">
        <f t="shared" ca="1" si="28"/>
        <v>#REF!</v>
      </c>
      <c r="Q26" s="380" t="e">
        <f t="shared" ca="1" si="28"/>
        <v>#REF!</v>
      </c>
      <c r="R26" s="380" t="e">
        <f t="shared" ca="1" si="28"/>
        <v>#REF!</v>
      </c>
      <c r="S26" s="380"/>
      <c r="T26" s="380"/>
      <c r="U26" s="380"/>
      <c r="V26" s="380"/>
      <c r="W26" s="380"/>
      <c r="X26" s="380"/>
      <c r="Y26" s="380" t="e">
        <f t="shared" ca="1" si="28"/>
        <v>#REF!</v>
      </c>
    </row>
    <row r="27" spans="1:25" ht="15" hidden="1" customHeight="1" x14ac:dyDescent="0.3">
      <c r="A27" s="379">
        <f>A13</f>
        <v>0</v>
      </c>
      <c r="B27" s="379" t="e">
        <f t="shared" ca="1" si="29"/>
        <v>#REF!</v>
      </c>
      <c r="C27" s="380" t="e">
        <f t="shared" ca="1" si="28"/>
        <v>#REF!</v>
      </c>
      <c r="D27" s="380" t="e">
        <f t="shared" ca="1" si="28"/>
        <v>#REF!</v>
      </c>
      <c r="E27" s="380" t="e">
        <f t="shared" ca="1" si="28"/>
        <v>#REF!</v>
      </c>
      <c r="F27" s="380" t="e">
        <f t="shared" ca="1" si="28"/>
        <v>#REF!</v>
      </c>
      <c r="G27" s="380" t="e">
        <f t="shared" ca="1" si="28"/>
        <v>#REF!</v>
      </c>
      <c r="H27" s="380" t="e">
        <f t="shared" ca="1" si="28"/>
        <v>#REF!</v>
      </c>
      <c r="I27" s="380" t="e">
        <f t="shared" ca="1" si="28"/>
        <v>#REF!</v>
      </c>
      <c r="J27" s="380" t="e">
        <f t="shared" ca="1" si="28"/>
        <v>#REF!</v>
      </c>
      <c r="K27" s="380" t="e">
        <f t="shared" ca="1" si="28"/>
        <v>#REF!</v>
      </c>
      <c r="L27" s="380" t="e">
        <f t="shared" ca="1" si="28"/>
        <v>#REF!</v>
      </c>
      <c r="M27" s="380" t="e">
        <f t="shared" ca="1" si="28"/>
        <v>#REF!</v>
      </c>
      <c r="N27" s="380" t="e">
        <f t="shared" ca="1" si="28"/>
        <v>#REF!</v>
      </c>
      <c r="O27" s="380" t="e">
        <f t="shared" ca="1" si="28"/>
        <v>#REF!</v>
      </c>
      <c r="P27" s="380" t="e">
        <f t="shared" ca="1" si="28"/>
        <v>#REF!</v>
      </c>
      <c r="Q27" s="380" t="e">
        <f t="shared" ca="1" si="28"/>
        <v>#REF!</v>
      </c>
      <c r="R27" s="380" t="e">
        <f t="shared" ca="1" si="28"/>
        <v>#REF!</v>
      </c>
      <c r="S27" s="380"/>
      <c r="T27" s="380"/>
      <c r="U27" s="380"/>
      <c r="V27" s="380"/>
      <c r="W27" s="380"/>
      <c r="X27" s="380"/>
      <c r="Y27" s="380" t="e">
        <f t="shared" ca="1" si="28"/>
        <v>#REF!</v>
      </c>
    </row>
    <row r="28" spans="1:25" ht="15" hidden="1" customHeight="1" x14ac:dyDescent="0.3">
      <c r="B28" s="379"/>
    </row>
    <row r="29" spans="1:25" ht="15" hidden="1" customHeight="1" x14ac:dyDescent="0.3">
      <c r="A29" s="379">
        <f>A15</f>
        <v>0</v>
      </c>
      <c r="B29" s="379" t="e">
        <f t="shared" ca="1" si="29"/>
        <v>#REF!</v>
      </c>
      <c r="C29" s="380" t="e">
        <f t="shared" ca="1" si="28"/>
        <v>#REF!</v>
      </c>
      <c r="D29" s="380" t="e">
        <f t="shared" ca="1" si="28"/>
        <v>#REF!</v>
      </c>
      <c r="E29" s="380" t="e">
        <f t="shared" ca="1" si="28"/>
        <v>#REF!</v>
      </c>
      <c r="F29" s="380" t="e">
        <f t="shared" ca="1" si="28"/>
        <v>#REF!</v>
      </c>
      <c r="G29" s="380" t="e">
        <f t="shared" ca="1" si="28"/>
        <v>#REF!</v>
      </c>
      <c r="H29" s="380" t="e">
        <f t="shared" ca="1" si="28"/>
        <v>#REF!</v>
      </c>
      <c r="I29" s="380" t="e">
        <f t="shared" ca="1" si="28"/>
        <v>#REF!</v>
      </c>
      <c r="J29" s="380" t="e">
        <f t="shared" ca="1" si="28"/>
        <v>#REF!</v>
      </c>
      <c r="K29" s="380" t="e">
        <f t="shared" ca="1" si="28"/>
        <v>#REF!</v>
      </c>
      <c r="L29" s="380" t="e">
        <f t="shared" ca="1" si="28"/>
        <v>#REF!</v>
      </c>
      <c r="M29" s="380" t="e">
        <f t="shared" ca="1" si="28"/>
        <v>#REF!</v>
      </c>
      <c r="N29" s="380" t="e">
        <f t="shared" ca="1" si="28"/>
        <v>#REF!</v>
      </c>
      <c r="O29" s="380" t="e">
        <f t="shared" ca="1" si="28"/>
        <v>#REF!</v>
      </c>
      <c r="P29" s="380" t="e">
        <f t="shared" ca="1" si="28"/>
        <v>#REF!</v>
      </c>
      <c r="Q29" s="380" t="e">
        <f t="shared" ca="1" si="28"/>
        <v>#REF!</v>
      </c>
      <c r="R29" s="380" t="e">
        <f t="shared" ca="1" si="28"/>
        <v>#REF!</v>
      </c>
      <c r="S29" s="380"/>
      <c r="T29" s="380"/>
      <c r="U29" s="380"/>
      <c r="V29" s="380"/>
      <c r="W29" s="380"/>
      <c r="X29" s="380"/>
      <c r="Y29" s="380" t="e">
        <f t="shared" ca="1" si="28"/>
        <v>#REF!</v>
      </c>
    </row>
    <row r="30" spans="1:25" ht="15" hidden="1" customHeight="1" x14ac:dyDescent="0.3">
      <c r="A30" s="379">
        <f>A16</f>
        <v>0</v>
      </c>
      <c r="B30" s="379" t="e">
        <f t="shared" ca="1" si="29"/>
        <v>#REF!</v>
      </c>
      <c r="C30" s="380" t="e">
        <f t="shared" ca="1" si="28"/>
        <v>#REF!</v>
      </c>
      <c r="D30" s="380" t="e">
        <f t="shared" ca="1" si="28"/>
        <v>#REF!</v>
      </c>
      <c r="E30" s="380" t="e">
        <f t="shared" ca="1" si="28"/>
        <v>#REF!</v>
      </c>
      <c r="F30" s="380" t="e">
        <f t="shared" ca="1" si="28"/>
        <v>#REF!</v>
      </c>
      <c r="G30" s="380" t="e">
        <f t="shared" ca="1" si="28"/>
        <v>#REF!</v>
      </c>
      <c r="H30" s="380" t="e">
        <f t="shared" ca="1" si="28"/>
        <v>#REF!</v>
      </c>
      <c r="I30" s="380" t="e">
        <f t="shared" ca="1" si="28"/>
        <v>#REF!</v>
      </c>
      <c r="J30" s="380" t="e">
        <f t="shared" ca="1" si="28"/>
        <v>#REF!</v>
      </c>
      <c r="K30" s="380" t="e">
        <f t="shared" ca="1" si="28"/>
        <v>#REF!</v>
      </c>
      <c r="L30" s="380" t="e">
        <f t="shared" ca="1" si="28"/>
        <v>#REF!</v>
      </c>
      <c r="M30" s="380" t="e">
        <f t="shared" ca="1" si="28"/>
        <v>#REF!</v>
      </c>
      <c r="N30" s="380" t="e">
        <f t="shared" ca="1" si="28"/>
        <v>#REF!</v>
      </c>
      <c r="O30" s="380" t="e">
        <f t="shared" ca="1" si="28"/>
        <v>#REF!</v>
      </c>
      <c r="P30" s="380" t="e">
        <f t="shared" ca="1" si="28"/>
        <v>#REF!</v>
      </c>
      <c r="Q30" s="380" t="e">
        <f t="shared" ca="1" si="28"/>
        <v>#REF!</v>
      </c>
      <c r="R30" s="380" t="e">
        <f t="shared" ca="1" si="28"/>
        <v>#REF!</v>
      </c>
      <c r="S30" s="380"/>
      <c r="T30" s="380"/>
      <c r="U30" s="380"/>
      <c r="V30" s="380"/>
      <c r="W30" s="380"/>
      <c r="X30" s="380"/>
      <c r="Y30" s="380" t="e">
        <f t="shared" ca="1" si="28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17" priority="3">
      <formula>C4&gt;3</formula>
    </cfRule>
    <cfRule type="expression" dxfId="16" priority="4">
      <formula>AND(C4&gt;2,C4&lt;=3)</formula>
    </cfRule>
    <cfRule type="expression" dxfId="15" priority="5">
      <formula>AND(C4&gt;1,C4&lt;=2)</formula>
    </cfRule>
    <cfRule type="expression" dxfId="14" priority="6">
      <formula>C4&lt;=1</formula>
    </cfRule>
  </conditionalFormatting>
  <conditionalFormatting sqref="C8:Y13">
    <cfRule type="expression" dxfId="13" priority="1">
      <formula>C$3/3-C8&lt;-0.75</formula>
    </cfRule>
    <cfRule type="expression" dxfId="12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AE30"/>
  <sheetViews>
    <sheetView zoomScale="115" zoomScaleNormal="115" workbookViewId="0"/>
  </sheetViews>
  <sheetFormatPr defaultColWidth="11.5546875" defaultRowHeight="15" customHeight="1" x14ac:dyDescent="0.3"/>
  <cols>
    <col min="1" max="1" width="11.6640625" customWidth="1"/>
    <col min="2" max="2" width="22.6640625" customWidth="1"/>
    <col min="3" max="9" width="4.77734375" style="35" customWidth="1"/>
    <col min="10" max="24" width="4.77734375" style="35" hidden="1" customWidth="1"/>
    <col min="25" max="25" width="4.77734375" style="35" customWidth="1"/>
    <col min="26" max="27" width="6.77734375" style="35" customWidth="1"/>
    <col min="28" max="31" width="4.77734375" style="35" customWidth="1"/>
  </cols>
  <sheetData>
    <row r="1" spans="1:31" ht="15" customHeight="1" x14ac:dyDescent="0.3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130"/>
      <c r="T1" s="130"/>
      <c r="U1" s="130"/>
      <c r="V1" s="130"/>
      <c r="W1" s="130"/>
      <c r="X1" s="130"/>
      <c r="Y1" s="42"/>
      <c r="Z1"/>
      <c r="AA1"/>
      <c r="AB1"/>
      <c r="AC1"/>
      <c r="AD1"/>
      <c r="AE1" s="42"/>
    </row>
    <row r="2" spans="1:31" ht="127.95" customHeight="1" x14ac:dyDescent="0.3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213</v>
      </c>
      <c r="E2" s="44" t="s">
        <v>214</v>
      </c>
      <c r="F2" s="44" t="s">
        <v>218</v>
      </c>
      <c r="G2" s="44" t="s">
        <v>215</v>
      </c>
      <c r="H2" s="44" t="s">
        <v>216</v>
      </c>
      <c r="I2" s="44" t="s">
        <v>217</v>
      </c>
      <c r="J2" s="44"/>
      <c r="K2" s="44"/>
      <c r="L2" s="44"/>
      <c r="M2" s="44"/>
      <c r="N2" s="44"/>
      <c r="O2" s="44"/>
      <c r="P2" s="44"/>
      <c r="Q2" s="44"/>
      <c r="R2" s="44"/>
      <c r="S2" s="46"/>
      <c r="T2" s="46"/>
      <c r="U2" s="46"/>
      <c r="V2" s="46"/>
      <c r="W2" s="46"/>
      <c r="X2" s="46"/>
      <c r="Y2" s="44" t="str">
        <f>Doku!B52</f>
        <v>Abgrüßen</v>
      </c>
      <c r="Z2" s="45" t="str">
        <f>Doku!B42</f>
        <v>Gesamt</v>
      </c>
      <c r="AA2" s="44" t="s">
        <v>226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3">
      <c r="A3" s="364" t="str">
        <f>Doku!B42&amp;":"</f>
        <v>Gesamt:</v>
      </c>
      <c r="B3" s="364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/>
      <c r="K3" s="36"/>
      <c r="L3" s="36"/>
      <c r="M3" s="36"/>
      <c r="N3" s="36"/>
      <c r="O3" s="36"/>
      <c r="P3" s="36"/>
      <c r="Q3" s="36"/>
      <c r="R3" s="36"/>
      <c r="S3" s="112"/>
      <c r="T3" s="112"/>
      <c r="U3" s="112"/>
      <c r="V3" s="112"/>
      <c r="W3" s="112"/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3">
      <c r="A4" s="366" t="str">
        <f>Doku!B49&amp;":"</f>
        <v>Spannweite:</v>
      </c>
      <c r="B4" s="366"/>
      <c r="C4" s="239" t="e">
        <f t="shared" ref="C4:R4" ca="1" si="1">MAX(C8:C12)-MIN(C8:C12)</f>
        <v>#REF!</v>
      </c>
      <c r="D4" s="239" t="e">
        <f t="shared" ca="1" si="1"/>
        <v>#REF!</v>
      </c>
      <c r="E4" s="239" t="e">
        <f t="shared" ca="1" si="1"/>
        <v>#REF!</v>
      </c>
      <c r="F4" s="239" t="e">
        <f t="shared" ca="1" si="1"/>
        <v>#REF!</v>
      </c>
      <c r="G4" s="239" t="e">
        <f t="shared" ca="1" si="1"/>
        <v>#REF!</v>
      </c>
      <c r="H4" s="239" t="e">
        <f t="shared" ca="1" si="1"/>
        <v>#REF!</v>
      </c>
      <c r="I4" s="239" t="e">
        <f t="shared" ca="1" si="1"/>
        <v>#REF!</v>
      </c>
      <c r="J4" s="239"/>
      <c r="K4" s="239"/>
      <c r="L4" s="239"/>
      <c r="M4" s="239"/>
      <c r="N4" s="239"/>
      <c r="O4" s="239"/>
      <c r="P4" s="239"/>
      <c r="Q4" s="239"/>
      <c r="R4" s="239"/>
      <c r="S4" s="240"/>
      <c r="T4" s="240"/>
      <c r="U4" s="240"/>
      <c r="V4" s="240"/>
      <c r="W4" s="240"/>
      <c r="X4" s="240"/>
      <c r="Y4" s="239" t="e">
        <f ca="1">MAX(Y8:Y12)-MIN(Y8:Y12)</f>
        <v>#REF!</v>
      </c>
      <c r="Z4" s="241" t="e">
        <f ca="1">MAX(Z8:Z12)-MIN(Z8:Z12)</f>
        <v>#REF!</v>
      </c>
      <c r="AA4" s="240"/>
      <c r="AB4" s="239" t="e">
        <f ca="1">MAX(AB8:AB12)-MIN(AB8:AB12)</f>
        <v>#REF!</v>
      </c>
      <c r="AC4" s="239" t="e">
        <f ca="1">MAX(AC8:AC12)-MIN(AC8:AC12)</f>
        <v>#REF!</v>
      </c>
      <c r="AD4" s="239" t="e">
        <f ca="1">MAX(AD8:AD13)-MIN(AD8:AD12)</f>
        <v>#REF!</v>
      </c>
      <c r="AE4" s="239" t="e">
        <f ca="1">MAX(AE8:AE13)-MIN(AE8:AE12)</f>
        <v>#REF!</v>
      </c>
    </row>
    <row r="5" spans="1:31" ht="15" customHeight="1" x14ac:dyDescent="0.3">
      <c r="A5" s="365" t="str">
        <f>Doku!B47&amp;":"</f>
        <v>Mittelwert:</v>
      </c>
      <c r="B5" s="365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 t="e">
        <f t="shared" ca="1" si="2"/>
        <v>#REF!</v>
      </c>
      <c r="Z5" s="39" t="e">
        <f t="shared" ca="1" si="2"/>
        <v>#REF!</v>
      </c>
      <c r="AA5" s="89"/>
      <c r="AB5" s="38" t="e">
        <f t="shared" ref="AB5:AH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31" ht="15" hidden="1" customHeight="1" x14ac:dyDescent="0.3">
      <c r="A6" s="365"/>
      <c r="B6" s="365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113"/>
      <c r="T6" s="113"/>
      <c r="U6" s="113"/>
      <c r="V6" s="113"/>
      <c r="W6" s="113"/>
      <c r="X6" s="113"/>
      <c r="Y6" s="40"/>
      <c r="Z6" s="41"/>
      <c r="AA6" s="113"/>
      <c r="AB6" s="40"/>
      <c r="AC6" s="40"/>
      <c r="AD6" s="40"/>
      <c r="AE6" s="40"/>
    </row>
    <row r="7" spans="1:31" ht="15" customHeight="1" x14ac:dyDescent="0.3">
      <c r="A7" s="367"/>
      <c r="B7" s="367" t="e">
        <f t="shared" ref="B7:B16" ca="1" si="4">INDIRECT("'"&amp;$A7&amp;"'!E5")</f>
        <v>#REF!</v>
      </c>
      <c r="C7" s="368" t="e">
        <f t="shared" ref="C7:C16" ca="1" si="5">INDIRECT("'"&amp;$A7&amp;"'!K13")</f>
        <v>#REF!</v>
      </c>
      <c r="D7" s="368" t="e">
        <f t="shared" ref="D7:D16" ca="1" si="6">INDIRECT("'"&amp;$A7&amp;"'!K14")</f>
        <v>#REF!</v>
      </c>
      <c r="E7" s="368" t="e">
        <f t="shared" ref="E7:E16" ca="1" si="7">INDIRECT("'"&amp;$A7&amp;"'!K15")</f>
        <v>#REF!</v>
      </c>
      <c r="F7" s="368" t="e">
        <f t="shared" ref="F7:F16" ca="1" si="8">INDIRECT("'"&amp;$A7&amp;"'!K16")</f>
        <v>#REF!</v>
      </c>
      <c r="G7" s="368" t="e">
        <f t="shared" ref="G7:G16" ca="1" si="9">INDIRECT("'"&amp;$A7&amp;"'!K17")</f>
        <v>#REF!</v>
      </c>
      <c r="H7" s="368" t="e">
        <f t="shared" ref="H7:H16" ca="1" si="10">INDIRECT("'"&amp;$A7&amp;"'!K18")</f>
        <v>#REF!</v>
      </c>
      <c r="I7" s="368" t="e">
        <f t="shared" ref="I7:I16" ca="1" si="11">INDIRECT("'"&amp;$A7&amp;"'!K19")</f>
        <v>#REF!</v>
      </c>
      <c r="J7" s="368"/>
      <c r="K7" s="368"/>
      <c r="L7" s="368"/>
      <c r="M7" s="368"/>
      <c r="N7" s="368"/>
      <c r="O7" s="368"/>
      <c r="P7" s="368"/>
      <c r="Q7" s="368"/>
      <c r="R7" s="368"/>
      <c r="S7" s="368"/>
      <c r="T7" s="368"/>
      <c r="U7" s="368"/>
      <c r="V7" s="368"/>
      <c r="W7" s="368"/>
      <c r="X7" s="368"/>
      <c r="Y7" s="368" t="e">
        <f t="shared" ref="Y7:Y16" ca="1" si="12">INDIRECT("'"&amp;$A7&amp;"'!K29")</f>
        <v>#REF!</v>
      </c>
      <c r="Z7" s="369" t="e">
        <f t="shared" ref="Z7:Z16" ca="1" si="13">INDIRECT("'"&amp;$A7&amp;"'!K36")</f>
        <v>#REF!</v>
      </c>
      <c r="AA7" s="368"/>
      <c r="AB7" s="368" t="e">
        <f t="shared" ref="AB7:AB13" ca="1" si="14">INDIRECT("'"&amp;$A7&amp;"'!F36")</f>
        <v>#REF!</v>
      </c>
      <c r="AC7" s="368" t="e">
        <f t="shared" ref="AC7:AC13" ca="1" si="15">INDIRECT("'"&amp;$A7&amp;"'!H36")</f>
        <v>#REF!</v>
      </c>
      <c r="AD7" s="368" t="e">
        <f t="shared" ref="AD7:AD13" ca="1" si="16">INDIRECT("'"&amp;$A7&amp;"'!I36")</f>
        <v>#REF!</v>
      </c>
      <c r="AE7" s="368" t="e">
        <f t="shared" ref="AE7:AE13" ca="1" si="17">INDIRECT("'"&amp;$A7&amp;"'!J36")</f>
        <v>#REF!</v>
      </c>
    </row>
    <row r="8" spans="1:31" ht="15" customHeight="1" x14ac:dyDescent="0.3">
      <c r="A8" s="370"/>
      <c r="B8" s="370" t="e">
        <f t="shared" ca="1" si="4"/>
        <v>#REF!</v>
      </c>
      <c r="C8" s="383" t="e">
        <f t="shared" ca="1" si="5"/>
        <v>#REF!</v>
      </c>
      <c r="D8" s="383" t="e">
        <f t="shared" ca="1" si="6"/>
        <v>#REF!</v>
      </c>
      <c r="E8" s="383" t="e">
        <f t="shared" ca="1" si="7"/>
        <v>#REF!</v>
      </c>
      <c r="F8" s="383" t="e">
        <f t="shared" ca="1" si="8"/>
        <v>#REF!</v>
      </c>
      <c r="G8" s="383" t="e">
        <f t="shared" ca="1" si="9"/>
        <v>#REF!</v>
      </c>
      <c r="H8" s="383" t="e">
        <f t="shared" ca="1" si="10"/>
        <v>#REF!</v>
      </c>
      <c r="I8" s="383" t="e">
        <f t="shared" ca="1" si="11"/>
        <v>#REF!</v>
      </c>
      <c r="J8" s="383"/>
      <c r="K8" s="383"/>
      <c r="L8" s="383"/>
      <c r="M8" s="383"/>
      <c r="N8" s="383"/>
      <c r="O8" s="383"/>
      <c r="P8" s="383"/>
      <c r="Q8" s="383"/>
      <c r="R8" s="383"/>
      <c r="S8" s="383"/>
      <c r="T8" s="383"/>
      <c r="U8" s="383"/>
      <c r="V8" s="383"/>
      <c r="W8" s="383"/>
      <c r="X8" s="383"/>
      <c r="Y8" s="383" t="e">
        <f t="shared" ca="1" si="12"/>
        <v>#REF!</v>
      </c>
      <c r="Z8" s="372" t="e">
        <f t="shared" ca="1" si="13"/>
        <v>#REF!</v>
      </c>
      <c r="AA8" s="381" t="e">
        <f ca="1">SUM(C22:Y22)/COUNT(C8:Y8)</f>
        <v>#REF!</v>
      </c>
      <c r="AB8" s="371" t="e">
        <f t="shared" ca="1" si="14"/>
        <v>#REF!</v>
      </c>
      <c r="AC8" s="371" t="e">
        <f t="shared" ca="1" si="15"/>
        <v>#REF!</v>
      </c>
      <c r="AD8" s="371" t="e">
        <f t="shared" ca="1" si="16"/>
        <v>#REF!</v>
      </c>
      <c r="AE8" s="371" t="e">
        <f t="shared" ca="1" si="17"/>
        <v>#REF!</v>
      </c>
    </row>
    <row r="9" spans="1:31" ht="15" customHeight="1" x14ac:dyDescent="0.3">
      <c r="A9" s="370"/>
      <c r="B9" s="370" t="e">
        <f t="shared" ca="1" si="4"/>
        <v>#REF!</v>
      </c>
      <c r="C9" s="371" t="e">
        <f t="shared" ca="1" si="5"/>
        <v>#REF!</v>
      </c>
      <c r="D9" s="371" t="e">
        <f t="shared" ca="1" si="6"/>
        <v>#REF!</v>
      </c>
      <c r="E9" s="371" t="e">
        <f t="shared" ca="1" si="7"/>
        <v>#REF!</v>
      </c>
      <c r="F9" s="371" t="e">
        <f t="shared" ca="1" si="8"/>
        <v>#REF!</v>
      </c>
      <c r="G9" s="371" t="e">
        <f t="shared" ca="1" si="9"/>
        <v>#REF!</v>
      </c>
      <c r="H9" s="371" t="e">
        <f t="shared" ca="1" si="10"/>
        <v>#REF!</v>
      </c>
      <c r="I9" s="371" t="e">
        <f t="shared" ca="1" si="11"/>
        <v>#REF!</v>
      </c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 t="e">
        <f t="shared" ca="1" si="12"/>
        <v>#REF!</v>
      </c>
      <c r="Z9" s="372" t="e">
        <f t="shared" ca="1" si="13"/>
        <v>#REF!</v>
      </c>
      <c r="AA9" s="382" t="e">
        <f ca="1">SUM(C23:Y23)/COUNT(C9:Y9)</f>
        <v>#REF!</v>
      </c>
      <c r="AB9" s="371" t="e">
        <f t="shared" ca="1" si="14"/>
        <v>#REF!</v>
      </c>
      <c r="AC9" s="371" t="e">
        <f t="shared" ca="1" si="15"/>
        <v>#REF!</v>
      </c>
      <c r="AD9" s="371" t="e">
        <f t="shared" ca="1" si="16"/>
        <v>#REF!</v>
      </c>
      <c r="AE9" s="371" t="e">
        <f t="shared" ca="1" si="17"/>
        <v>#REF!</v>
      </c>
    </row>
    <row r="10" spans="1:31" ht="15" customHeight="1" x14ac:dyDescent="0.3">
      <c r="A10" s="370"/>
      <c r="B10" s="370" t="e">
        <f t="shared" ca="1" si="4"/>
        <v>#REF!</v>
      </c>
      <c r="C10" s="371" t="e">
        <f t="shared" ca="1" si="5"/>
        <v>#REF!</v>
      </c>
      <c r="D10" s="371" t="e">
        <f t="shared" ca="1" si="6"/>
        <v>#REF!</v>
      </c>
      <c r="E10" s="371" t="e">
        <f t="shared" ca="1" si="7"/>
        <v>#REF!</v>
      </c>
      <c r="F10" s="371" t="e">
        <f t="shared" ca="1" si="8"/>
        <v>#REF!</v>
      </c>
      <c r="G10" s="371" t="e">
        <f t="shared" ca="1" si="9"/>
        <v>#REF!</v>
      </c>
      <c r="H10" s="371" t="e">
        <f t="shared" ca="1" si="10"/>
        <v>#REF!</v>
      </c>
      <c r="I10" s="371" t="e">
        <f t="shared" ca="1" si="11"/>
        <v>#REF!</v>
      </c>
      <c r="J10" s="371"/>
      <c r="K10" s="371"/>
      <c r="L10" s="371"/>
      <c r="M10" s="371"/>
      <c r="N10" s="371"/>
      <c r="O10" s="371"/>
      <c r="P10" s="371"/>
      <c r="Q10" s="371"/>
      <c r="R10" s="371"/>
      <c r="S10" s="371"/>
      <c r="T10" s="371"/>
      <c r="U10" s="371"/>
      <c r="V10" s="371"/>
      <c r="W10" s="371"/>
      <c r="X10" s="371"/>
      <c r="Y10" s="371" t="e">
        <f t="shared" ca="1" si="12"/>
        <v>#REF!</v>
      </c>
      <c r="Z10" s="372" t="e">
        <f t="shared" ca="1" si="13"/>
        <v>#REF!</v>
      </c>
      <c r="AA10" s="382" t="e">
        <f ca="1">SUM(C24:Y24)/COUNT(C10:Y10)</f>
        <v>#REF!</v>
      </c>
      <c r="AB10" s="371" t="e">
        <f t="shared" ca="1" si="14"/>
        <v>#REF!</v>
      </c>
      <c r="AC10" s="371" t="e">
        <f t="shared" ca="1" si="15"/>
        <v>#REF!</v>
      </c>
      <c r="AD10" s="371" t="e">
        <f t="shared" ca="1" si="16"/>
        <v>#REF!</v>
      </c>
      <c r="AE10" s="371" t="e">
        <f t="shared" ca="1" si="17"/>
        <v>#REF!</v>
      </c>
    </row>
    <row r="11" spans="1:31" ht="15" customHeight="1" x14ac:dyDescent="0.3">
      <c r="A11" s="370"/>
      <c r="B11" s="370" t="e">
        <f t="shared" ca="1" si="4"/>
        <v>#REF!</v>
      </c>
      <c r="C11" s="371" t="e">
        <f t="shared" ca="1" si="5"/>
        <v>#REF!</v>
      </c>
      <c r="D11" s="371" t="e">
        <f t="shared" ca="1" si="6"/>
        <v>#REF!</v>
      </c>
      <c r="E11" s="371" t="e">
        <f t="shared" ca="1" si="7"/>
        <v>#REF!</v>
      </c>
      <c r="F11" s="371" t="e">
        <f t="shared" ca="1" si="8"/>
        <v>#REF!</v>
      </c>
      <c r="G11" s="371" t="e">
        <f t="shared" ca="1" si="9"/>
        <v>#REF!</v>
      </c>
      <c r="H11" s="371" t="e">
        <f t="shared" ca="1" si="10"/>
        <v>#REF!</v>
      </c>
      <c r="I11" s="371" t="e">
        <f t="shared" ca="1" si="11"/>
        <v>#REF!</v>
      </c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1"/>
      <c r="W11" s="371"/>
      <c r="X11" s="371"/>
      <c r="Y11" s="371" t="e">
        <f t="shared" ca="1" si="12"/>
        <v>#REF!</v>
      </c>
      <c r="Z11" s="372" t="e">
        <f t="shared" ca="1" si="13"/>
        <v>#REF!</v>
      </c>
      <c r="AA11" s="382" t="e">
        <f ca="1">SUM(C25:Y25)/COUNT(C11:Y11)</f>
        <v>#REF!</v>
      </c>
      <c r="AB11" s="371" t="e">
        <f t="shared" ca="1" si="14"/>
        <v>#REF!</v>
      </c>
      <c r="AC11" s="371" t="e">
        <f t="shared" ca="1" si="15"/>
        <v>#REF!</v>
      </c>
      <c r="AD11" s="371" t="e">
        <f t="shared" ca="1" si="16"/>
        <v>#REF!</v>
      </c>
      <c r="AE11" s="371" t="e">
        <f t="shared" ca="1" si="17"/>
        <v>#REF!</v>
      </c>
    </row>
    <row r="12" spans="1:31" ht="15" customHeight="1" thickBot="1" x14ac:dyDescent="0.35">
      <c r="A12" s="373"/>
      <c r="B12" s="373" t="e">
        <f t="shared" ca="1" si="4"/>
        <v>#REF!</v>
      </c>
      <c r="C12" s="374" t="e">
        <f t="shared" ca="1" si="5"/>
        <v>#REF!</v>
      </c>
      <c r="D12" s="374" t="e">
        <f t="shared" ca="1" si="6"/>
        <v>#REF!</v>
      </c>
      <c r="E12" s="374" t="e">
        <f t="shared" ca="1" si="7"/>
        <v>#REF!</v>
      </c>
      <c r="F12" s="374" t="e">
        <f t="shared" ca="1" si="8"/>
        <v>#REF!</v>
      </c>
      <c r="G12" s="374" t="e">
        <f t="shared" ca="1" si="9"/>
        <v>#REF!</v>
      </c>
      <c r="H12" s="374" t="e">
        <f t="shared" ca="1" si="10"/>
        <v>#REF!</v>
      </c>
      <c r="I12" s="374" t="e">
        <f t="shared" ca="1" si="11"/>
        <v>#REF!</v>
      </c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 t="e">
        <f t="shared" ca="1" si="12"/>
        <v>#REF!</v>
      </c>
      <c r="Z12" s="375" t="e">
        <f t="shared" ca="1" si="13"/>
        <v>#REF!</v>
      </c>
      <c r="AA12" s="382" t="e">
        <f ca="1">SUM(C26:Y26)/COUNT(C12:Y12)</f>
        <v>#REF!</v>
      </c>
      <c r="AB12" s="374" t="e">
        <f t="shared" ca="1" si="14"/>
        <v>#REF!</v>
      </c>
      <c r="AC12" s="374" t="e">
        <f t="shared" ca="1" si="15"/>
        <v>#REF!</v>
      </c>
      <c r="AD12" s="374" t="e">
        <f t="shared" ca="1" si="16"/>
        <v>#REF!</v>
      </c>
      <c r="AE12" s="374" t="e">
        <f t="shared" ca="1" si="17"/>
        <v>#REF!</v>
      </c>
    </row>
    <row r="13" spans="1:31" ht="15" customHeight="1" thickBot="1" x14ac:dyDescent="0.35">
      <c r="A13" s="376"/>
      <c r="B13" s="376" t="e">
        <f t="shared" ca="1" si="4"/>
        <v>#REF!</v>
      </c>
      <c r="C13" s="377" t="e">
        <f t="shared" ca="1" si="5"/>
        <v>#REF!</v>
      </c>
      <c r="D13" s="377" t="e">
        <f t="shared" ca="1" si="6"/>
        <v>#REF!</v>
      </c>
      <c r="E13" s="377" t="e">
        <f t="shared" ca="1" si="7"/>
        <v>#REF!</v>
      </c>
      <c r="F13" s="377" t="e">
        <f t="shared" ca="1" si="8"/>
        <v>#REF!</v>
      </c>
      <c r="G13" s="377" t="e">
        <f t="shared" ca="1" si="9"/>
        <v>#REF!</v>
      </c>
      <c r="H13" s="377" t="e">
        <f t="shared" ca="1" si="10"/>
        <v>#REF!</v>
      </c>
      <c r="I13" s="377" t="e">
        <f t="shared" ca="1" si="11"/>
        <v>#REF!</v>
      </c>
      <c r="J13" s="377"/>
      <c r="K13" s="377"/>
      <c r="L13" s="377"/>
      <c r="M13" s="377"/>
      <c r="N13" s="377"/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 t="e">
        <f t="shared" ca="1" si="12"/>
        <v>#REF!</v>
      </c>
      <c r="Z13" s="378" t="e">
        <f t="shared" ca="1" si="13"/>
        <v>#REF!</v>
      </c>
      <c r="AA13" s="386" t="e">
        <f ca="1">SUM(C27:Y27)/COUNT(C13:Y13)</f>
        <v>#REF!</v>
      </c>
      <c r="AB13" s="377" t="e">
        <f t="shared" ca="1" si="14"/>
        <v>#REF!</v>
      </c>
      <c r="AC13" s="377" t="e">
        <f t="shared" ca="1" si="15"/>
        <v>#REF!</v>
      </c>
      <c r="AD13" s="377" t="e">
        <f t="shared" ca="1" si="16"/>
        <v>#REF!</v>
      </c>
      <c r="AE13" s="377" t="e">
        <f t="shared" ca="1" si="17"/>
        <v>#REF!</v>
      </c>
    </row>
    <row r="14" spans="1:31" ht="15" customHeight="1" x14ac:dyDescent="0.3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384"/>
      <c r="AB14" s="133"/>
      <c r="AC14" s="133"/>
      <c r="AD14" s="133"/>
      <c r="AE14" s="133"/>
    </row>
    <row r="15" spans="1:31" ht="15" customHeight="1" x14ac:dyDescent="0.3">
      <c r="A15" s="234"/>
      <c r="B15" s="234" t="e">
        <f t="shared" ca="1" si="4"/>
        <v>#REF!</v>
      </c>
      <c r="C15" s="235" t="e">
        <f t="shared" ca="1" si="5"/>
        <v>#REF!</v>
      </c>
      <c r="D15" s="235" t="e">
        <f t="shared" ca="1" si="6"/>
        <v>#REF!</v>
      </c>
      <c r="E15" s="235" t="e">
        <f t="shared" ca="1" si="7"/>
        <v>#REF!</v>
      </c>
      <c r="F15" s="235" t="e">
        <f t="shared" ca="1" si="8"/>
        <v>#REF!</v>
      </c>
      <c r="G15" s="235" t="e">
        <f t="shared" ca="1" si="9"/>
        <v>#REF!</v>
      </c>
      <c r="H15" s="235" t="e">
        <f t="shared" ca="1" si="10"/>
        <v>#REF!</v>
      </c>
      <c r="I15" s="235" t="e">
        <f t="shared" ca="1" si="11"/>
        <v>#REF!</v>
      </c>
      <c r="J15" s="235"/>
      <c r="K15" s="235"/>
      <c r="L15" s="235"/>
      <c r="M15" s="235"/>
      <c r="N15" s="235"/>
      <c r="O15" s="235"/>
      <c r="P15" s="235"/>
      <c r="Q15" s="235"/>
      <c r="R15" s="235"/>
      <c r="S15" s="235"/>
      <c r="T15" s="235"/>
      <c r="U15" s="235"/>
      <c r="V15" s="235"/>
      <c r="W15" s="235"/>
      <c r="X15" s="235"/>
      <c r="Y15" s="235" t="e">
        <f t="shared" ca="1" si="12"/>
        <v>#REF!</v>
      </c>
      <c r="Z15" s="236" t="e">
        <f t="shared" ca="1" si="13"/>
        <v>#REF!</v>
      </c>
      <c r="AA15" s="385" t="e">
        <f ca="1">SUM(C29:Y29)/COUNT(C15:Y15)</f>
        <v>#REF!</v>
      </c>
      <c r="AB15" s="235" t="e">
        <f ca="1">INDIRECT("'"&amp;$A15&amp;"'!F36")</f>
        <v>#REF!</v>
      </c>
      <c r="AC15" s="235" t="e">
        <f ca="1">INDIRECT("'"&amp;$A15&amp;"'!H36")</f>
        <v>#REF!</v>
      </c>
      <c r="AD15" s="235" t="e">
        <f ca="1">INDIRECT("'"&amp;$A15&amp;"'!I36")</f>
        <v>#REF!</v>
      </c>
      <c r="AE15" s="235" t="e">
        <f ca="1">INDIRECT("'"&amp;$A15&amp;"'!J36")</f>
        <v>#REF!</v>
      </c>
    </row>
    <row r="16" spans="1:31" ht="15" customHeight="1" x14ac:dyDescent="0.3">
      <c r="A16" s="132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 t="e">
        <f t="shared" ca="1" si="12"/>
        <v>#REF!</v>
      </c>
      <c r="Z16" s="134" t="e">
        <f t="shared" ca="1" si="13"/>
        <v>#REF!</v>
      </c>
      <c r="AA16" s="385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t="15" hidden="1" customHeight="1" x14ac:dyDescent="0.3">
      <c r="A21" s="379" t="s">
        <v>227</v>
      </c>
      <c r="B21" s="379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X21" s="380"/>
      <c r="Y21" s="380"/>
    </row>
    <row r="22" spans="1:25" ht="15" hidden="1" customHeight="1" x14ac:dyDescent="0.3">
      <c r="A22" s="379">
        <f>A8</f>
        <v>0</v>
      </c>
      <c r="B22" s="379" t="e">
        <f ca="1">B8</f>
        <v>#REF!</v>
      </c>
      <c r="C22" s="380" t="e">
        <f ca="1">IF(ABS(C$3/3-C8)&lt;=0.75,1,0)</f>
        <v>#REF!</v>
      </c>
      <c r="D22" s="380" t="e">
        <f t="shared" ref="D22:Y22" ca="1" si="18">IF(ABS(D$3/3-D8)&lt;=0.75,1,0)</f>
        <v>#REF!</v>
      </c>
      <c r="E22" s="380" t="e">
        <f t="shared" ca="1" si="18"/>
        <v>#REF!</v>
      </c>
      <c r="F22" s="380" t="e">
        <f t="shared" ca="1" si="18"/>
        <v>#REF!</v>
      </c>
      <c r="G22" s="380" t="e">
        <f t="shared" ca="1" si="18"/>
        <v>#REF!</v>
      </c>
      <c r="H22" s="380" t="e">
        <f t="shared" ca="1" si="18"/>
        <v>#REF!</v>
      </c>
      <c r="I22" s="380" t="e">
        <f t="shared" ca="1" si="18"/>
        <v>#REF!</v>
      </c>
      <c r="J22" s="380"/>
      <c r="K22" s="380"/>
      <c r="L22" s="380"/>
      <c r="M22" s="380"/>
      <c r="N22" s="380"/>
      <c r="O22" s="380"/>
      <c r="P22" s="380"/>
      <c r="Q22" s="380"/>
      <c r="R22" s="380"/>
      <c r="S22" s="380"/>
      <c r="T22" s="380"/>
      <c r="U22" s="380"/>
      <c r="V22" s="380"/>
      <c r="W22" s="380"/>
      <c r="X22" s="380"/>
      <c r="Y22" s="380" t="e">
        <f t="shared" ca="1" si="18"/>
        <v>#REF!</v>
      </c>
    </row>
    <row r="23" spans="1:25" ht="15" hidden="1" customHeight="1" x14ac:dyDescent="0.3">
      <c r="A23" s="379">
        <f>A9</f>
        <v>0</v>
      </c>
      <c r="B23" s="379" t="e">
        <f ca="1">B9</f>
        <v>#REF!</v>
      </c>
      <c r="C23" s="380" t="e">
        <f t="shared" ref="C23:Y30" ca="1" si="19">IF(ABS(C$3/3-C9)&lt;=0.75,1,0)</f>
        <v>#REF!</v>
      </c>
      <c r="D23" s="380" t="e">
        <f t="shared" ca="1" si="19"/>
        <v>#REF!</v>
      </c>
      <c r="E23" s="380" t="e">
        <f t="shared" ca="1" si="19"/>
        <v>#REF!</v>
      </c>
      <c r="F23" s="380" t="e">
        <f t="shared" ca="1" si="19"/>
        <v>#REF!</v>
      </c>
      <c r="G23" s="380" t="e">
        <f t="shared" ca="1" si="19"/>
        <v>#REF!</v>
      </c>
      <c r="H23" s="380" t="e">
        <f t="shared" ca="1" si="19"/>
        <v>#REF!</v>
      </c>
      <c r="I23" s="380" t="e">
        <f t="shared" ca="1" si="19"/>
        <v>#REF!</v>
      </c>
      <c r="J23" s="380"/>
      <c r="K23" s="380"/>
      <c r="L23" s="380"/>
      <c r="M23" s="380"/>
      <c r="N23" s="380"/>
      <c r="O23" s="380"/>
      <c r="P23" s="380"/>
      <c r="Q23" s="380"/>
      <c r="R23" s="380"/>
      <c r="S23" s="380"/>
      <c r="T23" s="380"/>
      <c r="U23" s="380"/>
      <c r="V23" s="380"/>
      <c r="W23" s="380"/>
      <c r="X23" s="380"/>
      <c r="Y23" s="380" t="e">
        <f t="shared" ca="1" si="19"/>
        <v>#REF!</v>
      </c>
    </row>
    <row r="24" spans="1:25" ht="15" hidden="1" customHeight="1" x14ac:dyDescent="0.3">
      <c r="A24" s="379">
        <f>A10</f>
        <v>0</v>
      </c>
      <c r="B24" s="379" t="e">
        <f t="shared" ref="B24:B30" ca="1" si="20">B10</f>
        <v>#REF!</v>
      </c>
      <c r="C24" s="380" t="e">
        <f t="shared" ca="1" si="19"/>
        <v>#REF!</v>
      </c>
      <c r="D24" s="380" t="e">
        <f t="shared" ca="1" si="19"/>
        <v>#REF!</v>
      </c>
      <c r="E24" s="380" t="e">
        <f t="shared" ca="1" si="19"/>
        <v>#REF!</v>
      </c>
      <c r="F24" s="380" t="e">
        <f t="shared" ca="1" si="19"/>
        <v>#REF!</v>
      </c>
      <c r="G24" s="380" t="e">
        <f t="shared" ca="1" si="19"/>
        <v>#REF!</v>
      </c>
      <c r="H24" s="380" t="e">
        <f t="shared" ca="1" si="19"/>
        <v>#REF!</v>
      </c>
      <c r="I24" s="380" t="e">
        <f t="shared" ca="1" si="19"/>
        <v>#REF!</v>
      </c>
      <c r="J24" s="380"/>
      <c r="K24" s="380"/>
      <c r="L24" s="380"/>
      <c r="M24" s="380"/>
      <c r="N24" s="380"/>
      <c r="O24" s="380"/>
      <c r="P24" s="380"/>
      <c r="Q24" s="380"/>
      <c r="R24" s="380"/>
      <c r="S24" s="380"/>
      <c r="T24" s="380"/>
      <c r="U24" s="380"/>
      <c r="V24" s="380"/>
      <c r="W24" s="380"/>
      <c r="X24" s="380"/>
      <c r="Y24" s="380" t="e">
        <f t="shared" ca="1" si="19"/>
        <v>#REF!</v>
      </c>
    </row>
    <row r="25" spans="1:25" ht="15" hidden="1" customHeight="1" x14ac:dyDescent="0.3">
      <c r="A25" s="379">
        <f>A11</f>
        <v>0</v>
      </c>
      <c r="B25" s="379" t="e">
        <f t="shared" ca="1" si="20"/>
        <v>#REF!</v>
      </c>
      <c r="C25" s="380" t="e">
        <f t="shared" ca="1" si="19"/>
        <v>#REF!</v>
      </c>
      <c r="D25" s="380" t="e">
        <f t="shared" ca="1" si="19"/>
        <v>#REF!</v>
      </c>
      <c r="E25" s="380" t="e">
        <f t="shared" ca="1" si="19"/>
        <v>#REF!</v>
      </c>
      <c r="F25" s="380" t="e">
        <f t="shared" ca="1" si="19"/>
        <v>#REF!</v>
      </c>
      <c r="G25" s="380" t="e">
        <f t="shared" ca="1" si="19"/>
        <v>#REF!</v>
      </c>
      <c r="H25" s="380" t="e">
        <f t="shared" ca="1" si="19"/>
        <v>#REF!</v>
      </c>
      <c r="I25" s="380" t="e">
        <f t="shared" ca="1" si="19"/>
        <v>#REF!</v>
      </c>
      <c r="J25" s="380"/>
      <c r="K25" s="380"/>
      <c r="L25" s="380"/>
      <c r="M25" s="380"/>
      <c r="N25" s="380"/>
      <c r="O25" s="380"/>
      <c r="P25" s="380"/>
      <c r="Q25" s="380"/>
      <c r="R25" s="380"/>
      <c r="S25" s="380"/>
      <c r="T25" s="380"/>
      <c r="U25" s="380"/>
      <c r="V25" s="380"/>
      <c r="W25" s="380"/>
      <c r="X25" s="380"/>
      <c r="Y25" s="380" t="e">
        <f t="shared" ca="1" si="19"/>
        <v>#REF!</v>
      </c>
    </row>
    <row r="26" spans="1:25" ht="15" hidden="1" customHeight="1" x14ac:dyDescent="0.3">
      <c r="A26" s="379">
        <f>A12</f>
        <v>0</v>
      </c>
      <c r="B26" s="379" t="e">
        <f t="shared" ca="1" si="20"/>
        <v>#REF!</v>
      </c>
      <c r="C26" s="380" t="e">
        <f t="shared" ca="1" si="19"/>
        <v>#REF!</v>
      </c>
      <c r="D26" s="380" t="e">
        <f t="shared" ca="1" si="19"/>
        <v>#REF!</v>
      </c>
      <c r="E26" s="380" t="e">
        <f t="shared" ca="1" si="19"/>
        <v>#REF!</v>
      </c>
      <c r="F26" s="380" t="e">
        <f t="shared" ca="1" si="19"/>
        <v>#REF!</v>
      </c>
      <c r="G26" s="380" t="e">
        <f t="shared" ca="1" si="19"/>
        <v>#REF!</v>
      </c>
      <c r="H26" s="380" t="e">
        <f t="shared" ca="1" si="19"/>
        <v>#REF!</v>
      </c>
      <c r="I26" s="380" t="e">
        <f t="shared" ca="1" si="19"/>
        <v>#REF!</v>
      </c>
      <c r="J26" s="380"/>
      <c r="K26" s="380"/>
      <c r="L26" s="380"/>
      <c r="M26" s="380"/>
      <c r="N26" s="380"/>
      <c r="O26" s="380"/>
      <c r="P26" s="380"/>
      <c r="Q26" s="380"/>
      <c r="R26" s="380"/>
      <c r="S26" s="380"/>
      <c r="T26" s="380"/>
      <c r="U26" s="380"/>
      <c r="V26" s="380"/>
      <c r="W26" s="380"/>
      <c r="X26" s="380"/>
      <c r="Y26" s="380" t="e">
        <f t="shared" ca="1" si="19"/>
        <v>#REF!</v>
      </c>
    </row>
    <row r="27" spans="1:25" ht="15" hidden="1" customHeight="1" x14ac:dyDescent="0.3">
      <c r="A27" s="379">
        <f>A13</f>
        <v>0</v>
      </c>
      <c r="B27" s="379" t="e">
        <f t="shared" ca="1" si="20"/>
        <v>#REF!</v>
      </c>
      <c r="C27" s="380" t="e">
        <f t="shared" ca="1" si="19"/>
        <v>#REF!</v>
      </c>
      <c r="D27" s="380" t="e">
        <f t="shared" ca="1" si="19"/>
        <v>#REF!</v>
      </c>
      <c r="E27" s="380" t="e">
        <f t="shared" ca="1" si="19"/>
        <v>#REF!</v>
      </c>
      <c r="F27" s="380" t="e">
        <f t="shared" ca="1" si="19"/>
        <v>#REF!</v>
      </c>
      <c r="G27" s="380" t="e">
        <f t="shared" ca="1" si="19"/>
        <v>#REF!</v>
      </c>
      <c r="H27" s="380" t="e">
        <f t="shared" ca="1" si="19"/>
        <v>#REF!</v>
      </c>
      <c r="I27" s="380" t="e">
        <f t="shared" ca="1" si="19"/>
        <v>#REF!</v>
      </c>
      <c r="J27" s="380"/>
      <c r="K27" s="380"/>
      <c r="L27" s="380"/>
      <c r="M27" s="380"/>
      <c r="N27" s="380"/>
      <c r="O27" s="380"/>
      <c r="P27" s="380"/>
      <c r="Q27" s="380"/>
      <c r="R27" s="380"/>
      <c r="S27" s="380"/>
      <c r="T27" s="380"/>
      <c r="U27" s="380"/>
      <c r="V27" s="380"/>
      <c r="W27" s="380"/>
      <c r="X27" s="380"/>
      <c r="Y27" s="380" t="e">
        <f t="shared" ca="1" si="19"/>
        <v>#REF!</v>
      </c>
    </row>
    <row r="28" spans="1:25" ht="15" hidden="1" customHeight="1" x14ac:dyDescent="0.3">
      <c r="B28" s="379"/>
    </row>
    <row r="29" spans="1:25" ht="15" hidden="1" customHeight="1" x14ac:dyDescent="0.3">
      <c r="A29" s="379">
        <f>A15</f>
        <v>0</v>
      </c>
      <c r="B29" s="379" t="e">
        <f t="shared" ca="1" si="20"/>
        <v>#REF!</v>
      </c>
      <c r="C29" s="380" t="e">
        <f t="shared" ca="1" si="19"/>
        <v>#REF!</v>
      </c>
      <c r="D29" s="380" t="e">
        <f t="shared" ca="1" si="19"/>
        <v>#REF!</v>
      </c>
      <c r="E29" s="380" t="e">
        <f t="shared" ca="1" si="19"/>
        <v>#REF!</v>
      </c>
      <c r="F29" s="380" t="e">
        <f t="shared" ca="1" si="19"/>
        <v>#REF!</v>
      </c>
      <c r="G29" s="380" t="e">
        <f t="shared" ca="1" si="19"/>
        <v>#REF!</v>
      </c>
      <c r="H29" s="380" t="e">
        <f t="shared" ca="1" si="19"/>
        <v>#REF!</v>
      </c>
      <c r="I29" s="380" t="e">
        <f t="shared" ca="1" si="19"/>
        <v>#REF!</v>
      </c>
      <c r="J29" s="380"/>
      <c r="K29" s="380"/>
      <c r="L29" s="380"/>
      <c r="M29" s="380"/>
      <c r="N29" s="380"/>
      <c r="O29" s="380"/>
      <c r="P29" s="380"/>
      <c r="Q29" s="380"/>
      <c r="R29" s="380"/>
      <c r="S29" s="380"/>
      <c r="T29" s="380"/>
      <c r="U29" s="380"/>
      <c r="V29" s="380"/>
      <c r="W29" s="380"/>
      <c r="X29" s="380"/>
      <c r="Y29" s="380" t="e">
        <f t="shared" ca="1" si="19"/>
        <v>#REF!</v>
      </c>
    </row>
    <row r="30" spans="1:25" ht="15" hidden="1" customHeight="1" x14ac:dyDescent="0.3">
      <c r="A30" s="379">
        <f>A16</f>
        <v>0</v>
      </c>
      <c r="B30" s="379" t="e">
        <f t="shared" ca="1" si="20"/>
        <v>#REF!</v>
      </c>
      <c r="C30" s="380" t="e">
        <f t="shared" ca="1" si="19"/>
        <v>#REF!</v>
      </c>
      <c r="D30" s="380" t="e">
        <f t="shared" ca="1" si="19"/>
        <v>#REF!</v>
      </c>
      <c r="E30" s="380" t="e">
        <f t="shared" ca="1" si="19"/>
        <v>#REF!</v>
      </c>
      <c r="F30" s="380" t="e">
        <f t="shared" ca="1" si="19"/>
        <v>#REF!</v>
      </c>
      <c r="G30" s="380" t="e">
        <f t="shared" ca="1" si="19"/>
        <v>#REF!</v>
      </c>
      <c r="H30" s="380" t="e">
        <f t="shared" ca="1" si="19"/>
        <v>#REF!</v>
      </c>
      <c r="I30" s="380" t="e">
        <f t="shared" ca="1" si="19"/>
        <v>#REF!</v>
      </c>
      <c r="J30" s="380"/>
      <c r="K30" s="380"/>
      <c r="L30" s="380"/>
      <c r="M30" s="380"/>
      <c r="N30" s="380"/>
      <c r="O30" s="380"/>
      <c r="P30" s="380"/>
      <c r="Q30" s="380"/>
      <c r="R30" s="380"/>
      <c r="S30" s="380"/>
      <c r="T30" s="380"/>
      <c r="U30" s="380"/>
      <c r="V30" s="380"/>
      <c r="W30" s="380"/>
      <c r="X30" s="380"/>
      <c r="Y30" s="380" t="e">
        <f t="shared" ca="1" si="19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11" priority="3">
      <formula>C4&gt;3</formula>
    </cfRule>
    <cfRule type="expression" dxfId="10" priority="4">
      <formula>AND(C4&gt;2,C4&lt;=3)</formula>
    </cfRule>
    <cfRule type="expression" dxfId="9" priority="5">
      <formula>AND(C4&gt;1,C4&lt;=2)</formula>
    </cfRule>
    <cfRule type="expression" dxfId="8" priority="6">
      <formula>C4&lt;=1</formula>
    </cfRule>
  </conditionalFormatting>
  <conditionalFormatting sqref="C8:Y13">
    <cfRule type="expression" dxfId="7" priority="1">
      <formula>C$3/3-C8&lt;-0.75</formula>
    </cfRule>
    <cfRule type="expression" dxfId="6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AE30"/>
  <sheetViews>
    <sheetView zoomScale="115" zoomScaleNormal="115" workbookViewId="0"/>
  </sheetViews>
  <sheetFormatPr defaultColWidth="11.5546875" defaultRowHeight="15" customHeight="1" x14ac:dyDescent="0.3"/>
  <cols>
    <col min="1" max="1" width="11.6640625" customWidth="1"/>
    <col min="2" max="2" width="22.6640625" customWidth="1"/>
    <col min="3" max="9" width="4.77734375" style="35" customWidth="1"/>
    <col min="10" max="24" width="4.77734375" style="35" hidden="1" customWidth="1"/>
    <col min="25" max="25" width="4.77734375" style="35" customWidth="1"/>
    <col min="26" max="27" width="6.77734375" style="35" customWidth="1"/>
    <col min="28" max="31" width="4.77734375" style="35" customWidth="1"/>
  </cols>
  <sheetData>
    <row r="1" spans="1:31" ht="15" customHeight="1" x14ac:dyDescent="0.3">
      <c r="A1" s="42" t="str">
        <f>Doku!B46&amp;":"</f>
        <v>Paarung:</v>
      </c>
      <c r="B1" s="47" t="e">
        <f ca="1">INDIRECT("'"&amp;$A8&amp;"'!D8") &amp; "-" &amp; INDIRECT("'"&amp;$A8&amp;"'!D9") &amp; " (" &amp; INDIRECT("'"&amp;$A8&amp;"'!K8") &amp;")"</f>
        <v>#REF!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130"/>
      <c r="T1" s="130"/>
      <c r="U1" s="130"/>
      <c r="V1" s="130"/>
      <c r="W1" s="130"/>
      <c r="X1" s="130"/>
      <c r="Y1" s="42"/>
      <c r="Z1"/>
      <c r="AA1"/>
      <c r="AB1"/>
      <c r="AC1"/>
      <c r="AD1"/>
      <c r="AE1" s="42"/>
    </row>
    <row r="2" spans="1:31" ht="127.95" customHeight="1" x14ac:dyDescent="0.3">
      <c r="A2" s="29" t="str">
        <f>Doku!B44</f>
        <v>Position</v>
      </c>
      <c r="B2" s="29" t="str">
        <f>Doku!B50</f>
        <v>Name</v>
      </c>
      <c r="C2" s="44" t="str">
        <f>Doku!B51</f>
        <v>Angrüßen</v>
      </c>
      <c r="D2" s="44" t="s">
        <v>213</v>
      </c>
      <c r="E2" s="44" t="s">
        <v>214</v>
      </c>
      <c r="F2" s="44" t="s">
        <v>218</v>
      </c>
      <c r="G2" s="44" t="s">
        <v>215</v>
      </c>
      <c r="H2" s="44" t="s">
        <v>216</v>
      </c>
      <c r="I2" s="44" t="s">
        <v>217</v>
      </c>
      <c r="J2" s="44"/>
      <c r="K2" s="44"/>
      <c r="L2" s="44"/>
      <c r="M2" s="44"/>
      <c r="N2" s="44"/>
      <c r="O2" s="44"/>
      <c r="P2" s="44"/>
      <c r="Q2" s="44"/>
      <c r="R2" s="44"/>
      <c r="S2" s="46"/>
      <c r="T2" s="46"/>
      <c r="U2" s="46"/>
      <c r="V2" s="46"/>
      <c r="W2" s="46"/>
      <c r="X2" s="46"/>
      <c r="Y2" s="44" t="str">
        <f>Doku!B52</f>
        <v>Abgrüßen</v>
      </c>
      <c r="Z2" s="45" t="str">
        <f>Doku!B42</f>
        <v>Gesamt</v>
      </c>
      <c r="AA2" s="44" t="s">
        <v>226</v>
      </c>
      <c r="AB2" s="46" t="str">
        <f>Doku!B38</f>
        <v>Kleiner Fehler</v>
      </c>
      <c r="AC2" s="44" t="str">
        <f>Doku!B39</f>
        <v>Mittlerer Fehler</v>
      </c>
      <c r="AD2" s="44" t="str">
        <f>Doku!B40</f>
        <v>Großer Fehler</v>
      </c>
      <c r="AE2" s="44" t="str">
        <f>Doku!B41</f>
        <v>Technik vergessen</v>
      </c>
    </row>
    <row r="3" spans="1:31" ht="15" customHeight="1" x14ac:dyDescent="0.3">
      <c r="A3" s="364" t="str">
        <f>Doku!B42&amp;":"</f>
        <v>Gesamt:</v>
      </c>
      <c r="B3" s="364"/>
      <c r="C3" s="36" t="e">
        <f t="shared" ref="C3:R3" ca="1" si="0">SUM(C8:C12)-MAX(C8:C12)-MIN(C8:C12)</f>
        <v>#REF!</v>
      </c>
      <c r="D3" s="36" t="e">
        <f t="shared" ca="1" si="0"/>
        <v>#REF!</v>
      </c>
      <c r="E3" s="36" t="e">
        <f t="shared" ca="1" si="0"/>
        <v>#REF!</v>
      </c>
      <c r="F3" s="36" t="e">
        <f t="shared" ca="1" si="0"/>
        <v>#REF!</v>
      </c>
      <c r="G3" s="36" t="e">
        <f t="shared" ca="1" si="0"/>
        <v>#REF!</v>
      </c>
      <c r="H3" s="36" t="e">
        <f t="shared" ca="1" si="0"/>
        <v>#REF!</v>
      </c>
      <c r="I3" s="36" t="e">
        <f t="shared" ca="1" si="0"/>
        <v>#REF!</v>
      </c>
      <c r="J3" s="36"/>
      <c r="K3" s="36"/>
      <c r="L3" s="36"/>
      <c r="M3" s="36"/>
      <c r="N3" s="36"/>
      <c r="O3" s="36"/>
      <c r="P3" s="36"/>
      <c r="Q3" s="36"/>
      <c r="R3" s="36"/>
      <c r="S3" s="112"/>
      <c r="T3" s="112"/>
      <c r="U3" s="112"/>
      <c r="V3" s="112"/>
      <c r="W3" s="112"/>
      <c r="X3" s="112"/>
      <c r="Y3" s="36" t="e">
        <f ca="1">SUM(Y8:Y12)-MAX(Y8:Y12)-MIN(Y8:Y12)</f>
        <v>#REF!</v>
      </c>
      <c r="Z3" s="37" t="e">
        <f ca="1">IF(SUM(AE8:AE12)&gt;0,SUM(C3:Y3)/2,SUM(C3:Y3))</f>
        <v>#REF!</v>
      </c>
      <c r="AA3" s="112"/>
      <c r="AB3" s="36" t="e">
        <f ca="1">SUM(AB8:AB12)-MAX(AB8:AB12)-MIN(AB8:AB12)</f>
        <v>#REF!</v>
      </c>
      <c r="AC3" s="36" t="e">
        <f ca="1">SUM(AC8:AC12)-MAX(AC8:AC12)-MIN(AC8:AC12)</f>
        <v>#REF!</v>
      </c>
      <c r="AD3" s="36" t="e">
        <f ca="1">SUM(AD8:AD12)-MAX(AD8:AD12)-MIN(AD8:AD12)</f>
        <v>#REF!</v>
      </c>
      <c r="AE3" s="36" t="e">
        <f ca="1">SUM(AE8:AE12)-MAX(AE8:AE12)-MIN(AE8:AE12)</f>
        <v>#REF!</v>
      </c>
    </row>
    <row r="4" spans="1:31" ht="15" customHeight="1" x14ac:dyDescent="0.3">
      <c r="A4" s="366" t="str">
        <f>Doku!B49&amp;":"</f>
        <v>Spannweite:</v>
      </c>
      <c r="B4" s="366"/>
      <c r="C4" s="239" t="e">
        <f t="shared" ref="C4:R4" ca="1" si="1">MAX(C8:C12)-MIN(C8:C12)</f>
        <v>#REF!</v>
      </c>
      <c r="D4" s="239" t="e">
        <f t="shared" ca="1" si="1"/>
        <v>#REF!</v>
      </c>
      <c r="E4" s="239" t="e">
        <f t="shared" ca="1" si="1"/>
        <v>#REF!</v>
      </c>
      <c r="F4" s="239" t="e">
        <f t="shared" ca="1" si="1"/>
        <v>#REF!</v>
      </c>
      <c r="G4" s="239" t="e">
        <f t="shared" ca="1" si="1"/>
        <v>#REF!</v>
      </c>
      <c r="H4" s="239" t="e">
        <f t="shared" ca="1" si="1"/>
        <v>#REF!</v>
      </c>
      <c r="I4" s="239" t="e">
        <f t="shared" ca="1" si="1"/>
        <v>#REF!</v>
      </c>
      <c r="J4" s="239"/>
      <c r="K4" s="239"/>
      <c r="L4" s="239"/>
      <c r="M4" s="239"/>
      <c r="N4" s="239"/>
      <c r="O4" s="239"/>
      <c r="P4" s="239"/>
      <c r="Q4" s="239"/>
      <c r="R4" s="239"/>
      <c r="S4" s="240"/>
      <c r="T4" s="240"/>
      <c r="U4" s="240"/>
      <c r="V4" s="240"/>
      <c r="W4" s="240"/>
      <c r="X4" s="240"/>
      <c r="Y4" s="239" t="e">
        <f ca="1">MAX(Y8:Y12)-MIN(Y8:Y12)</f>
        <v>#REF!</v>
      </c>
      <c r="Z4" s="241" t="e">
        <f ca="1">MAX(Z8:Z12)-MIN(Z8:Z12)</f>
        <v>#REF!</v>
      </c>
      <c r="AA4" s="240"/>
      <c r="AB4" s="239" t="e">
        <f ca="1">MAX(AB8:AB12)-MIN(AB8:AB12)</f>
        <v>#REF!</v>
      </c>
      <c r="AC4" s="239" t="e">
        <f ca="1">MAX(AC8:AC12)-MIN(AC8:AC12)</f>
        <v>#REF!</v>
      </c>
      <c r="AD4" s="239" t="e">
        <f ca="1">MAX(AD8:AD13)-MIN(AD8:AD12)</f>
        <v>#REF!</v>
      </c>
      <c r="AE4" s="239" t="e">
        <f ca="1">MAX(AE8:AE13)-MIN(AE8:AE12)</f>
        <v>#REF!</v>
      </c>
    </row>
    <row r="5" spans="1:31" ht="15" customHeight="1" x14ac:dyDescent="0.3">
      <c r="A5" s="365" t="str">
        <f>Doku!B47&amp;":"</f>
        <v>Mittelwert:</v>
      </c>
      <c r="B5" s="365"/>
      <c r="C5" s="38" t="e">
        <f ca="1">C3/3</f>
        <v>#REF!</v>
      </c>
      <c r="D5" s="38" t="e">
        <f t="shared" ref="D5:Z5" ca="1" si="2">D3/3</f>
        <v>#REF!</v>
      </c>
      <c r="E5" s="38" t="e">
        <f t="shared" ca="1" si="2"/>
        <v>#REF!</v>
      </c>
      <c r="F5" s="38" t="e">
        <f t="shared" ca="1" si="2"/>
        <v>#REF!</v>
      </c>
      <c r="G5" s="38" t="e">
        <f t="shared" ca="1" si="2"/>
        <v>#REF!</v>
      </c>
      <c r="H5" s="38" t="e">
        <f t="shared" ca="1" si="2"/>
        <v>#REF!</v>
      </c>
      <c r="I5" s="38" t="e">
        <f t="shared" ca="1" si="2"/>
        <v>#REF!</v>
      </c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 t="e">
        <f t="shared" ca="1" si="2"/>
        <v>#REF!</v>
      </c>
      <c r="Z5" s="39" t="e">
        <f t="shared" ca="1" si="2"/>
        <v>#REF!</v>
      </c>
      <c r="AA5" s="89"/>
      <c r="AB5" s="38" t="e">
        <f t="shared" ref="AB5:AH5" ca="1" si="3">AVERAGE(AB8:AB12)</f>
        <v>#REF!</v>
      </c>
      <c r="AC5" s="38" t="e">
        <f t="shared" ca="1" si="3"/>
        <v>#REF!</v>
      </c>
      <c r="AD5" s="38" t="e">
        <f t="shared" ca="1" si="3"/>
        <v>#REF!</v>
      </c>
      <c r="AE5" s="38" t="e">
        <f t="shared" ca="1" si="3"/>
        <v>#REF!</v>
      </c>
    </row>
    <row r="6" spans="1:31" ht="15" hidden="1" customHeight="1" x14ac:dyDescent="0.3">
      <c r="A6" s="365"/>
      <c r="B6" s="365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113"/>
      <c r="T6" s="113"/>
      <c r="U6" s="113"/>
      <c r="V6" s="113"/>
      <c r="W6" s="113"/>
      <c r="X6" s="113"/>
      <c r="Y6" s="40"/>
      <c r="Z6" s="41"/>
      <c r="AA6" s="113"/>
      <c r="AB6" s="40"/>
      <c r="AC6" s="40"/>
      <c r="AD6" s="40"/>
      <c r="AE6" s="40"/>
    </row>
    <row r="7" spans="1:31" ht="15" customHeight="1" x14ac:dyDescent="0.3">
      <c r="A7" s="367"/>
      <c r="B7" s="367" t="e">
        <f t="shared" ref="B7:B16" ca="1" si="4">INDIRECT("'"&amp;$A7&amp;"'!E5")</f>
        <v>#REF!</v>
      </c>
      <c r="C7" s="368" t="e">
        <f t="shared" ref="C7:C16" ca="1" si="5">INDIRECT("'"&amp;$A7&amp;"'!K13")</f>
        <v>#REF!</v>
      </c>
      <c r="D7" s="368" t="e">
        <f t="shared" ref="D7:D16" ca="1" si="6">INDIRECT("'"&amp;$A7&amp;"'!K14")</f>
        <v>#REF!</v>
      </c>
      <c r="E7" s="368" t="e">
        <f t="shared" ref="E7:E16" ca="1" si="7">INDIRECT("'"&amp;$A7&amp;"'!K15")</f>
        <v>#REF!</v>
      </c>
      <c r="F7" s="368" t="e">
        <f t="shared" ref="F7:F16" ca="1" si="8">INDIRECT("'"&amp;$A7&amp;"'!K16")</f>
        <v>#REF!</v>
      </c>
      <c r="G7" s="368" t="e">
        <f t="shared" ref="G7:G16" ca="1" si="9">INDIRECT("'"&amp;$A7&amp;"'!K17")</f>
        <v>#REF!</v>
      </c>
      <c r="H7" s="368" t="e">
        <f t="shared" ref="H7:H16" ca="1" si="10">INDIRECT("'"&amp;$A7&amp;"'!K18")</f>
        <v>#REF!</v>
      </c>
      <c r="I7" s="368" t="e">
        <f t="shared" ref="I7:I16" ca="1" si="11">INDIRECT("'"&amp;$A7&amp;"'!K19")</f>
        <v>#REF!</v>
      </c>
      <c r="J7" s="368"/>
      <c r="K7" s="368"/>
      <c r="L7" s="368"/>
      <c r="M7" s="368"/>
      <c r="N7" s="368"/>
      <c r="O7" s="368"/>
      <c r="P7" s="368"/>
      <c r="Q7" s="368"/>
      <c r="R7" s="368"/>
      <c r="S7" s="368"/>
      <c r="T7" s="368"/>
      <c r="U7" s="368"/>
      <c r="V7" s="368"/>
      <c r="W7" s="368"/>
      <c r="X7" s="368"/>
      <c r="Y7" s="368" t="e">
        <f t="shared" ref="Y7:Y16" ca="1" si="12">INDIRECT("'"&amp;$A7&amp;"'!K29")</f>
        <v>#REF!</v>
      </c>
      <c r="Z7" s="369" t="e">
        <f t="shared" ref="Z7:Z16" ca="1" si="13">INDIRECT("'"&amp;$A7&amp;"'!K36")</f>
        <v>#REF!</v>
      </c>
      <c r="AA7" s="368"/>
      <c r="AB7" s="368" t="e">
        <f t="shared" ref="AB7:AB13" ca="1" si="14">INDIRECT("'"&amp;$A7&amp;"'!F36")</f>
        <v>#REF!</v>
      </c>
      <c r="AC7" s="368" t="e">
        <f t="shared" ref="AC7:AC13" ca="1" si="15">INDIRECT("'"&amp;$A7&amp;"'!H36")</f>
        <v>#REF!</v>
      </c>
      <c r="AD7" s="368" t="e">
        <f t="shared" ref="AD7:AD13" ca="1" si="16">INDIRECT("'"&amp;$A7&amp;"'!I36")</f>
        <v>#REF!</v>
      </c>
      <c r="AE7" s="368" t="e">
        <f t="shared" ref="AE7:AE13" ca="1" si="17">INDIRECT("'"&amp;$A7&amp;"'!J36")</f>
        <v>#REF!</v>
      </c>
    </row>
    <row r="8" spans="1:31" ht="15" customHeight="1" x14ac:dyDescent="0.3">
      <c r="A8" s="370"/>
      <c r="B8" s="370" t="e">
        <f t="shared" ca="1" si="4"/>
        <v>#REF!</v>
      </c>
      <c r="C8" s="383" t="e">
        <f t="shared" ca="1" si="5"/>
        <v>#REF!</v>
      </c>
      <c r="D8" s="383" t="e">
        <f t="shared" ca="1" si="6"/>
        <v>#REF!</v>
      </c>
      <c r="E8" s="383" t="e">
        <f t="shared" ca="1" si="7"/>
        <v>#REF!</v>
      </c>
      <c r="F8" s="383" t="e">
        <f t="shared" ca="1" si="8"/>
        <v>#REF!</v>
      </c>
      <c r="G8" s="383" t="e">
        <f t="shared" ca="1" si="9"/>
        <v>#REF!</v>
      </c>
      <c r="H8" s="383" t="e">
        <f t="shared" ca="1" si="10"/>
        <v>#REF!</v>
      </c>
      <c r="I8" s="383" t="e">
        <f t="shared" ca="1" si="11"/>
        <v>#REF!</v>
      </c>
      <c r="J8" s="383"/>
      <c r="K8" s="383"/>
      <c r="L8" s="383"/>
      <c r="M8" s="383"/>
      <c r="N8" s="383"/>
      <c r="O8" s="383"/>
      <c r="P8" s="383"/>
      <c r="Q8" s="383"/>
      <c r="R8" s="383"/>
      <c r="S8" s="383"/>
      <c r="T8" s="383"/>
      <c r="U8" s="383"/>
      <c r="V8" s="383"/>
      <c r="W8" s="383"/>
      <c r="X8" s="383"/>
      <c r="Y8" s="383" t="e">
        <f t="shared" ca="1" si="12"/>
        <v>#REF!</v>
      </c>
      <c r="Z8" s="372" t="e">
        <f t="shared" ca="1" si="13"/>
        <v>#REF!</v>
      </c>
      <c r="AA8" s="381" t="e">
        <f ca="1">SUM(C22:Y22)/COUNT(C8:Y8)</f>
        <v>#REF!</v>
      </c>
      <c r="AB8" s="371" t="e">
        <f t="shared" ca="1" si="14"/>
        <v>#REF!</v>
      </c>
      <c r="AC8" s="371" t="e">
        <f t="shared" ca="1" si="15"/>
        <v>#REF!</v>
      </c>
      <c r="AD8" s="371" t="e">
        <f t="shared" ca="1" si="16"/>
        <v>#REF!</v>
      </c>
      <c r="AE8" s="371" t="e">
        <f t="shared" ca="1" si="17"/>
        <v>#REF!</v>
      </c>
    </row>
    <row r="9" spans="1:31" ht="15" customHeight="1" x14ac:dyDescent="0.3">
      <c r="A9" s="370"/>
      <c r="B9" s="370" t="e">
        <f t="shared" ca="1" si="4"/>
        <v>#REF!</v>
      </c>
      <c r="C9" s="371" t="e">
        <f t="shared" ca="1" si="5"/>
        <v>#REF!</v>
      </c>
      <c r="D9" s="371" t="e">
        <f t="shared" ca="1" si="6"/>
        <v>#REF!</v>
      </c>
      <c r="E9" s="371" t="e">
        <f t="shared" ca="1" si="7"/>
        <v>#REF!</v>
      </c>
      <c r="F9" s="371" t="e">
        <f t="shared" ca="1" si="8"/>
        <v>#REF!</v>
      </c>
      <c r="G9" s="371" t="e">
        <f t="shared" ca="1" si="9"/>
        <v>#REF!</v>
      </c>
      <c r="H9" s="371" t="e">
        <f t="shared" ca="1" si="10"/>
        <v>#REF!</v>
      </c>
      <c r="I9" s="371" t="e">
        <f t="shared" ca="1" si="11"/>
        <v>#REF!</v>
      </c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 t="e">
        <f t="shared" ca="1" si="12"/>
        <v>#REF!</v>
      </c>
      <c r="Z9" s="372" t="e">
        <f t="shared" ca="1" si="13"/>
        <v>#REF!</v>
      </c>
      <c r="AA9" s="382" t="e">
        <f ca="1">SUM(C23:Y23)/COUNT(C9:Y9)</f>
        <v>#REF!</v>
      </c>
      <c r="AB9" s="371" t="e">
        <f t="shared" ca="1" si="14"/>
        <v>#REF!</v>
      </c>
      <c r="AC9" s="371" t="e">
        <f t="shared" ca="1" si="15"/>
        <v>#REF!</v>
      </c>
      <c r="AD9" s="371" t="e">
        <f t="shared" ca="1" si="16"/>
        <v>#REF!</v>
      </c>
      <c r="AE9" s="371" t="e">
        <f t="shared" ca="1" si="17"/>
        <v>#REF!</v>
      </c>
    </row>
    <row r="10" spans="1:31" ht="15" customHeight="1" x14ac:dyDescent="0.3">
      <c r="A10" s="370"/>
      <c r="B10" s="370" t="e">
        <f t="shared" ca="1" si="4"/>
        <v>#REF!</v>
      </c>
      <c r="C10" s="371" t="e">
        <f t="shared" ca="1" si="5"/>
        <v>#REF!</v>
      </c>
      <c r="D10" s="371" t="e">
        <f t="shared" ca="1" si="6"/>
        <v>#REF!</v>
      </c>
      <c r="E10" s="371" t="e">
        <f t="shared" ca="1" si="7"/>
        <v>#REF!</v>
      </c>
      <c r="F10" s="371" t="e">
        <f t="shared" ca="1" si="8"/>
        <v>#REF!</v>
      </c>
      <c r="G10" s="371" t="e">
        <f t="shared" ca="1" si="9"/>
        <v>#REF!</v>
      </c>
      <c r="H10" s="371" t="e">
        <f t="shared" ca="1" si="10"/>
        <v>#REF!</v>
      </c>
      <c r="I10" s="371" t="e">
        <f t="shared" ca="1" si="11"/>
        <v>#REF!</v>
      </c>
      <c r="J10" s="371"/>
      <c r="K10" s="371"/>
      <c r="L10" s="371"/>
      <c r="M10" s="371"/>
      <c r="N10" s="371"/>
      <c r="O10" s="371"/>
      <c r="P10" s="371"/>
      <c r="Q10" s="371"/>
      <c r="R10" s="371"/>
      <c r="S10" s="371"/>
      <c r="T10" s="371"/>
      <c r="U10" s="371"/>
      <c r="V10" s="371"/>
      <c r="W10" s="371"/>
      <c r="X10" s="371"/>
      <c r="Y10" s="371" t="e">
        <f t="shared" ca="1" si="12"/>
        <v>#REF!</v>
      </c>
      <c r="Z10" s="372" t="e">
        <f t="shared" ca="1" si="13"/>
        <v>#REF!</v>
      </c>
      <c r="AA10" s="382" t="e">
        <f ca="1">SUM(C24:Y24)/COUNT(C10:Y10)</f>
        <v>#REF!</v>
      </c>
      <c r="AB10" s="371" t="e">
        <f t="shared" ca="1" si="14"/>
        <v>#REF!</v>
      </c>
      <c r="AC10" s="371" t="e">
        <f t="shared" ca="1" si="15"/>
        <v>#REF!</v>
      </c>
      <c r="AD10" s="371" t="e">
        <f t="shared" ca="1" si="16"/>
        <v>#REF!</v>
      </c>
      <c r="AE10" s="371" t="e">
        <f t="shared" ca="1" si="17"/>
        <v>#REF!</v>
      </c>
    </row>
    <row r="11" spans="1:31" ht="15" customHeight="1" x14ac:dyDescent="0.3">
      <c r="A11" s="370"/>
      <c r="B11" s="370" t="e">
        <f t="shared" ca="1" si="4"/>
        <v>#REF!</v>
      </c>
      <c r="C11" s="371" t="e">
        <f t="shared" ca="1" si="5"/>
        <v>#REF!</v>
      </c>
      <c r="D11" s="371" t="e">
        <f t="shared" ca="1" si="6"/>
        <v>#REF!</v>
      </c>
      <c r="E11" s="371" t="e">
        <f t="shared" ca="1" si="7"/>
        <v>#REF!</v>
      </c>
      <c r="F11" s="371" t="e">
        <f t="shared" ca="1" si="8"/>
        <v>#REF!</v>
      </c>
      <c r="G11" s="371" t="e">
        <f t="shared" ca="1" si="9"/>
        <v>#REF!</v>
      </c>
      <c r="H11" s="371" t="e">
        <f t="shared" ca="1" si="10"/>
        <v>#REF!</v>
      </c>
      <c r="I11" s="371" t="e">
        <f t="shared" ca="1" si="11"/>
        <v>#REF!</v>
      </c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1"/>
      <c r="W11" s="371"/>
      <c r="X11" s="371"/>
      <c r="Y11" s="371" t="e">
        <f t="shared" ca="1" si="12"/>
        <v>#REF!</v>
      </c>
      <c r="Z11" s="372" t="e">
        <f t="shared" ca="1" si="13"/>
        <v>#REF!</v>
      </c>
      <c r="AA11" s="382" t="e">
        <f ca="1">SUM(C25:Y25)/COUNT(C11:Y11)</f>
        <v>#REF!</v>
      </c>
      <c r="AB11" s="371" t="e">
        <f t="shared" ca="1" si="14"/>
        <v>#REF!</v>
      </c>
      <c r="AC11" s="371" t="e">
        <f t="shared" ca="1" si="15"/>
        <v>#REF!</v>
      </c>
      <c r="AD11" s="371" t="e">
        <f t="shared" ca="1" si="16"/>
        <v>#REF!</v>
      </c>
      <c r="AE11" s="371" t="e">
        <f t="shared" ca="1" si="17"/>
        <v>#REF!</v>
      </c>
    </row>
    <row r="12" spans="1:31" ht="15" customHeight="1" thickBot="1" x14ac:dyDescent="0.35">
      <c r="A12" s="373"/>
      <c r="B12" s="373" t="e">
        <f t="shared" ca="1" si="4"/>
        <v>#REF!</v>
      </c>
      <c r="C12" s="374" t="e">
        <f t="shared" ca="1" si="5"/>
        <v>#REF!</v>
      </c>
      <c r="D12" s="374" t="e">
        <f t="shared" ca="1" si="6"/>
        <v>#REF!</v>
      </c>
      <c r="E12" s="374" t="e">
        <f t="shared" ca="1" si="7"/>
        <v>#REF!</v>
      </c>
      <c r="F12" s="374" t="e">
        <f t="shared" ca="1" si="8"/>
        <v>#REF!</v>
      </c>
      <c r="G12" s="374" t="e">
        <f t="shared" ca="1" si="9"/>
        <v>#REF!</v>
      </c>
      <c r="H12" s="374" t="e">
        <f t="shared" ca="1" si="10"/>
        <v>#REF!</v>
      </c>
      <c r="I12" s="374" t="e">
        <f t="shared" ca="1" si="11"/>
        <v>#REF!</v>
      </c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 t="e">
        <f t="shared" ca="1" si="12"/>
        <v>#REF!</v>
      </c>
      <c r="Z12" s="375" t="e">
        <f t="shared" ca="1" si="13"/>
        <v>#REF!</v>
      </c>
      <c r="AA12" s="382" t="e">
        <f ca="1">SUM(C26:Y26)/COUNT(C12:Y12)</f>
        <v>#REF!</v>
      </c>
      <c r="AB12" s="374" t="e">
        <f t="shared" ca="1" si="14"/>
        <v>#REF!</v>
      </c>
      <c r="AC12" s="374" t="e">
        <f t="shared" ca="1" si="15"/>
        <v>#REF!</v>
      </c>
      <c r="AD12" s="374" t="e">
        <f t="shared" ca="1" si="16"/>
        <v>#REF!</v>
      </c>
      <c r="AE12" s="374" t="e">
        <f t="shared" ca="1" si="17"/>
        <v>#REF!</v>
      </c>
    </row>
    <row r="13" spans="1:31" ht="15" customHeight="1" thickBot="1" x14ac:dyDescent="0.35">
      <c r="A13" s="376"/>
      <c r="B13" s="376" t="e">
        <f t="shared" ca="1" si="4"/>
        <v>#REF!</v>
      </c>
      <c r="C13" s="377" t="e">
        <f t="shared" ca="1" si="5"/>
        <v>#REF!</v>
      </c>
      <c r="D13" s="377" t="e">
        <f t="shared" ca="1" si="6"/>
        <v>#REF!</v>
      </c>
      <c r="E13" s="377" t="e">
        <f t="shared" ca="1" si="7"/>
        <v>#REF!</v>
      </c>
      <c r="F13" s="377" t="e">
        <f t="shared" ca="1" si="8"/>
        <v>#REF!</v>
      </c>
      <c r="G13" s="377" t="e">
        <f t="shared" ca="1" si="9"/>
        <v>#REF!</v>
      </c>
      <c r="H13" s="377" t="e">
        <f t="shared" ca="1" si="10"/>
        <v>#REF!</v>
      </c>
      <c r="I13" s="377" t="e">
        <f t="shared" ca="1" si="11"/>
        <v>#REF!</v>
      </c>
      <c r="J13" s="377"/>
      <c r="K13" s="377"/>
      <c r="L13" s="377"/>
      <c r="M13" s="377"/>
      <c r="N13" s="377"/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 t="e">
        <f t="shared" ca="1" si="12"/>
        <v>#REF!</v>
      </c>
      <c r="Z13" s="378" t="e">
        <f t="shared" ca="1" si="13"/>
        <v>#REF!</v>
      </c>
      <c r="AA13" s="386" t="e">
        <f ca="1">SUM(C27:Y27)/COUNT(C13:Y13)</f>
        <v>#REF!</v>
      </c>
      <c r="AB13" s="377" t="e">
        <f t="shared" ca="1" si="14"/>
        <v>#REF!</v>
      </c>
      <c r="AC13" s="377" t="e">
        <f t="shared" ca="1" si="15"/>
        <v>#REF!</v>
      </c>
      <c r="AD13" s="377" t="e">
        <f t="shared" ca="1" si="16"/>
        <v>#REF!</v>
      </c>
      <c r="AE13" s="377" t="e">
        <f t="shared" ca="1" si="17"/>
        <v>#REF!</v>
      </c>
    </row>
    <row r="14" spans="1:31" ht="15" customHeight="1" x14ac:dyDescent="0.3">
      <c r="A14" s="132"/>
      <c r="B14" s="132"/>
      <c r="C14" s="133"/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3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4"/>
      <c r="AA14" s="384"/>
      <c r="AB14" s="133"/>
      <c r="AC14" s="133"/>
      <c r="AD14" s="133"/>
      <c r="AE14" s="133"/>
    </row>
    <row r="15" spans="1:31" ht="15" customHeight="1" x14ac:dyDescent="0.3">
      <c r="A15" s="234"/>
      <c r="B15" s="234" t="e">
        <f t="shared" ca="1" si="4"/>
        <v>#REF!</v>
      </c>
      <c r="C15" s="235" t="e">
        <f t="shared" ca="1" si="5"/>
        <v>#REF!</v>
      </c>
      <c r="D15" s="235" t="e">
        <f t="shared" ca="1" si="6"/>
        <v>#REF!</v>
      </c>
      <c r="E15" s="235" t="e">
        <f t="shared" ca="1" si="7"/>
        <v>#REF!</v>
      </c>
      <c r="F15" s="235" t="e">
        <f t="shared" ca="1" si="8"/>
        <v>#REF!</v>
      </c>
      <c r="G15" s="235" t="e">
        <f t="shared" ca="1" si="9"/>
        <v>#REF!</v>
      </c>
      <c r="H15" s="235" t="e">
        <f t="shared" ca="1" si="10"/>
        <v>#REF!</v>
      </c>
      <c r="I15" s="235" t="e">
        <f t="shared" ca="1" si="11"/>
        <v>#REF!</v>
      </c>
      <c r="J15" s="235"/>
      <c r="K15" s="235"/>
      <c r="L15" s="235"/>
      <c r="M15" s="235"/>
      <c r="N15" s="235"/>
      <c r="O15" s="235"/>
      <c r="P15" s="235"/>
      <c r="Q15" s="235"/>
      <c r="R15" s="235"/>
      <c r="S15" s="235"/>
      <c r="T15" s="235"/>
      <c r="U15" s="235"/>
      <c r="V15" s="235"/>
      <c r="W15" s="235"/>
      <c r="X15" s="235"/>
      <c r="Y15" s="235" t="e">
        <f t="shared" ca="1" si="12"/>
        <v>#REF!</v>
      </c>
      <c r="Z15" s="236" t="e">
        <f t="shared" ca="1" si="13"/>
        <v>#REF!</v>
      </c>
      <c r="AA15" s="385" t="e">
        <f ca="1">SUM(C29:Y29)/COUNT(C15:Y15)</f>
        <v>#REF!</v>
      </c>
      <c r="AB15" s="235" t="e">
        <f ca="1">INDIRECT("'"&amp;$A15&amp;"'!F36")</f>
        <v>#REF!</v>
      </c>
      <c r="AC15" s="235" t="e">
        <f ca="1">INDIRECT("'"&amp;$A15&amp;"'!H36")</f>
        <v>#REF!</v>
      </c>
      <c r="AD15" s="235" t="e">
        <f ca="1">INDIRECT("'"&amp;$A15&amp;"'!I36")</f>
        <v>#REF!</v>
      </c>
      <c r="AE15" s="235" t="e">
        <f ca="1">INDIRECT("'"&amp;$A15&amp;"'!J36")</f>
        <v>#REF!</v>
      </c>
    </row>
    <row r="16" spans="1:31" ht="15" customHeight="1" x14ac:dyDescent="0.3">
      <c r="A16" s="132"/>
      <c r="B16" s="132" t="e">
        <f t="shared" ca="1" si="4"/>
        <v>#REF!</v>
      </c>
      <c r="C16" s="133" t="e">
        <f t="shared" ca="1" si="5"/>
        <v>#REF!</v>
      </c>
      <c r="D16" s="133" t="e">
        <f t="shared" ca="1" si="6"/>
        <v>#REF!</v>
      </c>
      <c r="E16" s="133" t="e">
        <f t="shared" ca="1" si="7"/>
        <v>#REF!</v>
      </c>
      <c r="F16" s="133" t="e">
        <f t="shared" ca="1" si="8"/>
        <v>#REF!</v>
      </c>
      <c r="G16" s="133" t="e">
        <f t="shared" ca="1" si="9"/>
        <v>#REF!</v>
      </c>
      <c r="H16" s="133" t="e">
        <f t="shared" ca="1" si="10"/>
        <v>#REF!</v>
      </c>
      <c r="I16" s="133" t="e">
        <f t="shared" ca="1" si="11"/>
        <v>#REF!</v>
      </c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 t="e">
        <f t="shared" ca="1" si="12"/>
        <v>#REF!</v>
      </c>
      <c r="Z16" s="134" t="e">
        <f t="shared" ca="1" si="13"/>
        <v>#REF!</v>
      </c>
      <c r="AA16" s="385" t="e">
        <f ca="1">SUM(C30:Y30)/COUNT(C16:Y16)</f>
        <v>#REF!</v>
      </c>
      <c r="AB16" s="133" t="e">
        <f ca="1">INDIRECT("'"&amp;$A16&amp;"'!F36")</f>
        <v>#REF!</v>
      </c>
      <c r="AC16" s="133" t="e">
        <f ca="1">INDIRECT("'"&amp;$A16&amp;"'!H36")</f>
        <v>#REF!</v>
      </c>
      <c r="AD16" s="133" t="e">
        <f ca="1">INDIRECT("'"&amp;$A16&amp;"'!I36")</f>
        <v>#REF!</v>
      </c>
      <c r="AE16" s="133" t="e">
        <f ca="1">INDIRECT("'"&amp;$A16&amp;"'!J36")</f>
        <v>#REF!</v>
      </c>
    </row>
    <row r="21" spans="1:25" ht="15" hidden="1" customHeight="1" x14ac:dyDescent="0.3">
      <c r="A21" s="379" t="s">
        <v>227</v>
      </c>
      <c r="B21" s="379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  <c r="U21" s="380"/>
      <c r="V21" s="380"/>
      <c r="W21" s="380"/>
      <c r="X21" s="380"/>
      <c r="Y21" s="380"/>
    </row>
    <row r="22" spans="1:25" ht="15" hidden="1" customHeight="1" x14ac:dyDescent="0.3">
      <c r="A22" s="379">
        <f>A8</f>
        <v>0</v>
      </c>
      <c r="B22" s="379" t="e">
        <f ca="1">B8</f>
        <v>#REF!</v>
      </c>
      <c r="C22" s="380" t="e">
        <f ca="1">IF(ABS(C$3/3-C8)&lt;=0.75,1,0)</f>
        <v>#REF!</v>
      </c>
      <c r="D22" s="380" t="e">
        <f t="shared" ref="D22:Y22" ca="1" si="18">IF(ABS(D$3/3-D8)&lt;=0.75,1,0)</f>
        <v>#REF!</v>
      </c>
      <c r="E22" s="380" t="e">
        <f t="shared" ca="1" si="18"/>
        <v>#REF!</v>
      </c>
      <c r="F22" s="380" t="e">
        <f t="shared" ca="1" si="18"/>
        <v>#REF!</v>
      </c>
      <c r="G22" s="380" t="e">
        <f t="shared" ca="1" si="18"/>
        <v>#REF!</v>
      </c>
      <c r="H22" s="380" t="e">
        <f t="shared" ca="1" si="18"/>
        <v>#REF!</v>
      </c>
      <c r="I22" s="380" t="e">
        <f t="shared" ca="1" si="18"/>
        <v>#REF!</v>
      </c>
      <c r="J22" s="380"/>
      <c r="K22" s="380"/>
      <c r="L22" s="380"/>
      <c r="M22" s="380"/>
      <c r="N22" s="380"/>
      <c r="O22" s="380"/>
      <c r="P22" s="380"/>
      <c r="Q22" s="380"/>
      <c r="R22" s="380"/>
      <c r="S22" s="380"/>
      <c r="T22" s="380"/>
      <c r="U22" s="380"/>
      <c r="V22" s="380"/>
      <c r="W22" s="380"/>
      <c r="X22" s="380"/>
      <c r="Y22" s="380" t="e">
        <f t="shared" ca="1" si="18"/>
        <v>#REF!</v>
      </c>
    </row>
    <row r="23" spans="1:25" ht="15" hidden="1" customHeight="1" x14ac:dyDescent="0.3">
      <c r="A23" s="379">
        <f>A9</f>
        <v>0</v>
      </c>
      <c r="B23" s="379" t="e">
        <f ca="1">B9</f>
        <v>#REF!</v>
      </c>
      <c r="C23" s="380" t="e">
        <f t="shared" ref="C23:Y30" ca="1" si="19">IF(ABS(C$3/3-C9)&lt;=0.75,1,0)</f>
        <v>#REF!</v>
      </c>
      <c r="D23" s="380" t="e">
        <f t="shared" ca="1" si="19"/>
        <v>#REF!</v>
      </c>
      <c r="E23" s="380" t="e">
        <f t="shared" ca="1" si="19"/>
        <v>#REF!</v>
      </c>
      <c r="F23" s="380" t="e">
        <f t="shared" ca="1" si="19"/>
        <v>#REF!</v>
      </c>
      <c r="G23" s="380" t="e">
        <f t="shared" ca="1" si="19"/>
        <v>#REF!</v>
      </c>
      <c r="H23" s="380" t="e">
        <f t="shared" ca="1" si="19"/>
        <v>#REF!</v>
      </c>
      <c r="I23" s="380" t="e">
        <f t="shared" ca="1" si="19"/>
        <v>#REF!</v>
      </c>
      <c r="J23" s="380"/>
      <c r="K23" s="380"/>
      <c r="L23" s="380"/>
      <c r="M23" s="380"/>
      <c r="N23" s="380"/>
      <c r="O23" s="380"/>
      <c r="P23" s="380"/>
      <c r="Q23" s="380"/>
      <c r="R23" s="380"/>
      <c r="S23" s="380"/>
      <c r="T23" s="380"/>
      <c r="U23" s="380"/>
      <c r="V23" s="380"/>
      <c r="W23" s="380"/>
      <c r="X23" s="380"/>
      <c r="Y23" s="380" t="e">
        <f t="shared" ca="1" si="19"/>
        <v>#REF!</v>
      </c>
    </row>
    <row r="24" spans="1:25" ht="15" hidden="1" customHeight="1" x14ac:dyDescent="0.3">
      <c r="A24" s="379">
        <f>A10</f>
        <v>0</v>
      </c>
      <c r="B24" s="379" t="e">
        <f t="shared" ref="B24:B30" ca="1" si="20">B10</f>
        <v>#REF!</v>
      </c>
      <c r="C24" s="380" t="e">
        <f t="shared" ca="1" si="19"/>
        <v>#REF!</v>
      </c>
      <c r="D24" s="380" t="e">
        <f t="shared" ca="1" si="19"/>
        <v>#REF!</v>
      </c>
      <c r="E24" s="380" t="e">
        <f t="shared" ca="1" si="19"/>
        <v>#REF!</v>
      </c>
      <c r="F24" s="380" t="e">
        <f t="shared" ca="1" si="19"/>
        <v>#REF!</v>
      </c>
      <c r="G24" s="380" t="e">
        <f t="shared" ca="1" si="19"/>
        <v>#REF!</v>
      </c>
      <c r="H24" s="380" t="e">
        <f t="shared" ca="1" si="19"/>
        <v>#REF!</v>
      </c>
      <c r="I24" s="380" t="e">
        <f t="shared" ca="1" si="19"/>
        <v>#REF!</v>
      </c>
      <c r="J24" s="380"/>
      <c r="K24" s="380"/>
      <c r="L24" s="380"/>
      <c r="M24" s="380"/>
      <c r="N24" s="380"/>
      <c r="O24" s="380"/>
      <c r="P24" s="380"/>
      <c r="Q24" s="380"/>
      <c r="R24" s="380"/>
      <c r="S24" s="380"/>
      <c r="T24" s="380"/>
      <c r="U24" s="380"/>
      <c r="V24" s="380"/>
      <c r="W24" s="380"/>
      <c r="X24" s="380"/>
      <c r="Y24" s="380" t="e">
        <f t="shared" ca="1" si="19"/>
        <v>#REF!</v>
      </c>
    </row>
    <row r="25" spans="1:25" ht="15" hidden="1" customHeight="1" x14ac:dyDescent="0.3">
      <c r="A25" s="379">
        <f>A11</f>
        <v>0</v>
      </c>
      <c r="B25" s="379" t="e">
        <f t="shared" ca="1" si="20"/>
        <v>#REF!</v>
      </c>
      <c r="C25" s="380" t="e">
        <f t="shared" ca="1" si="19"/>
        <v>#REF!</v>
      </c>
      <c r="D25" s="380" t="e">
        <f t="shared" ca="1" si="19"/>
        <v>#REF!</v>
      </c>
      <c r="E25" s="380" t="e">
        <f t="shared" ca="1" si="19"/>
        <v>#REF!</v>
      </c>
      <c r="F25" s="380" t="e">
        <f t="shared" ca="1" si="19"/>
        <v>#REF!</v>
      </c>
      <c r="G25" s="380" t="e">
        <f t="shared" ca="1" si="19"/>
        <v>#REF!</v>
      </c>
      <c r="H25" s="380" t="e">
        <f t="shared" ca="1" si="19"/>
        <v>#REF!</v>
      </c>
      <c r="I25" s="380" t="e">
        <f t="shared" ca="1" si="19"/>
        <v>#REF!</v>
      </c>
      <c r="J25" s="380"/>
      <c r="K25" s="380"/>
      <c r="L25" s="380"/>
      <c r="M25" s="380"/>
      <c r="N25" s="380"/>
      <c r="O25" s="380"/>
      <c r="P25" s="380"/>
      <c r="Q25" s="380"/>
      <c r="R25" s="380"/>
      <c r="S25" s="380"/>
      <c r="T25" s="380"/>
      <c r="U25" s="380"/>
      <c r="V25" s="380"/>
      <c r="W25" s="380"/>
      <c r="X25" s="380"/>
      <c r="Y25" s="380" t="e">
        <f t="shared" ca="1" si="19"/>
        <v>#REF!</v>
      </c>
    </row>
    <row r="26" spans="1:25" ht="15" hidden="1" customHeight="1" x14ac:dyDescent="0.3">
      <c r="A26" s="379">
        <f>A12</f>
        <v>0</v>
      </c>
      <c r="B26" s="379" t="e">
        <f t="shared" ca="1" si="20"/>
        <v>#REF!</v>
      </c>
      <c r="C26" s="380" t="e">
        <f t="shared" ca="1" si="19"/>
        <v>#REF!</v>
      </c>
      <c r="D26" s="380" t="e">
        <f t="shared" ca="1" si="19"/>
        <v>#REF!</v>
      </c>
      <c r="E26" s="380" t="e">
        <f t="shared" ca="1" si="19"/>
        <v>#REF!</v>
      </c>
      <c r="F26" s="380" t="e">
        <f t="shared" ca="1" si="19"/>
        <v>#REF!</v>
      </c>
      <c r="G26" s="380" t="e">
        <f t="shared" ca="1" si="19"/>
        <v>#REF!</v>
      </c>
      <c r="H26" s="380" t="e">
        <f t="shared" ca="1" si="19"/>
        <v>#REF!</v>
      </c>
      <c r="I26" s="380" t="e">
        <f t="shared" ca="1" si="19"/>
        <v>#REF!</v>
      </c>
      <c r="J26" s="380"/>
      <c r="K26" s="380"/>
      <c r="L26" s="380"/>
      <c r="M26" s="380"/>
      <c r="N26" s="380"/>
      <c r="O26" s="380"/>
      <c r="P26" s="380"/>
      <c r="Q26" s="380"/>
      <c r="R26" s="380"/>
      <c r="S26" s="380"/>
      <c r="T26" s="380"/>
      <c r="U26" s="380"/>
      <c r="V26" s="380"/>
      <c r="W26" s="380"/>
      <c r="X26" s="380"/>
      <c r="Y26" s="380" t="e">
        <f t="shared" ca="1" si="19"/>
        <v>#REF!</v>
      </c>
    </row>
    <row r="27" spans="1:25" ht="15" hidden="1" customHeight="1" x14ac:dyDescent="0.3">
      <c r="A27" s="379">
        <f>A13</f>
        <v>0</v>
      </c>
      <c r="B27" s="379" t="e">
        <f t="shared" ca="1" si="20"/>
        <v>#REF!</v>
      </c>
      <c r="C27" s="380" t="e">
        <f t="shared" ca="1" si="19"/>
        <v>#REF!</v>
      </c>
      <c r="D27" s="380" t="e">
        <f t="shared" ca="1" si="19"/>
        <v>#REF!</v>
      </c>
      <c r="E27" s="380" t="e">
        <f t="shared" ca="1" si="19"/>
        <v>#REF!</v>
      </c>
      <c r="F27" s="380" t="e">
        <f t="shared" ca="1" si="19"/>
        <v>#REF!</v>
      </c>
      <c r="G27" s="380" t="e">
        <f t="shared" ca="1" si="19"/>
        <v>#REF!</v>
      </c>
      <c r="H27" s="380" t="e">
        <f t="shared" ca="1" si="19"/>
        <v>#REF!</v>
      </c>
      <c r="I27" s="380" t="e">
        <f t="shared" ca="1" si="19"/>
        <v>#REF!</v>
      </c>
      <c r="J27" s="380"/>
      <c r="K27" s="380"/>
      <c r="L27" s="380"/>
      <c r="M27" s="380"/>
      <c r="N27" s="380"/>
      <c r="O27" s="380"/>
      <c r="P27" s="380"/>
      <c r="Q27" s="380"/>
      <c r="R27" s="380"/>
      <c r="S27" s="380"/>
      <c r="T27" s="380"/>
      <c r="U27" s="380"/>
      <c r="V27" s="380"/>
      <c r="W27" s="380"/>
      <c r="X27" s="380"/>
      <c r="Y27" s="380" t="e">
        <f t="shared" ca="1" si="19"/>
        <v>#REF!</v>
      </c>
    </row>
    <row r="28" spans="1:25" ht="15" hidden="1" customHeight="1" x14ac:dyDescent="0.3">
      <c r="B28" s="379"/>
    </row>
    <row r="29" spans="1:25" ht="15" hidden="1" customHeight="1" x14ac:dyDescent="0.3">
      <c r="A29" s="379">
        <f>A15</f>
        <v>0</v>
      </c>
      <c r="B29" s="379" t="e">
        <f t="shared" ca="1" si="20"/>
        <v>#REF!</v>
      </c>
      <c r="C29" s="380" t="e">
        <f t="shared" ca="1" si="19"/>
        <v>#REF!</v>
      </c>
      <c r="D29" s="380" t="e">
        <f t="shared" ca="1" si="19"/>
        <v>#REF!</v>
      </c>
      <c r="E29" s="380" t="e">
        <f t="shared" ca="1" si="19"/>
        <v>#REF!</v>
      </c>
      <c r="F29" s="380" t="e">
        <f t="shared" ca="1" si="19"/>
        <v>#REF!</v>
      </c>
      <c r="G29" s="380" t="e">
        <f t="shared" ca="1" si="19"/>
        <v>#REF!</v>
      </c>
      <c r="H29" s="380" t="e">
        <f t="shared" ca="1" si="19"/>
        <v>#REF!</v>
      </c>
      <c r="I29" s="380" t="e">
        <f t="shared" ca="1" si="19"/>
        <v>#REF!</v>
      </c>
      <c r="J29" s="380"/>
      <c r="K29" s="380"/>
      <c r="L29" s="380"/>
      <c r="M29" s="380"/>
      <c r="N29" s="380"/>
      <c r="O29" s="380"/>
      <c r="P29" s="380"/>
      <c r="Q29" s="380"/>
      <c r="R29" s="380"/>
      <c r="S29" s="380"/>
      <c r="T29" s="380"/>
      <c r="U29" s="380"/>
      <c r="V29" s="380"/>
      <c r="W29" s="380"/>
      <c r="X29" s="380"/>
      <c r="Y29" s="380" t="e">
        <f t="shared" ca="1" si="19"/>
        <v>#REF!</v>
      </c>
    </row>
    <row r="30" spans="1:25" ht="15" hidden="1" customHeight="1" x14ac:dyDescent="0.3">
      <c r="A30" s="379">
        <f>A16</f>
        <v>0</v>
      </c>
      <c r="B30" s="379" t="e">
        <f t="shared" ca="1" si="20"/>
        <v>#REF!</v>
      </c>
      <c r="C30" s="380" t="e">
        <f t="shared" ca="1" si="19"/>
        <v>#REF!</v>
      </c>
      <c r="D30" s="380" t="e">
        <f t="shared" ca="1" si="19"/>
        <v>#REF!</v>
      </c>
      <c r="E30" s="380" t="e">
        <f t="shared" ca="1" si="19"/>
        <v>#REF!</v>
      </c>
      <c r="F30" s="380" t="e">
        <f t="shared" ca="1" si="19"/>
        <v>#REF!</v>
      </c>
      <c r="G30" s="380" t="e">
        <f t="shared" ca="1" si="19"/>
        <v>#REF!</v>
      </c>
      <c r="H30" s="380" t="e">
        <f t="shared" ca="1" si="19"/>
        <v>#REF!</v>
      </c>
      <c r="I30" s="380" t="e">
        <f t="shared" ca="1" si="19"/>
        <v>#REF!</v>
      </c>
      <c r="J30" s="380"/>
      <c r="K30" s="380"/>
      <c r="L30" s="380"/>
      <c r="M30" s="380"/>
      <c r="N30" s="380"/>
      <c r="O30" s="380"/>
      <c r="P30" s="380"/>
      <c r="Q30" s="380"/>
      <c r="R30" s="380"/>
      <c r="S30" s="380"/>
      <c r="T30" s="380"/>
      <c r="U30" s="380"/>
      <c r="V30" s="380"/>
      <c r="W30" s="380"/>
      <c r="X30" s="380"/>
      <c r="Y30" s="380" t="e">
        <f t="shared" ca="1" si="19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5" priority="3">
      <formula>C4&gt;3</formula>
    </cfRule>
    <cfRule type="expression" dxfId="4" priority="4">
      <formula>AND(C4&gt;2,C4&lt;=3)</formula>
    </cfRule>
    <cfRule type="expression" dxfId="3" priority="5">
      <formula>AND(C4&gt;1,C4&lt;=2)</formula>
    </cfRule>
    <cfRule type="expression" dxfId="2" priority="6">
      <formula>C4&lt;=1</formula>
    </cfRule>
  </conditionalFormatting>
  <conditionalFormatting sqref="C8:Y13">
    <cfRule type="expression" dxfId="1" priority="1">
      <formula>C$3/3-C8&lt;-0.75</formula>
    </cfRule>
    <cfRule type="expression" dxfId="0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H52"/>
  <sheetViews>
    <sheetView zoomScale="85" zoomScaleNormal="85" workbookViewId="0">
      <selection activeCell="P8" sqref="P8"/>
    </sheetView>
  </sheetViews>
  <sheetFormatPr defaultColWidth="11.5546875" defaultRowHeight="14.4" x14ac:dyDescent="0.3"/>
  <cols>
    <col min="1" max="16384" width="11.5546875" style="131"/>
  </cols>
  <sheetData>
    <row r="1" spans="1:3" x14ac:dyDescent="0.3">
      <c r="A1" s="131" t="s">
        <v>33</v>
      </c>
      <c r="B1" s="42" t="s">
        <v>222</v>
      </c>
    </row>
    <row r="2" spans="1:3" x14ac:dyDescent="0.3">
      <c r="A2" s="131" t="s">
        <v>34</v>
      </c>
      <c r="B2" s="131" t="s">
        <v>35</v>
      </c>
    </row>
    <row r="3" spans="1:3" x14ac:dyDescent="0.3">
      <c r="A3" s="131" t="s">
        <v>36</v>
      </c>
    </row>
    <row r="5" spans="1:3" x14ac:dyDescent="0.3">
      <c r="A5" s="131" t="s">
        <v>37</v>
      </c>
      <c r="B5" s="131" t="s">
        <v>38</v>
      </c>
    </row>
    <row r="6" spans="1:3" x14ac:dyDescent="0.3">
      <c r="B6" s="131" t="s">
        <v>44</v>
      </c>
      <c r="C6" s="131" t="s">
        <v>39</v>
      </c>
    </row>
    <row r="7" spans="1:3" x14ac:dyDescent="0.3">
      <c r="B7" s="131" t="s">
        <v>42</v>
      </c>
      <c r="C7" s="131" t="s">
        <v>40</v>
      </c>
    </row>
    <row r="8" spans="1:3" x14ac:dyDescent="0.3">
      <c r="B8" s="131" t="s">
        <v>43</v>
      </c>
      <c r="C8" s="131" t="s">
        <v>41</v>
      </c>
    </row>
    <row r="9" spans="1:3" x14ac:dyDescent="0.3">
      <c r="B9" s="131" t="s">
        <v>45</v>
      </c>
      <c r="C9" s="131" t="s">
        <v>49</v>
      </c>
    </row>
    <row r="10" spans="1:3" x14ac:dyDescent="0.3">
      <c r="B10" s="131" t="s">
        <v>46</v>
      </c>
      <c r="C10" s="131" t="s">
        <v>50</v>
      </c>
    </row>
    <row r="11" spans="1:3" x14ac:dyDescent="0.3">
      <c r="B11" s="131" t="s">
        <v>47</v>
      </c>
      <c r="C11" s="131" t="s">
        <v>51</v>
      </c>
    </row>
    <row r="12" spans="1:3" x14ac:dyDescent="0.3">
      <c r="B12" s="131" t="s">
        <v>48</v>
      </c>
      <c r="C12" s="131" t="s">
        <v>52</v>
      </c>
    </row>
    <row r="13" spans="1:3" x14ac:dyDescent="0.3">
      <c r="B13" s="131" t="s">
        <v>53</v>
      </c>
      <c r="C13" s="131" t="s">
        <v>57</v>
      </c>
    </row>
    <row r="14" spans="1:3" x14ac:dyDescent="0.3">
      <c r="B14" s="131" t="s">
        <v>54</v>
      </c>
      <c r="C14" s="131" t="s">
        <v>58</v>
      </c>
    </row>
    <row r="15" spans="1:3" x14ac:dyDescent="0.3">
      <c r="B15" s="131" t="s">
        <v>55</v>
      </c>
      <c r="C15" s="131" t="s">
        <v>59</v>
      </c>
    </row>
    <row r="16" spans="1:3" x14ac:dyDescent="0.3">
      <c r="B16" s="131" t="s">
        <v>56</v>
      </c>
      <c r="C16" s="131" t="s">
        <v>60</v>
      </c>
    </row>
    <row r="17" spans="1:3" x14ac:dyDescent="0.3">
      <c r="B17" s="131" t="s">
        <v>61</v>
      </c>
      <c r="C17" s="131" t="s">
        <v>62</v>
      </c>
    </row>
    <row r="19" spans="1:3" x14ac:dyDescent="0.3">
      <c r="A19" s="131" t="s">
        <v>66</v>
      </c>
    </row>
    <row r="20" spans="1:3" x14ac:dyDescent="0.3">
      <c r="B20" s="131" t="s">
        <v>67</v>
      </c>
    </row>
    <row r="21" spans="1:3" x14ac:dyDescent="0.3">
      <c r="B21" s="131" t="s">
        <v>68</v>
      </c>
    </row>
    <row r="26" spans="1:3" ht="15" customHeight="1" x14ac:dyDescent="0.3">
      <c r="A26" s="131" t="s">
        <v>184</v>
      </c>
    </row>
    <row r="27" spans="1:3" ht="15" customHeight="1" x14ac:dyDescent="0.3"/>
    <row r="28" spans="1:3" ht="15" customHeight="1" x14ac:dyDescent="0.3">
      <c r="A28" s="131" t="s">
        <v>179</v>
      </c>
      <c r="B28" s="131" t="s">
        <v>29</v>
      </c>
    </row>
    <row r="29" spans="1:3" ht="15" customHeight="1" x14ac:dyDescent="0.3">
      <c r="A29" s="131" t="s">
        <v>178</v>
      </c>
      <c r="B29" s="131" t="s">
        <v>30</v>
      </c>
    </row>
    <row r="30" spans="1:3" ht="15" customHeight="1" x14ac:dyDescent="0.3">
      <c r="A30" s="131" t="s">
        <v>182</v>
      </c>
      <c r="B30" s="131" t="s">
        <v>183</v>
      </c>
    </row>
    <row r="31" spans="1:3" ht="15" customHeight="1" x14ac:dyDescent="0.3">
      <c r="A31" s="131" t="s">
        <v>180</v>
      </c>
      <c r="B31" s="131" t="s">
        <v>181</v>
      </c>
    </row>
    <row r="32" spans="1:3" ht="15" customHeight="1" x14ac:dyDescent="0.3">
      <c r="A32" s="131" t="s">
        <v>185</v>
      </c>
      <c r="B32" s="131" t="s">
        <v>212</v>
      </c>
    </row>
    <row r="33" spans="1:2" ht="15" customHeight="1" x14ac:dyDescent="0.3">
      <c r="A33" s="131" t="s">
        <v>186</v>
      </c>
      <c r="B33" s="131" t="s">
        <v>1</v>
      </c>
    </row>
    <row r="34" spans="1:2" ht="15" customHeight="1" x14ac:dyDescent="0.3">
      <c r="A34" s="131" t="s">
        <v>187</v>
      </c>
      <c r="B34" s="131" t="s">
        <v>2</v>
      </c>
    </row>
    <row r="35" spans="1:2" ht="15" customHeight="1" x14ac:dyDescent="0.3">
      <c r="A35" s="131" t="s">
        <v>188</v>
      </c>
      <c r="B35" s="131" t="s">
        <v>3</v>
      </c>
    </row>
    <row r="36" spans="1:2" ht="15" customHeight="1" x14ac:dyDescent="0.3">
      <c r="A36" s="131" t="s">
        <v>189</v>
      </c>
      <c r="B36" s="131" t="s">
        <v>4</v>
      </c>
    </row>
    <row r="37" spans="1:2" ht="15" customHeight="1" x14ac:dyDescent="0.3">
      <c r="A37" s="131" t="s">
        <v>190</v>
      </c>
      <c r="B37" s="131" t="s">
        <v>6</v>
      </c>
    </row>
    <row r="38" spans="1:2" ht="15" customHeight="1" x14ac:dyDescent="0.3">
      <c r="A38" s="131" t="s">
        <v>191</v>
      </c>
      <c r="B38" s="131" t="s">
        <v>90</v>
      </c>
    </row>
    <row r="39" spans="1:2" ht="15" customHeight="1" x14ac:dyDescent="0.3">
      <c r="A39" s="131" t="s">
        <v>192</v>
      </c>
      <c r="B39" s="131" t="s">
        <v>89</v>
      </c>
    </row>
    <row r="40" spans="1:2" ht="15" customHeight="1" x14ac:dyDescent="0.3">
      <c r="A40" s="131" t="s">
        <v>193</v>
      </c>
      <c r="B40" s="131" t="s">
        <v>88</v>
      </c>
    </row>
    <row r="41" spans="1:2" ht="15" customHeight="1" x14ac:dyDescent="0.3">
      <c r="A41" s="131" t="s">
        <v>194</v>
      </c>
      <c r="B41" s="131" t="s">
        <v>5</v>
      </c>
    </row>
    <row r="42" spans="1:2" ht="15" customHeight="1" x14ac:dyDescent="0.3">
      <c r="A42" s="131" t="s">
        <v>195</v>
      </c>
      <c r="B42" s="131" t="s">
        <v>63</v>
      </c>
    </row>
    <row r="43" spans="1:2" ht="15" customHeight="1" x14ac:dyDescent="0.3">
      <c r="A43" s="131" t="s">
        <v>196</v>
      </c>
      <c r="B43" s="131" t="s">
        <v>197</v>
      </c>
    </row>
    <row r="44" spans="1:2" ht="15" customHeight="1" x14ac:dyDescent="0.3">
      <c r="A44" s="131" t="s">
        <v>198</v>
      </c>
      <c r="B44" s="131" t="s">
        <v>64</v>
      </c>
    </row>
    <row r="45" spans="1:2" ht="15" customHeight="1" x14ac:dyDescent="0.3">
      <c r="A45" s="131" t="s">
        <v>199</v>
      </c>
      <c r="B45" s="131" t="s">
        <v>200</v>
      </c>
    </row>
    <row r="46" spans="1:2" ht="15" customHeight="1" x14ac:dyDescent="0.3">
      <c r="A46" s="131" t="s">
        <v>201</v>
      </c>
      <c r="B46" s="131" t="s">
        <v>202</v>
      </c>
    </row>
    <row r="47" spans="1:2" ht="15" customHeight="1" x14ac:dyDescent="0.3">
      <c r="A47" s="131" t="s">
        <v>203</v>
      </c>
      <c r="B47" s="131" t="s">
        <v>204</v>
      </c>
    </row>
    <row r="48" spans="1:2" ht="15" customHeight="1" x14ac:dyDescent="0.3">
      <c r="A48" s="131" t="s">
        <v>205</v>
      </c>
      <c r="B48" s="131" t="s">
        <v>206</v>
      </c>
    </row>
    <row r="49" spans="1:8" x14ac:dyDescent="0.3">
      <c r="A49" s="131" t="s">
        <v>207</v>
      </c>
      <c r="B49" s="131" t="s">
        <v>208</v>
      </c>
    </row>
    <row r="50" spans="1:8" x14ac:dyDescent="0.3">
      <c r="A50" s="131" t="s">
        <v>209</v>
      </c>
      <c r="B50" s="131" t="s">
        <v>65</v>
      </c>
    </row>
    <row r="51" spans="1:8" x14ac:dyDescent="0.3">
      <c r="A51" s="131" t="s">
        <v>210</v>
      </c>
      <c r="B51" s="131" t="s">
        <v>7</v>
      </c>
      <c r="F51" s="42"/>
      <c r="G51" s="47"/>
      <c r="H51"/>
    </row>
    <row r="52" spans="1:8" x14ac:dyDescent="0.3">
      <c r="A52" s="131" t="s">
        <v>211</v>
      </c>
      <c r="B52" s="131" t="s">
        <v>28</v>
      </c>
      <c r="F52" s="29"/>
      <c r="G52" s="29"/>
      <c r="H52" s="44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68580</xdr:colOff>
                    <xdr:row>3</xdr:row>
                    <xdr:rowOff>68580</xdr:rowOff>
                  </from>
                  <to>
                    <xdr:col>6</xdr:col>
                    <xdr:colOff>655320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18</vt:i4>
      </vt:variant>
    </vt:vector>
  </HeadingPairs>
  <TitlesOfParts>
    <vt:vector size="37" baseType="lpstr">
      <vt:lpstr>1 Nage</vt:lpstr>
      <vt:lpstr>2 Katame</vt:lpstr>
      <vt:lpstr>3 Ju</vt:lpstr>
      <vt:lpstr>4 Kime</vt:lpstr>
      <vt:lpstr>5 Goshin</vt:lpstr>
      <vt:lpstr>6 Koshiki</vt:lpstr>
      <vt:lpstr>7 NageU18</vt:lpstr>
      <vt:lpstr>8 Integration1</vt:lpstr>
      <vt:lpstr>9 Integration2</vt:lpstr>
      <vt:lpstr>1 Nage A</vt:lpstr>
      <vt:lpstr>2 Katame A</vt:lpstr>
      <vt:lpstr>3 Ju A</vt:lpstr>
      <vt:lpstr>4 Kime A</vt:lpstr>
      <vt:lpstr>5 Goshin A</vt:lpstr>
      <vt:lpstr>6 Koshiki A</vt:lpstr>
      <vt:lpstr>7 NageU18 A</vt:lpstr>
      <vt:lpstr>8 Integration1 A</vt:lpstr>
      <vt:lpstr>9 Integration2 A</vt:lpstr>
      <vt:lpstr>Doku</vt:lpstr>
      <vt:lpstr>'1 Nage'!Print_Area</vt:lpstr>
      <vt:lpstr>'1 Nage A'!Print_Area</vt:lpstr>
      <vt:lpstr>'2 Katame'!Print_Area</vt:lpstr>
      <vt:lpstr>'2 Katame A'!Print_Area</vt:lpstr>
      <vt:lpstr>'3 Ju'!Print_Area</vt:lpstr>
      <vt:lpstr>'3 Ju A'!Print_Area</vt:lpstr>
      <vt:lpstr>'4 Kime'!Print_Area</vt:lpstr>
      <vt:lpstr>'4 Kime A'!Print_Area</vt:lpstr>
      <vt:lpstr>'5 Goshin'!Print_Area</vt:lpstr>
      <vt:lpstr>'5 Goshin A'!Print_Area</vt:lpstr>
      <vt:lpstr>'6 Koshiki'!Print_Area</vt:lpstr>
      <vt:lpstr>'6 Koshiki A'!Print_Area</vt:lpstr>
      <vt:lpstr>'7 NageU18'!Print_Area</vt:lpstr>
      <vt:lpstr>'7 NageU18 A'!Print_Area</vt:lpstr>
      <vt:lpstr>'8 Integration1'!Print_Area</vt:lpstr>
      <vt:lpstr>'8 Integration1 A'!Print_Area</vt:lpstr>
      <vt:lpstr>'9 Integration2'!Print_Area</vt:lpstr>
      <vt:lpstr>'9 Integration2 A'!Print_Area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2017-06-12T22:11:36Z</cp:lastPrinted>
  <dcterms:created xsi:type="dcterms:W3CDTF">2016-05-27T20:14:04Z</dcterms:created>
  <dcterms:modified xsi:type="dcterms:W3CDTF">2017-06-16T23:17:25Z</dcterms:modified>
</cp:coreProperties>
</file>