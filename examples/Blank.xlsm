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3_ncr:1_{D9BF975A-B7AF-4281-B7AD-F2389D5616BB}" xr6:coauthVersionLast="37" xr6:coauthVersionMax="37" xr10:uidLastSave="{00000000-0000-0000-0000-000000000000}"/>
  <bookViews>
    <workbookView xWindow="0" yWindow="-3240" windowWidth="38400" windowHeight="21000" activeTab="7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K36" i="22" l="1"/>
  <c r="J36" i="22"/>
  <c r="I36" i="22"/>
  <c r="H36" i="22"/>
  <c r="G36" i="22"/>
  <c r="F36" i="22"/>
  <c r="K36" i="12"/>
  <c r="J36" i="12"/>
  <c r="I36" i="12"/>
  <c r="H36" i="12"/>
  <c r="G36" i="12"/>
  <c r="F36" i="12"/>
  <c r="K36" i="10"/>
  <c r="J36" i="10"/>
  <c r="I36" i="10"/>
  <c r="H36" i="10"/>
  <c r="G36" i="10"/>
  <c r="F36" i="10"/>
  <c r="K36" i="8"/>
  <c r="J36" i="8"/>
  <c r="I36" i="8"/>
  <c r="H36" i="8"/>
  <c r="G36" i="8"/>
  <c r="F36" i="8"/>
  <c r="K36" i="20"/>
  <c r="J36" i="20"/>
  <c r="I36" i="20"/>
  <c r="H36" i="20"/>
  <c r="G36" i="20"/>
  <c r="F36" i="20"/>
  <c r="K36" i="18"/>
  <c r="J36" i="18"/>
  <c r="I36" i="18"/>
  <c r="H36" i="18"/>
  <c r="G36" i="18"/>
  <c r="F36" i="18"/>
  <c r="K36" i="1"/>
  <c r="J36" i="1"/>
  <c r="I36" i="1"/>
  <c r="H36" i="1"/>
  <c r="F36" i="1"/>
  <c r="L35" i="22" l="1"/>
  <c r="L35" i="8"/>
  <c r="L35" i="20"/>
  <c r="L35" i="18"/>
  <c r="L35" i="1"/>
  <c r="AF16" i="23" l="1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F10" i="23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5" i="23"/>
  <c r="A4" i="2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5" i="13"/>
  <c r="A4" i="1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Y22" i="23"/>
  <c r="X22" i="23"/>
  <c r="W22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5" i="11"/>
  <c r="A4" i="11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5" i="9"/>
  <c r="A4" i="9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5" i="21"/>
  <c r="A4" i="21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A5" i="19"/>
  <c r="A4" i="19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Y7" i="17"/>
  <c r="X7" i="17"/>
  <c r="W7" i="17"/>
  <c r="V7" i="17"/>
  <c r="U7" i="17"/>
  <c r="T7" i="17"/>
  <c r="S7" i="17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Y22" i="21"/>
  <c r="X22" i="21"/>
  <c r="W22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Y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Y24" i="19"/>
  <c r="X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Y22" i="19"/>
  <c r="X22" i="19"/>
  <c r="W22" i="19"/>
  <c r="V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Q4" i="23" l="1"/>
  <c r="Y4" i="23"/>
  <c r="H3" i="23"/>
  <c r="H5" i="23" s="1"/>
  <c r="P3" i="23"/>
  <c r="P5" i="23" s="1"/>
  <c r="X3" i="23"/>
  <c r="X5" i="23" s="1"/>
  <c r="AF3" i="23"/>
  <c r="AF5" i="23" s="1"/>
  <c r="I3" i="23"/>
  <c r="I5" i="23" s="1"/>
  <c r="Q3" i="23"/>
  <c r="Q5" i="23" s="1"/>
  <c r="J3" i="23"/>
  <c r="J5" i="23" s="1"/>
  <c r="R3" i="23"/>
  <c r="R5" i="23" s="1"/>
  <c r="Z4" i="23"/>
  <c r="AD4" i="13"/>
  <c r="S3" i="23"/>
  <c r="S5" i="23" s="1"/>
  <c r="D3" i="13"/>
  <c r="D5" i="13" s="1"/>
  <c r="L3" i="13"/>
  <c r="L5" i="13" s="1"/>
  <c r="T3" i="13"/>
  <c r="T5" i="13" s="1"/>
  <c r="AB3" i="13"/>
  <c r="AB5" i="13" s="1"/>
  <c r="E4" i="13"/>
  <c r="U4" i="13"/>
  <c r="AC3" i="13"/>
  <c r="AC5" i="13" s="1"/>
  <c r="AE4" i="13"/>
  <c r="H4" i="13"/>
  <c r="P4" i="13"/>
  <c r="X4" i="13"/>
  <c r="C4" i="23"/>
  <c r="K4" i="23"/>
  <c r="S4" i="23"/>
  <c r="D4" i="23"/>
  <c r="L4" i="23"/>
  <c r="T4" i="23"/>
  <c r="AB4" i="23"/>
  <c r="E3" i="23"/>
  <c r="E5" i="23" s="1"/>
  <c r="M3" i="23"/>
  <c r="M5" i="23" s="1"/>
  <c r="U3" i="23"/>
  <c r="U5" i="23" s="1"/>
  <c r="AC4" i="23"/>
  <c r="C3" i="13"/>
  <c r="C5" i="13" s="1"/>
  <c r="K3" i="13"/>
  <c r="K5" i="13" s="1"/>
  <c r="AD4" i="23"/>
  <c r="G4" i="23"/>
  <c r="O4" i="23"/>
  <c r="W4" i="23"/>
  <c r="AE3" i="23"/>
  <c r="AE5" i="23" s="1"/>
  <c r="Y3" i="23"/>
  <c r="Y5" i="23" s="1"/>
  <c r="W3" i="23"/>
  <c r="W5" i="23" s="1"/>
  <c r="U4" i="23"/>
  <c r="AB3" i="23"/>
  <c r="AB5" i="23" s="1"/>
  <c r="J3" i="13"/>
  <c r="J5" i="13" s="1"/>
  <c r="R3" i="13"/>
  <c r="R5" i="13" s="1"/>
  <c r="Z4" i="13"/>
  <c r="F4" i="13"/>
  <c r="N4" i="13"/>
  <c r="V4" i="13"/>
  <c r="C3" i="23"/>
  <c r="C5" i="23" s="1"/>
  <c r="F3" i="23"/>
  <c r="F5" i="23" s="1"/>
  <c r="N3" i="23"/>
  <c r="N5" i="23" s="1"/>
  <c r="V3" i="23"/>
  <c r="V5" i="23" s="1"/>
  <c r="AD3" i="23"/>
  <c r="AD5" i="23" s="1"/>
  <c r="G3" i="23"/>
  <c r="G5" i="23" s="1"/>
  <c r="E4" i="23"/>
  <c r="K3" i="23"/>
  <c r="K5" i="23" s="1"/>
  <c r="I4" i="23"/>
  <c r="H3" i="11"/>
  <c r="H5" i="11" s="1"/>
  <c r="P3" i="11"/>
  <c r="P5" i="11" s="1"/>
  <c r="M4" i="13"/>
  <c r="O3" i="23"/>
  <c r="O5" i="23" s="1"/>
  <c r="M4" i="23"/>
  <c r="H4" i="11"/>
  <c r="X4" i="11"/>
  <c r="AF4" i="11"/>
  <c r="I4" i="11"/>
  <c r="Q4" i="11"/>
  <c r="C4" i="13"/>
  <c r="K4" i="13"/>
  <c r="S4" i="13"/>
  <c r="D4" i="13"/>
  <c r="L4" i="13"/>
  <c r="T4" i="13"/>
  <c r="AB4" i="13"/>
  <c r="F3" i="13"/>
  <c r="F5" i="13" s="1"/>
  <c r="N3" i="13"/>
  <c r="N5" i="13" s="1"/>
  <c r="V3" i="13"/>
  <c r="V5" i="13" s="1"/>
  <c r="AE3" i="13"/>
  <c r="AE5" i="13" s="1"/>
  <c r="D3" i="23"/>
  <c r="D5" i="23" s="1"/>
  <c r="L3" i="23"/>
  <c r="L5" i="23" s="1"/>
  <c r="T3" i="23"/>
  <c r="T5" i="23" s="1"/>
  <c r="AC3" i="23"/>
  <c r="AC5" i="23" s="1"/>
  <c r="F4" i="23"/>
  <c r="N4" i="23"/>
  <c r="V4" i="23"/>
  <c r="AE4" i="23"/>
  <c r="P4" i="11"/>
  <c r="AF4" i="23"/>
  <c r="J3" i="11"/>
  <c r="J5" i="11" s="1"/>
  <c r="R3" i="11"/>
  <c r="R5" i="11" s="1"/>
  <c r="Z4" i="11"/>
  <c r="E3" i="13"/>
  <c r="E5" i="13" s="1"/>
  <c r="M3" i="13"/>
  <c r="M5" i="13" s="1"/>
  <c r="U3" i="13"/>
  <c r="U5" i="13" s="1"/>
  <c r="AC4" i="13"/>
  <c r="AD3" i="13"/>
  <c r="AD5" i="13" s="1"/>
  <c r="G3" i="13"/>
  <c r="G5" i="13" s="1"/>
  <c r="O3" i="13"/>
  <c r="O5" i="13" s="1"/>
  <c r="W3" i="13"/>
  <c r="W5" i="13" s="1"/>
  <c r="H3" i="13"/>
  <c r="H5" i="13" s="1"/>
  <c r="P3" i="13"/>
  <c r="P5" i="13" s="1"/>
  <c r="X3" i="13"/>
  <c r="X5" i="13" s="1"/>
  <c r="AF3" i="13"/>
  <c r="AF5" i="13" s="1"/>
  <c r="I3" i="13"/>
  <c r="I5" i="13" s="1"/>
  <c r="Q3" i="13"/>
  <c r="Q5" i="13" s="1"/>
  <c r="Y3" i="13"/>
  <c r="Y5" i="13" s="1"/>
  <c r="H4" i="23"/>
  <c r="P4" i="23"/>
  <c r="X4" i="23"/>
  <c r="G3" i="11"/>
  <c r="G5" i="11" s="1"/>
  <c r="O4" i="11"/>
  <c r="W3" i="11"/>
  <c r="W5" i="11" s="1"/>
  <c r="AE4" i="11"/>
  <c r="S3" i="13"/>
  <c r="S5" i="13" s="1"/>
  <c r="J4" i="23"/>
  <c r="R4" i="23"/>
  <c r="Y4" i="11"/>
  <c r="I4" i="13"/>
  <c r="Q4" i="13"/>
  <c r="Y4" i="13"/>
  <c r="AD4" i="11"/>
  <c r="I3" i="11"/>
  <c r="I5" i="11" s="1"/>
  <c r="G4" i="13"/>
  <c r="O4" i="13"/>
  <c r="W4" i="13"/>
  <c r="AF4" i="13"/>
  <c r="Q3" i="11"/>
  <c r="Q5" i="11" s="1"/>
  <c r="X3" i="11"/>
  <c r="X5" i="11" s="1"/>
  <c r="J4" i="13"/>
  <c r="R4" i="13"/>
  <c r="Y3" i="11"/>
  <c r="Y5" i="11" s="1"/>
  <c r="AF3" i="11"/>
  <c r="AF5" i="11" s="1"/>
  <c r="AF3" i="9"/>
  <c r="AF5" i="9" s="1"/>
  <c r="X3" i="21"/>
  <c r="X5" i="21" s="1"/>
  <c r="W4" i="11"/>
  <c r="AF4" i="9"/>
  <c r="AE3" i="11"/>
  <c r="AE5" i="11" s="1"/>
  <c r="C4" i="11"/>
  <c r="K4" i="11"/>
  <c r="S4" i="11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O3" i="11"/>
  <c r="O5" i="11" s="1"/>
  <c r="V4" i="9"/>
  <c r="G4" i="11"/>
  <c r="I3" i="9"/>
  <c r="I5" i="9" s="1"/>
  <c r="D3" i="21"/>
  <c r="D5" i="21" s="1"/>
  <c r="T3" i="21"/>
  <c r="T5" i="21" s="1"/>
  <c r="AC3" i="21"/>
  <c r="AC5" i="21" s="1"/>
  <c r="F4" i="21"/>
  <c r="X4" i="21"/>
  <c r="F4" i="9"/>
  <c r="G4" i="9"/>
  <c r="O4" i="9"/>
  <c r="AE4" i="9"/>
  <c r="H3" i="9"/>
  <c r="H5" i="9" s="1"/>
  <c r="P4" i="9"/>
  <c r="X3" i="9"/>
  <c r="X5" i="9" s="1"/>
  <c r="Q4" i="9"/>
  <c r="Y3" i="9"/>
  <c r="Y5" i="9" s="1"/>
  <c r="K3" i="11"/>
  <c r="K5" i="11" s="1"/>
  <c r="AB3" i="11"/>
  <c r="AB5" i="11" s="1"/>
  <c r="M4" i="11"/>
  <c r="I4" i="9"/>
  <c r="H4" i="21"/>
  <c r="P3" i="21"/>
  <c r="P5" i="21" s="1"/>
  <c r="Q3" i="21"/>
  <c r="Q5" i="21" s="1"/>
  <c r="Y4" i="21"/>
  <c r="J3" i="9"/>
  <c r="J5" i="9" s="1"/>
  <c r="R3" i="9"/>
  <c r="R5" i="9" s="1"/>
  <c r="Z4" i="9"/>
  <c r="L3" i="9"/>
  <c r="L5" i="9" s="1"/>
  <c r="T3" i="9"/>
  <c r="T5" i="9" s="1"/>
  <c r="AC3" i="9"/>
  <c r="AC5" i="9" s="1"/>
  <c r="C3" i="11"/>
  <c r="C5" i="11" s="1"/>
  <c r="S3" i="11"/>
  <c r="S5" i="11" s="1"/>
  <c r="E4" i="11"/>
  <c r="U4" i="11"/>
  <c r="E4" i="19"/>
  <c r="M4" i="19"/>
  <c r="U4" i="19"/>
  <c r="X4" i="9"/>
  <c r="C4" i="9"/>
  <c r="K4" i="9"/>
  <c r="S4" i="9"/>
  <c r="D4" i="9"/>
  <c r="L4" i="9"/>
  <c r="T4" i="9"/>
  <c r="AB4" i="9"/>
  <c r="E3" i="9"/>
  <c r="E5" i="9" s="1"/>
  <c r="M3" i="9"/>
  <c r="M5" i="9" s="1"/>
  <c r="U3" i="9"/>
  <c r="U5" i="9" s="1"/>
  <c r="AC4" i="9"/>
  <c r="AD4" i="9"/>
  <c r="G3" i="9"/>
  <c r="G5" i="9" s="1"/>
  <c r="O3" i="9"/>
  <c r="O5" i="9" s="1"/>
  <c r="W3" i="9"/>
  <c r="W5" i="9" s="1"/>
  <c r="AE3" i="9"/>
  <c r="AE5" i="9" s="1"/>
  <c r="D3" i="11"/>
  <c r="D5" i="11" s="1"/>
  <c r="L3" i="11"/>
  <c r="L5" i="11" s="1"/>
  <c r="T3" i="11"/>
  <c r="T5" i="11" s="1"/>
  <c r="AC3" i="11"/>
  <c r="AC5" i="11" s="1"/>
  <c r="F4" i="11"/>
  <c r="N4" i="11"/>
  <c r="V4" i="11"/>
  <c r="AF3" i="19"/>
  <c r="AF5" i="19" s="1"/>
  <c r="Q4" i="19"/>
  <c r="Y4" i="19"/>
  <c r="V4" i="21"/>
  <c r="H3" i="21"/>
  <c r="H5" i="21" s="1"/>
  <c r="P4" i="21"/>
  <c r="AF3" i="21"/>
  <c r="AF5" i="21" s="1"/>
  <c r="I3" i="21"/>
  <c r="I5" i="21" s="1"/>
  <c r="Q4" i="21"/>
  <c r="Y3" i="21"/>
  <c r="Y5" i="21" s="1"/>
  <c r="P3" i="9"/>
  <c r="P5" i="9" s="1"/>
  <c r="Y4" i="9"/>
  <c r="W3" i="19"/>
  <c r="W5" i="19" s="1"/>
  <c r="Q3" i="9"/>
  <c r="Q5" i="9" s="1"/>
  <c r="H4" i="9"/>
  <c r="F3" i="9"/>
  <c r="F5" i="9" s="1"/>
  <c r="N3" i="9"/>
  <c r="N5" i="9" s="1"/>
  <c r="V3" i="9"/>
  <c r="V5" i="9" s="1"/>
  <c r="AD3" i="9"/>
  <c r="AD5" i="9" s="1"/>
  <c r="N4" i="9"/>
  <c r="J4" i="11"/>
  <c r="R4" i="11"/>
  <c r="J3" i="21"/>
  <c r="J5" i="21" s="1"/>
  <c r="R3" i="21"/>
  <c r="R5" i="21" s="1"/>
  <c r="Z4" i="21"/>
  <c r="D3" i="9"/>
  <c r="D5" i="9" s="1"/>
  <c r="C4" i="21"/>
  <c r="K4" i="21"/>
  <c r="S4" i="21"/>
  <c r="D4" i="21"/>
  <c r="L4" i="21"/>
  <c r="T4" i="21"/>
  <c r="AB4" i="21"/>
  <c r="E3" i="21"/>
  <c r="E5" i="21" s="1"/>
  <c r="M3" i="21"/>
  <c r="M5" i="21" s="1"/>
  <c r="U3" i="21"/>
  <c r="U5" i="21" s="1"/>
  <c r="AC4" i="21"/>
  <c r="F3" i="21"/>
  <c r="F5" i="21" s="1"/>
  <c r="N3" i="21"/>
  <c r="N5" i="21" s="1"/>
  <c r="V3" i="21"/>
  <c r="V5" i="21" s="1"/>
  <c r="AD3" i="21"/>
  <c r="AD5" i="21" s="1"/>
  <c r="G3" i="21"/>
  <c r="G5" i="21" s="1"/>
  <c r="O3" i="21"/>
  <c r="O5" i="21" s="1"/>
  <c r="W3" i="21"/>
  <c r="W5" i="21" s="1"/>
  <c r="AE3" i="21"/>
  <c r="AE5" i="21" s="1"/>
  <c r="L3" i="21"/>
  <c r="L5" i="21" s="1"/>
  <c r="C3" i="9"/>
  <c r="K3" i="9"/>
  <c r="K5" i="9" s="1"/>
  <c r="S3" i="9"/>
  <c r="S5" i="9" s="1"/>
  <c r="AB3" i="9"/>
  <c r="AB5" i="9" s="1"/>
  <c r="E4" i="9"/>
  <c r="M4" i="9"/>
  <c r="U4" i="9"/>
  <c r="AE4" i="21"/>
  <c r="W4" i="9"/>
  <c r="I4" i="21"/>
  <c r="AF4" i="21"/>
  <c r="N4" i="21"/>
  <c r="J3" i="19"/>
  <c r="J5" i="19" s="1"/>
  <c r="R3" i="19"/>
  <c r="R5" i="19" s="1"/>
  <c r="Z4" i="19"/>
  <c r="J4" i="9"/>
  <c r="R4" i="9"/>
  <c r="C3" i="19"/>
  <c r="C5" i="19" s="1"/>
  <c r="K3" i="19"/>
  <c r="K5" i="19" s="1"/>
  <c r="S3" i="19"/>
  <c r="S5" i="19" s="1"/>
  <c r="AB3" i="19"/>
  <c r="AB5" i="19" s="1"/>
  <c r="AD4" i="19"/>
  <c r="C4" i="19"/>
  <c r="K4" i="19"/>
  <c r="S4" i="19"/>
  <c r="D4" i="19"/>
  <c r="L4" i="19"/>
  <c r="T4" i="19"/>
  <c r="AB4" i="19"/>
  <c r="E3" i="19"/>
  <c r="E5" i="19" s="1"/>
  <c r="M3" i="19"/>
  <c r="M5" i="19" s="1"/>
  <c r="U3" i="19"/>
  <c r="U5" i="19" s="1"/>
  <c r="AC4" i="19"/>
  <c r="C3" i="21"/>
  <c r="K3" i="21"/>
  <c r="K5" i="21" s="1"/>
  <c r="S3" i="21"/>
  <c r="S5" i="21" s="1"/>
  <c r="AB3" i="21"/>
  <c r="AB5" i="21" s="1"/>
  <c r="E4" i="21"/>
  <c r="M4" i="21"/>
  <c r="U4" i="21"/>
  <c r="AD4" i="21"/>
  <c r="G4" i="21"/>
  <c r="O4" i="21"/>
  <c r="W4" i="21"/>
  <c r="F3" i="19"/>
  <c r="F5" i="19" s="1"/>
  <c r="N3" i="19"/>
  <c r="N5" i="19" s="1"/>
  <c r="V3" i="19"/>
  <c r="V5" i="19" s="1"/>
  <c r="AD3" i="19"/>
  <c r="AD5" i="19" s="1"/>
  <c r="G4" i="19"/>
  <c r="O4" i="19"/>
  <c r="W4" i="19"/>
  <c r="AE3" i="19"/>
  <c r="AE5" i="19" s="1"/>
  <c r="H3" i="19"/>
  <c r="H5" i="19" s="1"/>
  <c r="P3" i="19"/>
  <c r="P5" i="19" s="1"/>
  <c r="X3" i="19"/>
  <c r="X5" i="19" s="1"/>
  <c r="I3" i="19"/>
  <c r="I5" i="19" s="1"/>
  <c r="Q3" i="19"/>
  <c r="Q5" i="19" s="1"/>
  <c r="Y3" i="19"/>
  <c r="Y5" i="19" s="1"/>
  <c r="G3" i="19"/>
  <c r="G5" i="19" s="1"/>
  <c r="J4" i="21"/>
  <c r="R4" i="21"/>
  <c r="I4" i="19"/>
  <c r="O3" i="19"/>
  <c r="O5" i="19" s="1"/>
  <c r="D3" i="19"/>
  <c r="D5" i="19" s="1"/>
  <c r="L3" i="19"/>
  <c r="L5" i="19" s="1"/>
  <c r="T3" i="19"/>
  <c r="T5" i="19" s="1"/>
  <c r="AC3" i="19"/>
  <c r="AC5" i="19" s="1"/>
  <c r="F4" i="19"/>
  <c r="N4" i="19"/>
  <c r="V4" i="19"/>
  <c r="AE4" i="19"/>
  <c r="AF4" i="19"/>
  <c r="H4" i="19"/>
  <c r="P4" i="19"/>
  <c r="X4" i="19"/>
  <c r="J4" i="19"/>
  <c r="R4" i="19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F7" i="17"/>
  <c r="AE7" i="17"/>
  <c r="AD7" i="17"/>
  <c r="AC7" i="17"/>
  <c r="AB7" i="17"/>
  <c r="AA7" i="17"/>
  <c r="Z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3" i="13" l="1"/>
  <c r="Z5" i="13" s="1"/>
  <c r="Z3" i="23"/>
  <c r="Z5" i="23" s="1"/>
  <c r="Z3" i="11"/>
  <c r="Z5" i="11" s="1"/>
  <c r="Z3" i="9"/>
  <c r="Z5" i="9" s="1"/>
  <c r="C5" i="9"/>
  <c r="Z3" i="21"/>
  <c r="Z5" i="21" s="1"/>
  <c r="C5" i="21"/>
  <c r="Z3" i="19"/>
  <c r="Z5" i="19" s="1"/>
  <c r="J5" i="22"/>
  <c r="G5" i="22"/>
  <c r="A5" i="22"/>
  <c r="AE3" i="17" l="1"/>
  <c r="AE5" i="17" s="1"/>
  <c r="F37" i="22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30" i="23" l="1"/>
  <c r="A29" i="23"/>
  <c r="A27" i="23"/>
  <c r="A26" i="23"/>
  <c r="A25" i="23"/>
  <c r="A24" i="23"/>
  <c r="A23" i="23"/>
  <c r="A22" i="23"/>
  <c r="AF2" i="23"/>
  <c r="AE2" i="23"/>
  <c r="AD2" i="23"/>
  <c r="AC2" i="23"/>
  <c r="AB2" i="23"/>
  <c r="Z2" i="23"/>
  <c r="Y2" i="23"/>
  <c r="C2" i="23"/>
  <c r="B2" i="23"/>
  <c r="A2" i="23"/>
  <c r="A1" i="23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L36" i="22" l="1"/>
  <c r="B24" i="23"/>
  <c r="B22" i="23"/>
  <c r="B29" i="23"/>
  <c r="B27" i="23"/>
  <c r="B23" i="23"/>
  <c r="B25" i="23"/>
  <c r="B30" i="23"/>
  <c r="B26" i="23"/>
  <c r="J5" i="1" l="1"/>
  <c r="B1" i="11"/>
  <c r="B1" i="17"/>
  <c r="B1" i="19"/>
  <c r="B1" i="13"/>
  <c r="B1" i="9"/>
  <c r="B1" i="21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L35" i="12" l="1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13" i="1"/>
  <c r="K11" i="12"/>
  <c r="K11" i="10"/>
  <c r="K11" i="20"/>
  <c r="L36" i="12" l="1"/>
  <c r="L36" i="10"/>
  <c r="L36" i="8"/>
  <c r="L36" i="20"/>
  <c r="L36" i="18"/>
  <c r="L36" i="1"/>
  <c r="X4" i="17"/>
  <c r="W4" i="17"/>
  <c r="V4" i="17"/>
  <c r="U4" i="17"/>
  <c r="T4" i="17"/>
  <c r="S4" i="17"/>
  <c r="X22" i="9"/>
  <c r="E3" i="17"/>
  <c r="M3" i="17"/>
  <c r="F3" i="17"/>
  <c r="N3" i="17"/>
  <c r="C3" i="17"/>
  <c r="G3" i="17"/>
  <c r="O3" i="17"/>
  <c r="H3" i="17"/>
  <c r="P3" i="17"/>
  <c r="I3" i="17"/>
  <c r="Q3" i="17"/>
  <c r="J3" i="17"/>
  <c r="X3" i="17"/>
  <c r="X5" i="17" s="1"/>
  <c r="R3" i="17"/>
  <c r="K3" i="17"/>
  <c r="Y3" i="17"/>
  <c r="W3" i="17"/>
  <c r="W5" i="17" s="1"/>
  <c r="V3" i="17"/>
  <c r="V5" i="17" s="1"/>
  <c r="U3" i="17"/>
  <c r="U5" i="17" s="1"/>
  <c r="T3" i="17"/>
  <c r="T5" i="17" s="1"/>
  <c r="D3" i="17"/>
  <c r="S3" i="17"/>
  <c r="S5" i="17" s="1"/>
  <c r="L3" i="17"/>
  <c r="A30" i="21"/>
  <c r="A29" i="21"/>
  <c r="A27" i="21"/>
  <c r="A26" i="21"/>
  <c r="A25" i="21"/>
  <c r="A24" i="21"/>
  <c r="A23" i="21"/>
  <c r="A22" i="21"/>
  <c r="AD2" i="21"/>
  <c r="AC2" i="21"/>
  <c r="AB2" i="21"/>
  <c r="Z2" i="21"/>
  <c r="Y2" i="21"/>
  <c r="C2" i="21"/>
  <c r="B2" i="21"/>
  <c r="A2" i="21"/>
  <c r="A1" i="21"/>
  <c r="F37" i="20"/>
  <c r="A37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M26" i="17" l="1"/>
  <c r="M27" i="17"/>
  <c r="W26" i="17"/>
  <c r="W27" i="17"/>
  <c r="Y26" i="17"/>
  <c r="Y27" i="17"/>
  <c r="H26" i="17"/>
  <c r="H27" i="17"/>
  <c r="L26" i="17"/>
  <c r="L27" i="17"/>
  <c r="K26" i="17"/>
  <c r="K27" i="17"/>
  <c r="O26" i="17"/>
  <c r="O27" i="17"/>
  <c r="S26" i="17"/>
  <c r="S27" i="17"/>
  <c r="C26" i="17"/>
  <c r="C27" i="17"/>
  <c r="G26" i="17"/>
  <c r="G27" i="17"/>
  <c r="X26" i="17"/>
  <c r="X27" i="17"/>
  <c r="J26" i="17"/>
  <c r="J27" i="17"/>
  <c r="N26" i="17"/>
  <c r="N27" i="17"/>
  <c r="V26" i="17"/>
  <c r="V27" i="17"/>
  <c r="R26" i="17"/>
  <c r="R27" i="17"/>
  <c r="D26" i="17"/>
  <c r="D27" i="17"/>
  <c r="T26" i="17"/>
  <c r="T27" i="17"/>
  <c r="U26" i="17"/>
  <c r="U27" i="17"/>
  <c r="Q26" i="17"/>
  <c r="Q27" i="17"/>
  <c r="F26" i="17"/>
  <c r="F27" i="17"/>
  <c r="I26" i="17"/>
  <c r="I27" i="17"/>
  <c r="P26" i="17"/>
  <c r="P27" i="17"/>
  <c r="E26" i="17"/>
  <c r="E27" i="17"/>
  <c r="W24" i="17"/>
  <c r="W25" i="17"/>
  <c r="P24" i="17"/>
  <c r="P25" i="17"/>
  <c r="Y24" i="17"/>
  <c r="Y25" i="17"/>
  <c r="H24" i="17"/>
  <c r="H25" i="17"/>
  <c r="K24" i="17"/>
  <c r="K25" i="17"/>
  <c r="O24" i="17"/>
  <c r="O25" i="17"/>
  <c r="S24" i="17"/>
  <c r="S25" i="17"/>
  <c r="R24" i="17"/>
  <c r="R25" i="17"/>
  <c r="G24" i="17"/>
  <c r="G25" i="17"/>
  <c r="C24" i="17"/>
  <c r="C25" i="17"/>
  <c r="L24" i="17"/>
  <c r="L25" i="17"/>
  <c r="T24" i="17"/>
  <c r="T25" i="17"/>
  <c r="J24" i="17"/>
  <c r="J25" i="17"/>
  <c r="N24" i="17"/>
  <c r="N25" i="17"/>
  <c r="X24" i="17"/>
  <c r="X25" i="17"/>
  <c r="U24" i="17"/>
  <c r="U25" i="17"/>
  <c r="Q24" i="17"/>
  <c r="Q25" i="17"/>
  <c r="F24" i="17"/>
  <c r="F25" i="17"/>
  <c r="D24" i="17"/>
  <c r="D25" i="17"/>
  <c r="V24" i="17"/>
  <c r="V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W22" i="17"/>
  <c r="W23" i="17"/>
  <c r="P22" i="17"/>
  <c r="P23" i="17"/>
  <c r="Y22" i="17"/>
  <c r="Y23" i="17"/>
  <c r="H22" i="17"/>
  <c r="H23" i="17"/>
  <c r="L22" i="17"/>
  <c r="L23" i="17"/>
  <c r="S22" i="17"/>
  <c r="S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X22" i="17"/>
  <c r="X23" i="17"/>
  <c r="T22" i="17"/>
  <c r="T23" i="17"/>
  <c r="J22" i="17"/>
  <c r="J23" i="17"/>
  <c r="N22" i="17"/>
  <c r="N23" i="17"/>
  <c r="U22" i="17"/>
  <c r="U23" i="17"/>
  <c r="V22" i="17"/>
  <c r="V23" i="17"/>
  <c r="E22" i="17"/>
  <c r="E23" i="17"/>
  <c r="A30" i="19"/>
  <c r="A29" i="19"/>
  <c r="A27" i="19"/>
  <c r="A26" i="19"/>
  <c r="A25" i="19"/>
  <c r="A24" i="19"/>
  <c r="A23" i="19"/>
  <c r="A22" i="19"/>
  <c r="AD2" i="19"/>
  <c r="AC2" i="19"/>
  <c r="AB2" i="19"/>
  <c r="Z2" i="19"/>
  <c r="Y2" i="19"/>
  <c r="C2" i="19"/>
  <c r="B2" i="19"/>
  <c r="A2" i="19"/>
  <c r="A1" i="19"/>
  <c r="F37" i="18"/>
  <c r="A37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B25" i="21" l="1"/>
  <c r="B30" i="21"/>
  <c r="B23" i="21"/>
  <c r="B29" i="21"/>
  <c r="B22" i="21"/>
  <c r="B26" i="21"/>
  <c r="B24" i="21"/>
  <c r="B27" i="21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AD2" i="13"/>
  <c r="AC2" i="13"/>
  <c r="AB2" i="13"/>
  <c r="AF2" i="9"/>
  <c r="AD2" i="9"/>
  <c r="AC2" i="9"/>
  <c r="AB2" i="9"/>
  <c r="AF2" i="17" l="1"/>
  <c r="AD2" i="17"/>
  <c r="AC2" i="17"/>
  <c r="AB2" i="17"/>
  <c r="G36" i="1"/>
  <c r="Z2" i="17" l="1"/>
  <c r="Y2" i="17"/>
  <c r="C2" i="17"/>
  <c r="B2" i="17"/>
  <c r="A2" i="17"/>
  <c r="A1" i="17"/>
  <c r="A4" i="17"/>
  <c r="A5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25" i="13" l="1"/>
  <c r="B22" i="13"/>
  <c r="B23" i="13"/>
  <c r="B30" i="13"/>
  <c r="B27" i="13"/>
  <c r="B24" i="13"/>
  <c r="B29" i="13"/>
  <c r="B26" i="13"/>
  <c r="Z4" i="17"/>
  <c r="N4" i="17"/>
  <c r="T22" i="9"/>
  <c r="E22" i="9"/>
  <c r="B29" i="17"/>
  <c r="Q4" i="17"/>
  <c r="J4" i="17"/>
  <c r="H4" i="17"/>
  <c r="B27" i="9"/>
  <c r="U22" i="9"/>
  <c r="L4" i="17"/>
  <c r="Y4" i="17"/>
  <c r="H22" i="9"/>
  <c r="B22" i="9"/>
  <c r="P22" i="9"/>
  <c r="B27" i="17"/>
  <c r="J22" i="9"/>
  <c r="AF4" i="17"/>
  <c r="G22" i="9"/>
  <c r="W22" i="9"/>
  <c r="B24" i="17"/>
  <c r="C22" i="9"/>
  <c r="AD4" i="17"/>
  <c r="AC4" i="17"/>
  <c r="R22" i="9"/>
  <c r="B24" i="9"/>
  <c r="M22" i="9"/>
  <c r="O22" i="9"/>
  <c r="I4" i="17"/>
  <c r="D4" i="17"/>
  <c r="G4" i="17"/>
  <c r="B29" i="9"/>
  <c r="S22" i="9"/>
  <c r="M4" i="17"/>
  <c r="R4" i="17"/>
  <c r="B23" i="17"/>
  <c r="F22" i="9"/>
  <c r="K22" i="9"/>
  <c r="N22" i="9"/>
  <c r="B26" i="9"/>
  <c r="D22" i="9"/>
  <c r="B25" i="9"/>
  <c r="B30" i="9"/>
  <c r="B22" i="17"/>
  <c r="Y22" i="9"/>
  <c r="B26" i="17"/>
  <c r="V22" i="9"/>
  <c r="B25" i="17"/>
  <c r="C4" i="17"/>
  <c r="P4" i="17"/>
  <c r="I22" i="9"/>
  <c r="L22" i="9"/>
  <c r="AB4" i="17"/>
  <c r="F4" i="17"/>
  <c r="B30" i="17"/>
  <c r="Q22" i="9"/>
  <c r="O4" i="17"/>
  <c r="K4" i="17"/>
  <c r="B23" i="9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<sst xmlns="http://schemas.openxmlformats.org/spreadsheetml/2006/main" count="649" uniqueCount="234">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</sst>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2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2" fillId="0" borderId="0"/>
    <xf numFmtId="9" fontId="28" fillId="0" borderId="0" applyFont="0" applyFill="0" applyBorder="0" applyAlignment="0" applyProtection="0"/>
  </cellStyleXfs>
  <cellXfs count="411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19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0" fillId="0" borderId="0" xfId="0" applyFont="1"/>
    <xf numFmtId="0" fontId="0" fillId="0" borderId="0" xfId="0" applyFont="1"/>
    <xf numFmtId="0" fontId="19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2" borderId="61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1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4" fillId="0" borderId="0" xfId="0" applyFont="1" applyProtection="1"/>
    <xf numFmtId="0" fontId="19" fillId="0" borderId="0" xfId="0" applyFont="1" applyAlignme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6" xfId="0" applyFont="1" applyFill="1" applyBorder="1" applyAlignment="1" applyProtection="1">
      <alignment horizontal="center" vertical="center"/>
      <protection hidden="1"/>
    </xf>
    <xf numFmtId="0" fontId="7" fillId="2" borderId="63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75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28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14" fillId="2" borderId="82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0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9" fillId="0" borderId="39" xfId="0" applyNumberFormat="1" applyFont="1" applyFill="1" applyBorder="1" applyAlignment="1" applyProtection="1">
      <alignment horizontal="center" vertical="center"/>
      <protection hidden="1"/>
    </xf>
    <xf numFmtId="164" fontId="29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29" fillId="4" borderId="40" xfId="0" applyFont="1" applyFill="1" applyBorder="1" applyAlignment="1" applyProtection="1">
      <alignment horizontal="center" vertical="center"/>
      <protection hidden="1"/>
    </xf>
    <xf numFmtId="0" fontId="29" fillId="4" borderId="40" xfId="0" applyFont="1" applyFill="1" applyBorder="1" applyAlignment="1" applyProtection="1">
      <alignment horizontal="center" vertical="center"/>
      <protection locked="0" hidden="1"/>
    </xf>
    <xf numFmtId="164" fontId="29" fillId="3" borderId="81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hidden="1"/>
    </xf>
    <xf numFmtId="164" fontId="29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81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65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87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81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24" xfId="0" applyNumberFormat="1" applyFont="1" applyFill="1" applyBorder="1" applyAlignment="1" applyProtection="1">
      <alignment horizontal="center" vertical="center"/>
      <protection hidden="1"/>
    </xf>
    <xf numFmtId="164" fontId="29" fillId="3" borderId="44" xfId="0" applyNumberFormat="1" applyFont="1" applyFill="1" applyBorder="1" applyAlignment="1" applyProtection="1">
      <alignment horizontal="center" vertical="center"/>
      <protection hidden="1"/>
    </xf>
    <xf numFmtId="164" fontId="29" fillId="0" borderId="47" xfId="0" applyNumberFormat="1" applyFont="1" applyFill="1" applyBorder="1" applyAlignment="1" applyProtection="1">
      <alignment horizontal="center" vertical="center"/>
      <protection hidden="1"/>
    </xf>
    <xf numFmtId="164" fontId="29" fillId="3" borderId="47" xfId="0" applyNumberFormat="1" applyFont="1" applyFill="1" applyBorder="1" applyAlignment="1" applyProtection="1">
      <alignment horizontal="center" vertical="center"/>
      <protection hidden="1"/>
    </xf>
    <xf numFmtId="164" fontId="29" fillId="0" borderId="29" xfId="0" applyNumberFormat="1" applyFont="1" applyFill="1" applyBorder="1" applyAlignment="1" applyProtection="1">
      <alignment horizontal="center" vertical="center"/>
      <protection hidden="1"/>
    </xf>
    <xf numFmtId="164" fontId="29" fillId="0" borderId="60" xfId="0" applyNumberFormat="1" applyFont="1" applyFill="1" applyBorder="1" applyAlignment="1" applyProtection="1">
      <alignment horizontal="center" vertical="center"/>
      <protection hidden="1"/>
    </xf>
    <xf numFmtId="164" fontId="29" fillId="0" borderId="44" xfId="0" applyNumberFormat="1" applyFont="1" applyFill="1" applyBorder="1" applyAlignment="1" applyProtection="1">
      <alignment horizontal="center" vertical="center"/>
      <protection hidden="1"/>
    </xf>
    <xf numFmtId="164" fontId="29" fillId="3" borderId="73" xfId="0" applyNumberFormat="1" applyFont="1" applyFill="1" applyBorder="1" applyAlignment="1" applyProtection="1">
      <alignment horizontal="center" vertical="center"/>
      <protection hidden="1"/>
    </xf>
    <xf numFmtId="164" fontId="29" fillId="3" borderId="60" xfId="0" applyNumberFormat="1" applyFont="1" applyFill="1" applyBorder="1" applyAlignment="1" applyProtection="1">
      <alignment horizontal="center" vertical="center"/>
      <protection hidden="1"/>
    </xf>
    <xf numFmtId="164" fontId="29" fillId="0" borderId="73" xfId="0" applyNumberFormat="1" applyFont="1" applyFill="1" applyBorder="1" applyAlignment="1" applyProtection="1">
      <alignment horizontal="center" vertical="center"/>
      <protection hidden="1"/>
    </xf>
    <xf numFmtId="0" fontId="20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0" fillId="0" borderId="0" xfId="0" applyFont="1" applyAlignment="1">
      <alignment textRotation="90"/>
    </xf>
    <xf numFmtId="0" fontId="30" fillId="0" borderId="0" xfId="0" applyFont="1" applyBorder="1" applyAlignment="1">
      <alignment textRotation="90"/>
    </xf>
    <xf numFmtId="1" fontId="31" fillId="0" borderId="0" xfId="0" applyNumberFormat="1" applyFont="1" applyAlignment="1">
      <alignment horizontal="right"/>
    </xf>
    <xf numFmtId="0" fontId="32" fillId="0" borderId="0" xfId="0" applyFont="1" applyAlignment="1">
      <alignment horizontal="right"/>
    </xf>
    <xf numFmtId="0" fontId="20" fillId="0" borderId="0" xfId="0" applyFont="1" applyAlignment="1">
      <alignment horizontal="left"/>
    </xf>
    <xf numFmtId="0" fontId="20" fillId="0" borderId="91" xfId="0" applyFont="1" applyBorder="1"/>
    <xf numFmtId="0" fontId="33" fillId="0" borderId="0" xfId="0" applyFont="1" applyFill="1" applyBorder="1"/>
    <xf numFmtId="0" fontId="30" fillId="0" borderId="0" xfId="0" applyFont="1"/>
    <xf numFmtId="0" fontId="30" fillId="0" borderId="91" xfId="0" applyFont="1" applyBorder="1" applyAlignment="1">
      <alignment textRotation="90"/>
    </xf>
    <xf numFmtId="0" fontId="34" fillId="0" borderId="8" xfId="0" applyFont="1" applyFill="1" applyBorder="1"/>
    <xf numFmtId="0" fontId="20" fillId="0" borderId="0" xfId="0" applyFont="1" applyFill="1"/>
    <xf numFmtId="0" fontId="20" fillId="0" borderId="76" xfId="0" applyFont="1" applyFill="1" applyBorder="1"/>
    <xf numFmtId="0" fontId="35" fillId="0" borderId="41" xfId="0" applyFont="1" applyFill="1" applyBorder="1"/>
    <xf numFmtId="0" fontId="35" fillId="0" borderId="0" xfId="0" applyFont="1"/>
    <xf numFmtId="0" fontId="35" fillId="0" borderId="0" xfId="0" applyFont="1" applyFill="1"/>
    <xf numFmtId="0" fontId="20" fillId="0" borderId="53" xfId="0" applyFont="1" applyBorder="1"/>
    <xf numFmtId="0" fontId="30" fillId="0" borderId="53" xfId="0" applyFont="1" applyBorder="1" applyAlignment="1">
      <alignment textRotation="90"/>
    </xf>
    <xf numFmtId="164" fontId="36" fillId="0" borderId="0" xfId="0" applyNumberFormat="1" applyFont="1" applyFill="1" applyAlignment="1" applyProtection="1">
      <alignment horizontal="right"/>
    </xf>
    <xf numFmtId="164" fontId="36" fillId="0" borderId="0" xfId="0" applyNumberFormat="1" applyFont="1" applyAlignment="1">
      <alignment horizontal="right"/>
    </xf>
    <xf numFmtId="164" fontId="36" fillId="0" borderId="0" xfId="0" applyNumberFormat="1" applyFont="1" applyBorder="1" applyAlignment="1">
      <alignment horizontal="right"/>
    </xf>
    <xf numFmtId="1" fontId="36" fillId="0" borderId="0" xfId="0" applyNumberFormat="1" applyFont="1" applyBorder="1" applyAlignment="1">
      <alignment horizontal="right"/>
    </xf>
    <xf numFmtId="164" fontId="36" fillId="0" borderId="91" xfId="0" applyNumberFormat="1" applyFont="1" applyBorder="1" applyAlignment="1">
      <alignment horizontal="right"/>
    </xf>
    <xf numFmtId="1" fontId="36" fillId="0" borderId="0" xfId="0" applyNumberFormat="1" applyFont="1" applyAlignment="1">
      <alignment horizontal="right"/>
    </xf>
    <xf numFmtId="1" fontId="36" fillId="0" borderId="91" xfId="0" applyNumberFormat="1" applyFont="1" applyBorder="1" applyAlignment="1">
      <alignment horizontal="right"/>
    </xf>
    <xf numFmtId="0" fontId="36" fillId="0" borderId="0" xfId="0" applyFont="1" applyBorder="1" applyAlignment="1">
      <alignment horizontal="right"/>
    </xf>
    <xf numFmtId="0" fontId="36" fillId="0" borderId="91" xfId="0" applyFont="1" applyBorder="1" applyAlignment="1">
      <alignment horizontal="right"/>
    </xf>
    <xf numFmtId="0" fontId="36" fillId="0" borderId="0" xfId="0" applyFont="1" applyAlignment="1">
      <alignment horizontal="right"/>
    </xf>
    <xf numFmtId="164" fontId="38" fillId="0" borderId="8" xfId="0" applyNumberFormat="1" applyFont="1" applyFill="1" applyBorder="1" applyAlignment="1">
      <alignment horizontal="right"/>
    </xf>
    <xf numFmtId="1" fontId="38" fillId="0" borderId="8" xfId="0" applyNumberFormat="1" applyFont="1" applyFill="1" applyBorder="1" applyAlignment="1">
      <alignment horizontal="right"/>
    </xf>
    <xf numFmtId="1" fontId="38" fillId="0" borderId="6" xfId="0" applyNumberFormat="1" applyFont="1" applyFill="1" applyBorder="1" applyAlignment="1">
      <alignment horizontal="right"/>
    </xf>
    <xf numFmtId="1" fontId="36" fillId="0" borderId="0" xfId="0" applyNumberFormat="1" applyFont="1" applyFill="1" applyBorder="1" applyAlignment="1">
      <alignment horizontal="right"/>
    </xf>
    <xf numFmtId="9" fontId="36" fillId="0" borderId="90" xfId="2" applyFont="1" applyFill="1" applyBorder="1" applyAlignment="1" applyProtection="1">
      <alignment horizontal="right"/>
    </xf>
    <xf numFmtId="1" fontId="36" fillId="0" borderId="0" xfId="0" applyNumberFormat="1" applyFont="1" applyFill="1" applyAlignment="1">
      <alignment horizontal="right"/>
    </xf>
    <xf numFmtId="164" fontId="36" fillId="0" borderId="0" xfId="0" applyNumberFormat="1" applyFont="1" applyFill="1" applyAlignment="1">
      <alignment horizontal="right"/>
    </xf>
    <xf numFmtId="9" fontId="36" fillId="0" borderId="91" xfId="2" applyFont="1" applyFill="1" applyBorder="1" applyAlignment="1" applyProtection="1">
      <alignment horizontal="right"/>
    </xf>
    <xf numFmtId="164" fontId="36" fillId="0" borderId="76" xfId="0" applyNumberFormat="1" applyFont="1" applyFill="1" applyBorder="1" applyAlignment="1">
      <alignment horizontal="right"/>
    </xf>
    <xf numFmtId="1" fontId="36" fillId="0" borderId="76" xfId="0" applyNumberFormat="1" applyFont="1" applyFill="1" applyBorder="1" applyAlignment="1">
      <alignment horizontal="right"/>
    </xf>
    <xf numFmtId="164" fontId="39" fillId="0" borderId="41" xfId="0" applyNumberFormat="1" applyFont="1" applyFill="1" applyBorder="1" applyAlignment="1">
      <alignment horizontal="right"/>
    </xf>
    <xf numFmtId="1" fontId="39" fillId="0" borderId="41" xfId="0" applyNumberFormat="1" applyFont="1" applyFill="1" applyBorder="1" applyAlignment="1">
      <alignment horizontal="right"/>
    </xf>
    <xf numFmtId="9" fontId="39" fillId="0" borderId="92" xfId="2" applyFont="1" applyFill="1" applyBorder="1" applyAlignment="1">
      <alignment horizontal="right"/>
    </xf>
    <xf numFmtId="164" fontId="39" fillId="0" borderId="0" xfId="0" applyNumberFormat="1" applyFont="1" applyAlignment="1">
      <alignment horizontal="right"/>
    </xf>
    <xf numFmtId="0" fontId="40" fillId="0" borderId="0" xfId="0" applyFont="1"/>
    <xf numFmtId="0" fontId="40" fillId="0" borderId="91" xfId="0" applyFont="1" applyBorder="1"/>
    <xf numFmtId="1" fontId="39" fillId="0" borderId="0" xfId="0" applyNumberFormat="1" applyFont="1" applyAlignment="1">
      <alignment horizontal="right"/>
    </xf>
    <xf numFmtId="164" fontId="39" fillId="0" borderId="0" xfId="0" applyNumberFormat="1" applyFont="1" applyFill="1" applyAlignment="1">
      <alignment horizontal="right"/>
    </xf>
    <xf numFmtId="1" fontId="39" fillId="0" borderId="0" xfId="0" applyNumberFormat="1" applyFont="1" applyFill="1" applyBorder="1" applyAlignment="1">
      <alignment horizontal="right"/>
    </xf>
    <xf numFmtId="9" fontId="39" fillId="0" borderId="91" xfId="2" applyFont="1" applyFill="1" applyBorder="1" applyAlignment="1">
      <alignment horizontal="right"/>
    </xf>
    <xf numFmtId="1" fontId="39" fillId="0" borderId="0" xfId="0" applyNumberFormat="1" applyFont="1" applyFill="1" applyAlignment="1">
      <alignment horizontal="right"/>
    </xf>
    <xf numFmtId="1" fontId="39" fillId="0" borderId="0" xfId="0" applyNumberFormat="1" applyFont="1" applyBorder="1" applyAlignment="1">
      <alignment horizontal="right"/>
    </xf>
    <xf numFmtId="0" fontId="29" fillId="5" borderId="25" xfId="0" applyFont="1" applyFill="1" applyBorder="1" applyAlignment="1" applyProtection="1">
      <alignment horizontal="center" vertical="center"/>
      <protection hidden="1"/>
    </xf>
    <xf numFmtId="0" fontId="29" fillId="5" borderId="28" xfId="0" applyFont="1" applyFill="1" applyBorder="1" applyAlignment="1" applyProtection="1">
      <alignment horizontal="center" vertical="center"/>
      <protection hidden="1"/>
    </xf>
    <xf numFmtId="0" fontId="29" fillId="5" borderId="26" xfId="0" applyFont="1" applyFill="1" applyBorder="1" applyAlignment="1" applyProtection="1">
      <alignment horizontal="center" vertical="center"/>
      <protection hidden="1"/>
    </xf>
    <xf numFmtId="0" fontId="29" fillId="5" borderId="29" xfId="0" applyFont="1" applyFill="1" applyBorder="1" applyAlignment="1" applyProtection="1">
      <alignment horizontal="center" vertical="center"/>
      <protection hidden="1"/>
    </xf>
    <xf numFmtId="0" fontId="29" fillId="3" borderId="25" xfId="0" applyFont="1" applyFill="1" applyBorder="1" applyAlignment="1" applyProtection="1">
      <alignment horizontal="center" vertical="center"/>
      <protection locked="0" hidden="1"/>
    </xf>
    <xf numFmtId="0" fontId="29" fillId="3" borderId="28" xfId="0" applyFont="1" applyFill="1" applyBorder="1" applyAlignment="1" applyProtection="1">
      <alignment horizontal="center" vertical="center"/>
      <protection locked="0" hidden="1"/>
    </xf>
    <xf numFmtId="0" fontId="29" fillId="3" borderId="26" xfId="0" applyFont="1" applyFill="1" applyBorder="1" applyAlignment="1" applyProtection="1">
      <alignment horizontal="center" vertical="center"/>
      <protection locked="0" hidden="1"/>
    </xf>
    <xf numFmtId="0" fontId="29" fillId="3" borderId="29" xfId="0" applyFont="1" applyFill="1" applyBorder="1" applyAlignment="1" applyProtection="1">
      <alignment horizontal="center" vertical="center"/>
      <protection locked="0" hidden="1"/>
    </xf>
    <xf numFmtId="0" fontId="29" fillId="5" borderId="48" xfId="0" applyFont="1" applyFill="1" applyBorder="1" applyAlignment="1" applyProtection="1">
      <alignment horizontal="center" vertical="center"/>
      <protection locked="0" hidden="1"/>
    </xf>
    <xf numFmtId="0" fontId="29" fillId="5" borderId="46" xfId="0" applyFont="1" applyFill="1" applyBorder="1" applyAlignment="1" applyProtection="1">
      <alignment horizontal="center" vertical="center"/>
      <protection locked="0" hidden="1"/>
    </xf>
    <xf numFmtId="0" fontId="29" fillId="5" borderId="70" xfId="0" applyFont="1" applyFill="1" applyBorder="1" applyAlignment="1" applyProtection="1">
      <alignment horizontal="center" vertical="center"/>
      <protection locked="0" hidden="1"/>
    </xf>
    <xf numFmtId="0" fontId="29" fillId="5" borderId="47" xfId="0" applyFont="1" applyFill="1" applyBorder="1" applyAlignment="1" applyProtection="1">
      <alignment horizontal="center" vertical="center"/>
      <protection locked="0" hidden="1"/>
    </xf>
    <xf numFmtId="0" fontId="29" fillId="3" borderId="45" xfId="0" applyFont="1" applyFill="1" applyBorder="1" applyAlignment="1" applyProtection="1">
      <alignment horizontal="center" vertical="center"/>
      <protection locked="0" hidden="1"/>
    </xf>
    <xf numFmtId="0" fontId="29" fillId="3" borderId="79" xfId="0" applyFont="1" applyFill="1" applyBorder="1" applyAlignment="1" applyProtection="1">
      <alignment horizontal="center" vertical="center"/>
      <protection locked="0" hidden="1"/>
    </xf>
    <xf numFmtId="0" fontId="29" fillId="3" borderId="83" xfId="0" applyFont="1" applyFill="1" applyBorder="1" applyAlignment="1" applyProtection="1">
      <alignment horizontal="center" vertical="center"/>
      <protection locked="0" hidden="1"/>
    </xf>
    <xf numFmtId="0" fontId="29" fillId="3" borderId="81" xfId="0" applyFont="1" applyFill="1" applyBorder="1" applyAlignment="1" applyProtection="1">
      <alignment horizontal="center" vertical="center"/>
      <protection locked="0" hidden="1"/>
    </xf>
    <xf numFmtId="0" fontId="29" fillId="5" borderId="25" xfId="0" applyFont="1" applyFill="1" applyBorder="1" applyAlignment="1" applyProtection="1">
      <alignment horizontal="center" vertical="center"/>
      <protection locked="0" hidden="1"/>
    </xf>
    <xf numFmtId="0" fontId="29" fillId="5" borderId="28" xfId="0" applyFont="1" applyFill="1" applyBorder="1" applyAlignment="1" applyProtection="1">
      <alignment horizontal="center" vertical="center"/>
      <protection locked="0" hidden="1"/>
    </xf>
    <xf numFmtId="0" fontId="29" fillId="5" borderId="26" xfId="0" applyFont="1" applyFill="1" applyBorder="1" applyAlignment="1" applyProtection="1">
      <alignment horizontal="center" vertical="center"/>
      <protection locked="0" hidden="1"/>
    </xf>
    <xf numFmtId="0" fontId="29" fillId="5" borderId="29" xfId="0" applyFont="1" applyFill="1" applyBorder="1" applyAlignment="1" applyProtection="1">
      <alignment horizontal="center" vertical="center"/>
      <protection locked="0" hidden="1"/>
    </xf>
    <xf numFmtId="0" fontId="29" fillId="3" borderId="48" xfId="0" applyFont="1" applyFill="1" applyBorder="1" applyAlignment="1" applyProtection="1">
      <alignment horizontal="center" vertical="center"/>
      <protection locked="0" hidden="1"/>
    </xf>
    <xf numFmtId="0" fontId="29" fillId="3" borderId="46" xfId="0" applyFont="1" applyFill="1" applyBorder="1" applyAlignment="1" applyProtection="1">
      <alignment horizontal="center" vertical="center"/>
      <protection locked="0" hidden="1"/>
    </xf>
    <xf numFmtId="0" fontId="29" fillId="3" borderId="70" xfId="0" applyFont="1" applyFill="1" applyBorder="1" applyAlignment="1" applyProtection="1">
      <alignment horizontal="center" vertical="center"/>
      <protection locked="0" hidden="1"/>
    </xf>
    <xf numFmtId="0" fontId="29" fillId="3" borderId="47" xfId="0" applyFont="1" applyFill="1" applyBorder="1" applyAlignment="1" applyProtection="1">
      <alignment horizontal="center" vertical="center"/>
      <protection locked="0" hidden="1"/>
    </xf>
    <xf numFmtId="0" fontId="29" fillId="5" borderId="45" xfId="0" applyFont="1" applyFill="1" applyBorder="1" applyAlignment="1" applyProtection="1">
      <alignment horizontal="center" vertical="center"/>
      <protection locked="0" hidden="1"/>
    </xf>
    <xf numFmtId="0" fontId="29" fillId="5" borderId="79" xfId="0" applyFont="1" applyFill="1" applyBorder="1" applyAlignment="1" applyProtection="1">
      <alignment horizontal="center" vertical="center"/>
      <protection locked="0" hidden="1"/>
    </xf>
    <xf numFmtId="0" fontId="29" fillId="5" borderId="83" xfId="0" applyFont="1" applyFill="1" applyBorder="1" applyAlignment="1" applyProtection="1">
      <alignment horizontal="center" vertical="center"/>
      <protection locked="0" hidden="1"/>
    </xf>
    <xf numFmtId="0" fontId="29" fillId="5" borderId="81" xfId="0" applyFont="1" applyFill="1" applyBorder="1" applyAlignment="1" applyProtection="1">
      <alignment horizontal="center" vertical="center"/>
      <protection locked="0" hidden="1"/>
    </xf>
    <xf numFmtId="0" fontId="29" fillId="3" borderId="49" xfId="0" applyFont="1" applyFill="1" applyBorder="1" applyAlignment="1" applyProtection="1">
      <alignment horizontal="center" vertical="center"/>
      <protection locked="0" hidden="1"/>
    </xf>
    <xf numFmtId="0" fontId="29" fillId="3" borderId="59" xfId="0" applyFont="1" applyFill="1" applyBorder="1" applyAlignment="1" applyProtection="1">
      <alignment horizontal="center" vertical="center"/>
      <protection locked="0" hidden="1"/>
    </xf>
    <xf numFmtId="0" fontId="29" fillId="3" borderId="22" xfId="0" applyFont="1" applyFill="1" applyBorder="1" applyAlignment="1" applyProtection="1">
      <alignment horizontal="center" vertical="center"/>
      <protection locked="0" hidden="1"/>
    </xf>
    <xf numFmtId="0" fontId="29" fillId="3" borderId="60" xfId="0" applyFont="1" applyFill="1" applyBorder="1" applyAlignment="1" applyProtection="1">
      <alignment horizontal="center" vertical="center"/>
      <protection locked="0" hidden="1"/>
    </xf>
    <xf numFmtId="0" fontId="29" fillId="5" borderId="35" xfId="0" applyFont="1" applyFill="1" applyBorder="1" applyAlignment="1" applyProtection="1">
      <alignment horizontal="center" vertical="center"/>
      <protection locked="0" hidden="1"/>
    </xf>
    <xf numFmtId="0" fontId="29" fillId="5" borderId="80" xfId="0" applyFont="1" applyFill="1" applyBorder="1" applyAlignment="1" applyProtection="1">
      <alignment horizontal="center" vertical="center"/>
      <protection locked="0" hidden="1"/>
    </xf>
    <xf numFmtId="0" fontId="29" fillId="5" borderId="34" xfId="0" applyFont="1" applyFill="1" applyBorder="1" applyAlignment="1" applyProtection="1">
      <alignment horizontal="center" vertical="center"/>
      <protection locked="0" hidden="1"/>
    </xf>
    <xf numFmtId="0" fontId="29" fillId="5" borderId="36" xfId="0" applyFont="1" applyFill="1" applyBorder="1" applyAlignment="1" applyProtection="1">
      <alignment horizontal="center" vertical="center"/>
      <protection locked="0" hidden="1"/>
    </xf>
    <xf numFmtId="0" fontId="41" fillId="0" borderId="40" xfId="0" applyFont="1" applyFill="1" applyBorder="1" applyAlignment="1" applyProtection="1">
      <alignment horizontal="center" vertical="center"/>
      <protection hidden="1"/>
    </xf>
    <xf numFmtId="0" fontId="41" fillId="0" borderId="39" xfId="0" applyFont="1" applyFill="1" applyBorder="1" applyAlignment="1" applyProtection="1">
      <alignment horizontal="center" vertical="center"/>
      <protection hidden="1"/>
    </xf>
    <xf numFmtId="164" fontId="41" fillId="0" borderId="40" xfId="0" applyNumberFormat="1" applyFont="1" applyFill="1" applyBorder="1" applyAlignment="1" applyProtection="1">
      <alignment horizontal="center" vertical="center"/>
      <protection hidden="1"/>
    </xf>
    <xf numFmtId="0" fontId="29" fillId="5" borderId="57" xfId="0" applyFont="1" applyFill="1" applyBorder="1" applyAlignment="1" applyProtection="1">
      <alignment horizontal="center" vertical="center"/>
      <protection locked="0" hidden="1"/>
    </xf>
    <xf numFmtId="0" fontId="29" fillId="5" borderId="65" xfId="0" applyFont="1" applyFill="1" applyBorder="1" applyAlignment="1" applyProtection="1">
      <alignment horizontal="center" vertical="center"/>
      <protection locked="0" hidden="1"/>
    </xf>
    <xf numFmtId="0" fontId="29" fillId="0" borderId="29" xfId="0" applyFont="1" applyFill="1" applyBorder="1" applyAlignment="1" applyProtection="1">
      <alignment horizontal="center" vertical="center"/>
      <protection locked="0" hidden="1"/>
    </xf>
    <xf numFmtId="0" fontId="29" fillId="0" borderId="48" xfId="0" applyFont="1" applyFill="1" applyBorder="1" applyAlignment="1" applyProtection="1">
      <alignment horizontal="center" vertical="center"/>
      <protection locked="0" hidden="1"/>
    </xf>
    <xf numFmtId="0" fontId="29" fillId="0" borderId="46" xfId="0" applyFont="1" applyFill="1" applyBorder="1" applyAlignment="1" applyProtection="1">
      <alignment horizontal="center" vertical="center"/>
      <protection locked="0" hidden="1"/>
    </xf>
    <xf numFmtId="0" fontId="29" fillId="0" borderId="70" xfId="0" applyFont="1" applyFill="1" applyBorder="1" applyAlignment="1" applyProtection="1">
      <alignment horizontal="center" vertical="center"/>
      <protection locked="0" hidden="1"/>
    </xf>
    <xf numFmtId="0" fontId="29" fillId="0" borderId="47" xfId="0" applyFont="1" applyFill="1" applyBorder="1" applyAlignment="1" applyProtection="1">
      <alignment horizontal="center" vertical="center"/>
      <protection locked="0" hidden="1"/>
    </xf>
    <xf numFmtId="0" fontId="29" fillId="3" borderId="87" xfId="0" applyFont="1" applyFill="1" applyBorder="1" applyAlignment="1" applyProtection="1">
      <alignment horizontal="center" vertical="center"/>
      <protection locked="0" hidden="1"/>
    </xf>
    <xf numFmtId="0" fontId="29" fillId="0" borderId="81" xfId="0" applyFont="1" applyFill="1" applyBorder="1" applyAlignment="1" applyProtection="1">
      <alignment horizontal="center" vertical="center"/>
      <protection locked="0" hidden="1"/>
    </xf>
    <xf numFmtId="0" fontId="29" fillId="0" borderId="35" xfId="0" applyFont="1" applyFill="1" applyBorder="1" applyAlignment="1" applyProtection="1">
      <alignment horizontal="center" vertical="center"/>
      <protection locked="0" hidden="1"/>
    </xf>
    <xf numFmtId="0" fontId="29" fillId="0" borderId="80" xfId="0" applyFont="1" applyFill="1" applyBorder="1" applyAlignment="1" applyProtection="1">
      <alignment horizontal="center" vertical="center"/>
      <protection locked="0" hidden="1"/>
    </xf>
    <xf numFmtId="0" fontId="29" fillId="0" borderId="34" xfId="0" applyFont="1" applyFill="1" applyBorder="1" applyAlignment="1" applyProtection="1">
      <alignment horizontal="center" vertical="center"/>
      <protection locked="0" hidden="1"/>
    </xf>
    <xf numFmtId="0" fontId="29" fillId="0" borderId="36" xfId="0" applyFont="1" applyFill="1" applyBorder="1" applyAlignment="1" applyProtection="1">
      <alignment horizontal="center" vertical="center"/>
      <protection locked="0" hidden="1"/>
    </xf>
    <xf numFmtId="0" fontId="29" fillId="0" borderId="69" xfId="0" applyFont="1" applyFill="1" applyBorder="1" applyAlignment="1" applyProtection="1">
      <alignment horizontal="center" vertical="center"/>
      <protection locked="0" hidden="1"/>
    </xf>
    <xf numFmtId="0" fontId="29" fillId="0" borderId="85" xfId="0" applyFont="1" applyFill="1" applyBorder="1" applyAlignment="1" applyProtection="1">
      <alignment horizontal="center" vertical="center"/>
      <protection locked="0" hidden="1"/>
    </xf>
    <xf numFmtId="0" fontId="29" fillId="0" borderId="84" xfId="0" applyFont="1" applyFill="1" applyBorder="1" applyAlignment="1" applyProtection="1">
      <alignment horizontal="center" vertical="center"/>
      <protection locked="0" hidden="1"/>
    </xf>
    <xf numFmtId="0" fontId="29" fillId="0" borderId="54" xfId="0" applyFont="1" applyFill="1" applyBorder="1" applyAlignment="1" applyProtection="1">
      <alignment horizontal="center" vertical="center"/>
      <protection locked="0" hidden="1"/>
    </xf>
    <xf numFmtId="0" fontId="29" fillId="0" borderId="88" xfId="0" applyFont="1" applyFill="1" applyBorder="1" applyAlignment="1" applyProtection="1">
      <alignment horizontal="center" vertical="center"/>
      <protection locked="0" hidden="1"/>
    </xf>
    <xf numFmtId="0" fontId="29" fillId="0" borderId="23" xfId="0" applyFont="1" applyFill="1" applyBorder="1" applyAlignment="1" applyProtection="1">
      <alignment horizontal="center" vertical="center"/>
      <protection locked="0" hidden="1"/>
    </xf>
    <xf numFmtId="0" fontId="29" fillId="0" borderId="24" xfId="0" applyFont="1" applyFill="1" applyBorder="1" applyAlignment="1" applyProtection="1">
      <alignment horizontal="center" vertical="center"/>
      <protection locked="0" hidden="1"/>
    </xf>
    <xf numFmtId="0" fontId="29" fillId="3" borderId="31" xfId="0" applyFont="1" applyFill="1" applyBorder="1" applyAlignment="1" applyProtection="1">
      <alignment horizontal="center" vertical="center"/>
      <protection locked="0" hidden="1"/>
    </xf>
    <xf numFmtId="0" fontId="29" fillId="3" borderId="43" xfId="0" applyFont="1" applyFill="1" applyBorder="1" applyAlignment="1" applyProtection="1">
      <alignment horizontal="center" vertical="center"/>
      <protection locked="0" hidden="1"/>
    </xf>
    <xf numFmtId="0" fontId="29" fillId="3" borderId="61" xfId="0" applyFont="1" applyFill="1" applyBorder="1" applyAlignment="1" applyProtection="1">
      <alignment horizontal="center" vertical="center"/>
      <protection locked="0" hidden="1"/>
    </xf>
    <xf numFmtId="164" fontId="29" fillId="0" borderId="70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70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31" xfId="0" applyFont="1" applyFill="1" applyBorder="1" applyAlignment="1" applyProtection="1">
      <alignment horizontal="center" vertical="center"/>
      <protection locked="0" hidden="1"/>
    </xf>
    <xf numFmtId="0" fontId="29" fillId="0" borderId="43" xfId="0" applyFont="1" applyFill="1" applyBorder="1" applyAlignment="1" applyProtection="1">
      <alignment horizontal="center" vertical="center"/>
      <protection locked="0" hidden="1"/>
    </xf>
    <xf numFmtId="0" fontId="29" fillId="0" borderId="61" xfId="0" applyFont="1" applyFill="1" applyBorder="1" applyAlignment="1" applyProtection="1">
      <alignment horizontal="center" vertical="center"/>
      <protection locked="0" hidden="1"/>
    </xf>
    <xf numFmtId="0" fontId="29" fillId="0" borderId="44" xfId="0" applyFont="1" applyFill="1" applyBorder="1" applyAlignment="1" applyProtection="1">
      <alignment horizontal="center" vertical="center"/>
      <protection locked="0" hidden="1"/>
    </xf>
    <xf numFmtId="164" fontId="29" fillId="0" borderId="61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49" xfId="0" applyFont="1" applyFill="1" applyBorder="1" applyAlignment="1" applyProtection="1">
      <alignment horizontal="center" vertical="center"/>
      <protection locked="0" hidden="1"/>
    </xf>
    <xf numFmtId="0" fontId="29" fillId="0" borderId="59" xfId="0" applyFont="1" applyFill="1" applyBorder="1" applyAlignment="1" applyProtection="1">
      <alignment horizontal="center" vertical="center"/>
      <protection locked="0" hidden="1"/>
    </xf>
    <xf numFmtId="0" fontId="29" fillId="0" borderId="22" xfId="0" applyFont="1" applyFill="1" applyBorder="1" applyAlignment="1" applyProtection="1">
      <alignment horizontal="center" vertical="center"/>
      <protection locked="0" hidden="1"/>
    </xf>
    <xf numFmtId="0" fontId="29" fillId="0" borderId="60" xfId="0" applyFont="1" applyFill="1" applyBorder="1" applyAlignment="1" applyProtection="1">
      <alignment horizontal="center" vertical="center"/>
      <protection locked="0" hidden="1"/>
    </xf>
    <xf numFmtId="164" fontId="29" fillId="0" borderId="22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57" xfId="0" applyFont="1" applyFill="1" applyBorder="1" applyAlignment="1" applyProtection="1">
      <alignment horizontal="center" vertical="center"/>
      <protection locked="0" hidden="1"/>
    </xf>
    <xf numFmtId="0" fontId="29" fillId="0" borderId="77" xfId="0" applyFont="1" applyFill="1" applyBorder="1" applyAlignment="1" applyProtection="1">
      <alignment horizontal="center" vertical="center"/>
      <protection locked="0" hidden="1"/>
    </xf>
    <xf numFmtId="0" fontId="29" fillId="0" borderId="86" xfId="0" applyFont="1" applyFill="1" applyBorder="1" applyAlignment="1" applyProtection="1">
      <alignment horizontal="center" vertical="center"/>
      <protection locked="0" hidden="1"/>
    </xf>
    <xf numFmtId="0" fontId="29" fillId="0" borderId="65" xfId="0" applyFont="1" applyFill="1" applyBorder="1" applyAlignment="1" applyProtection="1">
      <alignment horizontal="center" vertical="center"/>
      <protection locked="0" hidden="1"/>
    </xf>
    <xf numFmtId="164" fontId="29" fillId="0" borderId="86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68" xfId="0" applyFont="1" applyFill="1" applyBorder="1" applyAlignment="1" applyProtection="1">
      <alignment horizontal="center" vertical="center"/>
      <protection locked="0" hidden="1"/>
    </xf>
    <xf numFmtId="164" fontId="29" fillId="0" borderId="84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54" xfId="0" applyFont="1" applyFill="1" applyBorder="1" applyAlignment="1" applyProtection="1">
      <alignment horizontal="center" vertical="center"/>
      <protection hidden="1"/>
    </xf>
    <xf numFmtId="0" fontId="29" fillId="0" borderId="88" xfId="0" applyFont="1" applyFill="1" applyBorder="1" applyAlignment="1" applyProtection="1">
      <alignment horizontal="center" vertical="center"/>
      <protection hidden="1"/>
    </xf>
    <xf numFmtId="0" fontId="29" fillId="0" borderId="23" xfId="0" applyFont="1" applyFill="1" applyBorder="1" applyAlignment="1" applyProtection="1">
      <alignment horizontal="center" vertical="center"/>
      <protection hidden="1"/>
    </xf>
    <xf numFmtId="0" fontId="29" fillId="0" borderId="24" xfId="0" applyFont="1" applyFill="1" applyBorder="1" applyAlignment="1" applyProtection="1">
      <alignment horizontal="center" vertical="center"/>
      <protection hidden="1"/>
    </xf>
    <xf numFmtId="0" fontId="29" fillId="3" borderId="31" xfId="0" applyFont="1" applyFill="1" applyBorder="1" applyAlignment="1" applyProtection="1">
      <alignment horizontal="center" vertical="center"/>
      <protection hidden="1"/>
    </xf>
    <xf numFmtId="0" fontId="29" fillId="3" borderId="43" xfId="0" applyFont="1" applyFill="1" applyBorder="1" applyAlignment="1" applyProtection="1">
      <alignment horizontal="center" vertical="center"/>
      <protection hidden="1"/>
    </xf>
    <xf numFmtId="0" fontId="29" fillId="3" borderId="61" xfId="0" applyFont="1" applyFill="1" applyBorder="1" applyAlignment="1" applyProtection="1">
      <alignment horizontal="center" vertical="center"/>
      <protection hidden="1"/>
    </xf>
    <xf numFmtId="0" fontId="29" fillId="3" borderId="44" xfId="0" applyFont="1" applyFill="1" applyBorder="1" applyAlignment="1" applyProtection="1">
      <alignment horizontal="center" vertical="center"/>
      <protection hidden="1"/>
    </xf>
    <xf numFmtId="0" fontId="29" fillId="0" borderId="48" xfId="0" applyFont="1" applyFill="1" applyBorder="1" applyAlignment="1" applyProtection="1">
      <alignment horizontal="center" vertical="center"/>
      <protection hidden="1"/>
    </xf>
    <xf numFmtId="0" fontId="29" fillId="0" borderId="46" xfId="0" applyFont="1" applyFill="1" applyBorder="1" applyAlignment="1" applyProtection="1">
      <alignment horizontal="center" vertical="center"/>
      <protection hidden="1"/>
    </xf>
    <xf numFmtId="0" fontId="29" fillId="0" borderId="70" xfId="0" applyFont="1" applyFill="1" applyBorder="1" applyAlignment="1" applyProtection="1">
      <alignment horizontal="center" vertical="center"/>
      <protection hidden="1"/>
    </xf>
    <xf numFmtId="0" fontId="29" fillId="0" borderId="47" xfId="0" applyFont="1" applyFill="1" applyBorder="1" applyAlignment="1" applyProtection="1">
      <alignment horizontal="center" vertical="center"/>
      <protection hidden="1"/>
    </xf>
    <xf numFmtId="0" fontId="29" fillId="3" borderId="48" xfId="0" applyFont="1" applyFill="1" applyBorder="1" applyAlignment="1" applyProtection="1">
      <alignment horizontal="center" vertical="center"/>
      <protection hidden="1"/>
    </xf>
    <xf numFmtId="0" fontId="29" fillId="3" borderId="46" xfId="0" applyFont="1" applyFill="1" applyBorder="1" applyAlignment="1" applyProtection="1">
      <alignment horizontal="center" vertical="center"/>
      <protection hidden="1"/>
    </xf>
    <xf numFmtId="0" fontId="29" fillId="3" borderId="70" xfId="0" applyFont="1" applyFill="1" applyBorder="1" applyAlignment="1" applyProtection="1">
      <alignment horizontal="center" vertical="center"/>
      <protection hidden="1"/>
    </xf>
    <xf numFmtId="0" fontId="29" fillId="3" borderId="47" xfId="0" applyFont="1" applyFill="1" applyBorder="1" applyAlignment="1" applyProtection="1">
      <alignment horizontal="center" vertical="center"/>
      <protection hidden="1"/>
    </xf>
    <xf numFmtId="0" fontId="29" fillId="0" borderId="25" xfId="0" applyFont="1" applyFill="1" applyBorder="1" applyAlignment="1" applyProtection="1">
      <alignment horizontal="center" vertical="center"/>
      <protection hidden="1"/>
    </xf>
    <xf numFmtId="0" fontId="29" fillId="0" borderId="28" xfId="0" applyFont="1" applyFill="1" applyBorder="1" applyAlignment="1" applyProtection="1">
      <alignment horizontal="center" vertical="center"/>
      <protection hidden="1"/>
    </xf>
    <xf numFmtId="0" fontId="29" fillId="0" borderId="26" xfId="0" applyFont="1" applyFill="1" applyBorder="1" applyAlignment="1" applyProtection="1">
      <alignment horizontal="center" vertical="center"/>
      <protection hidden="1"/>
    </xf>
    <xf numFmtId="0" fontId="29" fillId="0" borderId="29" xfId="0" applyFont="1" applyFill="1" applyBorder="1" applyAlignment="1" applyProtection="1">
      <alignment horizontal="center" vertical="center"/>
      <protection hidden="1"/>
    </xf>
    <xf numFmtId="0" fontId="29" fillId="0" borderId="49" xfId="0" applyFont="1" applyFill="1" applyBorder="1" applyAlignment="1" applyProtection="1">
      <alignment horizontal="center" vertical="center"/>
      <protection hidden="1"/>
    </xf>
    <xf numFmtId="0" fontId="29" fillId="0" borderId="59" xfId="0" applyFont="1" applyFill="1" applyBorder="1" applyAlignment="1" applyProtection="1">
      <alignment horizontal="center" vertical="center"/>
      <protection hidden="1"/>
    </xf>
    <xf numFmtId="0" fontId="29" fillId="0" borderId="22" xfId="0" applyFont="1" applyFill="1" applyBorder="1" applyAlignment="1" applyProtection="1">
      <alignment horizontal="center" vertical="center"/>
      <protection hidden="1"/>
    </xf>
    <xf numFmtId="0" fontId="29" fillId="0" borderId="60" xfId="0" applyFont="1" applyFill="1" applyBorder="1" applyAlignment="1" applyProtection="1">
      <alignment horizontal="center" vertical="center"/>
      <protection hidden="1"/>
    </xf>
    <xf numFmtId="0" fontId="29" fillId="0" borderId="31" xfId="0" applyFont="1" applyFill="1" applyBorder="1" applyAlignment="1" applyProtection="1">
      <alignment horizontal="center" vertical="center"/>
      <protection hidden="1"/>
    </xf>
    <xf numFmtId="0" fontId="29" fillId="0" borderId="43" xfId="0" applyFont="1" applyFill="1" applyBorder="1" applyAlignment="1" applyProtection="1">
      <alignment horizontal="center" vertical="center"/>
      <protection hidden="1"/>
    </xf>
    <xf numFmtId="0" fontId="29" fillId="0" borderId="61" xfId="0" applyFont="1" applyFill="1" applyBorder="1" applyAlignment="1" applyProtection="1">
      <alignment horizontal="center" vertical="center"/>
      <protection hidden="1"/>
    </xf>
    <xf numFmtId="0" fontId="29" fillId="0" borderId="44" xfId="0" applyFont="1" applyFill="1" applyBorder="1" applyAlignment="1" applyProtection="1">
      <alignment horizontal="center" vertical="center"/>
      <protection hidden="1"/>
    </xf>
    <xf numFmtId="0" fontId="29" fillId="3" borderId="74" xfId="0" applyFont="1" applyFill="1" applyBorder="1" applyAlignment="1" applyProtection="1">
      <alignment horizontal="center" vertical="center"/>
      <protection hidden="1"/>
    </xf>
    <xf numFmtId="0" fontId="29" fillId="3" borderId="89" xfId="0" applyFont="1" applyFill="1" applyBorder="1" applyAlignment="1" applyProtection="1">
      <alignment horizontal="center" vertical="center"/>
      <protection hidden="1"/>
    </xf>
    <xf numFmtId="0" fontId="29" fillId="3" borderId="56" xfId="0" applyFont="1" applyFill="1" applyBorder="1" applyAlignment="1" applyProtection="1">
      <alignment horizontal="center" vertical="center"/>
      <protection hidden="1"/>
    </xf>
    <xf numFmtId="0" fontId="29" fillId="3" borderId="73" xfId="0" applyFont="1" applyFill="1" applyBorder="1" applyAlignment="1" applyProtection="1">
      <alignment horizontal="center" vertical="center"/>
      <protection hidden="1"/>
    </xf>
    <xf numFmtId="0" fontId="29" fillId="3" borderId="49" xfId="0" applyFont="1" applyFill="1" applyBorder="1" applyAlignment="1" applyProtection="1">
      <alignment horizontal="center" vertical="center"/>
      <protection hidden="1"/>
    </xf>
    <xf numFmtId="0" fontId="29" fillId="3" borderId="59" xfId="0" applyFont="1" applyFill="1" applyBorder="1" applyAlignment="1" applyProtection="1">
      <alignment horizontal="center" vertical="center"/>
      <protection hidden="1"/>
    </xf>
    <xf numFmtId="0" fontId="29" fillId="3" borderId="22" xfId="0" applyFont="1" applyFill="1" applyBorder="1" applyAlignment="1" applyProtection="1">
      <alignment horizontal="center" vertical="center"/>
      <protection hidden="1"/>
    </xf>
    <xf numFmtId="0" fontId="29" fillId="3" borderId="60" xfId="0" applyFont="1" applyFill="1" applyBorder="1" applyAlignment="1" applyProtection="1">
      <alignment horizontal="center" vertical="center"/>
      <protection hidden="1"/>
    </xf>
    <xf numFmtId="0" fontId="29" fillId="0" borderId="74" xfId="0" applyFont="1" applyFill="1" applyBorder="1" applyAlignment="1" applyProtection="1">
      <alignment horizontal="center" vertical="center"/>
      <protection hidden="1"/>
    </xf>
    <xf numFmtId="0" fontId="29" fillId="0" borderId="89" xfId="0" applyFont="1" applyFill="1" applyBorder="1" applyAlignment="1" applyProtection="1">
      <alignment horizontal="center" vertical="center"/>
      <protection hidden="1"/>
    </xf>
    <xf numFmtId="0" fontId="29" fillId="0" borderId="56" xfId="0" applyFont="1" applyFill="1" applyBorder="1" applyAlignment="1" applyProtection="1">
      <alignment horizontal="center" vertical="center"/>
      <protection hidden="1"/>
    </xf>
    <xf numFmtId="0" fontId="29" fillId="0" borderId="73" xfId="0" applyFont="1" applyFill="1" applyBorder="1" applyAlignment="1" applyProtection="1">
      <alignment horizontal="center" vertical="center"/>
      <protection hidden="1"/>
    </xf>
    <xf numFmtId="0" fontId="20" fillId="0" borderId="0" xfId="0" applyFont="1" applyFill="1" applyProtection="1"/>
    <xf numFmtId="164" fontId="37" fillId="0" borderId="0" xfId="0" applyNumberFormat="1" applyFont="1" applyAlignment="1" applyProtection="1">
      <alignment horizontal="right"/>
    </xf>
    <xf numFmtId="164" fontId="37" fillId="0" borderId="0" xfId="0" applyNumberFormat="1" applyFont="1" applyBorder="1" applyAlignment="1" applyProtection="1">
      <alignment horizontal="right"/>
    </xf>
    <xf numFmtId="1" fontId="37" fillId="0" borderId="0" xfId="0" applyNumberFormat="1" applyFont="1" applyBorder="1" applyAlignment="1" applyProtection="1">
      <alignment horizontal="right"/>
    </xf>
    <xf numFmtId="1" fontId="37" fillId="0" borderId="91" xfId="0" applyNumberFormat="1" applyFont="1" applyBorder="1" applyAlignment="1" applyProtection="1">
      <alignment horizontal="right"/>
    </xf>
    <xf numFmtId="1" fontId="37" fillId="0" borderId="0" xfId="0" applyNumberFormat="1" applyFont="1" applyAlignment="1" applyProtection="1">
      <alignment horizontal="right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1" fillId="0" borderId="37" xfId="0" applyFont="1" applyFill="1" applyBorder="1" applyAlignment="1" applyProtection="1">
      <alignment horizontal="center" vertical="center"/>
      <protection hidden="1"/>
    </xf>
    <xf numFmtId="0" fontId="41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8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5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1" fillId="3" borderId="43" xfId="0" applyFont="1" applyFill="1" applyBorder="1" applyAlignment="1" applyProtection="1">
      <alignment horizontal="right" vertical="center" indent="1"/>
      <protection hidden="1"/>
    </xf>
    <xf numFmtId="0" fontId="21" fillId="3" borderId="44" xfId="0" applyFont="1" applyFill="1" applyBorder="1" applyAlignment="1" applyProtection="1">
      <alignment horizontal="right" vertical="center" indent="1"/>
      <protection hidden="1"/>
    </xf>
    <xf numFmtId="0" fontId="21" fillId="5" borderId="46" xfId="0" applyFont="1" applyFill="1" applyBorder="1" applyAlignment="1" applyProtection="1">
      <alignment horizontal="right" vertical="center" indent="1"/>
      <protection hidden="1"/>
    </xf>
    <xf numFmtId="0" fontId="21" fillId="5" borderId="47" xfId="0" applyFont="1" applyFill="1" applyBorder="1" applyAlignment="1" applyProtection="1">
      <alignment horizontal="right" vertical="center" indent="1"/>
      <protection hidden="1"/>
    </xf>
    <xf numFmtId="0" fontId="21" fillId="3" borderId="59" xfId="0" applyFont="1" applyFill="1" applyBorder="1" applyAlignment="1" applyProtection="1">
      <alignment horizontal="right" vertical="center" indent="1"/>
      <protection hidden="1"/>
    </xf>
    <xf numFmtId="0" fontId="21" fillId="3" borderId="60" xfId="0" applyFont="1" applyFill="1" applyBorder="1" applyAlignment="1" applyProtection="1">
      <alignment horizontal="right" vertical="center" indent="1"/>
      <protection hidden="1"/>
    </xf>
    <xf numFmtId="0" fontId="21" fillId="5" borderId="28" xfId="0" applyFont="1" applyFill="1" applyBorder="1" applyAlignment="1" applyProtection="1">
      <alignment horizontal="right" vertical="center" indent="1"/>
      <protection hidden="1"/>
    </xf>
    <xf numFmtId="0" fontId="21" fillId="5" borderId="29" xfId="0" applyFont="1" applyFill="1" applyBorder="1" applyAlignment="1" applyProtection="1">
      <alignment horizontal="right" vertical="center" indent="1"/>
      <protection hidden="1"/>
    </xf>
    <xf numFmtId="0" fontId="21" fillId="3" borderId="46" xfId="0" applyFont="1" applyFill="1" applyBorder="1" applyAlignment="1" applyProtection="1">
      <alignment horizontal="right" vertical="center" indent="1"/>
      <protection hidden="1"/>
    </xf>
    <xf numFmtId="0" fontId="21" fillId="3" borderId="47" xfId="0" applyFont="1" applyFill="1" applyBorder="1" applyAlignment="1" applyProtection="1">
      <alignment horizontal="right" vertical="center" indent="1"/>
      <protection hidden="1"/>
    </xf>
    <xf numFmtId="0" fontId="21" fillId="5" borderId="59" xfId="0" applyFont="1" applyFill="1" applyBorder="1" applyAlignment="1" applyProtection="1">
      <alignment horizontal="right" vertical="center" indent="1"/>
      <protection hidden="1"/>
    </xf>
    <xf numFmtId="0" fontId="21" fillId="5" borderId="60" xfId="0" applyFont="1" applyFill="1" applyBorder="1" applyAlignment="1" applyProtection="1">
      <alignment horizontal="right" vertical="center" indent="1"/>
      <protection hidden="1"/>
    </xf>
    <xf numFmtId="0" fontId="21" fillId="3" borderId="28" xfId="0" applyFont="1" applyFill="1" applyBorder="1" applyAlignment="1" applyProtection="1">
      <alignment horizontal="right" vertical="center" indent="1"/>
      <protection hidden="1"/>
    </xf>
    <xf numFmtId="0" fontId="21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1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1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0" borderId="62" xfId="0" applyFont="1" applyFill="1" applyBorder="1" applyAlignment="1" applyProtection="1">
      <alignment horizontal="right" vertical="center" indent="1"/>
      <protection hidden="1"/>
    </xf>
    <xf numFmtId="0" fontId="7" fillId="3" borderId="62" xfId="0" applyFont="1" applyFill="1" applyBorder="1" applyAlignment="1" applyProtection="1">
      <alignment horizontal="right" vertical="center" indent="1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4" borderId="66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7" xfId="0" applyFont="1" applyFill="1" applyBorder="1" applyAlignment="1" applyProtection="1">
      <alignment horizontal="right" vertical="center" indent="1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3" borderId="72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0" borderId="71" xfId="0" applyFont="1" applyFill="1" applyBorder="1" applyAlignment="1" applyProtection="1">
      <alignment horizontal="right" vertical="center" indent="1"/>
      <protection hidden="1"/>
    </xf>
    <xf numFmtId="2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30" fillId="0" borderId="0" xfId="0" applyFont="1" applyAlignment="1" applyProtection="1">
      <alignment horizontal="right" indent="1"/>
    </xf>
    <xf numFmtId="0" fontId="20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98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308610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328" t="str">
        <f>Doku!B28</f>
        <v>Meisterschaftsname</v>
      </c>
      <c r="F1" s="328"/>
      <c r="G1" s="328"/>
      <c r="H1" s="328"/>
      <c r="I1" s="328"/>
      <c r="J1" s="77"/>
      <c r="K1" s="75"/>
      <c r="L1" s="75"/>
    </row>
    <row r="2" spans="1:33" s="23" customFormat="1" ht="20.100000000000001" customHeight="1" x14ac:dyDescent="0.4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33" s="20" customFormat="1" ht="39.950000000000003" customHeight="1" x14ac:dyDescent="0.5">
      <c r="A3" s="342" t="s">
        <v>0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16"/>
      <c r="J9" s="316"/>
      <c r="K9" s="316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67" t="str">
        <f>Doku!B39</f>
        <v>Mittlerer Fehler</v>
      </c>
      <c r="I11" s="67" t="str">
        <f>Doku!B40</f>
        <v>Großer Fehler</v>
      </c>
      <c r="J11" s="78" t="s">
        <v>205</v>
      </c>
      <c r="K11" s="78" t="str">
        <f>Doku!B41</f>
        <v>Technik vergessen</v>
      </c>
      <c r="L11" s="317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292" t="str">
        <f>Doku!B37</f>
        <v>Technik</v>
      </c>
      <c r="B12" s="293"/>
      <c r="C12" s="293"/>
      <c r="D12" s="293"/>
      <c r="E12" s="294"/>
      <c r="F12" s="295">
        <v>1</v>
      </c>
      <c r="G12" s="296"/>
      <c r="H12" s="68">
        <v>3</v>
      </c>
      <c r="I12" s="68">
        <v>5</v>
      </c>
      <c r="J12" s="68">
        <v>0.5</v>
      </c>
      <c r="K12" s="68">
        <v>10</v>
      </c>
      <c r="L12" s="318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22" t="s">
        <v>7</v>
      </c>
      <c r="E13" s="323"/>
      <c r="F13" s="160" t="s">
        <v>207</v>
      </c>
      <c r="G13" s="161"/>
      <c r="H13" s="162"/>
      <c r="I13" s="162"/>
      <c r="J13" s="163"/>
      <c r="K13" s="163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00" t="s">
        <v>8</v>
      </c>
      <c r="D14" s="308" t="s">
        <v>9</v>
      </c>
      <c r="E14" s="309"/>
      <c r="F14" s="164"/>
      <c r="G14" s="165" t="s">
        <v>207</v>
      </c>
      <c r="H14" s="166"/>
      <c r="I14" s="166"/>
      <c r="J14" s="167"/>
      <c r="K14" s="167"/>
      <c r="L14" s="8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01"/>
      <c r="D15" s="310" t="s">
        <v>10</v>
      </c>
      <c r="E15" s="311"/>
      <c r="F15" s="168"/>
      <c r="G15" s="169"/>
      <c r="H15" s="170" t="s">
        <v>207</v>
      </c>
      <c r="I15" s="170"/>
      <c r="J15" s="171"/>
      <c r="K15" s="171"/>
      <c r="L15" s="84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01"/>
      <c r="D16" s="312" t="s">
        <v>11</v>
      </c>
      <c r="E16" s="313"/>
      <c r="F16" s="172"/>
      <c r="G16" s="173"/>
      <c r="H16" s="174"/>
      <c r="I16" s="174" t="s">
        <v>207</v>
      </c>
      <c r="J16" s="175"/>
      <c r="K16" s="175"/>
      <c r="L16" s="83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00" t="s">
        <v>12</v>
      </c>
      <c r="D17" s="302" t="s">
        <v>13</v>
      </c>
      <c r="E17" s="303"/>
      <c r="F17" s="176"/>
      <c r="G17" s="177"/>
      <c r="H17" s="178"/>
      <c r="I17" s="178"/>
      <c r="J17" s="179" t="s">
        <v>208</v>
      </c>
      <c r="K17" s="179"/>
      <c r="L17" s="87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01"/>
      <c r="D18" s="304" t="s">
        <v>14</v>
      </c>
      <c r="E18" s="305"/>
      <c r="F18" s="180"/>
      <c r="G18" s="181"/>
      <c r="H18" s="182"/>
      <c r="I18" s="182"/>
      <c r="J18" s="183" t="s">
        <v>209</v>
      </c>
      <c r="K18" s="183"/>
      <c r="L18" s="88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01"/>
      <c r="D19" s="306" t="s">
        <v>15</v>
      </c>
      <c r="E19" s="307"/>
      <c r="F19" s="184"/>
      <c r="G19" s="185"/>
      <c r="H19" s="186"/>
      <c r="I19" s="186"/>
      <c r="J19" s="187" t="s">
        <v>209</v>
      </c>
      <c r="K19" s="187"/>
      <c r="L19" s="89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00" t="s">
        <v>16</v>
      </c>
      <c r="D20" s="308" t="s">
        <v>17</v>
      </c>
      <c r="E20" s="309"/>
      <c r="F20" s="164"/>
      <c r="G20" s="165"/>
      <c r="H20" s="166"/>
      <c r="I20" s="166" t="s">
        <v>207</v>
      </c>
      <c r="J20" s="167"/>
      <c r="K20" s="167"/>
      <c r="L20" s="86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01"/>
      <c r="D21" s="310" t="s">
        <v>18</v>
      </c>
      <c r="E21" s="311"/>
      <c r="F21" s="168"/>
      <c r="G21" s="169"/>
      <c r="H21" s="170" t="s">
        <v>207</v>
      </c>
      <c r="I21" s="170"/>
      <c r="J21" s="171"/>
      <c r="K21" s="171"/>
      <c r="L21" s="84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01"/>
      <c r="D22" s="312" t="s">
        <v>19</v>
      </c>
      <c r="E22" s="313"/>
      <c r="F22" s="172"/>
      <c r="G22" s="173" t="s">
        <v>207</v>
      </c>
      <c r="H22" s="174"/>
      <c r="I22" s="174"/>
      <c r="J22" s="175"/>
      <c r="K22" s="175"/>
      <c r="L22" s="83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48"/>
      <c r="C23" s="300" t="s">
        <v>20</v>
      </c>
      <c r="D23" s="302" t="s">
        <v>21</v>
      </c>
      <c r="E23" s="303"/>
      <c r="F23" s="176" t="s">
        <v>207</v>
      </c>
      <c r="G23" s="177"/>
      <c r="H23" s="178"/>
      <c r="I23" s="178"/>
      <c r="J23" s="179"/>
      <c r="K23" s="179"/>
      <c r="L23" s="87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01"/>
      <c r="D24" s="304" t="s">
        <v>22</v>
      </c>
      <c r="E24" s="305"/>
      <c r="F24" s="180"/>
      <c r="G24" s="181" t="s">
        <v>207</v>
      </c>
      <c r="H24" s="182"/>
      <c r="I24" s="182"/>
      <c r="J24" s="183"/>
      <c r="K24" s="183"/>
      <c r="L24" s="88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01"/>
      <c r="D25" s="306" t="s">
        <v>23</v>
      </c>
      <c r="E25" s="307"/>
      <c r="F25" s="184"/>
      <c r="G25" s="185"/>
      <c r="H25" s="186" t="s">
        <v>207</v>
      </c>
      <c r="I25" s="186"/>
      <c r="J25" s="187"/>
      <c r="K25" s="187"/>
      <c r="L25" s="89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00" t="s">
        <v>24</v>
      </c>
      <c r="D26" s="308" t="s">
        <v>25</v>
      </c>
      <c r="E26" s="309"/>
      <c r="F26" s="164"/>
      <c r="G26" s="165"/>
      <c r="H26" s="166"/>
      <c r="I26" s="166" t="s">
        <v>207</v>
      </c>
      <c r="J26" s="167"/>
      <c r="K26" s="167"/>
      <c r="L26" s="86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01"/>
      <c r="D27" s="310" t="s">
        <v>26</v>
      </c>
      <c r="E27" s="311"/>
      <c r="F27" s="168"/>
      <c r="G27" s="169"/>
      <c r="H27" s="170" t="s">
        <v>207</v>
      </c>
      <c r="I27" s="170"/>
      <c r="J27" s="171"/>
      <c r="K27" s="171"/>
      <c r="L27" s="84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01"/>
      <c r="D28" s="312" t="s">
        <v>27</v>
      </c>
      <c r="E28" s="313"/>
      <c r="F28" s="188"/>
      <c r="G28" s="189" t="s">
        <v>207</v>
      </c>
      <c r="H28" s="190"/>
      <c r="I28" s="190"/>
      <c r="J28" s="191"/>
      <c r="K28" s="191"/>
      <c r="L28" s="90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11">
        <v>17</v>
      </c>
      <c r="B35" s="54"/>
      <c r="C35" s="35"/>
      <c r="D35" s="314" t="s">
        <v>28</v>
      </c>
      <c r="E35" s="315"/>
      <c r="F35" s="192" t="s">
        <v>207</v>
      </c>
      <c r="G35" s="193" t="s">
        <v>207</v>
      </c>
      <c r="H35" s="194"/>
      <c r="I35" s="194"/>
      <c r="J35" s="195"/>
      <c r="K35" s="195"/>
      <c r="L35" s="80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297" t="str">
        <f>Doku!B43&amp;":"</f>
        <v>Summe Fehler und Punkte:</v>
      </c>
      <c r="B36" s="298"/>
      <c r="C36" s="298"/>
      <c r="D36" s="298"/>
      <c r="E36" s="299"/>
      <c r="F36" s="290">
        <f>IF($L$37&lt;&gt;"",SUMPRODUCT(--(TRIM(F13:G35)&lt;&gt;"")),"")</f>
        <v>8</v>
      </c>
      <c r="G36" s="291">
        <f t="shared" ref="G36" si="2">IF($L$37&lt;&gt;"",COUNTIF(G13:G29,"x"))</f>
        <v>4</v>
      </c>
      <c r="H36" s="196">
        <f>IF($L$37&lt;&gt;"",SUMPRODUCT(--(TRIM(H13:H35)&lt;&gt;"")),"")</f>
        <v>4</v>
      </c>
      <c r="I36" s="196">
        <f>IF($L$37&lt;&gt;"",SUMPRODUCT(--(TRIM(I13:I35)&lt;&gt;"")),"")</f>
        <v>3</v>
      </c>
      <c r="J36" s="198">
        <f>IF($L$37&lt;&gt;"",(COUNTIFS(J13:J35,"+")-COUNTIFS(J13:J35,"-"))*0.5,"")</f>
        <v>-0.5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134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88" t="str">
        <f>Doku!B44&amp;":"</f>
        <v>Position:</v>
      </c>
      <c r="B37" s="289"/>
      <c r="C37" s="289"/>
      <c r="D37" s="289"/>
      <c r="E37" s="50"/>
      <c r="F37" s="319" t="str">
        <f>Doku!B45</f>
        <v>Übertrag ok?</v>
      </c>
      <c r="G37" s="320"/>
      <c r="H37" s="320"/>
      <c r="I37" s="320"/>
      <c r="J37" s="320"/>
      <c r="K37" s="321"/>
      <c r="L37" s="81" t="s">
        <v>233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12:E12"/>
    <mergeCell ref="F12:G12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D35:E35"/>
  </mergeCells>
  <dataValidations count="3">
    <dataValidation type="textLength" allowBlank="1" showInputMessage="1" showErrorMessage="1" sqref="F29:K34" xr:uid="{00000000-0002-0000-0000-000000000000}">
      <formula1>1</formula1>
      <formula2>1</formula2>
    </dataValidation>
    <dataValidation type="list" allowBlank="1" showDropDown="1" showInputMessage="1" showErrorMessage="1" sqref="J35 J13:J28" xr:uid="{206E9115-2FE8-41ED-8719-0A43AE44980A}">
      <formula1>$P$14:$P$15</formula1>
    </dataValidation>
    <dataValidation type="list" allowBlank="1" showDropDown="1" showInputMessage="1" showErrorMessage="1" sqref="K13:K28 K35 F35:I35 F13:I28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328" t="str">
        <f>Doku!B28</f>
        <v>Meisterschaftsname</v>
      </c>
      <c r="F1" s="328"/>
      <c r="G1" s="328"/>
      <c r="H1" s="328"/>
      <c r="I1" s="328"/>
      <c r="J1" s="77"/>
      <c r="K1" s="75"/>
      <c r="L1" s="75"/>
    </row>
    <row r="2" spans="1:33" s="23" customFormat="1" ht="20.100000000000001" customHeight="1" x14ac:dyDescent="0.4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33" s="20" customFormat="1" ht="39.950000000000003" customHeight="1" x14ac:dyDescent="0.5">
      <c r="A3" s="342" t="s">
        <v>46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16"/>
      <c r="J9" s="316"/>
      <c r="K9" s="316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4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17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292" t="str">
        <f>Doku!B37</f>
        <v>Technik</v>
      </c>
      <c r="B12" s="293"/>
      <c r="C12" s="293"/>
      <c r="D12" s="293"/>
      <c r="E12" s="294"/>
      <c r="F12" s="295">
        <v>1</v>
      </c>
      <c r="G12" s="296"/>
      <c r="H12" s="68">
        <v>3</v>
      </c>
      <c r="I12" s="68">
        <v>5</v>
      </c>
      <c r="J12" s="68">
        <v>0.5</v>
      </c>
      <c r="K12" s="68">
        <v>10</v>
      </c>
      <c r="L12" s="318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22" t="s">
        <v>7</v>
      </c>
      <c r="E13" s="323"/>
      <c r="F13" s="176" t="s">
        <v>207</v>
      </c>
      <c r="G13" s="179"/>
      <c r="H13" s="179"/>
      <c r="I13" s="179"/>
      <c r="J13" s="179"/>
      <c r="K13" s="179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00" t="s">
        <v>47</v>
      </c>
      <c r="D14" s="360" t="s">
        <v>48</v>
      </c>
      <c r="E14" s="361"/>
      <c r="F14" s="164"/>
      <c r="G14" s="167" t="s">
        <v>207</v>
      </c>
      <c r="H14" s="167"/>
      <c r="I14" s="167"/>
      <c r="J14" s="167"/>
      <c r="K14" s="167"/>
      <c r="L14" s="86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01"/>
      <c r="D15" s="350" t="s">
        <v>49</v>
      </c>
      <c r="E15" s="351"/>
      <c r="F15" s="168"/>
      <c r="G15" s="171"/>
      <c r="H15" s="171" t="s">
        <v>207</v>
      </c>
      <c r="I15" s="171"/>
      <c r="J15" s="171"/>
      <c r="K15" s="171"/>
      <c r="L15" s="84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01"/>
      <c r="D16" s="356" t="s">
        <v>50</v>
      </c>
      <c r="E16" s="357"/>
      <c r="F16" s="172"/>
      <c r="G16" s="175"/>
      <c r="H16" s="175"/>
      <c r="I16" s="175" t="s">
        <v>207</v>
      </c>
      <c r="J16" s="175"/>
      <c r="K16" s="175"/>
      <c r="L16" s="83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01"/>
      <c r="D17" s="350" t="s">
        <v>51</v>
      </c>
      <c r="E17" s="351"/>
      <c r="F17" s="168"/>
      <c r="G17" s="171"/>
      <c r="H17" s="171"/>
      <c r="I17" s="171"/>
      <c r="J17" s="171" t="s">
        <v>208</v>
      </c>
      <c r="K17" s="171"/>
      <c r="L17" s="84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5"/>
      <c r="C18" s="347"/>
      <c r="D18" s="348" t="s">
        <v>52</v>
      </c>
      <c r="E18" s="349"/>
      <c r="F18" s="172"/>
      <c r="G18" s="175"/>
      <c r="H18" s="175"/>
      <c r="I18" s="175"/>
      <c r="J18" s="175" t="s">
        <v>209</v>
      </c>
      <c r="K18" s="175"/>
      <c r="L18" s="83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01" t="s">
        <v>53</v>
      </c>
      <c r="D19" s="354" t="s">
        <v>54</v>
      </c>
      <c r="E19" s="355"/>
      <c r="F19" s="199"/>
      <c r="G19" s="200"/>
      <c r="H19" s="200"/>
      <c r="I19" s="200"/>
      <c r="J19" s="200" t="s">
        <v>209</v>
      </c>
      <c r="K19" s="200"/>
      <c r="L19" s="91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01"/>
      <c r="D20" s="356" t="s">
        <v>55</v>
      </c>
      <c r="E20" s="357"/>
      <c r="F20" s="172"/>
      <c r="G20" s="175"/>
      <c r="H20" s="175"/>
      <c r="I20" s="175" t="s">
        <v>207</v>
      </c>
      <c r="J20" s="175"/>
      <c r="K20" s="175"/>
      <c r="L20" s="83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01"/>
      <c r="D21" s="350" t="s">
        <v>56</v>
      </c>
      <c r="E21" s="351"/>
      <c r="F21" s="168"/>
      <c r="G21" s="171"/>
      <c r="H21" s="171" t="s">
        <v>207</v>
      </c>
      <c r="I21" s="171"/>
      <c r="J21" s="171"/>
      <c r="K21" s="171"/>
      <c r="L21" s="84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01"/>
      <c r="D22" s="356" t="s">
        <v>57</v>
      </c>
      <c r="E22" s="357"/>
      <c r="F22" s="172"/>
      <c r="G22" s="175" t="s">
        <v>207</v>
      </c>
      <c r="H22" s="175"/>
      <c r="I22" s="175"/>
      <c r="J22" s="175"/>
      <c r="K22" s="175"/>
      <c r="L22" s="83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5"/>
      <c r="C23" s="347"/>
      <c r="D23" s="358" t="s">
        <v>58</v>
      </c>
      <c r="E23" s="359"/>
      <c r="F23" s="184" t="s">
        <v>207</v>
      </c>
      <c r="G23" s="187"/>
      <c r="H23" s="187"/>
      <c r="I23" s="187"/>
      <c r="J23" s="187"/>
      <c r="K23" s="187"/>
      <c r="L23" s="89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01" t="s">
        <v>59</v>
      </c>
      <c r="D24" s="348" t="s">
        <v>60</v>
      </c>
      <c r="E24" s="349"/>
      <c r="F24" s="164"/>
      <c r="G24" s="167" t="s">
        <v>207</v>
      </c>
      <c r="H24" s="167"/>
      <c r="I24" s="167"/>
      <c r="J24" s="167"/>
      <c r="K24" s="167"/>
      <c r="L24" s="86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01"/>
      <c r="D25" s="350" t="s">
        <v>61</v>
      </c>
      <c r="E25" s="351"/>
      <c r="F25" s="168"/>
      <c r="G25" s="171"/>
      <c r="H25" s="171" t="s">
        <v>207</v>
      </c>
      <c r="I25" s="171"/>
      <c r="J25" s="171"/>
      <c r="K25" s="171"/>
      <c r="L25" s="84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01"/>
      <c r="D26" s="348" t="s">
        <v>62</v>
      </c>
      <c r="E26" s="349"/>
      <c r="F26" s="172"/>
      <c r="G26" s="175"/>
      <c r="H26" s="175"/>
      <c r="I26" s="175" t="s">
        <v>207</v>
      </c>
      <c r="J26" s="175"/>
      <c r="K26" s="175"/>
      <c r="L26" s="83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01"/>
      <c r="D27" s="350" t="s">
        <v>63</v>
      </c>
      <c r="E27" s="351"/>
      <c r="F27" s="168"/>
      <c r="G27" s="171"/>
      <c r="H27" s="171" t="s">
        <v>207</v>
      </c>
      <c r="I27" s="171"/>
      <c r="J27" s="171"/>
      <c r="K27" s="171"/>
      <c r="L27" s="84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5"/>
      <c r="C28" s="347"/>
      <c r="D28" s="352" t="s">
        <v>64</v>
      </c>
      <c r="E28" s="353"/>
      <c r="F28" s="188"/>
      <c r="G28" s="191" t="s">
        <v>207</v>
      </c>
      <c r="H28" s="191"/>
      <c r="I28" s="191"/>
      <c r="J28" s="191"/>
      <c r="K28" s="191"/>
      <c r="L28" s="90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11">
        <v>17</v>
      </c>
      <c r="B35" s="54"/>
      <c r="C35" s="35"/>
      <c r="D35" s="314" t="s">
        <v>28</v>
      </c>
      <c r="E35" s="315"/>
      <c r="F35" s="192" t="s">
        <v>207</v>
      </c>
      <c r="G35" s="195" t="s">
        <v>207</v>
      </c>
      <c r="H35" s="195"/>
      <c r="I35" s="195"/>
      <c r="J35" s="195"/>
      <c r="K35" s="195"/>
      <c r="L35" s="80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297" t="str">
        <f>Doku!B43&amp;":"</f>
        <v>Summe Fehler und Punkte:</v>
      </c>
      <c r="B36" s="298"/>
      <c r="C36" s="298"/>
      <c r="D36" s="298"/>
      <c r="E36" s="299"/>
      <c r="F36" s="290">
        <f>IF($L$37&lt;&gt;"",SUMPRODUCT(--(TRIM(F13:G35)&lt;&gt;"")),"")</f>
        <v>8</v>
      </c>
      <c r="G36" s="291">
        <f t="shared" ref="G36" si="2">IF($L$37&lt;&gt;"",COUNTIF(G13:G29,"x"))</f>
        <v>4</v>
      </c>
      <c r="H36" s="196">
        <f>IF($L$37&lt;&gt;"",SUMPRODUCT(--(TRIM(H13:H35)&lt;&gt;"")),"")</f>
        <v>4</v>
      </c>
      <c r="I36" s="196">
        <f>IF($L$37&lt;&gt;"",SUMPRODUCT(--(TRIM(I13:I35)&lt;&gt;"")),"")</f>
        <v>3</v>
      </c>
      <c r="J36" s="198">
        <f>IF($L$37&lt;&gt;"",(COUNTIFS(J13:J35,"+")-COUNTIFS(J13:J35,"-"))*0.5,"")</f>
        <v>-0.5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134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88" t="str">
        <f>Doku!B44&amp;":"</f>
        <v>Position:</v>
      </c>
      <c r="B37" s="289"/>
      <c r="C37" s="289"/>
      <c r="D37" s="289"/>
      <c r="E37" s="50"/>
      <c r="F37" s="319" t="str">
        <f>Doku!B45</f>
        <v>Übertrag ok?</v>
      </c>
      <c r="G37" s="320"/>
      <c r="H37" s="320"/>
      <c r="I37" s="320"/>
      <c r="J37" s="320"/>
      <c r="K37" s="321"/>
      <c r="L37" s="82" t="s">
        <v>233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29:K34" xr:uid="{00000000-0002-0000-0200-000000000000}">
      <formula1>1</formula1>
      <formula2>1</formula2>
    </dataValidation>
    <dataValidation type="list" allowBlank="1" showDropDown="1" showInputMessage="1" showErrorMessage="1" sqref="K13:K28 K35 F35:I35 F13:I28" xr:uid="{2F26DBD5-6A70-46BF-BC90-9F024582B1D2}">
      <formula1>$P$13</formula1>
    </dataValidation>
    <dataValidation type="list" allowBlank="1" showDropDown="1" showInputMessage="1" showErrorMessage="1" sqref="J35 J13:J28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328" t="str">
        <f>Doku!B28</f>
        <v>Meisterschaftsname</v>
      </c>
      <c r="F1" s="328"/>
      <c r="G1" s="328"/>
      <c r="H1" s="328"/>
      <c r="I1" s="328"/>
      <c r="J1" s="77"/>
      <c r="K1" s="75"/>
      <c r="L1" s="75"/>
    </row>
    <row r="2" spans="1:33" s="23" customFormat="1" ht="20.100000000000001" customHeight="1" x14ac:dyDescent="0.4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33" s="20" customFormat="1" ht="39.950000000000003" customHeight="1" x14ac:dyDescent="0.5">
      <c r="A3" s="342" t="s">
        <v>68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16"/>
      <c r="J9" s="316"/>
      <c r="K9" s="316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6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17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292" t="str">
        <f>Doku!B37</f>
        <v>Technik</v>
      </c>
      <c r="B12" s="293"/>
      <c r="C12" s="293"/>
      <c r="D12" s="293"/>
      <c r="E12" s="294"/>
      <c r="F12" s="295">
        <v>1</v>
      </c>
      <c r="G12" s="296"/>
      <c r="H12" s="68">
        <v>3</v>
      </c>
      <c r="I12" s="68">
        <v>5</v>
      </c>
      <c r="J12" s="68">
        <v>0.5</v>
      </c>
      <c r="K12" s="68">
        <v>10</v>
      </c>
      <c r="L12" s="318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66" t="s">
        <v>7</v>
      </c>
      <c r="E13" s="367"/>
      <c r="F13" s="176" t="s">
        <v>207</v>
      </c>
      <c r="G13" s="179"/>
      <c r="H13" s="179"/>
      <c r="I13" s="179"/>
      <c r="J13" s="179"/>
      <c r="K13" s="201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00" t="s">
        <v>69</v>
      </c>
      <c r="D14" s="308" t="s">
        <v>70</v>
      </c>
      <c r="E14" s="309"/>
      <c r="F14" s="164"/>
      <c r="G14" s="167" t="s">
        <v>207</v>
      </c>
      <c r="H14" s="167"/>
      <c r="I14" s="167"/>
      <c r="J14" s="167"/>
      <c r="K14" s="167"/>
      <c r="L14" s="86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01"/>
      <c r="D15" s="362" t="s">
        <v>71</v>
      </c>
      <c r="E15" s="363"/>
      <c r="F15" s="168"/>
      <c r="G15" s="171"/>
      <c r="H15" s="171" t="s">
        <v>207</v>
      </c>
      <c r="I15" s="171"/>
      <c r="J15" s="171"/>
      <c r="K15" s="205"/>
      <c r="L15" s="92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01"/>
      <c r="D16" s="304" t="s">
        <v>72</v>
      </c>
      <c r="E16" s="305"/>
      <c r="F16" s="172"/>
      <c r="G16" s="175"/>
      <c r="H16" s="175"/>
      <c r="I16" s="175" t="s">
        <v>207</v>
      </c>
      <c r="J16" s="175"/>
      <c r="K16" s="206"/>
      <c r="L16" s="93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01"/>
      <c r="D17" s="362" t="s">
        <v>73</v>
      </c>
      <c r="E17" s="363"/>
      <c r="F17" s="168"/>
      <c r="G17" s="171"/>
      <c r="H17" s="171"/>
      <c r="I17" s="171"/>
      <c r="J17" s="171" t="s">
        <v>208</v>
      </c>
      <c r="K17" s="205"/>
      <c r="L17" s="92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5"/>
      <c r="C18" s="347"/>
      <c r="D18" s="364" t="s">
        <v>74</v>
      </c>
      <c r="E18" s="365"/>
      <c r="F18" s="172"/>
      <c r="G18" s="175"/>
      <c r="H18" s="175"/>
      <c r="I18" s="175"/>
      <c r="J18" s="175" t="s">
        <v>209</v>
      </c>
      <c r="K18" s="175"/>
      <c r="L18" s="83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01" t="s">
        <v>75</v>
      </c>
      <c r="D19" s="368" t="s">
        <v>76</v>
      </c>
      <c r="E19" s="369"/>
      <c r="F19" s="199"/>
      <c r="G19" s="200"/>
      <c r="H19" s="200"/>
      <c r="I19" s="200"/>
      <c r="J19" s="200" t="s">
        <v>209</v>
      </c>
      <c r="K19" s="201"/>
      <c r="L19" s="94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01"/>
      <c r="D20" s="304" t="s">
        <v>77</v>
      </c>
      <c r="E20" s="305"/>
      <c r="F20" s="172"/>
      <c r="G20" s="175"/>
      <c r="H20" s="175"/>
      <c r="I20" s="175" t="s">
        <v>207</v>
      </c>
      <c r="J20" s="175"/>
      <c r="K20" s="183"/>
      <c r="L20" s="88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01"/>
      <c r="D21" s="362" t="s">
        <v>78</v>
      </c>
      <c r="E21" s="363"/>
      <c r="F21" s="168"/>
      <c r="G21" s="171"/>
      <c r="H21" s="171" t="s">
        <v>207</v>
      </c>
      <c r="I21" s="171"/>
      <c r="J21" s="171"/>
      <c r="K21" s="205"/>
      <c r="L21" s="92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01"/>
      <c r="D22" s="304" t="s">
        <v>79</v>
      </c>
      <c r="E22" s="305"/>
      <c r="F22" s="172"/>
      <c r="G22" s="175" t="s">
        <v>207</v>
      </c>
      <c r="H22" s="175"/>
      <c r="I22" s="175"/>
      <c r="J22" s="175"/>
      <c r="K22" s="175"/>
      <c r="L22" s="83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5"/>
      <c r="C23" s="347"/>
      <c r="D23" s="370" t="s">
        <v>80</v>
      </c>
      <c r="E23" s="371"/>
      <c r="F23" s="184" t="s">
        <v>207</v>
      </c>
      <c r="G23" s="187"/>
      <c r="H23" s="187"/>
      <c r="I23" s="187"/>
      <c r="J23" s="187"/>
      <c r="K23" s="207"/>
      <c r="L23" s="95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01" t="s">
        <v>81</v>
      </c>
      <c r="D24" s="308" t="s">
        <v>82</v>
      </c>
      <c r="E24" s="309"/>
      <c r="F24" s="164"/>
      <c r="G24" s="167" t="s">
        <v>207</v>
      </c>
      <c r="H24" s="167"/>
      <c r="I24" s="167"/>
      <c r="J24" s="167"/>
      <c r="K24" s="167"/>
      <c r="L24" s="86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01"/>
      <c r="D25" s="362" t="s">
        <v>83</v>
      </c>
      <c r="E25" s="363"/>
      <c r="F25" s="168"/>
      <c r="G25" s="171"/>
      <c r="H25" s="171" t="s">
        <v>207</v>
      </c>
      <c r="I25" s="171"/>
      <c r="J25" s="171"/>
      <c r="K25" s="205"/>
      <c r="L25" s="92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01"/>
      <c r="D26" s="304" t="s">
        <v>84</v>
      </c>
      <c r="E26" s="305"/>
      <c r="F26" s="172"/>
      <c r="G26" s="175"/>
      <c r="H26" s="175"/>
      <c r="I26" s="175" t="s">
        <v>207</v>
      </c>
      <c r="J26" s="175"/>
      <c r="K26" s="175"/>
      <c r="L26" s="83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01"/>
      <c r="D27" s="362" t="s">
        <v>85</v>
      </c>
      <c r="E27" s="363"/>
      <c r="F27" s="168"/>
      <c r="G27" s="171"/>
      <c r="H27" s="171" t="s">
        <v>207</v>
      </c>
      <c r="I27" s="171"/>
      <c r="J27" s="171"/>
      <c r="K27" s="205"/>
      <c r="L27" s="92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5"/>
      <c r="C28" s="347"/>
      <c r="D28" s="364" t="s">
        <v>86</v>
      </c>
      <c r="E28" s="365"/>
      <c r="F28" s="188"/>
      <c r="G28" s="191" t="s">
        <v>207</v>
      </c>
      <c r="H28" s="191"/>
      <c r="I28" s="191"/>
      <c r="J28" s="191"/>
      <c r="K28" s="191"/>
      <c r="L28" s="90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9">
        <v>17</v>
      </c>
      <c r="B35" s="7"/>
      <c r="C35" s="35"/>
      <c r="D35" s="372" t="s">
        <v>28</v>
      </c>
      <c r="E35" s="373"/>
      <c r="F35" s="208" t="s">
        <v>207</v>
      </c>
      <c r="G35" s="209" t="s">
        <v>207</v>
      </c>
      <c r="H35" s="210"/>
      <c r="I35" s="210"/>
      <c r="J35" s="195"/>
      <c r="K35" s="211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297" t="str">
        <f>Doku!B43&amp;":"</f>
        <v>Summe Fehler und Punkte:</v>
      </c>
      <c r="B36" s="298"/>
      <c r="C36" s="298"/>
      <c r="D36" s="298"/>
      <c r="E36" s="299"/>
      <c r="F36" s="290">
        <f>IF($L$37&lt;&gt;"",SUMPRODUCT(--(TRIM(F13:G35)&lt;&gt;"")),"")</f>
        <v>8</v>
      </c>
      <c r="G36" s="291">
        <f t="shared" ref="G36" si="2">IF($L$37&lt;&gt;"",COUNTIF(G13:G29,"x"))</f>
        <v>4</v>
      </c>
      <c r="H36" s="196">
        <f>IF($L$37&lt;&gt;"",SUMPRODUCT(--(TRIM(H13:H35)&lt;&gt;"")),"")</f>
        <v>4</v>
      </c>
      <c r="I36" s="196">
        <f>IF($L$37&lt;&gt;"",SUMPRODUCT(--(TRIM(I13:I35)&lt;&gt;"")),"")</f>
        <v>3</v>
      </c>
      <c r="J36" s="198">
        <f>IF($L$37&lt;&gt;"",(COUNTIFS(J13:J35,"+")-COUNTIFS(J13:J35,"-"))*0.5,"")</f>
        <v>-0.5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134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88" t="str">
        <f>Doku!B44&amp;":"</f>
        <v>Position:</v>
      </c>
      <c r="B37" s="289"/>
      <c r="C37" s="289"/>
      <c r="D37" s="289"/>
      <c r="E37" s="50"/>
      <c r="F37" s="319" t="str">
        <f>Doku!B45</f>
        <v>Übertrag ok?</v>
      </c>
      <c r="G37" s="320"/>
      <c r="H37" s="320"/>
      <c r="I37" s="320"/>
      <c r="J37" s="320"/>
      <c r="K37" s="321"/>
      <c r="L37" s="82" t="s">
        <v>233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A36:E36"/>
    <mergeCell ref="F36:G36"/>
    <mergeCell ref="A37:D37"/>
    <mergeCell ref="F37:K37"/>
    <mergeCell ref="D35:E35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29:K34" xr:uid="{00000000-0002-0000-0500-000000000000}">
      <formula1>1</formula1>
      <formula2>1</formula2>
    </dataValidation>
    <dataValidation type="list" allowBlank="1" showDropDown="1" showInputMessage="1" showErrorMessage="1" sqref="K13:K28 K35 F35:I35 F13:I28" xr:uid="{CB346E8F-03D7-4E95-8B12-B6A7BA86203A}">
      <formula1>$P$13</formula1>
    </dataValidation>
    <dataValidation type="list" allowBlank="1" showDropDown="1" showInputMessage="1" showErrorMessage="1" sqref="J35 J13:J28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5"/>
      <c r="B1" s="75"/>
      <c r="C1" s="75"/>
      <c r="D1" s="75"/>
      <c r="E1" s="328" t="str">
        <f>Doku!B28</f>
        <v>Meisterschaftsname</v>
      </c>
      <c r="F1" s="328"/>
      <c r="G1" s="328"/>
      <c r="H1" s="328"/>
      <c r="I1" s="328"/>
      <c r="J1" s="77"/>
      <c r="K1" s="75"/>
      <c r="L1" s="75"/>
    </row>
    <row r="2" spans="1:16" s="20" customFormat="1" ht="20.100000000000001" customHeight="1" x14ac:dyDescent="0.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16" s="20" customFormat="1" ht="39.950000000000003" customHeight="1" x14ac:dyDescent="0.5">
      <c r="A3" s="342" t="s">
        <v>87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72"/>
    </row>
    <row r="6" spans="1:16" ht="7.9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</row>
    <row r="7" spans="1:16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</row>
    <row r="9" spans="1:16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16"/>
      <c r="J9" s="316"/>
      <c r="K9" s="316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">
        <v>5</v>
      </c>
      <c r="L11" s="317" t="str">
        <f>Doku!B42</f>
        <v>Gesamt</v>
      </c>
    </row>
    <row r="12" spans="1:16" s="22" customFormat="1" ht="20.100000000000001" customHeight="1" thickTop="1" thickBot="1" x14ac:dyDescent="0.4">
      <c r="A12" s="292" t="str">
        <f>Doku!B37</f>
        <v>Technik</v>
      </c>
      <c r="B12" s="293"/>
      <c r="C12" s="293"/>
      <c r="D12" s="293"/>
      <c r="E12" s="294"/>
      <c r="F12" s="295">
        <v>1</v>
      </c>
      <c r="G12" s="296"/>
      <c r="H12" s="68">
        <v>3</v>
      </c>
      <c r="I12" s="68">
        <v>5</v>
      </c>
      <c r="J12" s="68">
        <v>0.5</v>
      </c>
      <c r="K12" s="68">
        <v>10</v>
      </c>
      <c r="L12" s="318"/>
    </row>
    <row r="13" spans="1:16" ht="21" customHeight="1" thickBot="1" x14ac:dyDescent="0.3">
      <c r="A13" s="6">
        <v>1</v>
      </c>
      <c r="B13" s="374"/>
      <c r="C13" s="375"/>
      <c r="D13" s="366" t="s">
        <v>7</v>
      </c>
      <c r="E13" s="367"/>
      <c r="F13" s="215" t="s">
        <v>207</v>
      </c>
      <c r="G13" s="216"/>
      <c r="H13" s="217"/>
      <c r="I13" s="217"/>
      <c r="J13" s="217"/>
      <c r="K13" s="218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</row>
    <row r="14" spans="1:16" ht="21" customHeight="1" x14ac:dyDescent="0.25">
      <c r="A14" s="7">
        <v>2</v>
      </c>
      <c r="B14" s="376" t="s">
        <v>88</v>
      </c>
      <c r="C14" s="381" t="s">
        <v>89</v>
      </c>
      <c r="D14" s="394" t="s">
        <v>90</v>
      </c>
      <c r="E14" s="313"/>
      <c r="F14" s="219"/>
      <c r="G14" s="220" t="s">
        <v>207</v>
      </c>
      <c r="H14" s="221"/>
      <c r="I14" s="221"/>
      <c r="J14" s="221"/>
      <c r="K14" s="167"/>
      <c r="L14" s="86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</row>
    <row r="15" spans="1:16" ht="21" customHeight="1" x14ac:dyDescent="0.25">
      <c r="A15" s="8">
        <v>3</v>
      </c>
      <c r="B15" s="377"/>
      <c r="C15" s="382"/>
      <c r="D15" s="386" t="s">
        <v>91</v>
      </c>
      <c r="E15" s="363"/>
      <c r="F15" s="202"/>
      <c r="G15" s="203"/>
      <c r="H15" s="204" t="s">
        <v>207</v>
      </c>
      <c r="I15" s="204"/>
      <c r="J15" s="204"/>
      <c r="K15" s="205"/>
      <c r="L15" s="222">
        <f t="shared" si="0"/>
        <v>7</v>
      </c>
      <c r="N15" s="25" t="s">
        <v>211</v>
      </c>
      <c r="O15" s="25"/>
      <c r="P15" s="25" t="s">
        <v>209</v>
      </c>
    </row>
    <row r="16" spans="1:16" ht="21" customHeight="1" x14ac:dyDescent="0.25">
      <c r="A16" s="37">
        <v>4</v>
      </c>
      <c r="B16" s="377"/>
      <c r="C16" s="382"/>
      <c r="D16" s="387" t="s">
        <v>92</v>
      </c>
      <c r="E16" s="305"/>
      <c r="F16" s="180"/>
      <c r="G16" s="181"/>
      <c r="H16" s="182"/>
      <c r="I16" s="182" t="s">
        <v>207</v>
      </c>
      <c r="J16" s="182"/>
      <c r="K16" s="183"/>
      <c r="L16" s="223">
        <f t="shared" si="0"/>
        <v>5</v>
      </c>
    </row>
    <row r="17" spans="1:12" ht="21" customHeight="1" x14ac:dyDescent="0.25">
      <c r="A17" s="8">
        <v>5</v>
      </c>
      <c r="B17" s="377"/>
      <c r="C17" s="382"/>
      <c r="D17" s="386" t="s">
        <v>93</v>
      </c>
      <c r="E17" s="363"/>
      <c r="F17" s="202"/>
      <c r="G17" s="203"/>
      <c r="H17" s="204"/>
      <c r="I17" s="204"/>
      <c r="J17" s="204" t="s">
        <v>208</v>
      </c>
      <c r="K17" s="205"/>
      <c r="L17" s="222">
        <f t="shared" si="0"/>
        <v>10</v>
      </c>
    </row>
    <row r="18" spans="1:12" ht="21" customHeight="1" thickBot="1" x14ac:dyDescent="0.3">
      <c r="A18" s="8">
        <v>6</v>
      </c>
      <c r="B18" s="377"/>
      <c r="C18" s="382"/>
      <c r="D18" s="380" t="s">
        <v>94</v>
      </c>
      <c r="E18" s="365"/>
      <c r="F18" s="188"/>
      <c r="G18" s="189"/>
      <c r="H18" s="190"/>
      <c r="I18" s="190"/>
      <c r="J18" s="190" t="s">
        <v>209</v>
      </c>
      <c r="K18" s="191"/>
      <c r="L18" s="224">
        <f t="shared" si="0"/>
        <v>9.5</v>
      </c>
    </row>
    <row r="19" spans="1:12" ht="21" customHeight="1" x14ac:dyDescent="0.25">
      <c r="A19" s="37">
        <v>7</v>
      </c>
      <c r="B19" s="377"/>
      <c r="C19" s="381" t="s">
        <v>95</v>
      </c>
      <c r="D19" s="384" t="s">
        <v>96</v>
      </c>
      <c r="E19" s="385"/>
      <c r="F19" s="225"/>
      <c r="G19" s="226"/>
      <c r="H19" s="227"/>
      <c r="I19" s="227"/>
      <c r="J19" s="227" t="s">
        <v>209</v>
      </c>
      <c r="K19" s="228"/>
      <c r="L19" s="229">
        <f t="shared" si="0"/>
        <v>9.5</v>
      </c>
    </row>
    <row r="20" spans="1:12" ht="21" customHeight="1" x14ac:dyDescent="0.25">
      <c r="A20" s="37">
        <v>8</v>
      </c>
      <c r="B20" s="377"/>
      <c r="C20" s="382"/>
      <c r="D20" s="387" t="s">
        <v>97</v>
      </c>
      <c r="E20" s="305"/>
      <c r="F20" s="180"/>
      <c r="G20" s="181"/>
      <c r="H20" s="182"/>
      <c r="I20" s="182" t="s">
        <v>207</v>
      </c>
      <c r="J20" s="182"/>
      <c r="K20" s="183"/>
      <c r="L20" s="223">
        <f t="shared" si="0"/>
        <v>5</v>
      </c>
    </row>
    <row r="21" spans="1:12" ht="21" customHeight="1" thickBot="1" x14ac:dyDescent="0.3">
      <c r="A21" s="9">
        <v>9</v>
      </c>
      <c r="B21" s="378"/>
      <c r="C21" s="383"/>
      <c r="D21" s="379" t="s">
        <v>98</v>
      </c>
      <c r="E21" s="371"/>
      <c r="F21" s="230"/>
      <c r="G21" s="231"/>
      <c r="H21" s="232" t="s">
        <v>207</v>
      </c>
      <c r="I21" s="232"/>
      <c r="J21" s="232"/>
      <c r="K21" s="233"/>
      <c r="L21" s="234">
        <f t="shared" si="0"/>
        <v>7</v>
      </c>
    </row>
    <row r="22" spans="1:12" ht="21" customHeight="1" x14ac:dyDescent="0.25">
      <c r="A22" s="38">
        <v>10</v>
      </c>
      <c r="B22" s="376" t="s">
        <v>99</v>
      </c>
      <c r="C22" s="381" t="s">
        <v>89</v>
      </c>
      <c r="D22" s="384" t="s">
        <v>90</v>
      </c>
      <c r="E22" s="385"/>
      <c r="F22" s="225"/>
      <c r="G22" s="226" t="s">
        <v>207</v>
      </c>
      <c r="H22" s="227"/>
      <c r="I22" s="227"/>
      <c r="J22" s="227"/>
      <c r="K22" s="228"/>
      <c r="L22" s="229">
        <f t="shared" si="0"/>
        <v>9</v>
      </c>
    </row>
    <row r="23" spans="1:12" ht="21" customHeight="1" x14ac:dyDescent="0.25">
      <c r="A23" s="37">
        <v>11</v>
      </c>
      <c r="B23" s="377"/>
      <c r="C23" s="382"/>
      <c r="D23" s="387" t="s">
        <v>100</v>
      </c>
      <c r="E23" s="305"/>
      <c r="F23" s="180" t="s">
        <v>207</v>
      </c>
      <c r="G23" s="181"/>
      <c r="H23" s="182"/>
      <c r="I23" s="182"/>
      <c r="J23" s="182"/>
      <c r="K23" s="183"/>
      <c r="L23" s="223">
        <f t="shared" si="0"/>
        <v>9</v>
      </c>
    </row>
    <row r="24" spans="1:12" ht="21" customHeight="1" x14ac:dyDescent="0.25">
      <c r="A24" s="37">
        <v>12</v>
      </c>
      <c r="B24" s="377"/>
      <c r="C24" s="382"/>
      <c r="D24" s="386" t="s">
        <v>91</v>
      </c>
      <c r="E24" s="363"/>
      <c r="F24" s="202"/>
      <c r="G24" s="203" t="s">
        <v>207</v>
      </c>
      <c r="H24" s="204"/>
      <c r="I24" s="204"/>
      <c r="J24" s="204"/>
      <c r="K24" s="205"/>
      <c r="L24" s="222">
        <f t="shared" si="0"/>
        <v>9</v>
      </c>
    </row>
    <row r="25" spans="1:12" ht="21" customHeight="1" x14ac:dyDescent="0.25">
      <c r="A25" s="37">
        <v>13</v>
      </c>
      <c r="B25" s="377"/>
      <c r="C25" s="382"/>
      <c r="D25" s="387" t="s">
        <v>84</v>
      </c>
      <c r="E25" s="305"/>
      <c r="F25" s="180"/>
      <c r="G25" s="181"/>
      <c r="H25" s="182" t="s">
        <v>207</v>
      </c>
      <c r="I25" s="182"/>
      <c r="J25" s="182"/>
      <c r="K25" s="183"/>
      <c r="L25" s="223">
        <f t="shared" si="0"/>
        <v>7</v>
      </c>
    </row>
    <row r="26" spans="1:12" ht="21" customHeight="1" x14ac:dyDescent="0.25">
      <c r="A26" s="37">
        <v>14</v>
      </c>
      <c r="B26" s="377"/>
      <c r="C26" s="382"/>
      <c r="D26" s="386" t="s">
        <v>92</v>
      </c>
      <c r="E26" s="363"/>
      <c r="F26" s="202"/>
      <c r="G26" s="203"/>
      <c r="H26" s="204"/>
      <c r="I26" s="204" t="s">
        <v>207</v>
      </c>
      <c r="J26" s="204"/>
      <c r="K26" s="205"/>
      <c r="L26" s="222">
        <f t="shared" si="0"/>
        <v>5</v>
      </c>
    </row>
    <row r="27" spans="1:12" ht="21" customHeight="1" x14ac:dyDescent="0.25">
      <c r="A27" s="37">
        <v>15</v>
      </c>
      <c r="B27" s="377"/>
      <c r="C27" s="382"/>
      <c r="D27" s="387" t="s">
        <v>93</v>
      </c>
      <c r="E27" s="305"/>
      <c r="F27" s="180"/>
      <c r="G27" s="181"/>
      <c r="H27" s="182" t="s">
        <v>207</v>
      </c>
      <c r="I27" s="182"/>
      <c r="J27" s="182"/>
      <c r="K27" s="183"/>
      <c r="L27" s="223">
        <f t="shared" si="0"/>
        <v>7</v>
      </c>
    </row>
    <row r="28" spans="1:12" ht="21" customHeight="1" x14ac:dyDescent="0.25">
      <c r="A28" s="37">
        <v>16</v>
      </c>
      <c r="B28" s="377"/>
      <c r="C28" s="382"/>
      <c r="D28" s="386" t="s">
        <v>101</v>
      </c>
      <c r="E28" s="363"/>
      <c r="F28" s="202"/>
      <c r="G28" s="203" t="s">
        <v>207</v>
      </c>
      <c r="H28" s="204"/>
      <c r="I28" s="204"/>
      <c r="J28" s="204"/>
      <c r="K28" s="205"/>
      <c r="L28" s="222">
        <f t="shared" si="0"/>
        <v>9</v>
      </c>
    </row>
    <row r="29" spans="1:12" ht="21" customHeight="1" thickBot="1" x14ac:dyDescent="0.3">
      <c r="A29" s="37">
        <v>17</v>
      </c>
      <c r="B29" s="377"/>
      <c r="C29" s="383"/>
      <c r="D29" s="380" t="s">
        <v>94</v>
      </c>
      <c r="E29" s="365"/>
      <c r="F29" s="188" t="s">
        <v>207</v>
      </c>
      <c r="G29" s="189" t="s">
        <v>207</v>
      </c>
      <c r="H29" s="190"/>
      <c r="I29" s="190"/>
      <c r="J29" s="190"/>
      <c r="K29" s="191"/>
      <c r="L29" s="224">
        <f t="shared" si="0"/>
        <v>8</v>
      </c>
    </row>
    <row r="30" spans="1:12" ht="21" customHeight="1" x14ac:dyDescent="0.25">
      <c r="A30" s="37">
        <v>18</v>
      </c>
      <c r="B30" s="377"/>
      <c r="C30" s="381" t="s">
        <v>95</v>
      </c>
      <c r="D30" s="388" t="s">
        <v>96</v>
      </c>
      <c r="E30" s="389"/>
      <c r="F30" s="235" t="s">
        <v>207</v>
      </c>
      <c r="G30" s="236" t="s">
        <v>207</v>
      </c>
      <c r="H30" s="237" t="s">
        <v>207</v>
      </c>
      <c r="I30" s="237"/>
      <c r="J30" s="237"/>
      <c r="K30" s="238"/>
      <c r="L30" s="239">
        <f t="shared" si="0"/>
        <v>5</v>
      </c>
    </row>
    <row r="31" spans="1:12" ht="21" customHeight="1" thickBot="1" x14ac:dyDescent="0.3">
      <c r="A31" s="37">
        <v>19</v>
      </c>
      <c r="B31" s="377"/>
      <c r="C31" s="383"/>
      <c r="D31" s="380" t="s">
        <v>97</v>
      </c>
      <c r="E31" s="365"/>
      <c r="F31" s="188" t="s">
        <v>207</v>
      </c>
      <c r="G31" s="189" t="s">
        <v>207</v>
      </c>
      <c r="H31" s="190" t="s">
        <v>207</v>
      </c>
      <c r="I31" s="190" t="s">
        <v>207</v>
      </c>
      <c r="J31" s="190"/>
      <c r="K31" s="191"/>
      <c r="L31" s="224">
        <f t="shared" si="0"/>
        <v>1</v>
      </c>
    </row>
    <row r="32" spans="1:12" ht="21" customHeight="1" x14ac:dyDescent="0.25">
      <c r="A32" s="37">
        <v>20</v>
      </c>
      <c r="B32" s="377"/>
      <c r="C32" s="382" t="s">
        <v>102</v>
      </c>
      <c r="D32" s="388" t="s">
        <v>103</v>
      </c>
      <c r="E32" s="389"/>
      <c r="F32" s="235" t="s">
        <v>207</v>
      </c>
      <c r="G32" s="236" t="s">
        <v>207</v>
      </c>
      <c r="H32" s="237" t="s">
        <v>207</v>
      </c>
      <c r="I32" s="237" t="s">
        <v>207</v>
      </c>
      <c r="J32" s="237" t="s">
        <v>209</v>
      </c>
      <c r="K32" s="238"/>
      <c r="L32" s="239">
        <f t="shared" si="0"/>
        <v>1</v>
      </c>
    </row>
    <row r="33" spans="1:12" ht="21" customHeight="1" thickBot="1" x14ac:dyDescent="0.3">
      <c r="A33" s="9">
        <v>21</v>
      </c>
      <c r="B33" s="378"/>
      <c r="C33" s="383"/>
      <c r="D33" s="380" t="s">
        <v>76</v>
      </c>
      <c r="E33" s="365"/>
      <c r="F33" s="188"/>
      <c r="G33" s="189" t="s">
        <v>207</v>
      </c>
      <c r="H33" s="190"/>
      <c r="I33" s="190"/>
      <c r="J33" s="190"/>
      <c r="K33" s="191"/>
      <c r="L33" s="224">
        <f t="shared" si="0"/>
        <v>9</v>
      </c>
    </row>
    <row r="34" spans="1:12" ht="21" hidden="1" customHeight="1" thickBot="1" x14ac:dyDescent="0.3"/>
    <row r="35" spans="1:12" ht="21" customHeight="1" thickBot="1" x14ac:dyDescent="0.3">
      <c r="A35" s="43">
        <v>22</v>
      </c>
      <c r="B35" s="390"/>
      <c r="C35" s="391"/>
      <c r="D35" s="392" t="s">
        <v>28</v>
      </c>
      <c r="E35" s="393"/>
      <c r="F35" s="212"/>
      <c r="G35" s="213"/>
      <c r="H35" s="214"/>
      <c r="I35" s="214"/>
      <c r="J35" s="214"/>
      <c r="K35" s="240" t="s">
        <v>207</v>
      </c>
      <c r="L35" s="241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0</v>
      </c>
    </row>
    <row r="36" spans="1:12" ht="21.95" customHeight="1" thickTop="1" thickBot="1" x14ac:dyDescent="0.3">
      <c r="A36" s="297" t="str">
        <f>Doku!B43&amp;":"</f>
        <v>Summe Fehler und Punkte:</v>
      </c>
      <c r="B36" s="298"/>
      <c r="C36" s="298"/>
      <c r="D36" s="298"/>
      <c r="E36" s="299"/>
      <c r="F36" s="290">
        <f>IF($L$37&lt;&gt;"",SUMPRODUCT(--(TRIM(F13:G35)&lt;&gt;"")),"")</f>
        <v>15</v>
      </c>
      <c r="G36" s="291">
        <f t="shared" ref="G36" si="2">IF($L$37&lt;&gt;"",COUNTIF(G13:G29,"x"))</f>
        <v>5</v>
      </c>
      <c r="H36" s="196">
        <f>IF($L$37&lt;&gt;"",SUMPRODUCT(--(TRIM(H13:H35)&lt;&gt;"")),"")</f>
        <v>7</v>
      </c>
      <c r="I36" s="196">
        <f>IF($L$37&lt;&gt;"",SUMPRODUCT(--(TRIM(I13:I35)&lt;&gt;"")),"")</f>
        <v>5</v>
      </c>
      <c r="J36" s="198">
        <f>IF($L$37&lt;&gt;"",(COUNTIFS(J13:J35,"+")-COUNTIFS(J13:J35,"-"))*0.5,"")</f>
        <v>-1</v>
      </c>
      <c r="K36" s="197">
        <f>IF($L$37&lt;&gt;"",SUMPRODUCT(--(TRIM(K13:K35)&lt;&gt;"")),"")</f>
        <v>1</v>
      </c>
      <c r="L36" s="79">
        <f>IF(L37&lt;&gt;"",IF(K36&lt;1,SUM(L13:L35),IF(K36&gt;=1,ROUNDUP(SUM(L13:L35)/2,0),"")),"")</f>
        <v>75</v>
      </c>
    </row>
    <row r="37" spans="1:12" ht="20.100000000000001" customHeight="1" thickTop="1" thickBot="1" x14ac:dyDescent="0.3">
      <c r="A37" s="288" t="str">
        <f>Doku!B44&amp;":"</f>
        <v>Position:</v>
      </c>
      <c r="B37" s="289"/>
      <c r="C37" s="289"/>
      <c r="D37" s="289"/>
      <c r="E37" s="50"/>
      <c r="F37" s="319" t="str">
        <f>Doku!B45</f>
        <v>Übertrag ok?</v>
      </c>
      <c r="G37" s="320"/>
      <c r="H37" s="320"/>
      <c r="I37" s="320"/>
      <c r="J37" s="320"/>
      <c r="K37" s="321"/>
      <c r="L37" s="44" t="s">
        <v>233</v>
      </c>
    </row>
    <row r="38" spans="1:12" ht="15.75" thickTop="1" x14ac:dyDescent="0.25"/>
  </sheetData>
  <mergeCells count="55">
    <mergeCell ref="I8:K8"/>
    <mergeCell ref="B35:C35"/>
    <mergeCell ref="D35:E35"/>
    <mergeCell ref="F37:K37"/>
    <mergeCell ref="D29:E29"/>
    <mergeCell ref="A37:D37"/>
    <mergeCell ref="D33:E33"/>
    <mergeCell ref="A36:E36"/>
    <mergeCell ref="F36:G36"/>
    <mergeCell ref="D32:E32"/>
    <mergeCell ref="D14:E14"/>
    <mergeCell ref="D15:E15"/>
    <mergeCell ref="D16:E16"/>
    <mergeCell ref="D17:E17"/>
    <mergeCell ref="D20:E20"/>
    <mergeCell ref="D31:E31"/>
    <mergeCell ref="E1:I1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9:E9"/>
    <mergeCell ref="F9:H9"/>
    <mergeCell ref="A2:L2"/>
    <mergeCell ref="A3:L3"/>
    <mergeCell ref="A5:D5"/>
    <mergeCell ref="H6:K6"/>
    <mergeCell ref="L11:L12"/>
    <mergeCell ref="A12:E12"/>
    <mergeCell ref="F12:G12"/>
    <mergeCell ref="H5:I5"/>
    <mergeCell ref="J5:K5"/>
    <mergeCell ref="I9:K9"/>
    <mergeCell ref="F11:G11"/>
    <mergeCell ref="D7:E7"/>
    <mergeCell ref="F7:H7"/>
    <mergeCell ref="I7:K7"/>
    <mergeCell ref="D8:E8"/>
    <mergeCell ref="F8:H8"/>
    <mergeCell ref="B13:C13"/>
    <mergeCell ref="D13:E13"/>
    <mergeCell ref="B14:B21"/>
    <mergeCell ref="D21:E21"/>
    <mergeCell ref="D18:E18"/>
    <mergeCell ref="C19:C21"/>
    <mergeCell ref="D19:E19"/>
  </mergeCells>
  <dataValidations count="2">
    <dataValidation type="list" allowBlank="1" showDropDown="1" showInputMessage="1" showErrorMessage="1" sqref="K13:K35 F13:I35" xr:uid="{7ECE2E3E-F251-4EF4-90EE-175AF3D86AA4}">
      <formula1>$P$13</formula1>
    </dataValidation>
    <dataValidation type="list" allowBlank="1" showDropDown="1" showInputMessage="1" showErrorMessage="1" sqref="J13:J35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5"/>
      <c r="B1" s="75"/>
      <c r="C1" s="75"/>
      <c r="D1" s="75"/>
      <c r="E1" s="328" t="str">
        <f>Doku!B28</f>
        <v>Meisterschaftsname</v>
      </c>
      <c r="F1" s="328"/>
      <c r="G1" s="328"/>
      <c r="H1" s="328"/>
      <c r="I1" s="328"/>
      <c r="J1" s="77"/>
      <c r="K1" s="75"/>
      <c r="L1" s="75"/>
    </row>
    <row r="2" spans="1:16" s="20" customFormat="1" ht="20.100000000000001" customHeight="1" x14ac:dyDescent="0.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16" s="20" customFormat="1" ht="39.950000000000003" customHeight="1" x14ac:dyDescent="0.5">
      <c r="A3" s="398" t="s">
        <v>104</v>
      </c>
      <c r="B3" s="398"/>
      <c r="C3" s="398"/>
      <c r="D3" s="398"/>
      <c r="E3" s="398"/>
      <c r="F3" s="398"/>
      <c r="G3" s="398"/>
      <c r="H3" s="398"/>
      <c r="I3" s="398"/>
      <c r="J3" s="398"/>
      <c r="K3" s="398"/>
      <c r="L3" s="398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108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</row>
    <row r="7" spans="1:16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</row>
    <row r="9" spans="1:16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16"/>
      <c r="J9" s="316"/>
      <c r="K9" s="316"/>
      <c r="L9" s="19"/>
    </row>
    <row r="10" spans="1:16" ht="11.1" customHeight="1" thickBot="1" x14ac:dyDescent="0.3">
      <c r="A10" s="1"/>
      <c r="B10" s="1"/>
      <c r="C10" s="2"/>
      <c r="D10" s="2"/>
      <c r="E10" s="42"/>
      <c r="F10" s="4"/>
      <c r="G10" s="4"/>
      <c r="H10" s="4"/>
      <c r="I10" s="4"/>
      <c r="J10" s="4"/>
      <c r="K10" s="4"/>
      <c r="L10" s="46"/>
    </row>
    <row r="11" spans="1:16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17" t="str">
        <f>Doku!B42</f>
        <v>Gesamt</v>
      </c>
    </row>
    <row r="12" spans="1:16" s="22" customFormat="1" ht="20.100000000000001" customHeight="1" thickTop="1" thickBot="1" x14ac:dyDescent="0.4">
      <c r="A12" s="292" t="str">
        <f>Doku!B37</f>
        <v>Technik</v>
      </c>
      <c r="B12" s="293"/>
      <c r="C12" s="293"/>
      <c r="D12" s="293"/>
      <c r="E12" s="294"/>
      <c r="F12" s="295">
        <v>1</v>
      </c>
      <c r="G12" s="296"/>
      <c r="H12" s="68">
        <v>3</v>
      </c>
      <c r="I12" s="68">
        <v>5</v>
      </c>
      <c r="J12" s="68">
        <v>0.5</v>
      </c>
      <c r="K12" s="68">
        <v>10</v>
      </c>
      <c r="L12" s="318"/>
    </row>
    <row r="13" spans="1:16" ht="19.899999999999999" customHeight="1" thickBot="1" x14ac:dyDescent="0.3">
      <c r="A13" s="6">
        <v>1</v>
      </c>
      <c r="B13" s="6"/>
      <c r="C13" s="47"/>
      <c r="D13" s="366" t="s">
        <v>7</v>
      </c>
      <c r="E13" s="367"/>
      <c r="F13" s="242" t="s">
        <v>207</v>
      </c>
      <c r="G13" s="243"/>
      <c r="H13" s="244"/>
      <c r="I13" s="244"/>
      <c r="J13" s="244"/>
      <c r="K13" s="245"/>
      <c r="L13" s="97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7">
        <v>2</v>
      </c>
      <c r="B14" s="7"/>
      <c r="C14" s="376" t="s">
        <v>105</v>
      </c>
      <c r="D14" s="394" t="s">
        <v>90</v>
      </c>
      <c r="E14" s="313"/>
      <c r="F14" s="246"/>
      <c r="G14" s="247" t="s">
        <v>207</v>
      </c>
      <c r="H14" s="248"/>
      <c r="I14" s="248"/>
      <c r="J14" s="248"/>
      <c r="K14" s="249"/>
      <c r="L14" s="98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8">
        <v>3</v>
      </c>
      <c r="B15" s="7"/>
      <c r="C15" s="377"/>
      <c r="D15" s="386" t="s">
        <v>106</v>
      </c>
      <c r="E15" s="363"/>
      <c r="F15" s="250"/>
      <c r="G15" s="251"/>
      <c r="H15" s="252" t="s">
        <v>207</v>
      </c>
      <c r="I15" s="252"/>
      <c r="J15" s="252"/>
      <c r="K15" s="253"/>
      <c r="L15" s="99">
        <f t="shared" si="0"/>
        <v>7</v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377"/>
      <c r="D16" s="387" t="s">
        <v>107</v>
      </c>
      <c r="E16" s="305"/>
      <c r="F16" s="254"/>
      <c r="G16" s="255"/>
      <c r="H16" s="256"/>
      <c r="I16" s="256" t="s">
        <v>207</v>
      </c>
      <c r="J16" s="256"/>
      <c r="K16" s="257"/>
      <c r="L16" s="100">
        <f t="shared" si="0"/>
        <v>5</v>
      </c>
    </row>
    <row r="17" spans="1:12" ht="19.899999999999999" customHeight="1" x14ac:dyDescent="0.25">
      <c r="A17" s="8">
        <v>5</v>
      </c>
      <c r="B17" s="7"/>
      <c r="C17" s="377"/>
      <c r="D17" s="386" t="s">
        <v>108</v>
      </c>
      <c r="E17" s="363"/>
      <c r="F17" s="250"/>
      <c r="G17" s="251"/>
      <c r="H17" s="252"/>
      <c r="I17" s="252"/>
      <c r="J17" s="252" t="s">
        <v>208</v>
      </c>
      <c r="K17" s="253"/>
      <c r="L17" s="99">
        <f t="shared" si="0"/>
        <v>10</v>
      </c>
    </row>
    <row r="18" spans="1:12" ht="19.899999999999999" customHeight="1" x14ac:dyDescent="0.25">
      <c r="A18" s="8">
        <v>6</v>
      </c>
      <c r="B18" s="7"/>
      <c r="C18" s="377"/>
      <c r="D18" s="387" t="s">
        <v>109</v>
      </c>
      <c r="E18" s="305"/>
      <c r="F18" s="254"/>
      <c r="G18" s="255"/>
      <c r="H18" s="256"/>
      <c r="I18" s="256"/>
      <c r="J18" s="256" t="s">
        <v>209</v>
      </c>
      <c r="K18" s="257"/>
      <c r="L18" s="100">
        <f t="shared" si="0"/>
        <v>9.5</v>
      </c>
    </row>
    <row r="19" spans="1:12" ht="19.899999999999999" customHeight="1" x14ac:dyDescent="0.25">
      <c r="A19" s="8">
        <v>7</v>
      </c>
      <c r="B19" s="7"/>
      <c r="C19" s="377"/>
      <c r="D19" s="386" t="s">
        <v>110</v>
      </c>
      <c r="E19" s="363"/>
      <c r="F19" s="250"/>
      <c r="G19" s="251"/>
      <c r="H19" s="252"/>
      <c r="I19" s="252"/>
      <c r="J19" s="252" t="s">
        <v>209</v>
      </c>
      <c r="K19" s="253"/>
      <c r="L19" s="99">
        <f t="shared" si="0"/>
        <v>9.5</v>
      </c>
    </row>
    <row r="20" spans="1:12" ht="19.899999999999999" customHeight="1" thickBot="1" x14ac:dyDescent="0.3">
      <c r="A20" s="8">
        <v>8</v>
      </c>
      <c r="B20" s="7"/>
      <c r="C20" s="377"/>
      <c r="D20" s="394" t="s">
        <v>111</v>
      </c>
      <c r="E20" s="313"/>
      <c r="F20" s="246"/>
      <c r="G20" s="247"/>
      <c r="H20" s="248"/>
      <c r="I20" s="248" t="s">
        <v>207</v>
      </c>
      <c r="J20" s="248"/>
      <c r="K20" s="249"/>
      <c r="L20" s="98">
        <f t="shared" si="0"/>
        <v>5</v>
      </c>
    </row>
    <row r="21" spans="1:12" ht="19.899999999999999" customHeight="1" x14ac:dyDescent="0.25">
      <c r="A21" s="48">
        <v>9</v>
      </c>
      <c r="B21" s="48"/>
      <c r="C21" s="376" t="s">
        <v>112</v>
      </c>
      <c r="D21" s="397" t="s">
        <v>78</v>
      </c>
      <c r="E21" s="369"/>
      <c r="F21" s="258"/>
      <c r="G21" s="259"/>
      <c r="H21" s="260" t="s">
        <v>207</v>
      </c>
      <c r="I21" s="260"/>
      <c r="J21" s="260"/>
      <c r="K21" s="261"/>
      <c r="L21" s="101">
        <f t="shared" si="0"/>
        <v>7</v>
      </c>
    </row>
    <row r="22" spans="1:12" ht="19.899999999999999" customHeight="1" x14ac:dyDescent="0.25">
      <c r="A22" s="8">
        <v>10</v>
      </c>
      <c r="B22" s="7"/>
      <c r="C22" s="377"/>
      <c r="D22" s="387" t="s">
        <v>113</v>
      </c>
      <c r="E22" s="305"/>
      <c r="F22" s="254"/>
      <c r="G22" s="255" t="s">
        <v>207</v>
      </c>
      <c r="H22" s="256"/>
      <c r="I22" s="256"/>
      <c r="J22" s="256"/>
      <c r="K22" s="257"/>
      <c r="L22" s="100">
        <f t="shared" si="0"/>
        <v>9</v>
      </c>
    </row>
    <row r="23" spans="1:12" ht="19.899999999999999" customHeight="1" x14ac:dyDescent="0.25">
      <c r="A23" s="8">
        <v>11</v>
      </c>
      <c r="B23" s="7"/>
      <c r="C23" s="377"/>
      <c r="D23" s="386" t="s">
        <v>114</v>
      </c>
      <c r="E23" s="363"/>
      <c r="F23" s="250" t="s">
        <v>207</v>
      </c>
      <c r="G23" s="251"/>
      <c r="H23" s="252"/>
      <c r="I23" s="252"/>
      <c r="J23" s="252"/>
      <c r="K23" s="253"/>
      <c r="L23" s="99">
        <f t="shared" si="0"/>
        <v>9</v>
      </c>
    </row>
    <row r="24" spans="1:12" ht="19.899999999999999" customHeight="1" x14ac:dyDescent="0.25">
      <c r="A24" s="37">
        <v>12</v>
      </c>
      <c r="B24" s="43"/>
      <c r="C24" s="377"/>
      <c r="D24" s="387" t="s">
        <v>115</v>
      </c>
      <c r="E24" s="305"/>
      <c r="F24" s="254"/>
      <c r="G24" s="255" t="s">
        <v>207</v>
      </c>
      <c r="H24" s="256"/>
      <c r="I24" s="256"/>
      <c r="J24" s="256"/>
      <c r="K24" s="257"/>
      <c r="L24" s="100">
        <f t="shared" si="0"/>
        <v>9</v>
      </c>
    </row>
    <row r="25" spans="1:12" ht="19.899999999999999" customHeight="1" thickBot="1" x14ac:dyDescent="0.3">
      <c r="A25" s="9">
        <v>13</v>
      </c>
      <c r="B25" s="56"/>
      <c r="C25" s="378"/>
      <c r="D25" s="379" t="s">
        <v>116</v>
      </c>
      <c r="E25" s="371"/>
      <c r="F25" s="262"/>
      <c r="G25" s="263"/>
      <c r="H25" s="264" t="s">
        <v>207</v>
      </c>
      <c r="I25" s="264"/>
      <c r="J25" s="264"/>
      <c r="K25" s="265"/>
      <c r="L25" s="102">
        <f t="shared" si="0"/>
        <v>7</v>
      </c>
    </row>
    <row r="26" spans="1:12" ht="19.899999999999999" customHeight="1" x14ac:dyDescent="0.25">
      <c r="A26" s="38">
        <v>14</v>
      </c>
      <c r="B26" s="43"/>
      <c r="C26" s="377" t="s">
        <v>95</v>
      </c>
      <c r="D26" s="384" t="s">
        <v>91</v>
      </c>
      <c r="E26" s="385"/>
      <c r="F26" s="266"/>
      <c r="G26" s="267"/>
      <c r="H26" s="268"/>
      <c r="I26" s="268" t="s">
        <v>207</v>
      </c>
      <c r="J26" s="268"/>
      <c r="K26" s="269"/>
      <c r="L26" s="103">
        <f t="shared" si="0"/>
        <v>5</v>
      </c>
    </row>
    <row r="27" spans="1:12" ht="19.899999999999999" customHeight="1" x14ac:dyDescent="0.25">
      <c r="A27" s="37">
        <v>15</v>
      </c>
      <c r="B27" s="43"/>
      <c r="C27" s="377"/>
      <c r="D27" s="387" t="s">
        <v>117</v>
      </c>
      <c r="E27" s="305"/>
      <c r="F27" s="254"/>
      <c r="G27" s="255"/>
      <c r="H27" s="256" t="s">
        <v>207</v>
      </c>
      <c r="I27" s="256"/>
      <c r="J27" s="256"/>
      <c r="K27" s="257"/>
      <c r="L27" s="100">
        <f t="shared" si="0"/>
        <v>7</v>
      </c>
    </row>
    <row r="28" spans="1:12" ht="19.899999999999999" customHeight="1" thickBot="1" x14ac:dyDescent="0.3">
      <c r="A28" s="9">
        <v>16</v>
      </c>
      <c r="B28" s="56"/>
      <c r="C28" s="378"/>
      <c r="D28" s="379" t="s">
        <v>118</v>
      </c>
      <c r="E28" s="371"/>
      <c r="F28" s="262"/>
      <c r="G28" s="263" t="s">
        <v>207</v>
      </c>
      <c r="H28" s="264"/>
      <c r="I28" s="264"/>
      <c r="J28" s="264"/>
      <c r="K28" s="265"/>
      <c r="L28" s="102">
        <f t="shared" si="0"/>
        <v>9</v>
      </c>
    </row>
    <row r="29" spans="1:12" ht="19.899999999999999" customHeight="1" x14ac:dyDescent="0.25">
      <c r="A29" s="38">
        <v>17</v>
      </c>
      <c r="B29" s="43"/>
      <c r="C29" s="377" t="s">
        <v>119</v>
      </c>
      <c r="D29" s="384" t="s">
        <v>120</v>
      </c>
      <c r="E29" s="385"/>
      <c r="F29" s="266" t="s">
        <v>207</v>
      </c>
      <c r="G29" s="267" t="s">
        <v>207</v>
      </c>
      <c r="H29" s="268"/>
      <c r="I29" s="268"/>
      <c r="J29" s="268"/>
      <c r="K29" s="269"/>
      <c r="L29" s="103">
        <f t="shared" si="0"/>
        <v>8</v>
      </c>
    </row>
    <row r="30" spans="1:12" ht="19.899999999999999" customHeight="1" x14ac:dyDescent="0.25">
      <c r="A30" s="37">
        <v>18</v>
      </c>
      <c r="B30" s="43"/>
      <c r="C30" s="377"/>
      <c r="D30" s="387" t="s">
        <v>121</v>
      </c>
      <c r="E30" s="305"/>
      <c r="F30" s="254" t="s">
        <v>207</v>
      </c>
      <c r="G30" s="255" t="s">
        <v>207</v>
      </c>
      <c r="H30" s="256" t="s">
        <v>207</v>
      </c>
      <c r="I30" s="256"/>
      <c r="J30" s="256"/>
      <c r="K30" s="257"/>
      <c r="L30" s="100">
        <f t="shared" si="0"/>
        <v>5</v>
      </c>
    </row>
    <row r="31" spans="1:12" ht="19.899999999999999" customHeight="1" thickBot="1" x14ac:dyDescent="0.3">
      <c r="A31" s="9">
        <v>19</v>
      </c>
      <c r="B31" s="56"/>
      <c r="C31" s="378"/>
      <c r="D31" s="379" t="s">
        <v>122</v>
      </c>
      <c r="E31" s="371"/>
      <c r="F31" s="262" t="s">
        <v>207</v>
      </c>
      <c r="G31" s="263" t="s">
        <v>207</v>
      </c>
      <c r="H31" s="264" t="s">
        <v>207</v>
      </c>
      <c r="I31" s="264" t="s">
        <v>207</v>
      </c>
      <c r="J31" s="264"/>
      <c r="K31" s="265"/>
      <c r="L31" s="102">
        <f t="shared" si="0"/>
        <v>1</v>
      </c>
    </row>
    <row r="32" spans="1:12" ht="19.899999999999999" customHeight="1" x14ac:dyDescent="0.25">
      <c r="A32" s="38">
        <v>20</v>
      </c>
      <c r="B32" s="43"/>
      <c r="C32" s="377" t="s">
        <v>123</v>
      </c>
      <c r="D32" s="384" t="s">
        <v>124</v>
      </c>
      <c r="E32" s="385"/>
      <c r="F32" s="266" t="s">
        <v>207</v>
      </c>
      <c r="G32" s="267" t="s">
        <v>207</v>
      </c>
      <c r="H32" s="268" t="s">
        <v>207</v>
      </c>
      <c r="I32" s="268" t="s">
        <v>207</v>
      </c>
      <c r="J32" s="268" t="s">
        <v>209</v>
      </c>
      <c r="K32" s="269"/>
      <c r="L32" s="103">
        <f t="shared" si="0"/>
        <v>1</v>
      </c>
    </row>
    <row r="33" spans="1:12" ht="19.899999999999999" customHeight="1" x14ac:dyDescent="0.25">
      <c r="A33" s="37">
        <v>21</v>
      </c>
      <c r="B33" s="43"/>
      <c r="C33" s="377"/>
      <c r="D33" s="387" t="s">
        <v>125</v>
      </c>
      <c r="E33" s="305"/>
      <c r="F33" s="254"/>
      <c r="G33" s="255" t="s">
        <v>207</v>
      </c>
      <c r="H33" s="256"/>
      <c r="I33" s="256"/>
      <c r="J33" s="256"/>
      <c r="K33" s="257"/>
      <c r="L33" s="100">
        <f t="shared" si="0"/>
        <v>9</v>
      </c>
    </row>
    <row r="34" spans="1:12" ht="19.899999999999999" customHeight="1" thickBot="1" x14ac:dyDescent="0.3">
      <c r="A34" s="9">
        <v>22</v>
      </c>
      <c r="B34" s="56"/>
      <c r="C34" s="378"/>
      <c r="D34" s="379" t="s">
        <v>126</v>
      </c>
      <c r="E34" s="371"/>
      <c r="F34" s="262" t="s">
        <v>207</v>
      </c>
      <c r="G34" s="263" t="s">
        <v>207</v>
      </c>
      <c r="H34" s="264"/>
      <c r="I34" s="264"/>
      <c r="J34" s="264"/>
      <c r="K34" s="265"/>
      <c r="L34" s="102">
        <f t="shared" si="0"/>
        <v>8</v>
      </c>
    </row>
    <row r="35" spans="1:12" ht="19.899999999999999" customHeight="1" thickBot="1" x14ac:dyDescent="0.3">
      <c r="A35" s="38">
        <v>23</v>
      </c>
      <c r="B35" s="43"/>
      <c r="C35" s="49"/>
      <c r="D35" s="395" t="s">
        <v>28</v>
      </c>
      <c r="E35" s="396"/>
      <c r="F35" s="270"/>
      <c r="G35" s="271"/>
      <c r="H35" s="272" t="s">
        <v>207</v>
      </c>
      <c r="I35" s="272"/>
      <c r="J35" s="272"/>
      <c r="K35" s="273"/>
      <c r="L35" s="104">
        <f t="shared" si="0"/>
        <v>7</v>
      </c>
    </row>
    <row r="36" spans="1:12" ht="21.95" customHeight="1" thickTop="1" thickBot="1" x14ac:dyDescent="0.3">
      <c r="A36" s="297" t="str">
        <f>Doku!B43&amp;":"</f>
        <v>Summe Fehler und Punkte:</v>
      </c>
      <c r="B36" s="298"/>
      <c r="C36" s="298"/>
      <c r="D36" s="298"/>
      <c r="E36" s="299"/>
      <c r="F36" s="290">
        <f>IF($L$37&lt;&gt;"",SUMPRODUCT(--(TRIM(F13:G35)&lt;&gt;"")),"")</f>
        <v>17</v>
      </c>
      <c r="G36" s="291">
        <f t="shared" ref="G36" si="1">IF($L$37&lt;&gt;"",COUNTIF(G13:G29,"x"))</f>
        <v>5</v>
      </c>
      <c r="H36" s="196">
        <f>IF($L$37&lt;&gt;"",SUMPRODUCT(--(TRIM(H13:H35)&lt;&gt;"")),"")</f>
        <v>8</v>
      </c>
      <c r="I36" s="196">
        <f>IF($L$37&lt;&gt;"",SUMPRODUCT(--(TRIM(I13:I35)&lt;&gt;"")),"")</f>
        <v>5</v>
      </c>
      <c r="J36" s="198">
        <f>IF($L$37&lt;&gt;"",(COUNTIFS(J13:J35,"+")-COUNTIFS(J13:J35,"-"))*0.5,"")</f>
        <v>-1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165</v>
      </c>
    </row>
    <row r="37" spans="1:12" s="51" customFormat="1" ht="20.100000000000001" customHeight="1" thickTop="1" thickBot="1" x14ac:dyDescent="0.35">
      <c r="A37" s="288" t="str">
        <f>Doku!B44&amp;":"</f>
        <v>Position:</v>
      </c>
      <c r="B37" s="289"/>
      <c r="C37" s="289"/>
      <c r="D37" s="289"/>
      <c r="E37" s="50"/>
      <c r="F37" s="319" t="str">
        <f>Doku!B45</f>
        <v>Übertrag ok?</v>
      </c>
      <c r="G37" s="320"/>
      <c r="H37" s="320"/>
      <c r="I37" s="320"/>
      <c r="J37" s="320"/>
      <c r="K37" s="321"/>
      <c r="L37" s="81" t="s">
        <v>233</v>
      </c>
    </row>
    <row r="38" spans="1:12" ht="15.75" thickTop="1" x14ac:dyDescent="0.25"/>
  </sheetData>
  <mergeCells count="52"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</mergeCells>
  <dataValidations count="2">
    <dataValidation type="list" allowBlank="1" showDropDown="1" showInputMessage="1" showErrorMessage="1" sqref="F13:I35 K13:K35" xr:uid="{631A65D9-F767-4110-9869-1B94127935BF}">
      <formula1>$P$13</formula1>
    </dataValidation>
    <dataValidation type="list" allowBlank="1" showDropDown="1" showInputMessage="1" showErrorMessage="1" sqref="J13:J35" xr:uid="{4D69B8B4-762A-4ABC-91B4-EC85018138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>
      <selection activeCell="F34" sqref="F34"/>
    </sheetView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5"/>
      <c r="B1" s="75"/>
      <c r="C1" s="75"/>
      <c r="D1" s="75"/>
      <c r="E1" s="328" t="str">
        <f>Doku!B28</f>
        <v>Meisterschaftsname</v>
      </c>
      <c r="F1" s="328"/>
      <c r="G1" s="328"/>
      <c r="H1" s="328"/>
      <c r="I1" s="328"/>
      <c r="J1" s="77"/>
      <c r="K1" s="75"/>
      <c r="L1" s="75"/>
    </row>
    <row r="2" spans="1:16" s="20" customFormat="1" ht="20.100000000000001" customHeight="1" x14ac:dyDescent="0.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16" s="20" customFormat="1" ht="39.950000000000003" customHeight="1" x14ac:dyDescent="0.5">
      <c r="A3" s="399" t="s">
        <v>127</v>
      </c>
      <c r="B3" s="399"/>
      <c r="C3" s="399"/>
      <c r="D3" s="399"/>
      <c r="E3" s="399"/>
      <c r="F3" s="399"/>
      <c r="G3" s="399"/>
      <c r="H3" s="399"/>
      <c r="I3" s="399"/>
      <c r="J3" s="399"/>
      <c r="K3" s="399"/>
      <c r="L3" s="399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108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</row>
    <row r="7" spans="1:16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</row>
    <row r="9" spans="1:16" ht="21.95" customHeight="1" thickBot="1" x14ac:dyDescent="0.55000000000000004">
      <c r="A9" s="16" t="s">
        <v>30</v>
      </c>
      <c r="B9" s="16"/>
      <c r="C9" s="16"/>
      <c r="D9" s="326"/>
      <c r="E9" s="327"/>
      <c r="F9" s="345"/>
      <c r="G9" s="346"/>
      <c r="H9" s="327"/>
      <c r="I9" s="316"/>
      <c r="J9" s="316"/>
      <c r="K9" s="316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45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67" t="str">
        <f>Doku!B39</f>
        <v>Mittlerer Fehler</v>
      </c>
      <c r="I11" s="67" t="str">
        <f>Doku!B40</f>
        <v>Großer Fehler</v>
      </c>
      <c r="J11" s="67" t="s">
        <v>205</v>
      </c>
      <c r="K11" s="67" t="str">
        <f>Doku!B41</f>
        <v>Technik vergessen</v>
      </c>
      <c r="L11" s="317" t="str">
        <f>Doku!B42</f>
        <v>Gesamt</v>
      </c>
    </row>
    <row r="12" spans="1:16" s="22" customFormat="1" ht="20.100000000000001" customHeight="1" thickTop="1" thickBot="1" x14ac:dyDescent="0.4">
      <c r="A12" s="292" t="str">
        <f>Doku!B37</f>
        <v>Technik</v>
      </c>
      <c r="B12" s="293"/>
      <c r="C12" s="293"/>
      <c r="D12" s="293"/>
      <c r="E12" s="294"/>
      <c r="F12" s="295">
        <v>1</v>
      </c>
      <c r="G12" s="296"/>
      <c r="H12" s="68">
        <v>3</v>
      </c>
      <c r="I12" s="68">
        <v>5</v>
      </c>
      <c r="J12" s="68">
        <v>0.5</v>
      </c>
      <c r="K12" s="68">
        <v>10</v>
      </c>
      <c r="L12" s="318"/>
    </row>
    <row r="13" spans="1:16" ht="19.899999999999999" customHeight="1" thickBot="1" x14ac:dyDescent="0.3">
      <c r="A13" s="6">
        <v>1</v>
      </c>
      <c r="B13" s="6"/>
      <c r="C13" s="47"/>
      <c r="D13" s="366" t="s">
        <v>7</v>
      </c>
      <c r="E13" s="367"/>
      <c r="F13" s="242" t="s">
        <v>207</v>
      </c>
      <c r="G13" s="243"/>
      <c r="H13" s="244"/>
      <c r="I13" s="244"/>
      <c r="J13" s="244"/>
      <c r="K13" s="245"/>
      <c r="L13" s="97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37">
        <v>2</v>
      </c>
      <c r="B14" s="43"/>
      <c r="C14" s="376" t="s">
        <v>128</v>
      </c>
      <c r="D14" s="394" t="s">
        <v>129</v>
      </c>
      <c r="E14" s="313"/>
      <c r="F14" s="246"/>
      <c r="G14" s="247" t="s">
        <v>207</v>
      </c>
      <c r="H14" s="248"/>
      <c r="I14" s="248"/>
      <c r="J14" s="248"/>
      <c r="K14" s="249"/>
      <c r="L14" s="98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37">
        <v>3</v>
      </c>
      <c r="B15" s="43"/>
      <c r="C15" s="377"/>
      <c r="D15" s="386" t="s">
        <v>130</v>
      </c>
      <c r="E15" s="363"/>
      <c r="F15" s="250"/>
      <c r="G15" s="251"/>
      <c r="H15" s="252" t="s">
        <v>207</v>
      </c>
      <c r="I15" s="252"/>
      <c r="J15" s="252"/>
      <c r="K15" s="253"/>
      <c r="L15" s="99">
        <f t="shared" si="0"/>
        <v>7</v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377"/>
      <c r="D16" s="387" t="s">
        <v>131</v>
      </c>
      <c r="E16" s="305"/>
      <c r="F16" s="254"/>
      <c r="G16" s="255"/>
      <c r="H16" s="256"/>
      <c r="I16" s="256" t="s">
        <v>207</v>
      </c>
      <c r="J16" s="256"/>
      <c r="K16" s="257"/>
      <c r="L16" s="100">
        <f t="shared" si="0"/>
        <v>5</v>
      </c>
      <c r="N16" s="52"/>
    </row>
    <row r="17" spans="1:14" ht="19.899999999999999" customHeight="1" x14ac:dyDescent="0.25">
      <c r="A17" s="37">
        <v>5</v>
      </c>
      <c r="B17" s="43"/>
      <c r="C17" s="377"/>
      <c r="D17" s="386" t="s">
        <v>132</v>
      </c>
      <c r="E17" s="363"/>
      <c r="F17" s="250"/>
      <c r="G17" s="251"/>
      <c r="H17" s="252"/>
      <c r="I17" s="252"/>
      <c r="J17" s="252" t="s">
        <v>208</v>
      </c>
      <c r="K17" s="253"/>
      <c r="L17" s="99">
        <f t="shared" si="0"/>
        <v>10</v>
      </c>
      <c r="N17" s="52"/>
    </row>
    <row r="18" spans="1:14" ht="19.899999999999999" customHeight="1" x14ac:dyDescent="0.25">
      <c r="A18" s="37">
        <v>6</v>
      </c>
      <c r="B18" s="43"/>
      <c r="C18" s="377"/>
      <c r="D18" s="387" t="s">
        <v>133</v>
      </c>
      <c r="E18" s="305"/>
      <c r="F18" s="254"/>
      <c r="G18" s="255"/>
      <c r="H18" s="256"/>
      <c r="I18" s="256"/>
      <c r="J18" s="256" t="s">
        <v>209</v>
      </c>
      <c r="K18" s="257"/>
      <c r="L18" s="100">
        <f t="shared" si="0"/>
        <v>9.5</v>
      </c>
      <c r="N18" s="52"/>
    </row>
    <row r="19" spans="1:14" ht="19.899999999999999" customHeight="1" x14ac:dyDescent="0.25">
      <c r="A19" s="37">
        <v>7</v>
      </c>
      <c r="B19" s="43"/>
      <c r="C19" s="377"/>
      <c r="D19" s="386" t="s">
        <v>134</v>
      </c>
      <c r="E19" s="363"/>
      <c r="F19" s="250"/>
      <c r="G19" s="251"/>
      <c r="H19" s="252"/>
      <c r="I19" s="252"/>
      <c r="J19" s="252" t="s">
        <v>209</v>
      </c>
      <c r="K19" s="253"/>
      <c r="L19" s="99">
        <f t="shared" si="0"/>
        <v>9.5</v>
      </c>
      <c r="N19" s="52"/>
    </row>
    <row r="20" spans="1:14" ht="19.899999999999999" customHeight="1" x14ac:dyDescent="0.25">
      <c r="A20" s="37">
        <v>8</v>
      </c>
      <c r="B20" s="43"/>
      <c r="C20" s="377"/>
      <c r="D20" s="387" t="s">
        <v>135</v>
      </c>
      <c r="E20" s="305"/>
      <c r="F20" s="254"/>
      <c r="G20" s="255"/>
      <c r="H20" s="256"/>
      <c r="I20" s="256" t="s">
        <v>207</v>
      </c>
      <c r="J20" s="256"/>
      <c r="K20" s="257"/>
      <c r="L20" s="100">
        <f t="shared" si="0"/>
        <v>5</v>
      </c>
      <c r="N20" s="52"/>
    </row>
    <row r="21" spans="1:14" ht="19.899999999999999" customHeight="1" x14ac:dyDescent="0.25">
      <c r="A21" s="37">
        <v>9</v>
      </c>
      <c r="B21" s="43"/>
      <c r="C21" s="377"/>
      <c r="D21" s="386" t="s">
        <v>136</v>
      </c>
      <c r="E21" s="363"/>
      <c r="F21" s="250"/>
      <c r="G21" s="251"/>
      <c r="H21" s="252" t="s">
        <v>207</v>
      </c>
      <c r="I21" s="252"/>
      <c r="J21" s="252"/>
      <c r="K21" s="253"/>
      <c r="L21" s="99">
        <f t="shared" si="0"/>
        <v>7</v>
      </c>
      <c r="N21" s="52"/>
    </row>
    <row r="22" spans="1:14" ht="19.899999999999999" customHeight="1" x14ac:dyDescent="0.25">
      <c r="A22" s="37">
        <v>10</v>
      </c>
      <c r="B22" s="43"/>
      <c r="C22" s="377"/>
      <c r="D22" s="387" t="s">
        <v>137</v>
      </c>
      <c r="E22" s="305"/>
      <c r="F22" s="254"/>
      <c r="G22" s="255" t="s">
        <v>207</v>
      </c>
      <c r="H22" s="256"/>
      <c r="I22" s="256"/>
      <c r="J22" s="256"/>
      <c r="K22" s="257"/>
      <c r="L22" s="100">
        <f t="shared" si="0"/>
        <v>9</v>
      </c>
      <c r="N22" s="52"/>
    </row>
    <row r="23" spans="1:14" ht="19.899999999999999" customHeight="1" x14ac:dyDescent="0.25">
      <c r="A23" s="37">
        <v>11</v>
      </c>
      <c r="B23" s="43"/>
      <c r="C23" s="377"/>
      <c r="D23" s="386" t="s">
        <v>138</v>
      </c>
      <c r="E23" s="363"/>
      <c r="F23" s="250" t="s">
        <v>207</v>
      </c>
      <c r="G23" s="251"/>
      <c r="H23" s="252"/>
      <c r="I23" s="252"/>
      <c r="J23" s="252"/>
      <c r="K23" s="253"/>
      <c r="L23" s="99">
        <f t="shared" si="0"/>
        <v>9</v>
      </c>
      <c r="N23" s="52"/>
    </row>
    <row r="24" spans="1:14" ht="19.899999999999999" customHeight="1" x14ac:dyDescent="0.25">
      <c r="A24" s="37">
        <v>12</v>
      </c>
      <c r="B24" s="43"/>
      <c r="C24" s="377"/>
      <c r="D24" s="387" t="s">
        <v>139</v>
      </c>
      <c r="E24" s="305"/>
      <c r="F24" s="254"/>
      <c r="G24" s="255" t="s">
        <v>207</v>
      </c>
      <c r="H24" s="256"/>
      <c r="I24" s="256"/>
      <c r="J24" s="256"/>
      <c r="K24" s="257"/>
      <c r="L24" s="100">
        <f t="shared" si="0"/>
        <v>9</v>
      </c>
      <c r="N24" s="52"/>
    </row>
    <row r="25" spans="1:14" ht="19.899999999999999" customHeight="1" x14ac:dyDescent="0.25">
      <c r="A25" s="37">
        <v>13</v>
      </c>
      <c r="B25" s="43"/>
      <c r="C25" s="377"/>
      <c r="D25" s="386" t="s">
        <v>140</v>
      </c>
      <c r="E25" s="363"/>
      <c r="F25" s="250"/>
      <c r="G25" s="251"/>
      <c r="H25" s="252" t="s">
        <v>207</v>
      </c>
      <c r="I25" s="252"/>
      <c r="J25" s="252"/>
      <c r="K25" s="253"/>
      <c r="L25" s="99">
        <f t="shared" si="0"/>
        <v>7</v>
      </c>
      <c r="N25" s="52"/>
    </row>
    <row r="26" spans="1:14" ht="19.899999999999999" customHeight="1" x14ac:dyDescent="0.25">
      <c r="A26" s="37">
        <v>14</v>
      </c>
      <c r="B26" s="43"/>
      <c r="C26" s="377"/>
      <c r="D26" s="387" t="s">
        <v>141</v>
      </c>
      <c r="E26" s="305"/>
      <c r="F26" s="254"/>
      <c r="G26" s="255"/>
      <c r="H26" s="256"/>
      <c r="I26" s="256" t="s">
        <v>207</v>
      </c>
      <c r="J26" s="256"/>
      <c r="K26" s="257"/>
      <c r="L26" s="100">
        <f t="shared" si="0"/>
        <v>5</v>
      </c>
      <c r="N26" s="52"/>
    </row>
    <row r="27" spans="1:14" ht="19.899999999999999" customHeight="1" thickBot="1" x14ac:dyDescent="0.3">
      <c r="A27" s="37">
        <v>15</v>
      </c>
      <c r="B27" s="43"/>
      <c r="C27" s="378"/>
      <c r="D27" s="379" t="s">
        <v>142</v>
      </c>
      <c r="E27" s="371"/>
      <c r="F27" s="262"/>
      <c r="G27" s="263"/>
      <c r="H27" s="264" t="s">
        <v>207</v>
      </c>
      <c r="I27" s="264"/>
      <c r="J27" s="264"/>
      <c r="K27" s="265"/>
      <c r="L27" s="102">
        <f t="shared" si="0"/>
        <v>7</v>
      </c>
      <c r="N27" s="52"/>
    </row>
    <row r="28" spans="1:14" ht="19.899999999999999" customHeight="1" x14ac:dyDescent="0.25">
      <c r="A28" s="37">
        <v>16</v>
      </c>
      <c r="B28" s="43"/>
      <c r="C28" s="377" t="s">
        <v>143</v>
      </c>
      <c r="D28" s="394" t="s">
        <v>144</v>
      </c>
      <c r="E28" s="313"/>
      <c r="F28" s="246"/>
      <c r="G28" s="247" t="s">
        <v>207</v>
      </c>
      <c r="H28" s="248"/>
      <c r="I28" s="248"/>
      <c r="J28" s="248"/>
      <c r="K28" s="249"/>
      <c r="L28" s="98">
        <f t="shared" si="0"/>
        <v>9</v>
      </c>
      <c r="N28" s="52"/>
    </row>
    <row r="29" spans="1:14" ht="19.899999999999999" customHeight="1" x14ac:dyDescent="0.25">
      <c r="A29" s="37">
        <v>17</v>
      </c>
      <c r="B29" s="43"/>
      <c r="C29" s="377"/>
      <c r="D29" s="386" t="s">
        <v>145</v>
      </c>
      <c r="E29" s="363"/>
      <c r="F29" s="250" t="s">
        <v>207</v>
      </c>
      <c r="G29" s="251" t="s">
        <v>207</v>
      </c>
      <c r="H29" s="252"/>
      <c r="I29" s="252"/>
      <c r="J29" s="252"/>
      <c r="K29" s="253"/>
      <c r="L29" s="99">
        <f t="shared" si="0"/>
        <v>8</v>
      </c>
      <c r="N29" s="52"/>
    </row>
    <row r="30" spans="1:14" ht="19.899999999999999" customHeight="1" x14ac:dyDescent="0.25">
      <c r="A30" s="37">
        <v>18</v>
      </c>
      <c r="B30" s="43"/>
      <c r="C30" s="377"/>
      <c r="D30" s="387" t="s">
        <v>146</v>
      </c>
      <c r="E30" s="305"/>
      <c r="F30" s="254" t="s">
        <v>207</v>
      </c>
      <c r="G30" s="255" t="s">
        <v>207</v>
      </c>
      <c r="H30" s="256" t="s">
        <v>207</v>
      </c>
      <c r="I30" s="256"/>
      <c r="J30" s="256"/>
      <c r="K30" s="257"/>
      <c r="L30" s="100">
        <f t="shared" si="0"/>
        <v>5</v>
      </c>
      <c r="N30" s="52"/>
    </row>
    <row r="31" spans="1:14" ht="19.899999999999999" customHeight="1" x14ac:dyDescent="0.25">
      <c r="A31" s="37">
        <v>19</v>
      </c>
      <c r="B31" s="43"/>
      <c r="C31" s="377"/>
      <c r="D31" s="386" t="s">
        <v>147</v>
      </c>
      <c r="E31" s="363"/>
      <c r="F31" s="250" t="s">
        <v>207</v>
      </c>
      <c r="G31" s="251" t="s">
        <v>207</v>
      </c>
      <c r="H31" s="252" t="s">
        <v>207</v>
      </c>
      <c r="I31" s="252" t="s">
        <v>207</v>
      </c>
      <c r="J31" s="252"/>
      <c r="K31" s="253"/>
      <c r="L31" s="99">
        <f t="shared" si="0"/>
        <v>1</v>
      </c>
      <c r="N31" s="52"/>
    </row>
    <row r="32" spans="1:14" ht="19.899999999999999" customHeight="1" x14ac:dyDescent="0.25">
      <c r="A32" s="37">
        <v>20</v>
      </c>
      <c r="B32" s="43"/>
      <c r="C32" s="377"/>
      <c r="D32" s="387" t="s">
        <v>148</v>
      </c>
      <c r="E32" s="305"/>
      <c r="F32" s="254" t="s">
        <v>207</v>
      </c>
      <c r="G32" s="255" t="s">
        <v>207</v>
      </c>
      <c r="H32" s="256" t="s">
        <v>207</v>
      </c>
      <c r="I32" s="256" t="s">
        <v>207</v>
      </c>
      <c r="J32" s="256" t="s">
        <v>209</v>
      </c>
      <c r="K32" s="257"/>
      <c r="L32" s="100">
        <f t="shared" si="0"/>
        <v>1</v>
      </c>
      <c r="N32" s="52"/>
    </row>
    <row r="33" spans="1:14" ht="19.899999999999999" customHeight="1" x14ac:dyDescent="0.25">
      <c r="A33" s="37">
        <v>21</v>
      </c>
      <c r="B33" s="43"/>
      <c r="C33" s="377"/>
      <c r="D33" s="386" t="s">
        <v>149</v>
      </c>
      <c r="E33" s="363"/>
      <c r="F33" s="250"/>
      <c r="G33" s="251" t="s">
        <v>207</v>
      </c>
      <c r="H33" s="252"/>
      <c r="I33" s="252"/>
      <c r="J33" s="252"/>
      <c r="K33" s="253"/>
      <c r="L33" s="99">
        <f t="shared" si="0"/>
        <v>9</v>
      </c>
      <c r="N33" s="52"/>
    </row>
    <row r="34" spans="1:14" ht="19.899999999999999" customHeight="1" thickBot="1" x14ac:dyDescent="0.3">
      <c r="A34" s="37">
        <v>22</v>
      </c>
      <c r="B34" s="43"/>
      <c r="C34" s="378"/>
      <c r="D34" s="380" t="s">
        <v>150</v>
      </c>
      <c r="E34" s="365"/>
      <c r="F34" s="274" t="s">
        <v>207</v>
      </c>
      <c r="G34" s="275" t="s">
        <v>207</v>
      </c>
      <c r="H34" s="276"/>
      <c r="I34" s="276"/>
      <c r="J34" s="276"/>
      <c r="K34" s="277"/>
      <c r="L34" s="105">
        <f t="shared" si="0"/>
        <v>8</v>
      </c>
      <c r="N34" s="52"/>
    </row>
    <row r="35" spans="1:14" ht="19.899999999999999" customHeight="1" thickBot="1" x14ac:dyDescent="0.3">
      <c r="A35" s="6">
        <v>23</v>
      </c>
      <c r="B35" s="57"/>
      <c r="C35" s="49"/>
      <c r="D35" s="400" t="s">
        <v>28</v>
      </c>
      <c r="E35" s="401"/>
      <c r="F35" s="278" t="s">
        <v>207</v>
      </c>
      <c r="G35" s="279"/>
      <c r="H35" s="280" t="s">
        <v>207</v>
      </c>
      <c r="I35" s="280"/>
      <c r="J35" s="280"/>
      <c r="K35" s="281"/>
      <c r="L35" s="106">
        <f t="shared" si="0"/>
        <v>6</v>
      </c>
      <c r="N35" s="52"/>
    </row>
    <row r="36" spans="1:14" ht="21.95" customHeight="1" thickTop="1" thickBot="1" x14ac:dyDescent="0.3">
      <c r="A36" s="297" t="str">
        <f>Doku!B43&amp;":"</f>
        <v>Summe Fehler und Punkte:</v>
      </c>
      <c r="B36" s="298"/>
      <c r="C36" s="298"/>
      <c r="D36" s="298"/>
      <c r="E36" s="299"/>
      <c r="F36" s="290">
        <f>IF($L$37&lt;&gt;"",SUMPRODUCT(--(TRIM(F13:G35)&lt;&gt;"")),"")</f>
        <v>18</v>
      </c>
      <c r="G36" s="291">
        <f t="shared" ref="G36" si="1">IF($L$37&lt;&gt;"",COUNTIF(G13:G29,"x"))</f>
        <v>5</v>
      </c>
      <c r="H36" s="196">
        <f>IF($L$37&lt;&gt;"",SUMPRODUCT(--(TRIM(H13:H35)&lt;&gt;"")),"")</f>
        <v>8</v>
      </c>
      <c r="I36" s="196">
        <f>IF($L$37&lt;&gt;"",SUMPRODUCT(--(TRIM(I13:I35)&lt;&gt;"")),"")</f>
        <v>5</v>
      </c>
      <c r="J36" s="198">
        <f>IF($L$37&lt;&gt;"",(COUNTIFS(J13:J35,"+")-COUNTIFS(J13:J35,"-"))*0.5,"")</f>
        <v>-1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164</v>
      </c>
    </row>
    <row r="37" spans="1:14" s="51" customFormat="1" ht="20.100000000000001" customHeight="1" thickTop="1" thickBot="1" x14ac:dyDescent="0.35">
      <c r="A37" s="288" t="str">
        <f>Doku!B44&amp;":"</f>
        <v>Position:</v>
      </c>
      <c r="B37" s="289"/>
      <c r="C37" s="289"/>
      <c r="D37" s="289"/>
      <c r="E37" s="50"/>
      <c r="F37" s="319" t="str">
        <f>Doku!B45</f>
        <v>Übertrag ok?</v>
      </c>
      <c r="G37" s="320"/>
      <c r="H37" s="320"/>
      <c r="I37" s="320"/>
      <c r="J37" s="320"/>
      <c r="K37" s="321"/>
      <c r="L37" s="81" t="s">
        <v>233</v>
      </c>
    </row>
    <row r="38" spans="1:14" ht="15.75" thickTop="1" x14ac:dyDescent="0.25"/>
  </sheetData>
  <mergeCells count="49"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K8"/>
    <mergeCell ref="D9:E9"/>
    <mergeCell ref="F9:H9"/>
    <mergeCell ref="I9:K9"/>
    <mergeCell ref="F11:G11"/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5"/>
      <c r="B1" s="75"/>
      <c r="C1" s="75"/>
      <c r="D1" s="75"/>
      <c r="E1" s="328" t="str">
        <f>Doku!B28</f>
        <v>Meisterschaftsname</v>
      </c>
      <c r="F1" s="328"/>
      <c r="G1" s="328"/>
      <c r="H1" s="328"/>
      <c r="I1" s="328"/>
      <c r="J1" s="109"/>
      <c r="K1" s="75"/>
      <c r="L1" s="75"/>
    </row>
    <row r="2" spans="1:33" s="23" customFormat="1" ht="20.100000000000001" customHeight="1" x14ac:dyDescent="0.4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33" s="20" customFormat="1" ht="39.950000000000003" customHeight="1" x14ac:dyDescent="0.5">
      <c r="A3" s="342" t="s">
        <v>213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402" t="str">
        <f>Doku!B32&amp;":"</f>
        <v>Paar Nr:</v>
      </c>
      <c r="K5" s="402"/>
      <c r="L5" s="108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16"/>
      <c r="J9" s="316"/>
      <c r="K9" s="316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110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67" t="str">
        <f>Doku!B39</f>
        <v>Mittlerer Fehler</v>
      </c>
      <c r="I11" s="67" t="str">
        <f>Doku!B40</f>
        <v>Großer Fehler</v>
      </c>
      <c r="J11" s="78" t="s">
        <v>205</v>
      </c>
      <c r="K11" s="78" t="str">
        <f>Doku!B41</f>
        <v>Technik vergessen</v>
      </c>
      <c r="L11" s="317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292" t="str">
        <f>Doku!B37</f>
        <v>Technik</v>
      </c>
      <c r="B12" s="293"/>
      <c r="C12" s="293"/>
      <c r="D12" s="293"/>
      <c r="E12" s="294"/>
      <c r="F12" s="295">
        <v>1</v>
      </c>
      <c r="G12" s="296"/>
      <c r="H12" s="68">
        <v>3</v>
      </c>
      <c r="I12" s="68">
        <v>5</v>
      </c>
      <c r="J12" s="68">
        <v>0.5</v>
      </c>
      <c r="K12" s="68">
        <v>10</v>
      </c>
      <c r="L12" s="318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403" t="s">
        <v>7</v>
      </c>
      <c r="E13" s="404"/>
      <c r="F13" s="33" t="s">
        <v>207</v>
      </c>
      <c r="G13" s="61"/>
      <c r="H13" s="69"/>
      <c r="I13" s="69"/>
      <c r="J13" s="64"/>
      <c r="K13" s="64"/>
      <c r="L13" s="8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00" t="s">
        <v>8</v>
      </c>
      <c r="D14" s="405" t="s">
        <v>214</v>
      </c>
      <c r="E14" s="406"/>
      <c r="F14" s="28"/>
      <c r="G14" s="62" t="s">
        <v>207</v>
      </c>
      <c r="H14" s="70"/>
      <c r="I14" s="70"/>
      <c r="J14" s="65"/>
      <c r="K14" s="65"/>
      <c r="L14" s="86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01"/>
      <c r="D15" s="407" t="s">
        <v>215</v>
      </c>
      <c r="E15" s="408"/>
      <c r="F15" s="34"/>
      <c r="G15" s="63"/>
      <c r="H15" s="71" t="s">
        <v>207</v>
      </c>
      <c r="I15" s="71"/>
      <c r="J15" s="66"/>
      <c r="K15" s="66"/>
      <c r="L15" s="84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01"/>
      <c r="D16" s="405" t="s">
        <v>216</v>
      </c>
      <c r="E16" s="406"/>
      <c r="F16" s="28"/>
      <c r="G16" s="62"/>
      <c r="H16" s="70"/>
      <c r="I16" s="70" t="s">
        <v>207</v>
      </c>
      <c r="J16" s="65"/>
      <c r="K16" s="65"/>
      <c r="L16" s="86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01"/>
      <c r="D17" s="407" t="s">
        <v>217</v>
      </c>
      <c r="E17" s="408"/>
      <c r="F17" s="34"/>
      <c r="G17" s="63"/>
      <c r="H17" s="71"/>
      <c r="I17" s="71"/>
      <c r="J17" s="66" t="s">
        <v>208</v>
      </c>
      <c r="K17" s="66"/>
      <c r="L17" s="84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01"/>
      <c r="D18" s="405" t="s">
        <v>218</v>
      </c>
      <c r="E18" s="406"/>
      <c r="F18" s="28"/>
      <c r="G18" s="62"/>
      <c r="H18" s="70"/>
      <c r="I18" s="70"/>
      <c r="J18" s="65" t="s">
        <v>209</v>
      </c>
      <c r="K18" s="65"/>
      <c r="L18" s="86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47"/>
      <c r="D19" s="407" t="s">
        <v>219</v>
      </c>
      <c r="E19" s="408"/>
      <c r="F19" s="34"/>
      <c r="G19" s="63"/>
      <c r="H19" s="71"/>
      <c r="I19" s="71"/>
      <c r="J19" s="66" t="s">
        <v>209</v>
      </c>
      <c r="K19" s="66"/>
      <c r="L19" s="84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00" t="s">
        <v>12</v>
      </c>
      <c r="D20" s="405" t="s">
        <v>220</v>
      </c>
      <c r="E20" s="406"/>
      <c r="F20" s="28"/>
      <c r="G20" s="62"/>
      <c r="H20" s="70"/>
      <c r="I20" s="70" t="s">
        <v>207</v>
      </c>
      <c r="J20" s="65"/>
      <c r="K20" s="65"/>
      <c r="L20" s="86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01"/>
      <c r="D21" s="407" t="s">
        <v>221</v>
      </c>
      <c r="E21" s="408"/>
      <c r="F21" s="34"/>
      <c r="G21" s="63"/>
      <c r="H21" s="71" t="s">
        <v>207</v>
      </c>
      <c r="I21" s="71"/>
      <c r="J21" s="66"/>
      <c r="K21" s="66"/>
      <c r="L21" s="84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01"/>
      <c r="D22" s="405" t="s">
        <v>222</v>
      </c>
      <c r="E22" s="406"/>
      <c r="F22" s="28"/>
      <c r="G22" s="62" t="s">
        <v>207</v>
      </c>
      <c r="H22" s="70"/>
      <c r="I22" s="70"/>
      <c r="J22" s="65"/>
      <c r="K22" s="65"/>
      <c r="L22" s="86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48"/>
      <c r="C23" s="301"/>
      <c r="D23" s="407" t="s">
        <v>223</v>
      </c>
      <c r="E23" s="408"/>
      <c r="F23" s="34" t="s">
        <v>207</v>
      </c>
      <c r="G23" s="63"/>
      <c r="H23" s="71"/>
      <c r="I23" s="71"/>
      <c r="J23" s="66"/>
      <c r="K23" s="66"/>
      <c r="L23" s="84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01"/>
      <c r="D24" s="405" t="s">
        <v>224</v>
      </c>
      <c r="E24" s="406"/>
      <c r="F24" s="28"/>
      <c r="G24" s="62" t="s">
        <v>207</v>
      </c>
      <c r="H24" s="70"/>
      <c r="I24" s="70"/>
      <c r="J24" s="65"/>
      <c r="K24" s="65"/>
      <c r="L24" s="86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47"/>
      <c r="D25" s="407" t="s">
        <v>225</v>
      </c>
      <c r="E25" s="408"/>
      <c r="F25" s="34"/>
      <c r="G25" s="63"/>
      <c r="H25" s="71" t="s">
        <v>207</v>
      </c>
      <c r="I25" s="71"/>
      <c r="J25" s="66"/>
      <c r="K25" s="66"/>
      <c r="L25" s="84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00" t="s">
        <v>16</v>
      </c>
      <c r="D26" s="405" t="s">
        <v>226</v>
      </c>
      <c r="E26" s="406"/>
      <c r="F26" s="28"/>
      <c r="G26" s="62"/>
      <c r="H26" s="70"/>
      <c r="I26" s="70" t="s">
        <v>207</v>
      </c>
      <c r="J26" s="65"/>
      <c r="K26" s="65"/>
      <c r="L26" s="86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01"/>
      <c r="D27" s="407" t="s">
        <v>227</v>
      </c>
      <c r="E27" s="408"/>
      <c r="F27" s="34"/>
      <c r="G27" s="63"/>
      <c r="H27" s="71" t="s">
        <v>207</v>
      </c>
      <c r="I27" s="71"/>
      <c r="J27" s="66"/>
      <c r="K27" s="66"/>
      <c r="L27" s="84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01"/>
      <c r="D28" s="405" t="s">
        <v>228</v>
      </c>
      <c r="E28" s="406"/>
      <c r="F28" s="28"/>
      <c r="G28" s="62" t="s">
        <v>207</v>
      </c>
      <c r="H28" s="70"/>
      <c r="I28" s="70"/>
      <c r="J28" s="65"/>
      <c r="K28" s="65"/>
      <c r="L28" s="86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4"/>
      <c r="C29" s="301"/>
      <c r="D29" s="407" t="s">
        <v>229</v>
      </c>
      <c r="E29" s="408"/>
      <c r="F29" s="34" t="s">
        <v>207</v>
      </c>
      <c r="G29" s="63" t="s">
        <v>207</v>
      </c>
      <c r="H29" s="71"/>
      <c r="I29" s="71"/>
      <c r="J29" s="66"/>
      <c r="K29" s="66"/>
      <c r="L29" s="84">
        <f t="shared" si="0"/>
        <v>8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58">
        <v>18</v>
      </c>
      <c r="B30" s="59"/>
      <c r="C30" s="301"/>
      <c r="D30" s="405" t="s">
        <v>230</v>
      </c>
      <c r="E30" s="406"/>
      <c r="F30" s="28" t="s">
        <v>207</v>
      </c>
      <c r="G30" s="62" t="s">
        <v>207</v>
      </c>
      <c r="H30" s="70" t="s">
        <v>207</v>
      </c>
      <c r="I30" s="70"/>
      <c r="J30" s="65"/>
      <c r="K30" s="65"/>
      <c r="L30" s="86">
        <f t="shared" si="0"/>
        <v>5</v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58">
        <v>19</v>
      </c>
      <c r="B31" s="59"/>
      <c r="C31" s="347"/>
      <c r="D31" s="407" t="s">
        <v>231</v>
      </c>
      <c r="E31" s="408"/>
      <c r="F31" s="34" t="s">
        <v>207</v>
      </c>
      <c r="G31" s="63" t="s">
        <v>207</v>
      </c>
      <c r="H31" s="71" t="s">
        <v>207</v>
      </c>
      <c r="I31" s="71" t="s">
        <v>207</v>
      </c>
      <c r="J31" s="66"/>
      <c r="K31" s="66"/>
      <c r="L31" s="84">
        <f t="shared" si="0"/>
        <v>1</v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58">
        <v>20</v>
      </c>
      <c r="B35" s="59"/>
      <c r="C35" s="35"/>
      <c r="D35" s="405" t="s">
        <v>28</v>
      </c>
      <c r="E35" s="406"/>
      <c r="F35" s="28" t="s">
        <v>207</v>
      </c>
      <c r="G35" s="62"/>
      <c r="H35" s="70"/>
      <c r="I35" s="70"/>
      <c r="J35" s="65"/>
      <c r="K35" s="65"/>
      <c r="L35" s="8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9</v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297" t="str">
        <f>Doku!B43&amp;":"</f>
        <v>Summe Fehler und Punkte:</v>
      </c>
      <c r="B36" s="298"/>
      <c r="C36" s="298"/>
      <c r="D36" s="298"/>
      <c r="E36" s="299"/>
      <c r="F36" s="290">
        <f>IF($L$37&lt;&gt;"",SUMPRODUCT(--(TRIM(F13:G35)&lt;&gt;"")),"")</f>
        <v>13</v>
      </c>
      <c r="G36" s="291">
        <f t="shared" ref="G36" si="2">IF($L$37&lt;&gt;"",COUNTIF(G13:G29,"x"))</f>
        <v>5</v>
      </c>
      <c r="H36" s="196">
        <f>IF($L$37&lt;&gt;"",SUMPRODUCT(--(TRIM(H13:H35)&lt;&gt;"")),"")</f>
        <v>6</v>
      </c>
      <c r="I36" s="196">
        <f>IF($L$37&lt;&gt;"",SUMPRODUCT(--(TRIM(I13:I35)&lt;&gt;"")),"")</f>
        <v>4</v>
      </c>
      <c r="J36" s="198">
        <f>IF($L$37&lt;&gt;"",(COUNTIFS(J13:J35,"+")-COUNTIFS(J13:J35,"-"))*0.5,"")</f>
        <v>-0.5</v>
      </c>
      <c r="K36" s="197">
        <f>IF($L$37&lt;&gt;"",SUMPRODUCT(--(TRIM(K13:K35)&lt;&gt;"")),"")</f>
        <v>0</v>
      </c>
      <c r="L36" s="79">
        <f>IF(L37&lt;&gt;"",IF(K36&lt;1,SUM(L13:L35),IF(K36&gt;=1,ROUNDUP(SUM(L13:L35)/2,0),"")),"")</f>
        <v>149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88" t="str">
        <f>Doku!B44&amp;":"</f>
        <v>Position:</v>
      </c>
      <c r="B37" s="289"/>
      <c r="C37" s="289"/>
      <c r="D37" s="289"/>
      <c r="E37" s="50"/>
      <c r="F37" s="319" t="str">
        <f>Doku!B45</f>
        <v>Übertrag ok?</v>
      </c>
      <c r="G37" s="320"/>
      <c r="H37" s="320"/>
      <c r="I37" s="320"/>
      <c r="J37" s="320"/>
      <c r="K37" s="321"/>
      <c r="L37" s="81" t="s">
        <v>233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7">
    <mergeCell ref="A36:E36"/>
    <mergeCell ref="F36:G36"/>
    <mergeCell ref="A37:D37"/>
    <mergeCell ref="F37:K37"/>
    <mergeCell ref="D35:E35"/>
    <mergeCell ref="C26:C31"/>
    <mergeCell ref="D26:E26"/>
    <mergeCell ref="D27:E27"/>
    <mergeCell ref="D28:E28"/>
    <mergeCell ref="D29:E29"/>
    <mergeCell ref="D30:E30"/>
    <mergeCell ref="D31:E31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F11:G11"/>
    <mergeCell ref="L11:L12"/>
    <mergeCell ref="A12:E12"/>
    <mergeCell ref="F12:G12"/>
    <mergeCell ref="D13:E13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tabSelected="1" zoomScale="70" zoomScaleNormal="7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S1" s="107"/>
      <c r="T1" s="107"/>
      <c r="U1" s="107"/>
      <c r="V1" s="107"/>
      <c r="W1" s="107"/>
      <c r="X1" s="107"/>
      <c r="Z1" s="107"/>
      <c r="AA1" s="116"/>
      <c r="AB1" s="107"/>
      <c r="AF1" s="117"/>
    </row>
    <row r="2" spans="1:32" ht="127.9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9</v>
      </c>
      <c r="E2" s="111" t="s">
        <v>10</v>
      </c>
      <c r="F2" s="111" t="s">
        <v>11</v>
      </c>
      <c r="G2" s="111" t="s">
        <v>13</v>
      </c>
      <c r="H2" s="111" t="s">
        <v>14</v>
      </c>
      <c r="I2" s="111" t="s">
        <v>15</v>
      </c>
      <c r="J2" s="111" t="s">
        <v>17</v>
      </c>
      <c r="K2" s="111" t="s">
        <v>18</v>
      </c>
      <c r="L2" s="111" t="s">
        <v>19</v>
      </c>
      <c r="M2" s="111" t="s">
        <v>21</v>
      </c>
      <c r="N2" s="111" t="s">
        <v>22</v>
      </c>
      <c r="O2" s="111" t="s">
        <v>23</v>
      </c>
      <c r="P2" s="111" t="s">
        <v>25</v>
      </c>
      <c r="Q2" s="111" t="s">
        <v>26</v>
      </c>
      <c r="R2" s="111" t="s">
        <v>27</v>
      </c>
      <c r="S2" s="112"/>
      <c r="T2" s="112"/>
      <c r="U2" s="112"/>
      <c r="V2" s="112"/>
      <c r="W2" s="112"/>
      <c r="X2" s="112"/>
      <c r="Y2" s="111" t="str">
        <f>Doku!B52</f>
        <v>Abgrüßen</v>
      </c>
      <c r="Z2" s="112" t="str">
        <f>Doku!B42</f>
        <v>Gesamt</v>
      </c>
      <c r="AA2" s="119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32" ht="15" customHeight="1" x14ac:dyDescent="0.2">
      <c r="A4" s="410" t="str">
        <f>Doku!B49&amp;":"</f>
        <v>Spannweite:</v>
      </c>
      <c r="B4" s="410"/>
      <c r="C4" s="129">
        <f t="shared" ref="C4:R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ref="S4:X4" ca="1" si="3">MAX(S8:S12)-MIN(S8:S12)</f>
        <v>0</v>
      </c>
      <c r="T4" s="129">
        <f t="shared" ca="1" si="3"/>
        <v>0</v>
      </c>
      <c r="U4" s="129">
        <f t="shared" ca="1" si="3"/>
        <v>0</v>
      </c>
      <c r="V4" s="129">
        <f t="shared" ca="1" si="3"/>
        <v>0</v>
      </c>
      <c r="W4" s="129">
        <f t="shared" ca="1" si="3"/>
        <v>0</v>
      </c>
      <c r="X4" s="129">
        <f t="shared" ca="1" si="3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4">D3/3</f>
        <v>0</v>
      </c>
      <c r="E5" s="129">
        <f t="shared" ca="1" si="4"/>
        <v>0</v>
      </c>
      <c r="F5" s="129">
        <f t="shared" ca="1" si="4"/>
        <v>0</v>
      </c>
      <c r="G5" s="129">
        <f t="shared" ca="1" si="4"/>
        <v>0</v>
      </c>
      <c r="H5" s="129">
        <f t="shared" ca="1" si="4"/>
        <v>0</v>
      </c>
      <c r="I5" s="129">
        <f t="shared" ca="1" si="4"/>
        <v>0</v>
      </c>
      <c r="J5" s="129">
        <f t="shared" ca="1" si="4"/>
        <v>0</v>
      </c>
      <c r="K5" s="129">
        <f t="shared" ca="1" si="4"/>
        <v>0</v>
      </c>
      <c r="L5" s="129">
        <f t="shared" ca="1" si="4"/>
        <v>0</v>
      </c>
      <c r="M5" s="129">
        <f t="shared" ca="1" si="4"/>
        <v>0</v>
      </c>
      <c r="N5" s="129">
        <f t="shared" ca="1" si="4"/>
        <v>0</v>
      </c>
      <c r="O5" s="129">
        <f t="shared" ca="1" si="4"/>
        <v>0</v>
      </c>
      <c r="P5" s="129">
        <f t="shared" ca="1" si="4"/>
        <v>0</v>
      </c>
      <c r="Q5" s="129">
        <f t="shared" ca="1" si="4"/>
        <v>0</v>
      </c>
      <c r="R5" s="129">
        <f t="shared" ca="1" si="4"/>
        <v>0</v>
      </c>
      <c r="S5" s="129">
        <f t="shared" ref="S5:X5" ca="1" si="5">S3/3</f>
        <v>0</v>
      </c>
      <c r="T5" s="129">
        <f t="shared" ca="1" si="5"/>
        <v>0</v>
      </c>
      <c r="U5" s="129">
        <f t="shared" ca="1" si="5"/>
        <v>0</v>
      </c>
      <c r="V5" s="129">
        <f t="shared" ca="1" si="5"/>
        <v>0</v>
      </c>
      <c r="W5" s="129">
        <f t="shared" ca="1" si="5"/>
        <v>0</v>
      </c>
      <c r="X5" s="129">
        <f t="shared" ca="1" si="5"/>
        <v>0</v>
      </c>
      <c r="Y5" s="129">
        <f t="shared" ca="1" si="4"/>
        <v>0</v>
      </c>
      <c r="Z5" s="131">
        <f t="shared" ca="1" si="4"/>
        <v>0</v>
      </c>
      <c r="AA5" s="134"/>
      <c r="AB5" s="133">
        <f t="shared" ca="1" si="4"/>
        <v>0</v>
      </c>
      <c r="AC5" s="133">
        <f t="shared" ca="1" si="4"/>
        <v>0</v>
      </c>
      <c r="AD5" s="133">
        <f t="shared" ca="1" si="4"/>
        <v>0</v>
      </c>
      <c r="AE5" s="129">
        <f t="shared" ca="1" si="4"/>
        <v>0</v>
      </c>
      <c r="AF5" s="133">
        <f t="shared" ca="1" si="4"/>
        <v>0</v>
      </c>
    </row>
    <row r="6" spans="1:32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" si="6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7">IF(A8&lt;&gt;"",INDIRECT("'"&amp;$A8&amp;"'!E5"),"")</f>
        <v/>
      </c>
      <c r="C8" s="128" t="str">
        <f t="shared" ref="C8:C13" ca="1" si="8">IF($A8&lt;&gt;"",INDIRECT("'"&amp;$A8&amp;"'!L13"),"")</f>
        <v/>
      </c>
      <c r="D8" s="128" t="str">
        <f t="shared" ref="D8:D13" ca="1" si="9">IF($A8&lt;&gt;"",INDIRECT("'"&amp;$A8&amp;"'!L14"),"")</f>
        <v/>
      </c>
      <c r="E8" s="128" t="str">
        <f t="shared" ref="E8:E13" ca="1" si="10">IF($A8&lt;&gt;"",INDIRECT("'"&amp;$A8&amp;"'!L15"),"")</f>
        <v/>
      </c>
      <c r="F8" s="128" t="str">
        <f t="shared" ref="F8:F13" ca="1" si="11">IF($A8&lt;&gt;"",INDIRECT("'"&amp;$A8&amp;"'!L16"),"")</f>
        <v/>
      </c>
      <c r="G8" s="128" t="str">
        <f t="shared" ref="G8:G13" ca="1" si="12">IF($A8&lt;&gt;"",INDIRECT("'"&amp;$A8&amp;"'!L17"),"")</f>
        <v/>
      </c>
      <c r="H8" s="128" t="str">
        <f t="shared" ref="H8:H13" ca="1" si="13">IF($A8&lt;&gt;"",INDIRECT("'"&amp;$A8&amp;"'!L18"),"")</f>
        <v/>
      </c>
      <c r="I8" s="128" t="str">
        <f t="shared" ref="I8:I13" ca="1" si="14">IF($A8&lt;&gt;"",INDIRECT("'"&amp;$A8&amp;"'!L19"),"")</f>
        <v/>
      </c>
      <c r="J8" s="128" t="str">
        <f t="shared" ref="J8:J13" ca="1" si="15">IF($A8&lt;&gt;"",INDIRECT("'"&amp;$A8&amp;"'!L20"),"")</f>
        <v/>
      </c>
      <c r="K8" s="128" t="str">
        <f t="shared" ref="K8:K13" ca="1" si="16">IF($A8&lt;&gt;"",INDIRECT("'"&amp;$A8&amp;"'!L21"),"")</f>
        <v/>
      </c>
      <c r="L8" s="128" t="str">
        <f t="shared" ref="L8:L13" ca="1" si="17">IF($A8&lt;&gt;"",INDIRECT("'"&amp;$A8&amp;"'!L22"),"")</f>
        <v/>
      </c>
      <c r="M8" s="128" t="str">
        <f t="shared" ref="M8:M13" ca="1" si="18">IF($A8&lt;&gt;"",INDIRECT("'"&amp;$A8&amp;"'!L23"),"")</f>
        <v/>
      </c>
      <c r="N8" s="128" t="str">
        <f t="shared" ref="N8:N13" ca="1" si="19">IF($A8&lt;&gt;"",INDIRECT("'"&amp;$A8&amp;"'!L24"),"")</f>
        <v/>
      </c>
      <c r="O8" s="128" t="str">
        <f t="shared" ref="O8:O13" ca="1" si="20">IF($A8&lt;&gt;"",INDIRECT("'"&amp;$A8&amp;"'!L25"),"")</f>
        <v/>
      </c>
      <c r="P8" s="128" t="str">
        <f t="shared" ref="P8:P13" ca="1" si="21">IF($A8&lt;&gt;"",INDIRECT("'"&amp;$A8&amp;"'!L26"),"")</f>
        <v/>
      </c>
      <c r="Q8" s="128" t="str">
        <f t="shared" ref="Q8:Q13" ca="1" si="22">IF($A8&lt;&gt;"",INDIRECT("'"&amp;$A8&amp;"'!L27"),"")</f>
        <v/>
      </c>
      <c r="R8" s="128" t="str">
        <f t="shared" ref="R8:R13" ca="1" si="23">IF($A8&lt;&gt;"",INDIRECT("'"&amp;$A8&amp;"'!L28"),"")</f>
        <v/>
      </c>
      <c r="S8" s="128" t="str">
        <f t="shared" ref="S8:S13" ca="1" si="24">IF($A8&lt;&gt;"",INDIRECT("'"&amp;$A8&amp;"'!L29"),"")</f>
        <v/>
      </c>
      <c r="T8" s="128" t="str">
        <f t="shared" ref="T8:T13" ca="1" si="25">IF($A8&lt;&gt;"",INDIRECT("'"&amp;$A8&amp;"'!L30"),"")</f>
        <v/>
      </c>
      <c r="U8" s="128" t="str">
        <f t="shared" ref="U8:U13" ca="1" si="26">IF($A8&lt;&gt;"",INDIRECT("'"&amp;$A8&amp;"'!L31"),"")</f>
        <v/>
      </c>
      <c r="V8" s="128" t="str">
        <f t="shared" ref="V8:V13" ca="1" si="27">IF($A8&lt;&gt;"",INDIRECT("'"&amp;$A8&amp;"'!L32"),"")</f>
        <v/>
      </c>
      <c r="W8" s="128" t="str">
        <f t="shared" ref="W8:W13" ca="1" si="28">IF($A8&lt;&gt;"",INDIRECT("'"&amp;$A8&amp;"'!L33"),"")</f>
        <v/>
      </c>
      <c r="X8" s="128" t="str">
        <f t="shared" ref="X8:X13" ca="1" si="29">IF($A8&lt;&gt;"",INDIRECT("'"&amp;$A8&amp;"'!L34"),"")</f>
        <v/>
      </c>
      <c r="Y8" s="128" t="str">
        <f t="shared" ref="Y8:Y13" ca="1" si="30">IF($A8&lt;&gt;"",INDIRECT("'"&amp;$A8&amp;"'!L35"),"")</f>
        <v/>
      </c>
      <c r="Z8" s="141" t="str">
        <f t="shared" ref="Z8:Z13" ca="1" si="31">IF($A8&lt;&gt;"",INDIRECT("'"&amp;$A8&amp;"'!L36"),"")</f>
        <v/>
      </c>
      <c r="AA8" s="142" t="str">
        <f t="shared" ref="AA8:AA13" si="32">IF($A8&lt;&gt;"",SUM(C22:Y22)/COUNT(C8:Y8),"")</f>
        <v/>
      </c>
      <c r="AB8" s="143" t="str">
        <f t="shared" ref="AB8:AB13" ca="1" si="33">IF($A8&lt;&gt;"",INDIRECT("'"&amp;$A8&amp;"'!F36"),"")</f>
        <v/>
      </c>
      <c r="AC8" s="143" t="str">
        <f t="shared" ref="AC8:AC13" ca="1" si="34">IF($A8&lt;&gt;"",INDIRECT("'"&amp;$A8&amp;"'!H36"),"")</f>
        <v/>
      </c>
      <c r="AD8" s="143" t="str">
        <f t="shared" ref="AD8:AD13" ca="1" si="35">IF($A8&lt;&gt;"",INDIRECT("'"&amp;$A8&amp;"'!I36"),"")</f>
        <v/>
      </c>
      <c r="AE8" s="144" t="str">
        <f t="shared" ref="AE8:AE13" ca="1" si="36">IF($A8&lt;&gt;"",INDIRECT("'"&amp;$A8&amp;"'!J36"),"")</f>
        <v/>
      </c>
      <c r="AF8" s="143" t="str">
        <f t="shared" ref="AF8:AF13" ca="1" si="37">IF($A8&lt;&gt;"",INDIRECT("'"&amp;$A8&amp;"'!K36"),"")</f>
        <v/>
      </c>
    </row>
    <row r="9" spans="1:32" ht="15" customHeight="1" x14ac:dyDescent="0.2">
      <c r="A9" s="121"/>
      <c r="B9" s="121" t="str">
        <f t="shared" ca="1" si="7"/>
        <v/>
      </c>
      <c r="C9" s="144" t="str">
        <f t="shared" ca="1" si="8"/>
        <v/>
      </c>
      <c r="D9" s="144" t="str">
        <f t="shared" ca="1" si="9"/>
        <v/>
      </c>
      <c r="E9" s="144" t="str">
        <f t="shared" ca="1" si="10"/>
        <v/>
      </c>
      <c r="F9" s="144" t="str">
        <f t="shared" ca="1" si="11"/>
        <v/>
      </c>
      <c r="G9" s="144" t="str">
        <f t="shared" ca="1" si="12"/>
        <v/>
      </c>
      <c r="H9" s="144" t="str">
        <f t="shared" ca="1" si="13"/>
        <v/>
      </c>
      <c r="I9" s="144" t="str">
        <f t="shared" ca="1" si="14"/>
        <v/>
      </c>
      <c r="J9" s="144" t="str">
        <f t="shared" ca="1" si="15"/>
        <v/>
      </c>
      <c r="K9" s="144" t="str">
        <f t="shared" ca="1" si="16"/>
        <v/>
      </c>
      <c r="L9" s="144" t="str">
        <f t="shared" ca="1" si="17"/>
        <v/>
      </c>
      <c r="M9" s="144" t="str">
        <f t="shared" ca="1" si="18"/>
        <v/>
      </c>
      <c r="N9" s="144" t="str">
        <f t="shared" ca="1" si="19"/>
        <v/>
      </c>
      <c r="O9" s="144" t="str">
        <f t="shared" ca="1" si="20"/>
        <v/>
      </c>
      <c r="P9" s="144" t="str">
        <f t="shared" ca="1" si="21"/>
        <v/>
      </c>
      <c r="Q9" s="144" t="str">
        <f t="shared" ca="1" si="22"/>
        <v/>
      </c>
      <c r="R9" s="144" t="str">
        <f t="shared" ca="1" si="23"/>
        <v/>
      </c>
      <c r="S9" s="144" t="str">
        <f t="shared" ca="1" si="24"/>
        <v/>
      </c>
      <c r="T9" s="144" t="str">
        <f t="shared" ca="1" si="25"/>
        <v/>
      </c>
      <c r="U9" s="144" t="str">
        <f t="shared" ca="1" si="26"/>
        <v/>
      </c>
      <c r="V9" s="144" t="str">
        <f t="shared" ca="1" si="27"/>
        <v/>
      </c>
      <c r="W9" s="144" t="str">
        <f t="shared" ca="1" si="28"/>
        <v/>
      </c>
      <c r="X9" s="144" t="str">
        <f t="shared" ca="1" si="29"/>
        <v/>
      </c>
      <c r="Y9" s="144" t="str">
        <f t="shared" ca="1" si="30"/>
        <v/>
      </c>
      <c r="Z9" s="141" t="str">
        <f t="shared" ca="1" si="31"/>
        <v/>
      </c>
      <c r="AA9" s="145" t="str">
        <f t="shared" si="32"/>
        <v/>
      </c>
      <c r="AB9" s="143" t="str">
        <f t="shared" ca="1" si="33"/>
        <v/>
      </c>
      <c r="AC9" s="143" t="str">
        <f t="shared" ca="1" si="34"/>
        <v/>
      </c>
      <c r="AD9" s="143" t="str">
        <f t="shared" ca="1" si="35"/>
        <v/>
      </c>
      <c r="AE9" s="144" t="str">
        <f t="shared" ca="1" si="36"/>
        <v/>
      </c>
      <c r="AF9" s="143" t="str">
        <f t="shared" ca="1" si="37"/>
        <v/>
      </c>
    </row>
    <row r="10" spans="1:32" ht="15" customHeight="1" x14ac:dyDescent="0.2">
      <c r="A10" s="121"/>
      <c r="B10" s="121" t="str">
        <f t="shared" ca="1" si="7"/>
        <v/>
      </c>
      <c r="C10" s="144" t="str">
        <f t="shared" ca="1" si="8"/>
        <v/>
      </c>
      <c r="D10" s="144" t="str">
        <f t="shared" ca="1" si="9"/>
        <v/>
      </c>
      <c r="E10" s="144" t="str">
        <f t="shared" ca="1" si="10"/>
        <v/>
      </c>
      <c r="F10" s="144" t="str">
        <f t="shared" ca="1" si="11"/>
        <v/>
      </c>
      <c r="G10" s="144" t="str">
        <f t="shared" ca="1" si="12"/>
        <v/>
      </c>
      <c r="H10" s="144" t="str">
        <f t="shared" ca="1" si="13"/>
        <v/>
      </c>
      <c r="I10" s="144" t="str">
        <f t="shared" ca="1" si="14"/>
        <v/>
      </c>
      <c r="J10" s="144" t="str">
        <f t="shared" ca="1" si="15"/>
        <v/>
      </c>
      <c r="K10" s="144" t="str">
        <f t="shared" ca="1" si="16"/>
        <v/>
      </c>
      <c r="L10" s="144" t="str">
        <f t="shared" ca="1" si="17"/>
        <v/>
      </c>
      <c r="M10" s="144" t="str">
        <f t="shared" ca="1" si="18"/>
        <v/>
      </c>
      <c r="N10" s="144" t="str">
        <f t="shared" ca="1" si="19"/>
        <v/>
      </c>
      <c r="O10" s="144" t="str">
        <f t="shared" ca="1" si="20"/>
        <v/>
      </c>
      <c r="P10" s="144" t="str">
        <f t="shared" ca="1" si="21"/>
        <v/>
      </c>
      <c r="Q10" s="144" t="str">
        <f t="shared" ca="1" si="22"/>
        <v/>
      </c>
      <c r="R10" s="144" t="str">
        <f t="shared" ca="1" si="23"/>
        <v/>
      </c>
      <c r="S10" s="144" t="str">
        <f t="shared" ca="1" si="24"/>
        <v/>
      </c>
      <c r="T10" s="144" t="str">
        <f t="shared" ca="1" si="25"/>
        <v/>
      </c>
      <c r="U10" s="144" t="str">
        <f t="shared" ca="1" si="26"/>
        <v/>
      </c>
      <c r="V10" s="144" t="str">
        <f t="shared" ca="1" si="27"/>
        <v/>
      </c>
      <c r="W10" s="144" t="str">
        <f t="shared" ca="1" si="28"/>
        <v/>
      </c>
      <c r="X10" s="144" t="str">
        <f t="shared" ca="1" si="29"/>
        <v/>
      </c>
      <c r="Y10" s="144" t="str">
        <f t="shared" ca="1" si="30"/>
        <v/>
      </c>
      <c r="Z10" s="141" t="str">
        <f t="shared" ca="1" si="31"/>
        <v/>
      </c>
      <c r="AA10" s="145" t="str">
        <f t="shared" si="32"/>
        <v/>
      </c>
      <c r="AB10" s="143" t="str">
        <f t="shared" ca="1" si="33"/>
        <v/>
      </c>
      <c r="AC10" s="143" t="str">
        <f t="shared" ca="1" si="34"/>
        <v/>
      </c>
      <c r="AD10" s="143" t="str">
        <f t="shared" ca="1" si="35"/>
        <v/>
      </c>
      <c r="AE10" s="144" t="str">
        <f t="shared" ca="1" si="36"/>
        <v/>
      </c>
      <c r="AF10" s="143" t="str">
        <f t="shared" ca="1" si="37"/>
        <v/>
      </c>
    </row>
    <row r="11" spans="1:32" ht="15" customHeight="1" x14ac:dyDescent="0.2">
      <c r="A11" s="121"/>
      <c r="B11" s="282" t="str">
        <f t="shared" ca="1" si="7"/>
        <v/>
      </c>
      <c r="C11" s="128" t="str">
        <f t="shared" ca="1" si="8"/>
        <v/>
      </c>
      <c r="D11" s="128" t="str">
        <f t="shared" ca="1" si="9"/>
        <v/>
      </c>
      <c r="E11" s="128" t="str">
        <f t="shared" ca="1" si="10"/>
        <v/>
      </c>
      <c r="F11" s="128" t="str">
        <f t="shared" ca="1" si="11"/>
        <v/>
      </c>
      <c r="G11" s="128" t="str">
        <f t="shared" ca="1" si="12"/>
        <v/>
      </c>
      <c r="H11" s="128" t="str">
        <f t="shared" ca="1" si="13"/>
        <v/>
      </c>
      <c r="I11" s="128" t="str">
        <f t="shared" ca="1" si="14"/>
        <v/>
      </c>
      <c r="J11" s="128" t="str">
        <f t="shared" ca="1" si="15"/>
        <v/>
      </c>
      <c r="K11" s="128" t="str">
        <f t="shared" ca="1" si="16"/>
        <v/>
      </c>
      <c r="L11" s="128" t="str">
        <f t="shared" ca="1" si="17"/>
        <v/>
      </c>
      <c r="M11" s="128" t="str">
        <f t="shared" ca="1" si="18"/>
        <v/>
      </c>
      <c r="N11" s="128" t="str">
        <f t="shared" ca="1" si="19"/>
        <v/>
      </c>
      <c r="O11" s="128" t="str">
        <f t="shared" ca="1" si="20"/>
        <v/>
      </c>
      <c r="P11" s="128" t="str">
        <f t="shared" ca="1" si="21"/>
        <v/>
      </c>
      <c r="Q11" s="128" t="str">
        <f t="shared" ca="1" si="22"/>
        <v/>
      </c>
      <c r="R11" s="128" t="str">
        <f t="shared" ca="1" si="23"/>
        <v/>
      </c>
      <c r="S11" s="128" t="str">
        <f t="shared" ca="1" si="24"/>
        <v/>
      </c>
      <c r="T11" s="128" t="str">
        <f t="shared" ca="1" si="25"/>
        <v/>
      </c>
      <c r="U11" s="128" t="str">
        <f t="shared" ca="1" si="26"/>
        <v/>
      </c>
      <c r="V11" s="128" t="str">
        <f t="shared" ca="1" si="27"/>
        <v/>
      </c>
      <c r="W11" s="128" t="str">
        <f t="shared" ca="1" si="28"/>
        <v/>
      </c>
      <c r="X11" s="128" t="str">
        <f t="shared" ca="1" si="29"/>
        <v/>
      </c>
      <c r="Y11" s="128" t="str">
        <f t="shared" ca="1" si="30"/>
        <v/>
      </c>
      <c r="Z11" s="141" t="str">
        <f t="shared" ca="1" si="31"/>
        <v/>
      </c>
      <c r="AA11" s="145" t="str">
        <f t="shared" si="32"/>
        <v/>
      </c>
      <c r="AB11" s="143" t="str">
        <f t="shared" ca="1" si="33"/>
        <v/>
      </c>
      <c r="AC11" s="143" t="str">
        <f t="shared" ca="1" si="34"/>
        <v/>
      </c>
      <c r="AD11" s="143" t="str">
        <f t="shared" ca="1" si="35"/>
        <v/>
      </c>
      <c r="AE11" s="144" t="str">
        <f t="shared" ca="1" si="36"/>
        <v/>
      </c>
      <c r="AF11" s="143" t="str">
        <f t="shared" ca="1" si="37"/>
        <v/>
      </c>
    </row>
    <row r="12" spans="1:32" ht="15" customHeight="1" thickBot="1" x14ac:dyDescent="0.25">
      <c r="A12" s="121"/>
      <c r="B12" s="122" t="str">
        <f t="shared" ca="1" si="7"/>
        <v/>
      </c>
      <c r="C12" s="146" t="str">
        <f t="shared" ca="1" si="8"/>
        <v/>
      </c>
      <c r="D12" s="146" t="str">
        <f t="shared" ca="1" si="9"/>
        <v/>
      </c>
      <c r="E12" s="146" t="str">
        <f t="shared" ca="1" si="10"/>
        <v/>
      </c>
      <c r="F12" s="146" t="str">
        <f t="shared" ca="1" si="11"/>
        <v/>
      </c>
      <c r="G12" s="146" t="str">
        <f t="shared" ca="1" si="12"/>
        <v/>
      </c>
      <c r="H12" s="146" t="str">
        <f t="shared" ca="1" si="13"/>
        <v/>
      </c>
      <c r="I12" s="146" t="str">
        <f t="shared" ca="1" si="14"/>
        <v/>
      </c>
      <c r="J12" s="146" t="str">
        <f t="shared" ca="1" si="15"/>
        <v/>
      </c>
      <c r="K12" s="146" t="str">
        <f t="shared" ca="1" si="16"/>
        <v/>
      </c>
      <c r="L12" s="146" t="str">
        <f t="shared" ca="1" si="17"/>
        <v/>
      </c>
      <c r="M12" s="146" t="str">
        <f t="shared" ca="1" si="18"/>
        <v/>
      </c>
      <c r="N12" s="146" t="str">
        <f t="shared" ca="1" si="19"/>
        <v/>
      </c>
      <c r="O12" s="146" t="str">
        <f t="shared" ca="1" si="20"/>
        <v/>
      </c>
      <c r="P12" s="146" t="str">
        <f t="shared" ca="1" si="21"/>
        <v/>
      </c>
      <c r="Q12" s="146" t="str">
        <f t="shared" ca="1" si="22"/>
        <v/>
      </c>
      <c r="R12" s="146" t="str">
        <f t="shared" ca="1" si="23"/>
        <v/>
      </c>
      <c r="S12" s="146" t="str">
        <f t="shared" ca="1" si="24"/>
        <v/>
      </c>
      <c r="T12" s="146" t="str">
        <f t="shared" ca="1" si="25"/>
        <v/>
      </c>
      <c r="U12" s="146" t="str">
        <f t="shared" ca="1" si="26"/>
        <v/>
      </c>
      <c r="V12" s="146" t="str">
        <f t="shared" ca="1" si="27"/>
        <v/>
      </c>
      <c r="W12" s="146" t="str">
        <f t="shared" ca="1" si="28"/>
        <v/>
      </c>
      <c r="X12" s="146" t="str">
        <f t="shared" ca="1" si="29"/>
        <v/>
      </c>
      <c r="Y12" s="146" t="str">
        <f t="shared" ca="1" si="30"/>
        <v/>
      </c>
      <c r="Z12" s="147" t="str">
        <f t="shared" ca="1" si="31"/>
        <v/>
      </c>
      <c r="AA12" s="145" t="str">
        <f t="shared" si="32"/>
        <v/>
      </c>
      <c r="AB12" s="147" t="str">
        <f t="shared" ca="1" si="33"/>
        <v/>
      </c>
      <c r="AC12" s="147" t="str">
        <f t="shared" ca="1" si="34"/>
        <v/>
      </c>
      <c r="AD12" s="147" t="str">
        <f t="shared" ca="1" si="35"/>
        <v/>
      </c>
      <c r="AE12" s="146" t="str">
        <f t="shared" ca="1" si="36"/>
        <v/>
      </c>
      <c r="AF12" s="147" t="str">
        <f t="shared" ca="1" si="37"/>
        <v/>
      </c>
    </row>
    <row r="13" spans="1:32" ht="15" customHeight="1" thickBot="1" x14ac:dyDescent="0.25">
      <c r="A13" s="123"/>
      <c r="B13" s="123" t="str">
        <f t="shared" ca="1" si="7"/>
        <v/>
      </c>
      <c r="C13" s="148" t="str">
        <f t="shared" ca="1" si="8"/>
        <v/>
      </c>
      <c r="D13" s="148" t="str">
        <f t="shared" ca="1" si="9"/>
        <v/>
      </c>
      <c r="E13" s="148" t="str">
        <f t="shared" ca="1" si="10"/>
        <v/>
      </c>
      <c r="F13" s="148" t="str">
        <f t="shared" ca="1" si="11"/>
        <v/>
      </c>
      <c r="G13" s="148" t="str">
        <f t="shared" ca="1" si="12"/>
        <v/>
      </c>
      <c r="H13" s="148" t="str">
        <f t="shared" ca="1" si="13"/>
        <v/>
      </c>
      <c r="I13" s="148" t="str">
        <f t="shared" ca="1" si="14"/>
        <v/>
      </c>
      <c r="J13" s="148" t="str">
        <f t="shared" ca="1" si="15"/>
        <v/>
      </c>
      <c r="K13" s="148" t="str">
        <f t="shared" ca="1" si="16"/>
        <v/>
      </c>
      <c r="L13" s="148" t="str">
        <f t="shared" ca="1" si="17"/>
        <v/>
      </c>
      <c r="M13" s="148" t="str">
        <f t="shared" ca="1" si="18"/>
        <v/>
      </c>
      <c r="N13" s="148" t="str">
        <f t="shared" ca="1" si="19"/>
        <v/>
      </c>
      <c r="O13" s="148" t="str">
        <f t="shared" ca="1" si="20"/>
        <v/>
      </c>
      <c r="P13" s="148" t="str">
        <f t="shared" ca="1" si="21"/>
        <v/>
      </c>
      <c r="Q13" s="148" t="str">
        <f t="shared" ca="1" si="22"/>
        <v/>
      </c>
      <c r="R13" s="148" t="str">
        <f t="shared" ca="1" si="23"/>
        <v/>
      </c>
      <c r="S13" s="148" t="str">
        <f t="shared" ca="1" si="24"/>
        <v/>
      </c>
      <c r="T13" s="148" t="str">
        <f t="shared" ca="1" si="25"/>
        <v/>
      </c>
      <c r="U13" s="148" t="str">
        <f t="shared" ca="1" si="26"/>
        <v/>
      </c>
      <c r="V13" s="148" t="str">
        <f t="shared" ca="1" si="27"/>
        <v/>
      </c>
      <c r="W13" s="148" t="str">
        <f t="shared" ca="1" si="28"/>
        <v/>
      </c>
      <c r="X13" s="148" t="str">
        <f t="shared" ca="1" si="29"/>
        <v/>
      </c>
      <c r="Y13" s="148" t="str">
        <f t="shared" ca="1" si="30"/>
        <v/>
      </c>
      <c r="Z13" s="149" t="str">
        <f t="shared" ca="1" si="31"/>
        <v/>
      </c>
      <c r="AA13" s="150" t="str">
        <f t="shared" si="32"/>
        <v/>
      </c>
      <c r="AB13" s="149" t="str">
        <f t="shared" ca="1" si="33"/>
        <v/>
      </c>
      <c r="AC13" s="149" t="str">
        <f t="shared" ca="1" si="34"/>
        <v/>
      </c>
      <c r="AD13" s="149" t="str">
        <f t="shared" ca="1" si="35"/>
        <v/>
      </c>
      <c r="AE13" s="148" t="str">
        <f t="shared" ca="1" si="36"/>
        <v/>
      </c>
      <c r="AF13" s="149" t="str">
        <f t="shared" ca="1" si="37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ht="15" customHeight="1" x14ac:dyDescent="0.2">
      <c r="A15" s="125"/>
      <c r="B15" s="125" t="str">
        <f t="shared" ref="B15:B16" ca="1" si="38">IF(A15&lt;&gt;"",INDIRECT("'"&amp;$A15&amp;"'!E5"),"")</f>
        <v/>
      </c>
      <c r="C15" s="155" t="str">
        <f t="shared" ref="C15:C16" ca="1" si="39">IF($A15&lt;&gt;"",INDIRECT("'"&amp;$A15&amp;"'!L13"),"")</f>
        <v/>
      </c>
      <c r="D15" s="155" t="str">
        <f t="shared" ref="D15:D16" ca="1" si="40">IF($A15&lt;&gt;"",INDIRECT("'"&amp;$A15&amp;"'!L14"),"")</f>
        <v/>
      </c>
      <c r="E15" s="155" t="str">
        <f t="shared" ref="E15:E16" ca="1" si="41">IF($A15&lt;&gt;"",INDIRECT("'"&amp;$A15&amp;"'!L15"),"")</f>
        <v/>
      </c>
      <c r="F15" s="155" t="str">
        <f t="shared" ref="F15:F16" ca="1" si="42">IF($A15&lt;&gt;"",INDIRECT("'"&amp;$A15&amp;"'!L16"),"")</f>
        <v/>
      </c>
      <c r="G15" s="155" t="str">
        <f t="shared" ref="G15:G16" ca="1" si="43">IF($A15&lt;&gt;"",INDIRECT("'"&amp;$A15&amp;"'!L17"),"")</f>
        <v/>
      </c>
      <c r="H15" s="155" t="str">
        <f t="shared" ref="H15:H16" ca="1" si="44">IF($A15&lt;&gt;"",INDIRECT("'"&amp;$A15&amp;"'!L18"),"")</f>
        <v/>
      </c>
      <c r="I15" s="155" t="str">
        <f t="shared" ref="I15:I16" ca="1" si="45">IF($A15&lt;&gt;"",INDIRECT("'"&amp;$A15&amp;"'!L19"),"")</f>
        <v/>
      </c>
      <c r="J15" s="155" t="str">
        <f t="shared" ref="J15:J16" ca="1" si="46">IF($A15&lt;&gt;"",INDIRECT("'"&amp;$A15&amp;"'!L20"),"")</f>
        <v/>
      </c>
      <c r="K15" s="155" t="str">
        <f t="shared" ref="K15:K16" ca="1" si="47">IF($A15&lt;&gt;"",INDIRECT("'"&amp;$A15&amp;"'!L21"),"")</f>
        <v/>
      </c>
      <c r="L15" s="155" t="str">
        <f t="shared" ref="L15:L16" ca="1" si="48">IF($A15&lt;&gt;"",INDIRECT("'"&amp;$A15&amp;"'!L22"),"")</f>
        <v/>
      </c>
      <c r="M15" s="155" t="str">
        <f t="shared" ref="M15:M16" ca="1" si="49">IF($A15&lt;&gt;"",INDIRECT("'"&amp;$A15&amp;"'!L23"),"")</f>
        <v/>
      </c>
      <c r="N15" s="155" t="str">
        <f t="shared" ref="N15:N16" ca="1" si="50">IF($A15&lt;&gt;"",INDIRECT("'"&amp;$A15&amp;"'!L24"),"")</f>
        <v/>
      </c>
      <c r="O15" s="155" t="str">
        <f t="shared" ref="O15:O16" ca="1" si="51">IF($A15&lt;&gt;"",INDIRECT("'"&amp;$A15&amp;"'!L25"),"")</f>
        <v/>
      </c>
      <c r="P15" s="155" t="str">
        <f t="shared" ref="P15:P16" ca="1" si="52">IF($A15&lt;&gt;"",INDIRECT("'"&amp;$A15&amp;"'!L26"),"")</f>
        <v/>
      </c>
      <c r="Q15" s="155" t="str">
        <f t="shared" ref="Q15:Q16" ca="1" si="53">IF($A15&lt;&gt;"",INDIRECT("'"&amp;$A15&amp;"'!L27"),"")</f>
        <v/>
      </c>
      <c r="R15" s="155" t="str">
        <f t="shared" ref="R15:R16" ca="1" si="54">IF($A15&lt;&gt;"",INDIRECT("'"&amp;$A15&amp;"'!L28"),"")</f>
        <v/>
      </c>
      <c r="S15" s="155" t="str">
        <f t="shared" ref="S15:S16" ca="1" si="55">IF($A15&lt;&gt;"",INDIRECT("'"&amp;$A15&amp;"'!L29"),"")</f>
        <v/>
      </c>
      <c r="T15" s="155" t="str">
        <f t="shared" ref="T15:T16" ca="1" si="56">IF($A15&lt;&gt;"",INDIRECT("'"&amp;$A15&amp;"'!L30"),"")</f>
        <v/>
      </c>
      <c r="U15" s="155" t="str">
        <f t="shared" ref="U15:U16" ca="1" si="57">IF($A15&lt;&gt;"",INDIRECT("'"&amp;$A15&amp;"'!L31"),"")</f>
        <v/>
      </c>
      <c r="V15" s="155" t="str">
        <f t="shared" ref="V15:V16" ca="1" si="58">IF($A15&lt;&gt;"",INDIRECT("'"&amp;$A15&amp;"'!L32"),"")</f>
        <v/>
      </c>
      <c r="W15" s="155" t="str">
        <f t="shared" ref="W15:W16" ca="1" si="59">IF($A15&lt;&gt;"",INDIRECT("'"&amp;$A15&amp;"'!L33"),"")</f>
        <v/>
      </c>
      <c r="X15" s="155" t="str">
        <f t="shared" ref="X15:X16" ca="1" si="60">IF($A15&lt;&gt;"",INDIRECT("'"&amp;$A15&amp;"'!L34"),"")</f>
        <v/>
      </c>
      <c r="Y15" s="155" t="str">
        <f t="shared" ref="Y15:Y16" ca="1" si="61">IF($A15&lt;&gt;"",INDIRECT("'"&amp;$A15&amp;"'!L35"),"")</f>
        <v/>
      </c>
      <c r="Z15" s="156" t="str">
        <f t="shared" ref="Z15:Z16" ca="1" si="62">IF($A15&lt;&gt;"",INDIRECT("'"&amp;$A15&amp;"'!L36"),"")</f>
        <v/>
      </c>
      <c r="AA15" s="157" t="str">
        <f t="shared" ref="AA15:AA16" si="63">IF($A15&lt;&gt;"",SUM(C29:Y29)/COUNT(C15:Y15),"")</f>
        <v/>
      </c>
      <c r="AB15" s="158" t="str">
        <f t="shared" ref="AB15:AB16" ca="1" si="64">IF($A15&lt;&gt;"",INDIRECT("'"&amp;$A15&amp;"'!F36"),"")</f>
        <v/>
      </c>
      <c r="AC15" s="158" t="str">
        <f t="shared" ref="AC15:AC16" ca="1" si="65">IF($A15&lt;&gt;"",INDIRECT("'"&amp;$A15&amp;"'!H36"),"")</f>
        <v/>
      </c>
      <c r="AD15" s="158" t="str">
        <f t="shared" ref="AD15:AD16" ca="1" si="66">IF($A15&lt;&gt;"",INDIRECT("'"&amp;$A15&amp;"'!I36"),"")</f>
        <v/>
      </c>
      <c r="AE15" s="155" t="str">
        <f t="shared" ref="AE15:AE16" ca="1" si="67">IF($A15&lt;&gt;"",INDIRECT("'"&amp;$A15&amp;"'!J36"),"")</f>
        <v/>
      </c>
      <c r="AF15" s="158" t="str">
        <f t="shared" ref="AF15:AF16" ca="1" si="68">IF($A15&lt;&gt;"",INDIRECT("'"&amp;$A15&amp;"'!K36"),"")</f>
        <v/>
      </c>
    </row>
    <row r="16" spans="1:32" ht="15" customHeight="1" x14ac:dyDescent="0.2">
      <c r="A16" s="124"/>
      <c r="B16" s="124" t="str">
        <f t="shared" ca="1" si="38"/>
        <v/>
      </c>
      <c r="C16" s="151" t="str">
        <f t="shared" ca="1" si="39"/>
        <v/>
      </c>
      <c r="D16" s="151" t="str">
        <f t="shared" ca="1" si="40"/>
        <v/>
      </c>
      <c r="E16" s="151" t="str">
        <f t="shared" ca="1" si="41"/>
        <v/>
      </c>
      <c r="F16" s="151" t="str">
        <f t="shared" ca="1" si="42"/>
        <v/>
      </c>
      <c r="G16" s="151" t="str">
        <f t="shared" ca="1" si="43"/>
        <v/>
      </c>
      <c r="H16" s="151" t="str">
        <f t="shared" ca="1" si="44"/>
        <v/>
      </c>
      <c r="I16" s="151" t="str">
        <f t="shared" ca="1" si="45"/>
        <v/>
      </c>
      <c r="J16" s="151" t="str">
        <f t="shared" ca="1" si="46"/>
        <v/>
      </c>
      <c r="K16" s="151" t="str">
        <f t="shared" ca="1" si="47"/>
        <v/>
      </c>
      <c r="L16" s="151" t="str">
        <f t="shared" ca="1" si="48"/>
        <v/>
      </c>
      <c r="M16" s="151" t="str">
        <f t="shared" ca="1" si="49"/>
        <v/>
      </c>
      <c r="N16" s="151" t="str">
        <f t="shared" ca="1" si="50"/>
        <v/>
      </c>
      <c r="O16" s="151" t="str">
        <f t="shared" ca="1" si="51"/>
        <v/>
      </c>
      <c r="P16" s="151" t="str">
        <f t="shared" ca="1" si="52"/>
        <v/>
      </c>
      <c r="Q16" s="151" t="str">
        <f t="shared" ca="1" si="53"/>
        <v/>
      </c>
      <c r="R16" s="151" t="str">
        <f t="shared" ca="1" si="54"/>
        <v/>
      </c>
      <c r="S16" s="151" t="str">
        <f t="shared" ca="1" si="55"/>
        <v/>
      </c>
      <c r="T16" s="151" t="str">
        <f t="shared" ca="1" si="56"/>
        <v/>
      </c>
      <c r="U16" s="151" t="str">
        <f t="shared" ca="1" si="57"/>
        <v/>
      </c>
      <c r="V16" s="151" t="str">
        <f t="shared" ca="1" si="58"/>
        <v/>
      </c>
      <c r="W16" s="151" t="str">
        <f t="shared" ca="1" si="59"/>
        <v/>
      </c>
      <c r="X16" s="151" t="str">
        <f t="shared" ca="1" si="60"/>
        <v/>
      </c>
      <c r="Y16" s="151" t="str">
        <f t="shared" ca="1" si="61"/>
        <v/>
      </c>
      <c r="Z16" s="159" t="str">
        <f t="shared" ca="1" si="62"/>
        <v/>
      </c>
      <c r="AA16" s="157" t="str">
        <f t="shared" si="63"/>
        <v/>
      </c>
      <c r="AB16" s="154" t="str">
        <f t="shared" ca="1" si="64"/>
        <v/>
      </c>
      <c r="AC16" s="154" t="str">
        <f t="shared" ca="1" si="65"/>
        <v/>
      </c>
      <c r="AD16" s="154" t="str">
        <f t="shared" ca="1" si="66"/>
        <v/>
      </c>
      <c r="AE16" s="151" t="str">
        <f t="shared" ca="1" si="67"/>
        <v/>
      </c>
      <c r="AF16" s="154" t="str">
        <f t="shared" ca="1" si="68"/>
        <v/>
      </c>
    </row>
    <row r="17" spans="1:32" ht="15" customHeight="1" x14ac:dyDescent="0.2">
      <c r="AF17" s="114"/>
    </row>
    <row r="18" spans="1:32" ht="15" customHeight="1" x14ac:dyDescent="0.2">
      <c r="AF18" s="113"/>
    </row>
    <row r="21" spans="1:32" ht="15" hidden="1" customHeight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</row>
    <row r="22" spans="1:32" ht="15" hidden="1" customHeight="1" x14ac:dyDescent="0.2">
      <c r="A22" s="73">
        <f t="shared" ref="A22:B27" si="69">A8</f>
        <v>0</v>
      </c>
      <c r="B22" s="73" t="str">
        <f t="shared" ca="1" si="69"/>
        <v/>
      </c>
      <c r="C22" s="73" t="str">
        <f t="shared" ref="C22:Y22" si="70">IF($A8&lt;&gt;"",IF(ABS(C$3/3-C8)&lt;=0.75,1,0),"")</f>
        <v/>
      </c>
      <c r="D22" s="73" t="str">
        <f t="shared" si="70"/>
        <v/>
      </c>
      <c r="E22" s="73" t="str">
        <f t="shared" si="70"/>
        <v/>
      </c>
      <c r="F22" s="73" t="str">
        <f t="shared" si="70"/>
        <v/>
      </c>
      <c r="G22" s="73" t="str">
        <f t="shared" si="70"/>
        <v/>
      </c>
      <c r="H22" s="73" t="str">
        <f t="shared" si="70"/>
        <v/>
      </c>
      <c r="I22" s="73" t="str">
        <f t="shared" si="70"/>
        <v/>
      </c>
      <c r="J22" s="73" t="str">
        <f t="shared" si="70"/>
        <v/>
      </c>
      <c r="K22" s="73" t="str">
        <f t="shared" si="70"/>
        <v/>
      </c>
      <c r="L22" s="73" t="str">
        <f t="shared" si="70"/>
        <v/>
      </c>
      <c r="M22" s="73" t="str">
        <f t="shared" si="70"/>
        <v/>
      </c>
      <c r="N22" s="73" t="str">
        <f t="shared" si="70"/>
        <v/>
      </c>
      <c r="O22" s="73" t="str">
        <f t="shared" si="70"/>
        <v/>
      </c>
      <c r="P22" s="73" t="str">
        <f t="shared" si="70"/>
        <v/>
      </c>
      <c r="Q22" s="73" t="str">
        <f t="shared" si="70"/>
        <v/>
      </c>
      <c r="R22" s="73" t="str">
        <f t="shared" si="70"/>
        <v/>
      </c>
      <c r="S22" s="73" t="str">
        <f t="shared" si="70"/>
        <v/>
      </c>
      <c r="T22" s="73" t="str">
        <f t="shared" si="70"/>
        <v/>
      </c>
      <c r="U22" s="73" t="str">
        <f t="shared" si="70"/>
        <v/>
      </c>
      <c r="V22" s="73" t="str">
        <f t="shared" si="70"/>
        <v/>
      </c>
      <c r="W22" s="73" t="str">
        <f t="shared" si="70"/>
        <v/>
      </c>
      <c r="X22" s="73" t="str">
        <f t="shared" si="70"/>
        <v/>
      </c>
      <c r="Y22" s="73" t="str">
        <f t="shared" si="70"/>
        <v/>
      </c>
    </row>
    <row r="23" spans="1:32" ht="15" hidden="1" customHeight="1" x14ac:dyDescent="0.2">
      <c r="A23" s="73">
        <f t="shared" si="69"/>
        <v>0</v>
      </c>
      <c r="B23" s="73" t="str">
        <f t="shared" ca="1" si="69"/>
        <v/>
      </c>
      <c r="C23" s="73" t="str">
        <f t="shared" ref="C23:Y23" si="71">IF($A9&lt;&gt;"",IF(ABS(C$3/3-C9)&lt;=0.75,1,0),"")</f>
        <v/>
      </c>
      <c r="D23" s="73" t="str">
        <f t="shared" si="71"/>
        <v/>
      </c>
      <c r="E23" s="73" t="str">
        <f t="shared" si="71"/>
        <v/>
      </c>
      <c r="F23" s="73" t="str">
        <f t="shared" si="71"/>
        <v/>
      </c>
      <c r="G23" s="73" t="str">
        <f t="shared" si="71"/>
        <v/>
      </c>
      <c r="H23" s="73" t="str">
        <f t="shared" si="71"/>
        <v/>
      </c>
      <c r="I23" s="73" t="str">
        <f t="shared" si="71"/>
        <v/>
      </c>
      <c r="J23" s="73" t="str">
        <f t="shared" si="71"/>
        <v/>
      </c>
      <c r="K23" s="73" t="str">
        <f t="shared" si="71"/>
        <v/>
      </c>
      <c r="L23" s="73" t="str">
        <f t="shared" si="71"/>
        <v/>
      </c>
      <c r="M23" s="73" t="str">
        <f t="shared" si="71"/>
        <v/>
      </c>
      <c r="N23" s="73" t="str">
        <f t="shared" si="71"/>
        <v/>
      </c>
      <c r="O23" s="73" t="str">
        <f t="shared" si="71"/>
        <v/>
      </c>
      <c r="P23" s="73" t="str">
        <f t="shared" si="71"/>
        <v/>
      </c>
      <c r="Q23" s="73" t="str">
        <f t="shared" si="71"/>
        <v/>
      </c>
      <c r="R23" s="73" t="str">
        <f t="shared" si="71"/>
        <v/>
      </c>
      <c r="S23" s="73" t="str">
        <f t="shared" si="71"/>
        <v/>
      </c>
      <c r="T23" s="73" t="str">
        <f t="shared" si="71"/>
        <v/>
      </c>
      <c r="U23" s="73" t="str">
        <f t="shared" si="71"/>
        <v/>
      </c>
      <c r="V23" s="73" t="str">
        <f t="shared" si="71"/>
        <v/>
      </c>
      <c r="W23" s="73" t="str">
        <f t="shared" si="71"/>
        <v/>
      </c>
      <c r="X23" s="73" t="str">
        <f t="shared" si="71"/>
        <v/>
      </c>
      <c r="Y23" s="73" t="str">
        <f t="shared" si="71"/>
        <v/>
      </c>
    </row>
    <row r="24" spans="1:32" ht="15" hidden="1" customHeight="1" x14ac:dyDescent="0.2">
      <c r="A24" s="73">
        <f t="shared" si="69"/>
        <v>0</v>
      </c>
      <c r="B24" s="73" t="str">
        <f t="shared" ca="1" si="69"/>
        <v/>
      </c>
      <c r="C24" s="73" t="str">
        <f t="shared" ref="C24:Y24" si="72">IF($A10&lt;&gt;"",IF(ABS(C$3/3-C10)&lt;=0.75,1,0),"")</f>
        <v/>
      </c>
      <c r="D24" s="73" t="str">
        <f t="shared" si="72"/>
        <v/>
      </c>
      <c r="E24" s="73" t="str">
        <f t="shared" si="72"/>
        <v/>
      </c>
      <c r="F24" s="73" t="str">
        <f t="shared" si="72"/>
        <v/>
      </c>
      <c r="G24" s="73" t="str">
        <f t="shared" si="72"/>
        <v/>
      </c>
      <c r="H24" s="73" t="str">
        <f t="shared" si="72"/>
        <v/>
      </c>
      <c r="I24" s="73" t="str">
        <f t="shared" si="72"/>
        <v/>
      </c>
      <c r="J24" s="73" t="str">
        <f t="shared" si="72"/>
        <v/>
      </c>
      <c r="K24" s="73" t="str">
        <f t="shared" si="72"/>
        <v/>
      </c>
      <c r="L24" s="73" t="str">
        <f t="shared" si="72"/>
        <v/>
      </c>
      <c r="M24" s="73" t="str">
        <f t="shared" si="72"/>
        <v/>
      </c>
      <c r="N24" s="73" t="str">
        <f t="shared" si="72"/>
        <v/>
      </c>
      <c r="O24" s="73" t="str">
        <f t="shared" si="72"/>
        <v/>
      </c>
      <c r="P24" s="73" t="str">
        <f t="shared" si="72"/>
        <v/>
      </c>
      <c r="Q24" s="73" t="str">
        <f t="shared" si="72"/>
        <v/>
      </c>
      <c r="R24" s="73" t="str">
        <f t="shared" si="72"/>
        <v/>
      </c>
      <c r="S24" s="73" t="str">
        <f t="shared" si="72"/>
        <v/>
      </c>
      <c r="T24" s="73" t="str">
        <f t="shared" si="72"/>
        <v/>
      </c>
      <c r="U24" s="73" t="str">
        <f t="shared" si="72"/>
        <v/>
      </c>
      <c r="V24" s="73" t="str">
        <f t="shared" si="72"/>
        <v/>
      </c>
      <c r="W24" s="73" t="str">
        <f t="shared" si="72"/>
        <v/>
      </c>
      <c r="X24" s="73" t="str">
        <f t="shared" si="72"/>
        <v/>
      </c>
      <c r="Y24" s="73" t="str">
        <f t="shared" si="72"/>
        <v/>
      </c>
    </row>
    <row r="25" spans="1:32" ht="15" hidden="1" customHeight="1" x14ac:dyDescent="0.2">
      <c r="A25" s="73">
        <f t="shared" si="69"/>
        <v>0</v>
      </c>
      <c r="B25" s="73" t="str">
        <f t="shared" ca="1" si="69"/>
        <v/>
      </c>
      <c r="C25" s="73" t="str">
        <f t="shared" ref="C25:Y25" si="73">IF($A11&lt;&gt;"",IF(ABS(C$3/3-C11)&lt;=0.75,1,0),"")</f>
        <v/>
      </c>
      <c r="D25" s="73" t="str">
        <f t="shared" si="73"/>
        <v/>
      </c>
      <c r="E25" s="73" t="str">
        <f t="shared" si="73"/>
        <v/>
      </c>
      <c r="F25" s="73" t="str">
        <f t="shared" si="73"/>
        <v/>
      </c>
      <c r="G25" s="73" t="str">
        <f t="shared" si="73"/>
        <v/>
      </c>
      <c r="H25" s="73" t="str">
        <f t="shared" si="73"/>
        <v/>
      </c>
      <c r="I25" s="73" t="str">
        <f t="shared" si="73"/>
        <v/>
      </c>
      <c r="J25" s="73" t="str">
        <f t="shared" si="73"/>
        <v/>
      </c>
      <c r="K25" s="73" t="str">
        <f t="shared" si="73"/>
        <v/>
      </c>
      <c r="L25" s="73" t="str">
        <f t="shared" si="73"/>
        <v/>
      </c>
      <c r="M25" s="73" t="str">
        <f t="shared" si="73"/>
        <v/>
      </c>
      <c r="N25" s="73" t="str">
        <f t="shared" si="73"/>
        <v/>
      </c>
      <c r="O25" s="73" t="str">
        <f t="shared" si="73"/>
        <v/>
      </c>
      <c r="P25" s="73" t="str">
        <f t="shared" si="73"/>
        <v/>
      </c>
      <c r="Q25" s="73" t="str">
        <f t="shared" si="73"/>
        <v/>
      </c>
      <c r="R25" s="73" t="str">
        <f t="shared" si="73"/>
        <v/>
      </c>
      <c r="S25" s="73" t="str">
        <f t="shared" si="73"/>
        <v/>
      </c>
      <c r="T25" s="73" t="str">
        <f t="shared" si="73"/>
        <v/>
      </c>
      <c r="U25" s="73" t="str">
        <f t="shared" si="73"/>
        <v/>
      </c>
      <c r="V25" s="73" t="str">
        <f t="shared" si="73"/>
        <v/>
      </c>
      <c r="W25" s="73" t="str">
        <f t="shared" si="73"/>
        <v/>
      </c>
      <c r="X25" s="73" t="str">
        <f t="shared" si="73"/>
        <v/>
      </c>
      <c r="Y25" s="73" t="str">
        <f t="shared" si="73"/>
        <v/>
      </c>
    </row>
    <row r="26" spans="1:32" ht="15" hidden="1" customHeight="1" x14ac:dyDescent="0.2">
      <c r="A26" s="73">
        <f t="shared" si="69"/>
        <v>0</v>
      </c>
      <c r="B26" s="73" t="str">
        <f t="shared" ca="1" si="69"/>
        <v/>
      </c>
      <c r="C26" s="73" t="str">
        <f t="shared" ref="C26:Y26" si="74">IF($A12&lt;&gt;"",IF(ABS(C$3/3-C12)&lt;=0.75,1,0),"")</f>
        <v/>
      </c>
      <c r="D26" s="73" t="str">
        <f t="shared" si="74"/>
        <v/>
      </c>
      <c r="E26" s="73" t="str">
        <f t="shared" si="74"/>
        <v/>
      </c>
      <c r="F26" s="73" t="str">
        <f t="shared" si="74"/>
        <v/>
      </c>
      <c r="G26" s="73" t="str">
        <f t="shared" si="74"/>
        <v/>
      </c>
      <c r="H26" s="73" t="str">
        <f t="shared" si="74"/>
        <v/>
      </c>
      <c r="I26" s="73" t="str">
        <f t="shared" si="74"/>
        <v/>
      </c>
      <c r="J26" s="73" t="str">
        <f t="shared" si="74"/>
        <v/>
      </c>
      <c r="K26" s="73" t="str">
        <f t="shared" si="74"/>
        <v/>
      </c>
      <c r="L26" s="73" t="str">
        <f t="shared" si="74"/>
        <v/>
      </c>
      <c r="M26" s="73" t="str">
        <f t="shared" si="74"/>
        <v/>
      </c>
      <c r="N26" s="73" t="str">
        <f t="shared" si="74"/>
        <v/>
      </c>
      <c r="O26" s="73" t="str">
        <f t="shared" si="74"/>
        <v/>
      </c>
      <c r="P26" s="73" t="str">
        <f t="shared" si="74"/>
        <v/>
      </c>
      <c r="Q26" s="73" t="str">
        <f t="shared" si="74"/>
        <v/>
      </c>
      <c r="R26" s="73" t="str">
        <f t="shared" si="74"/>
        <v/>
      </c>
      <c r="S26" s="73" t="str">
        <f t="shared" si="74"/>
        <v/>
      </c>
      <c r="T26" s="73" t="str">
        <f t="shared" si="74"/>
        <v/>
      </c>
      <c r="U26" s="73" t="str">
        <f t="shared" si="74"/>
        <v/>
      </c>
      <c r="V26" s="73" t="str">
        <f t="shared" si="74"/>
        <v/>
      </c>
      <c r="W26" s="73" t="str">
        <f t="shared" si="74"/>
        <v/>
      </c>
      <c r="X26" s="73" t="str">
        <f t="shared" si="74"/>
        <v/>
      </c>
      <c r="Y26" s="73" t="str">
        <f t="shared" si="74"/>
        <v/>
      </c>
    </row>
    <row r="27" spans="1:32" ht="15" hidden="1" customHeight="1" x14ac:dyDescent="0.2">
      <c r="A27" s="73">
        <f t="shared" si="69"/>
        <v>0</v>
      </c>
      <c r="B27" s="73" t="str">
        <f t="shared" ca="1" si="69"/>
        <v/>
      </c>
      <c r="C27" s="73" t="str">
        <f t="shared" ref="C27:Y27" si="75">IF($A13&lt;&gt;"",IF(ABS(C$3/3-C13)&lt;=0.75,1,0),"")</f>
        <v/>
      </c>
      <c r="D27" s="73" t="str">
        <f t="shared" si="75"/>
        <v/>
      </c>
      <c r="E27" s="73" t="str">
        <f t="shared" si="75"/>
        <v/>
      </c>
      <c r="F27" s="73" t="str">
        <f t="shared" si="75"/>
        <v/>
      </c>
      <c r="G27" s="73" t="str">
        <f t="shared" si="75"/>
        <v/>
      </c>
      <c r="H27" s="73" t="str">
        <f t="shared" si="75"/>
        <v/>
      </c>
      <c r="I27" s="73" t="str">
        <f t="shared" si="75"/>
        <v/>
      </c>
      <c r="J27" s="73" t="str">
        <f t="shared" si="75"/>
        <v/>
      </c>
      <c r="K27" s="73" t="str">
        <f t="shared" si="75"/>
        <v/>
      </c>
      <c r="L27" s="73" t="str">
        <f t="shared" si="75"/>
        <v/>
      </c>
      <c r="M27" s="73" t="str">
        <f t="shared" si="75"/>
        <v/>
      </c>
      <c r="N27" s="73" t="str">
        <f t="shared" si="75"/>
        <v/>
      </c>
      <c r="O27" s="73" t="str">
        <f t="shared" si="75"/>
        <v/>
      </c>
      <c r="P27" s="73" t="str">
        <f t="shared" si="75"/>
        <v/>
      </c>
      <c r="Q27" s="73" t="str">
        <f t="shared" si="75"/>
        <v/>
      </c>
      <c r="R27" s="73" t="str">
        <f t="shared" si="75"/>
        <v/>
      </c>
      <c r="S27" s="73" t="str">
        <f t="shared" si="75"/>
        <v/>
      </c>
      <c r="T27" s="73" t="str">
        <f t="shared" si="75"/>
        <v/>
      </c>
      <c r="U27" s="73" t="str">
        <f t="shared" si="75"/>
        <v/>
      </c>
      <c r="V27" s="73" t="str">
        <f t="shared" si="75"/>
        <v/>
      </c>
      <c r="W27" s="73" t="str">
        <f t="shared" si="75"/>
        <v/>
      </c>
      <c r="X27" s="73" t="str">
        <f t="shared" si="75"/>
        <v/>
      </c>
      <c r="Y27" s="73" t="str">
        <f t="shared" si="75"/>
        <v/>
      </c>
    </row>
    <row r="28" spans="1:32" ht="15" hidden="1" customHeight="1" x14ac:dyDescent="0.2">
      <c r="B28" s="73"/>
    </row>
    <row r="29" spans="1:32" ht="15" hidden="1" customHeight="1" x14ac:dyDescent="0.2">
      <c r="A29" s="73">
        <f>A15</f>
        <v>0</v>
      </c>
      <c r="B29" s="73" t="str">
        <f ca="1">B15</f>
        <v/>
      </c>
      <c r="C29" s="73" t="str">
        <f t="shared" ref="C29:Y29" si="76">IF($A15&lt;&gt;"",IF(ABS(C$3/3-C15)&lt;=0.75,1,0),"")</f>
        <v/>
      </c>
      <c r="D29" s="73" t="str">
        <f t="shared" si="76"/>
        <v/>
      </c>
      <c r="E29" s="73" t="str">
        <f t="shared" si="76"/>
        <v/>
      </c>
      <c r="F29" s="73" t="str">
        <f t="shared" si="76"/>
        <v/>
      </c>
      <c r="G29" s="73" t="str">
        <f t="shared" si="76"/>
        <v/>
      </c>
      <c r="H29" s="73" t="str">
        <f t="shared" si="76"/>
        <v/>
      </c>
      <c r="I29" s="73" t="str">
        <f t="shared" si="76"/>
        <v/>
      </c>
      <c r="J29" s="73" t="str">
        <f t="shared" si="76"/>
        <v/>
      </c>
      <c r="K29" s="73" t="str">
        <f t="shared" si="76"/>
        <v/>
      </c>
      <c r="L29" s="73" t="str">
        <f t="shared" si="76"/>
        <v/>
      </c>
      <c r="M29" s="73" t="str">
        <f t="shared" si="76"/>
        <v/>
      </c>
      <c r="N29" s="73" t="str">
        <f t="shared" si="76"/>
        <v/>
      </c>
      <c r="O29" s="73" t="str">
        <f t="shared" si="76"/>
        <v/>
      </c>
      <c r="P29" s="73" t="str">
        <f t="shared" si="76"/>
        <v/>
      </c>
      <c r="Q29" s="73" t="str">
        <f t="shared" si="76"/>
        <v/>
      </c>
      <c r="R29" s="73" t="str">
        <f t="shared" si="76"/>
        <v/>
      </c>
      <c r="S29" s="73" t="str">
        <f t="shared" si="76"/>
        <v/>
      </c>
      <c r="T29" s="73" t="str">
        <f t="shared" si="76"/>
        <v/>
      </c>
      <c r="U29" s="73" t="str">
        <f t="shared" si="76"/>
        <v/>
      </c>
      <c r="V29" s="73" t="str">
        <f t="shared" si="76"/>
        <v/>
      </c>
      <c r="W29" s="73" t="str">
        <f t="shared" si="76"/>
        <v/>
      </c>
      <c r="X29" s="73" t="str">
        <f t="shared" si="76"/>
        <v/>
      </c>
      <c r="Y29" s="73" t="str">
        <f t="shared" si="76"/>
        <v/>
      </c>
    </row>
    <row r="30" spans="1:32" ht="15" hidden="1" customHeight="1" x14ac:dyDescent="0.2">
      <c r="A30" s="73">
        <f>A16</f>
        <v>0</v>
      </c>
      <c r="B30" s="73" t="str">
        <f ca="1">B16</f>
        <v/>
      </c>
      <c r="C30" s="73" t="str">
        <f t="shared" ref="C30:Y30" si="77">IF($A16&lt;&gt;"",IF(ABS(C$3/3-C16)&lt;=0.75,1,0),"")</f>
        <v/>
      </c>
      <c r="D30" s="73" t="str">
        <f t="shared" si="77"/>
        <v/>
      </c>
      <c r="E30" s="73" t="str">
        <f t="shared" si="77"/>
        <v/>
      </c>
      <c r="F30" s="73" t="str">
        <f t="shared" si="77"/>
        <v/>
      </c>
      <c r="G30" s="73" t="str">
        <f t="shared" si="77"/>
        <v/>
      </c>
      <c r="H30" s="73" t="str">
        <f t="shared" si="77"/>
        <v/>
      </c>
      <c r="I30" s="73" t="str">
        <f t="shared" si="77"/>
        <v/>
      </c>
      <c r="J30" s="73" t="str">
        <f t="shared" si="77"/>
        <v/>
      </c>
      <c r="K30" s="73" t="str">
        <f t="shared" si="77"/>
        <v/>
      </c>
      <c r="L30" s="73" t="str">
        <f t="shared" si="77"/>
        <v/>
      </c>
      <c r="M30" s="73" t="str">
        <f t="shared" si="77"/>
        <v/>
      </c>
      <c r="N30" s="73" t="str">
        <f t="shared" si="77"/>
        <v/>
      </c>
      <c r="O30" s="73" t="str">
        <f t="shared" si="77"/>
        <v/>
      </c>
      <c r="P30" s="73" t="str">
        <f t="shared" si="77"/>
        <v/>
      </c>
      <c r="Q30" s="73" t="str">
        <f t="shared" si="77"/>
        <v/>
      </c>
      <c r="R30" s="73" t="str">
        <f t="shared" si="77"/>
        <v/>
      </c>
      <c r="S30" s="73" t="str">
        <f t="shared" si="77"/>
        <v/>
      </c>
      <c r="T30" s="73" t="str">
        <f t="shared" si="77"/>
        <v/>
      </c>
      <c r="U30" s="73" t="str">
        <f t="shared" si="77"/>
        <v/>
      </c>
      <c r="V30" s="73" t="str">
        <f t="shared" si="77"/>
        <v/>
      </c>
      <c r="W30" s="73" t="str">
        <f t="shared" si="77"/>
        <v/>
      </c>
      <c r="X30" s="73" t="str">
        <f t="shared" si="77"/>
        <v/>
      </c>
      <c r="Y30" s="73" t="str">
        <f t="shared" si="77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7" priority="25">
      <formula>C4&gt;3</formula>
    </cfRule>
    <cfRule type="expression" dxfId="96" priority="26">
      <formula>AND(C4&gt;2,C4&lt;=3)</formula>
    </cfRule>
    <cfRule type="expression" dxfId="95" priority="27">
      <formula>AND(C4&gt;1,C4&lt;=2)</formula>
    </cfRule>
    <cfRule type="expression" dxfId="94" priority="30">
      <formula>C4&lt;=1</formula>
    </cfRule>
  </conditionalFormatting>
  <conditionalFormatting sqref="C8:Y10 C12:Y13">
    <cfRule type="expression" dxfId="93" priority="19">
      <formula>C$3/3-C8&lt;-0.75</formula>
    </cfRule>
    <cfRule type="expression" dxfId="92" priority="20">
      <formula>C$3/3-C8&gt;0.75</formula>
    </cfRule>
  </conditionalFormatting>
  <conditionalFormatting sqref="C11:D11">
    <cfRule type="expression" dxfId="91" priority="17">
      <formula>C$3/3-C11&lt;-0.75</formula>
    </cfRule>
    <cfRule type="expression" dxfId="90" priority="18">
      <formula>C$3/3-C11&gt;0.75</formula>
    </cfRule>
  </conditionalFormatting>
  <conditionalFormatting sqref="E11:Y11">
    <cfRule type="expression" dxfId="89" priority="15">
      <formula>E$3/3-E11&lt;-0.75</formula>
    </cfRule>
    <cfRule type="expression" dxfId="88" priority="16">
      <formula>E$3/3-E11&gt;0.75</formula>
    </cfRule>
  </conditionalFormatting>
  <conditionalFormatting sqref="S4:X4">
    <cfRule type="expression" dxfId="87" priority="1">
      <formula>S4&gt;3</formula>
    </cfRule>
    <cfRule type="expression" dxfId="86" priority="2">
      <formula>AND(S4&gt;2,S4&lt;=3)</formula>
    </cfRule>
    <cfRule type="expression" dxfId="85" priority="3">
      <formula>AND(S4&gt;1,S4&lt;=2)</formula>
    </cfRule>
    <cfRule type="expression" dxfId="84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45" ht="127.9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48</v>
      </c>
      <c r="E2" s="111" t="s">
        <v>49</v>
      </c>
      <c r="F2" s="111" t="s">
        <v>50</v>
      </c>
      <c r="G2" s="111" t="s">
        <v>51</v>
      </c>
      <c r="H2" s="111" t="s">
        <v>52</v>
      </c>
      <c r="I2" s="111" t="s">
        <v>54</v>
      </c>
      <c r="J2" s="111" t="s">
        <v>55</v>
      </c>
      <c r="K2" s="111" t="s">
        <v>56</v>
      </c>
      <c r="L2" s="111" t="s">
        <v>57</v>
      </c>
      <c r="M2" s="111" t="s">
        <v>58</v>
      </c>
      <c r="N2" s="111" t="s">
        <v>60</v>
      </c>
      <c r="O2" s="111" t="s">
        <v>61</v>
      </c>
      <c r="P2" s="111" t="s">
        <v>62</v>
      </c>
      <c r="Q2" s="111" t="s">
        <v>63</v>
      </c>
      <c r="R2" s="111" t="s">
        <v>64</v>
      </c>
      <c r="S2" s="111"/>
      <c r="T2" s="111"/>
      <c r="U2" s="111"/>
      <c r="V2" s="111"/>
      <c r="W2" s="111"/>
      <c r="X2" s="111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</row>
    <row r="3" spans="1:45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45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45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45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45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45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45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45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45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45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45" ht="15" customHeight="1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45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45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45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x14ac:dyDescent="0.2">
      <c r="AF17" s="114"/>
    </row>
    <row r="18" spans="1:32" x14ac:dyDescent="0.2"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</row>
    <row r="22" spans="1:32" hidden="1" x14ac:dyDescent="0.2">
      <c r="A22" s="73">
        <f t="shared" ref="A22:A27" si="66">A8</f>
        <v>0</v>
      </c>
      <c r="B22" s="73" t="str">
        <f t="shared" ref="B22:B27" ca="1" si="67">B8</f>
        <v/>
      </c>
      <c r="C22" s="73" t="str">
        <f t="shared" ref="C22:Y27" si="68">IF($A8&lt;&gt;"",IF(ABS(C$3/3-C8)&lt;=0.75,1,0),"")</f>
        <v/>
      </c>
      <c r="D22" s="73" t="str">
        <f t="shared" si="68"/>
        <v/>
      </c>
      <c r="E22" s="73" t="str">
        <f t="shared" si="68"/>
        <v/>
      </c>
      <c r="F22" s="73" t="str">
        <f t="shared" si="68"/>
        <v/>
      </c>
      <c r="G22" s="73" t="str">
        <f t="shared" si="68"/>
        <v/>
      </c>
      <c r="H22" s="73" t="str">
        <f t="shared" si="68"/>
        <v/>
      </c>
      <c r="I22" s="73" t="str">
        <f t="shared" si="68"/>
        <v/>
      </c>
      <c r="J22" s="73" t="str">
        <f t="shared" si="68"/>
        <v/>
      </c>
      <c r="K22" s="73" t="str">
        <f t="shared" si="68"/>
        <v/>
      </c>
      <c r="L22" s="73" t="str">
        <f t="shared" si="68"/>
        <v/>
      </c>
      <c r="M22" s="73" t="str">
        <f t="shared" si="68"/>
        <v/>
      </c>
      <c r="N22" s="73" t="str">
        <f t="shared" si="68"/>
        <v/>
      </c>
      <c r="O22" s="73" t="str">
        <f t="shared" si="68"/>
        <v/>
      </c>
      <c r="P22" s="73" t="str">
        <f t="shared" si="68"/>
        <v/>
      </c>
      <c r="Q22" s="73" t="str">
        <f t="shared" si="68"/>
        <v/>
      </c>
      <c r="R22" s="73" t="str">
        <f t="shared" si="68"/>
        <v/>
      </c>
      <c r="S22" s="73" t="str">
        <f t="shared" si="68"/>
        <v/>
      </c>
      <c r="T22" s="73" t="str">
        <f t="shared" si="68"/>
        <v/>
      </c>
      <c r="U22" s="73" t="str">
        <f t="shared" si="68"/>
        <v/>
      </c>
      <c r="V22" s="73" t="str">
        <f t="shared" si="68"/>
        <v/>
      </c>
      <c r="W22" s="73" t="str">
        <f t="shared" si="68"/>
        <v/>
      </c>
      <c r="X22" s="73" t="str">
        <f t="shared" si="68"/>
        <v/>
      </c>
      <c r="Y22" s="73" t="str">
        <f t="shared" si="68"/>
        <v/>
      </c>
    </row>
    <row r="23" spans="1:32" hidden="1" x14ac:dyDescent="0.2">
      <c r="A23" s="73">
        <f t="shared" si="66"/>
        <v>0</v>
      </c>
      <c r="B23" s="73" t="str">
        <f t="shared" ca="1" si="67"/>
        <v/>
      </c>
      <c r="C23" s="73" t="str">
        <f t="shared" si="68"/>
        <v/>
      </c>
      <c r="D23" s="73" t="str">
        <f t="shared" si="68"/>
        <v/>
      </c>
      <c r="E23" s="73" t="str">
        <f t="shared" si="68"/>
        <v/>
      </c>
      <c r="F23" s="73" t="str">
        <f t="shared" si="68"/>
        <v/>
      </c>
      <c r="G23" s="73" t="str">
        <f t="shared" si="68"/>
        <v/>
      </c>
      <c r="H23" s="73" t="str">
        <f t="shared" si="68"/>
        <v/>
      </c>
      <c r="I23" s="73" t="str">
        <f t="shared" si="68"/>
        <v/>
      </c>
      <c r="J23" s="73" t="str">
        <f t="shared" si="68"/>
        <v/>
      </c>
      <c r="K23" s="73" t="str">
        <f t="shared" si="68"/>
        <v/>
      </c>
      <c r="L23" s="73" t="str">
        <f t="shared" si="68"/>
        <v/>
      </c>
      <c r="M23" s="73" t="str">
        <f t="shared" si="68"/>
        <v/>
      </c>
      <c r="N23" s="73" t="str">
        <f t="shared" si="68"/>
        <v/>
      </c>
      <c r="O23" s="73" t="str">
        <f t="shared" si="68"/>
        <v/>
      </c>
      <c r="P23" s="73" t="str">
        <f t="shared" si="68"/>
        <v/>
      </c>
      <c r="Q23" s="73" t="str">
        <f t="shared" si="68"/>
        <v/>
      </c>
      <c r="R23" s="73" t="str">
        <f t="shared" si="68"/>
        <v/>
      </c>
      <c r="S23" s="73" t="str">
        <f t="shared" si="68"/>
        <v/>
      </c>
      <c r="T23" s="73" t="str">
        <f t="shared" si="68"/>
        <v/>
      </c>
      <c r="U23" s="73" t="str">
        <f t="shared" si="68"/>
        <v/>
      </c>
      <c r="V23" s="73" t="str">
        <f t="shared" si="68"/>
        <v/>
      </c>
      <c r="W23" s="73" t="str">
        <f t="shared" si="68"/>
        <v/>
      </c>
      <c r="X23" s="73" t="str">
        <f t="shared" si="68"/>
        <v/>
      </c>
      <c r="Y23" s="73" t="str">
        <f t="shared" si="68"/>
        <v/>
      </c>
    </row>
    <row r="24" spans="1:32" hidden="1" x14ac:dyDescent="0.2">
      <c r="A24" s="73">
        <f t="shared" si="66"/>
        <v>0</v>
      </c>
      <c r="B24" s="73" t="str">
        <f t="shared" ca="1" si="67"/>
        <v/>
      </c>
      <c r="C24" s="73" t="str">
        <f t="shared" si="68"/>
        <v/>
      </c>
      <c r="D24" s="73" t="str">
        <f t="shared" si="68"/>
        <v/>
      </c>
      <c r="E24" s="73" t="str">
        <f t="shared" si="68"/>
        <v/>
      </c>
      <c r="F24" s="73" t="str">
        <f t="shared" si="68"/>
        <v/>
      </c>
      <c r="G24" s="73" t="str">
        <f t="shared" si="68"/>
        <v/>
      </c>
      <c r="H24" s="73" t="str">
        <f t="shared" si="68"/>
        <v/>
      </c>
      <c r="I24" s="73" t="str">
        <f t="shared" si="68"/>
        <v/>
      </c>
      <c r="J24" s="73" t="str">
        <f t="shared" si="68"/>
        <v/>
      </c>
      <c r="K24" s="73" t="str">
        <f t="shared" si="68"/>
        <v/>
      </c>
      <c r="L24" s="73" t="str">
        <f t="shared" si="68"/>
        <v/>
      </c>
      <c r="M24" s="73" t="str">
        <f t="shared" si="68"/>
        <v/>
      </c>
      <c r="N24" s="73" t="str">
        <f t="shared" si="68"/>
        <v/>
      </c>
      <c r="O24" s="73" t="str">
        <f t="shared" si="68"/>
        <v/>
      </c>
      <c r="P24" s="73" t="str">
        <f t="shared" si="68"/>
        <v/>
      </c>
      <c r="Q24" s="73" t="str">
        <f t="shared" si="68"/>
        <v/>
      </c>
      <c r="R24" s="73" t="str">
        <f t="shared" si="68"/>
        <v/>
      </c>
      <c r="S24" s="73" t="str">
        <f t="shared" si="68"/>
        <v/>
      </c>
      <c r="T24" s="73" t="str">
        <f t="shared" si="68"/>
        <v/>
      </c>
      <c r="U24" s="73" t="str">
        <f t="shared" si="68"/>
        <v/>
      </c>
      <c r="V24" s="73" t="str">
        <f t="shared" si="68"/>
        <v/>
      </c>
      <c r="W24" s="73" t="str">
        <f t="shared" si="68"/>
        <v/>
      </c>
      <c r="X24" s="73" t="str">
        <f t="shared" si="68"/>
        <v/>
      </c>
      <c r="Y24" s="73" t="str">
        <f t="shared" si="68"/>
        <v/>
      </c>
    </row>
    <row r="25" spans="1:32" hidden="1" x14ac:dyDescent="0.2">
      <c r="A25" s="73">
        <f t="shared" si="66"/>
        <v>0</v>
      </c>
      <c r="B25" s="73" t="str">
        <f t="shared" ca="1" si="67"/>
        <v/>
      </c>
      <c r="C25" s="73" t="str">
        <f t="shared" si="68"/>
        <v/>
      </c>
      <c r="D25" s="73" t="str">
        <f t="shared" si="68"/>
        <v/>
      </c>
      <c r="E25" s="73" t="str">
        <f t="shared" si="68"/>
        <v/>
      </c>
      <c r="F25" s="73" t="str">
        <f t="shared" si="68"/>
        <v/>
      </c>
      <c r="G25" s="73" t="str">
        <f t="shared" si="68"/>
        <v/>
      </c>
      <c r="H25" s="73" t="str">
        <f t="shared" si="68"/>
        <v/>
      </c>
      <c r="I25" s="73" t="str">
        <f t="shared" si="68"/>
        <v/>
      </c>
      <c r="J25" s="73" t="str">
        <f t="shared" si="68"/>
        <v/>
      </c>
      <c r="K25" s="73" t="str">
        <f t="shared" si="68"/>
        <v/>
      </c>
      <c r="L25" s="73" t="str">
        <f t="shared" si="68"/>
        <v/>
      </c>
      <c r="M25" s="73" t="str">
        <f t="shared" si="68"/>
        <v/>
      </c>
      <c r="N25" s="73" t="str">
        <f t="shared" si="68"/>
        <v/>
      </c>
      <c r="O25" s="73" t="str">
        <f t="shared" si="68"/>
        <v/>
      </c>
      <c r="P25" s="73" t="str">
        <f t="shared" si="68"/>
        <v/>
      </c>
      <c r="Q25" s="73" t="str">
        <f t="shared" si="68"/>
        <v/>
      </c>
      <c r="R25" s="73" t="str">
        <f t="shared" si="68"/>
        <v/>
      </c>
      <c r="S25" s="73" t="str">
        <f t="shared" si="68"/>
        <v/>
      </c>
      <c r="T25" s="73" t="str">
        <f t="shared" si="68"/>
        <v/>
      </c>
      <c r="U25" s="73" t="str">
        <f t="shared" si="68"/>
        <v/>
      </c>
      <c r="V25" s="73" t="str">
        <f t="shared" si="68"/>
        <v/>
      </c>
      <c r="W25" s="73" t="str">
        <f t="shared" si="68"/>
        <v/>
      </c>
      <c r="X25" s="73" t="str">
        <f t="shared" si="68"/>
        <v/>
      </c>
      <c r="Y25" s="73" t="str">
        <f t="shared" si="68"/>
        <v/>
      </c>
    </row>
    <row r="26" spans="1:32" hidden="1" x14ac:dyDescent="0.2">
      <c r="A26" s="73">
        <f t="shared" si="66"/>
        <v>0</v>
      </c>
      <c r="B26" s="73" t="str">
        <f t="shared" ca="1" si="67"/>
        <v/>
      </c>
      <c r="C26" s="73" t="str">
        <f t="shared" si="68"/>
        <v/>
      </c>
      <c r="D26" s="73" t="str">
        <f t="shared" si="68"/>
        <v/>
      </c>
      <c r="E26" s="73" t="str">
        <f t="shared" si="68"/>
        <v/>
      </c>
      <c r="F26" s="73" t="str">
        <f t="shared" si="68"/>
        <v/>
      </c>
      <c r="G26" s="73" t="str">
        <f t="shared" si="68"/>
        <v/>
      </c>
      <c r="H26" s="73" t="str">
        <f t="shared" si="68"/>
        <v/>
      </c>
      <c r="I26" s="73" t="str">
        <f t="shared" si="68"/>
        <v/>
      </c>
      <c r="J26" s="73" t="str">
        <f t="shared" si="68"/>
        <v/>
      </c>
      <c r="K26" s="73" t="str">
        <f t="shared" si="68"/>
        <v/>
      </c>
      <c r="L26" s="73" t="str">
        <f t="shared" si="68"/>
        <v/>
      </c>
      <c r="M26" s="73" t="str">
        <f t="shared" si="68"/>
        <v/>
      </c>
      <c r="N26" s="73" t="str">
        <f t="shared" si="68"/>
        <v/>
      </c>
      <c r="O26" s="73" t="str">
        <f t="shared" si="68"/>
        <v/>
      </c>
      <c r="P26" s="73" t="str">
        <f t="shared" si="68"/>
        <v/>
      </c>
      <c r="Q26" s="73" t="str">
        <f t="shared" si="68"/>
        <v/>
      </c>
      <c r="R26" s="73" t="str">
        <f t="shared" si="68"/>
        <v/>
      </c>
      <c r="S26" s="73" t="str">
        <f t="shared" si="68"/>
        <v/>
      </c>
      <c r="T26" s="73" t="str">
        <f t="shared" si="68"/>
        <v/>
      </c>
      <c r="U26" s="73" t="str">
        <f t="shared" si="68"/>
        <v/>
      </c>
      <c r="V26" s="73" t="str">
        <f t="shared" si="68"/>
        <v/>
      </c>
      <c r="W26" s="73" t="str">
        <f t="shared" si="68"/>
        <v/>
      </c>
      <c r="X26" s="73" t="str">
        <f t="shared" si="68"/>
        <v/>
      </c>
      <c r="Y26" s="73" t="str">
        <f t="shared" si="68"/>
        <v/>
      </c>
    </row>
    <row r="27" spans="1:32" hidden="1" x14ac:dyDescent="0.2">
      <c r="A27" s="73">
        <f t="shared" si="66"/>
        <v>0</v>
      </c>
      <c r="B27" s="73" t="str">
        <f t="shared" ca="1" si="67"/>
        <v/>
      </c>
      <c r="C27" s="73" t="str">
        <f t="shared" si="68"/>
        <v/>
      </c>
      <c r="D27" s="73" t="str">
        <f t="shared" si="68"/>
        <v/>
      </c>
      <c r="E27" s="73" t="str">
        <f t="shared" si="68"/>
        <v/>
      </c>
      <c r="F27" s="73" t="str">
        <f t="shared" si="68"/>
        <v/>
      </c>
      <c r="G27" s="73" t="str">
        <f t="shared" si="68"/>
        <v/>
      </c>
      <c r="H27" s="73" t="str">
        <f t="shared" si="68"/>
        <v/>
      </c>
      <c r="I27" s="73" t="str">
        <f t="shared" si="68"/>
        <v/>
      </c>
      <c r="J27" s="73" t="str">
        <f t="shared" si="68"/>
        <v/>
      </c>
      <c r="K27" s="73" t="str">
        <f t="shared" si="68"/>
        <v/>
      </c>
      <c r="L27" s="73" t="str">
        <f t="shared" si="68"/>
        <v/>
      </c>
      <c r="M27" s="73" t="str">
        <f t="shared" si="68"/>
        <v/>
      </c>
      <c r="N27" s="73" t="str">
        <f t="shared" si="68"/>
        <v/>
      </c>
      <c r="O27" s="73" t="str">
        <f t="shared" si="68"/>
        <v/>
      </c>
      <c r="P27" s="73" t="str">
        <f t="shared" si="68"/>
        <v/>
      </c>
      <c r="Q27" s="73" t="str">
        <f t="shared" si="68"/>
        <v/>
      </c>
      <c r="R27" s="73" t="str">
        <f t="shared" si="68"/>
        <v/>
      </c>
      <c r="S27" s="73" t="str">
        <f t="shared" si="68"/>
        <v/>
      </c>
      <c r="T27" s="73" t="str">
        <f t="shared" si="68"/>
        <v/>
      </c>
      <c r="U27" s="73" t="str">
        <f t="shared" si="68"/>
        <v/>
      </c>
      <c r="V27" s="73" t="str">
        <f t="shared" si="68"/>
        <v/>
      </c>
      <c r="W27" s="73" t="str">
        <f t="shared" si="68"/>
        <v/>
      </c>
      <c r="X27" s="73" t="str">
        <f t="shared" si="68"/>
        <v/>
      </c>
      <c r="Y27" s="73" t="str">
        <f t="shared" si="68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ca="1">B15</f>
        <v/>
      </c>
      <c r="C29" s="73" t="str">
        <f t="shared" ref="C29:Y30" si="69">IF($A15&lt;&gt;"",IF(ABS(C$3/3-C15)&lt;=0.75,1,0),"")</f>
        <v/>
      </c>
      <c r="D29" s="73" t="str">
        <f t="shared" si="69"/>
        <v/>
      </c>
      <c r="E29" s="73" t="str">
        <f t="shared" si="69"/>
        <v/>
      </c>
      <c r="F29" s="73" t="str">
        <f t="shared" si="69"/>
        <v/>
      </c>
      <c r="G29" s="73" t="str">
        <f t="shared" si="69"/>
        <v/>
      </c>
      <c r="H29" s="73" t="str">
        <f t="shared" si="69"/>
        <v/>
      </c>
      <c r="I29" s="73" t="str">
        <f t="shared" si="69"/>
        <v/>
      </c>
      <c r="J29" s="73" t="str">
        <f t="shared" si="69"/>
        <v/>
      </c>
      <c r="K29" s="73" t="str">
        <f t="shared" si="69"/>
        <v/>
      </c>
      <c r="L29" s="73" t="str">
        <f t="shared" si="69"/>
        <v/>
      </c>
      <c r="M29" s="73" t="str">
        <f t="shared" si="69"/>
        <v/>
      </c>
      <c r="N29" s="73" t="str">
        <f t="shared" si="69"/>
        <v/>
      </c>
      <c r="O29" s="73" t="str">
        <f t="shared" si="69"/>
        <v/>
      </c>
      <c r="P29" s="73" t="str">
        <f t="shared" si="69"/>
        <v/>
      </c>
      <c r="Q29" s="73" t="str">
        <f t="shared" si="69"/>
        <v/>
      </c>
      <c r="R29" s="73" t="str">
        <f t="shared" si="69"/>
        <v/>
      </c>
      <c r="S29" s="73" t="str">
        <f t="shared" si="69"/>
        <v/>
      </c>
      <c r="T29" s="73" t="str">
        <f t="shared" si="69"/>
        <v/>
      </c>
      <c r="U29" s="73" t="str">
        <f t="shared" si="69"/>
        <v/>
      </c>
      <c r="V29" s="73" t="str">
        <f t="shared" si="69"/>
        <v/>
      </c>
      <c r="W29" s="73" t="str">
        <f t="shared" si="69"/>
        <v/>
      </c>
      <c r="X29" s="73" t="str">
        <f t="shared" si="69"/>
        <v/>
      </c>
      <c r="Y29" s="73" t="str">
        <f t="shared" si="69"/>
        <v/>
      </c>
    </row>
    <row r="30" spans="1:32" hidden="1" x14ac:dyDescent="0.2">
      <c r="A30" s="73">
        <f>A16</f>
        <v>0</v>
      </c>
      <c r="B30" s="73" t="str">
        <f ca="1">B16</f>
        <v/>
      </c>
      <c r="C30" s="73" t="str">
        <f t="shared" si="69"/>
        <v/>
      </c>
      <c r="D30" s="73" t="str">
        <f t="shared" si="69"/>
        <v/>
      </c>
      <c r="E30" s="73" t="str">
        <f t="shared" si="69"/>
        <v/>
      </c>
      <c r="F30" s="73" t="str">
        <f t="shared" si="69"/>
        <v/>
      </c>
      <c r="G30" s="73" t="str">
        <f t="shared" si="69"/>
        <v/>
      </c>
      <c r="H30" s="73" t="str">
        <f t="shared" si="69"/>
        <v/>
      </c>
      <c r="I30" s="73" t="str">
        <f t="shared" si="69"/>
        <v/>
      </c>
      <c r="J30" s="73" t="str">
        <f t="shared" si="69"/>
        <v/>
      </c>
      <c r="K30" s="73" t="str">
        <f t="shared" si="69"/>
        <v/>
      </c>
      <c r="L30" s="73" t="str">
        <f t="shared" si="69"/>
        <v/>
      </c>
      <c r="M30" s="73" t="str">
        <f t="shared" si="69"/>
        <v/>
      </c>
      <c r="N30" s="73" t="str">
        <f t="shared" si="69"/>
        <v/>
      </c>
      <c r="O30" s="73" t="str">
        <f t="shared" si="69"/>
        <v/>
      </c>
      <c r="P30" s="73" t="str">
        <f t="shared" si="69"/>
        <v/>
      </c>
      <c r="Q30" s="73" t="str">
        <f t="shared" si="69"/>
        <v/>
      </c>
      <c r="R30" s="73" t="str">
        <f t="shared" si="69"/>
        <v/>
      </c>
      <c r="S30" s="73" t="str">
        <f t="shared" si="69"/>
        <v/>
      </c>
      <c r="T30" s="73" t="str">
        <f t="shared" si="69"/>
        <v/>
      </c>
      <c r="U30" s="73" t="str">
        <f t="shared" si="69"/>
        <v/>
      </c>
      <c r="V30" s="73" t="str">
        <f t="shared" si="69"/>
        <v/>
      </c>
      <c r="W30" s="73" t="str">
        <f t="shared" si="69"/>
        <v/>
      </c>
      <c r="X30" s="73" t="str">
        <f t="shared" si="69"/>
        <v/>
      </c>
      <c r="Y30" s="73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83" priority="11">
      <formula>C4&gt;3</formula>
    </cfRule>
    <cfRule type="expression" dxfId="82" priority="12">
      <formula>AND(C4&gt;2,C4&lt;=3)</formula>
    </cfRule>
    <cfRule type="expression" dxfId="81" priority="13">
      <formula>AND(C4&gt;1,C4&lt;=2)</formula>
    </cfRule>
    <cfRule type="expression" dxfId="80" priority="14">
      <formula>C4&lt;=1</formula>
    </cfRule>
  </conditionalFormatting>
  <conditionalFormatting sqref="C8:Y10 C12:Y13">
    <cfRule type="expression" dxfId="79" priority="9">
      <formula>C$3/3-C8&lt;-0.75</formula>
    </cfRule>
    <cfRule type="expression" dxfId="78" priority="10">
      <formula>C$3/3-C8&gt;0.75</formula>
    </cfRule>
  </conditionalFormatting>
  <conditionalFormatting sqref="C11:D11">
    <cfRule type="expression" dxfId="77" priority="7">
      <formula>C$3/3-C11&lt;-0.75</formula>
    </cfRule>
    <cfRule type="expression" dxfId="76" priority="8">
      <formula>C$3/3-C11&gt;0.75</formula>
    </cfRule>
  </conditionalFormatting>
  <conditionalFormatting sqref="E11:Y11">
    <cfRule type="expression" dxfId="75" priority="5">
      <formula>E$3/3-E11&lt;-0.75</formula>
    </cfRule>
    <cfRule type="expression" dxfId="74" priority="6">
      <formula>E$3/3-E11&gt;0.75</formula>
    </cfRule>
  </conditionalFormatting>
  <conditionalFormatting sqref="S4:X4">
    <cfRule type="expression" dxfId="73" priority="1">
      <formula>S4&gt;3</formula>
    </cfRule>
    <cfRule type="expression" dxfId="72" priority="2">
      <formula>AND(S4&gt;2,S4&lt;=3)</formula>
    </cfRule>
    <cfRule type="expression" dxfId="71" priority="3">
      <formula>AND(S4&gt;1,S4&lt;=2)</formula>
    </cfRule>
    <cfRule type="expression" dxfId="7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S1" s="107"/>
      <c r="T1" s="107"/>
      <c r="U1" s="107"/>
      <c r="V1" s="107"/>
      <c r="W1" s="107"/>
      <c r="X1" s="107"/>
      <c r="Z1" s="126"/>
      <c r="AA1" s="126"/>
      <c r="AB1" s="107"/>
      <c r="AF1" s="117"/>
    </row>
    <row r="2" spans="1:45" ht="127.9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70</v>
      </c>
      <c r="E2" s="111" t="s">
        <v>71</v>
      </c>
      <c r="F2" s="111" t="s">
        <v>72</v>
      </c>
      <c r="G2" s="111" t="s">
        <v>73</v>
      </c>
      <c r="H2" s="111" t="s">
        <v>74</v>
      </c>
      <c r="I2" s="111" t="s">
        <v>76</v>
      </c>
      <c r="J2" s="111" t="s">
        <v>77</v>
      </c>
      <c r="K2" s="111" t="s">
        <v>78</v>
      </c>
      <c r="L2" s="111" t="s">
        <v>79</v>
      </c>
      <c r="M2" s="111" t="s">
        <v>80</v>
      </c>
      <c r="N2" s="111" t="s">
        <v>82</v>
      </c>
      <c r="O2" s="111" t="s">
        <v>83</v>
      </c>
      <c r="P2" s="111" t="s">
        <v>84</v>
      </c>
      <c r="Q2" s="111" t="s">
        <v>85</v>
      </c>
      <c r="R2" s="111" t="s">
        <v>86</v>
      </c>
      <c r="S2" s="112"/>
      <c r="T2" s="112"/>
      <c r="U2" s="112"/>
      <c r="V2" s="112"/>
      <c r="W2" s="112"/>
      <c r="X2" s="112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</row>
    <row r="3" spans="1:45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45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45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45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45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45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45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45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45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45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45" ht="15" customHeight="1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45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45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45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ht="15" customHeight="1" x14ac:dyDescent="0.2">
      <c r="AF17" s="114"/>
    </row>
    <row r="18" spans="1:32" ht="15" customHeight="1" x14ac:dyDescent="0.2">
      <c r="AF18" s="113"/>
    </row>
    <row r="21" spans="1:32" ht="15" hidden="1" customHeight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</row>
    <row r="22" spans="1:32" ht="15" hidden="1" customHeight="1" x14ac:dyDescent="0.2">
      <c r="A22" s="73">
        <f t="shared" ref="A22:A27" si="66">A8</f>
        <v>0</v>
      </c>
      <c r="B22" s="73" t="str">
        <f t="shared" ref="B22:B27" ca="1" si="67">B8</f>
        <v/>
      </c>
      <c r="C22" s="73" t="str">
        <f t="shared" ref="C22:Y27" si="68">IF($A8&lt;&gt;"",IF(ABS(C$3/3-C8)&lt;=0.75,1,0),"")</f>
        <v/>
      </c>
      <c r="D22" s="73" t="str">
        <f t="shared" si="68"/>
        <v/>
      </c>
      <c r="E22" s="73" t="str">
        <f t="shared" si="68"/>
        <v/>
      </c>
      <c r="F22" s="73" t="str">
        <f t="shared" si="68"/>
        <v/>
      </c>
      <c r="G22" s="73" t="str">
        <f t="shared" si="68"/>
        <v/>
      </c>
      <c r="H22" s="73" t="str">
        <f t="shared" si="68"/>
        <v/>
      </c>
      <c r="I22" s="73" t="str">
        <f t="shared" si="68"/>
        <v/>
      </c>
      <c r="J22" s="73" t="str">
        <f t="shared" si="68"/>
        <v/>
      </c>
      <c r="K22" s="73" t="str">
        <f t="shared" si="68"/>
        <v/>
      </c>
      <c r="L22" s="73" t="str">
        <f t="shared" si="68"/>
        <v/>
      </c>
      <c r="M22" s="73" t="str">
        <f t="shared" si="68"/>
        <v/>
      </c>
      <c r="N22" s="73" t="str">
        <f t="shared" si="68"/>
        <v/>
      </c>
      <c r="O22" s="73" t="str">
        <f t="shared" si="68"/>
        <v/>
      </c>
      <c r="P22" s="73" t="str">
        <f t="shared" si="68"/>
        <v/>
      </c>
      <c r="Q22" s="73" t="str">
        <f t="shared" si="68"/>
        <v/>
      </c>
      <c r="R22" s="73" t="str">
        <f t="shared" si="68"/>
        <v/>
      </c>
      <c r="S22" s="73" t="str">
        <f t="shared" si="68"/>
        <v/>
      </c>
      <c r="T22" s="73" t="str">
        <f t="shared" si="68"/>
        <v/>
      </c>
      <c r="U22" s="73" t="str">
        <f t="shared" si="68"/>
        <v/>
      </c>
      <c r="V22" s="73" t="str">
        <f t="shared" si="68"/>
        <v/>
      </c>
      <c r="W22" s="73" t="str">
        <f t="shared" si="68"/>
        <v/>
      </c>
      <c r="X22" s="73" t="str">
        <f t="shared" si="68"/>
        <v/>
      </c>
      <c r="Y22" s="73" t="str">
        <f t="shared" si="68"/>
        <v/>
      </c>
    </row>
    <row r="23" spans="1:32" ht="15" hidden="1" customHeight="1" x14ac:dyDescent="0.2">
      <c r="A23" s="73">
        <f t="shared" si="66"/>
        <v>0</v>
      </c>
      <c r="B23" s="73" t="str">
        <f t="shared" ca="1" si="67"/>
        <v/>
      </c>
      <c r="C23" s="73" t="str">
        <f t="shared" si="68"/>
        <v/>
      </c>
      <c r="D23" s="73" t="str">
        <f t="shared" si="68"/>
        <v/>
      </c>
      <c r="E23" s="73" t="str">
        <f t="shared" si="68"/>
        <v/>
      </c>
      <c r="F23" s="73" t="str">
        <f t="shared" si="68"/>
        <v/>
      </c>
      <c r="G23" s="73" t="str">
        <f t="shared" si="68"/>
        <v/>
      </c>
      <c r="H23" s="73" t="str">
        <f t="shared" si="68"/>
        <v/>
      </c>
      <c r="I23" s="73" t="str">
        <f t="shared" si="68"/>
        <v/>
      </c>
      <c r="J23" s="73" t="str">
        <f t="shared" si="68"/>
        <v/>
      </c>
      <c r="K23" s="73" t="str">
        <f t="shared" si="68"/>
        <v/>
      </c>
      <c r="L23" s="73" t="str">
        <f t="shared" si="68"/>
        <v/>
      </c>
      <c r="M23" s="73" t="str">
        <f t="shared" si="68"/>
        <v/>
      </c>
      <c r="N23" s="73" t="str">
        <f t="shared" si="68"/>
        <v/>
      </c>
      <c r="O23" s="73" t="str">
        <f t="shared" si="68"/>
        <v/>
      </c>
      <c r="P23" s="73" t="str">
        <f t="shared" si="68"/>
        <v/>
      </c>
      <c r="Q23" s="73" t="str">
        <f t="shared" si="68"/>
        <v/>
      </c>
      <c r="R23" s="73" t="str">
        <f t="shared" si="68"/>
        <v/>
      </c>
      <c r="S23" s="73" t="str">
        <f t="shared" si="68"/>
        <v/>
      </c>
      <c r="T23" s="73" t="str">
        <f t="shared" si="68"/>
        <v/>
      </c>
      <c r="U23" s="73" t="str">
        <f t="shared" si="68"/>
        <v/>
      </c>
      <c r="V23" s="73" t="str">
        <f t="shared" si="68"/>
        <v/>
      </c>
      <c r="W23" s="73" t="str">
        <f t="shared" si="68"/>
        <v/>
      </c>
      <c r="X23" s="73" t="str">
        <f t="shared" si="68"/>
        <v/>
      </c>
      <c r="Y23" s="73" t="str">
        <f t="shared" si="68"/>
        <v/>
      </c>
    </row>
    <row r="24" spans="1:32" ht="15" hidden="1" customHeight="1" x14ac:dyDescent="0.2">
      <c r="A24" s="73">
        <f t="shared" si="66"/>
        <v>0</v>
      </c>
      <c r="B24" s="73" t="str">
        <f t="shared" ca="1" si="67"/>
        <v/>
      </c>
      <c r="C24" s="73" t="str">
        <f t="shared" si="68"/>
        <v/>
      </c>
      <c r="D24" s="73" t="str">
        <f t="shared" si="68"/>
        <v/>
      </c>
      <c r="E24" s="73" t="str">
        <f t="shared" si="68"/>
        <v/>
      </c>
      <c r="F24" s="73" t="str">
        <f t="shared" si="68"/>
        <v/>
      </c>
      <c r="G24" s="73" t="str">
        <f t="shared" si="68"/>
        <v/>
      </c>
      <c r="H24" s="73" t="str">
        <f t="shared" si="68"/>
        <v/>
      </c>
      <c r="I24" s="73" t="str">
        <f t="shared" si="68"/>
        <v/>
      </c>
      <c r="J24" s="73" t="str">
        <f t="shared" si="68"/>
        <v/>
      </c>
      <c r="K24" s="73" t="str">
        <f t="shared" si="68"/>
        <v/>
      </c>
      <c r="L24" s="73" t="str">
        <f t="shared" si="68"/>
        <v/>
      </c>
      <c r="M24" s="73" t="str">
        <f t="shared" si="68"/>
        <v/>
      </c>
      <c r="N24" s="73" t="str">
        <f t="shared" si="68"/>
        <v/>
      </c>
      <c r="O24" s="73" t="str">
        <f t="shared" si="68"/>
        <v/>
      </c>
      <c r="P24" s="73" t="str">
        <f t="shared" si="68"/>
        <v/>
      </c>
      <c r="Q24" s="73" t="str">
        <f t="shared" si="68"/>
        <v/>
      </c>
      <c r="R24" s="73" t="str">
        <f t="shared" si="68"/>
        <v/>
      </c>
      <c r="S24" s="73" t="str">
        <f t="shared" si="68"/>
        <v/>
      </c>
      <c r="T24" s="73" t="str">
        <f t="shared" si="68"/>
        <v/>
      </c>
      <c r="U24" s="73" t="str">
        <f t="shared" si="68"/>
        <v/>
      </c>
      <c r="V24" s="73" t="str">
        <f t="shared" si="68"/>
        <v/>
      </c>
      <c r="W24" s="73" t="str">
        <f t="shared" si="68"/>
        <v/>
      </c>
      <c r="X24" s="73" t="str">
        <f t="shared" si="68"/>
        <v/>
      </c>
      <c r="Y24" s="73" t="str">
        <f t="shared" si="68"/>
        <v/>
      </c>
    </row>
    <row r="25" spans="1:32" ht="15" hidden="1" customHeight="1" x14ac:dyDescent="0.2">
      <c r="A25" s="73">
        <f t="shared" si="66"/>
        <v>0</v>
      </c>
      <c r="B25" s="73" t="str">
        <f t="shared" ca="1" si="67"/>
        <v/>
      </c>
      <c r="C25" s="73" t="str">
        <f t="shared" si="68"/>
        <v/>
      </c>
      <c r="D25" s="73" t="str">
        <f t="shared" si="68"/>
        <v/>
      </c>
      <c r="E25" s="73" t="str">
        <f t="shared" si="68"/>
        <v/>
      </c>
      <c r="F25" s="73" t="str">
        <f t="shared" si="68"/>
        <v/>
      </c>
      <c r="G25" s="73" t="str">
        <f t="shared" si="68"/>
        <v/>
      </c>
      <c r="H25" s="73" t="str">
        <f t="shared" si="68"/>
        <v/>
      </c>
      <c r="I25" s="73" t="str">
        <f t="shared" si="68"/>
        <v/>
      </c>
      <c r="J25" s="73" t="str">
        <f t="shared" si="68"/>
        <v/>
      </c>
      <c r="K25" s="73" t="str">
        <f t="shared" si="68"/>
        <v/>
      </c>
      <c r="L25" s="73" t="str">
        <f t="shared" si="68"/>
        <v/>
      </c>
      <c r="M25" s="73" t="str">
        <f t="shared" si="68"/>
        <v/>
      </c>
      <c r="N25" s="73" t="str">
        <f t="shared" si="68"/>
        <v/>
      </c>
      <c r="O25" s="73" t="str">
        <f t="shared" si="68"/>
        <v/>
      </c>
      <c r="P25" s="73" t="str">
        <f t="shared" si="68"/>
        <v/>
      </c>
      <c r="Q25" s="73" t="str">
        <f t="shared" si="68"/>
        <v/>
      </c>
      <c r="R25" s="73" t="str">
        <f t="shared" si="68"/>
        <v/>
      </c>
      <c r="S25" s="73" t="str">
        <f t="shared" si="68"/>
        <v/>
      </c>
      <c r="T25" s="73" t="str">
        <f t="shared" si="68"/>
        <v/>
      </c>
      <c r="U25" s="73" t="str">
        <f t="shared" si="68"/>
        <v/>
      </c>
      <c r="V25" s="73" t="str">
        <f t="shared" si="68"/>
        <v/>
      </c>
      <c r="W25" s="73" t="str">
        <f t="shared" si="68"/>
        <v/>
      </c>
      <c r="X25" s="73" t="str">
        <f t="shared" si="68"/>
        <v/>
      </c>
      <c r="Y25" s="73" t="str">
        <f t="shared" si="68"/>
        <v/>
      </c>
    </row>
    <row r="26" spans="1:32" ht="15" hidden="1" customHeight="1" x14ac:dyDescent="0.2">
      <c r="A26" s="73">
        <f t="shared" si="66"/>
        <v>0</v>
      </c>
      <c r="B26" s="73" t="str">
        <f t="shared" ca="1" si="67"/>
        <v/>
      </c>
      <c r="C26" s="73" t="str">
        <f t="shared" si="68"/>
        <v/>
      </c>
      <c r="D26" s="73" t="str">
        <f t="shared" si="68"/>
        <v/>
      </c>
      <c r="E26" s="73" t="str">
        <f t="shared" si="68"/>
        <v/>
      </c>
      <c r="F26" s="73" t="str">
        <f t="shared" si="68"/>
        <v/>
      </c>
      <c r="G26" s="73" t="str">
        <f t="shared" si="68"/>
        <v/>
      </c>
      <c r="H26" s="73" t="str">
        <f t="shared" si="68"/>
        <v/>
      </c>
      <c r="I26" s="73" t="str">
        <f t="shared" si="68"/>
        <v/>
      </c>
      <c r="J26" s="73" t="str">
        <f t="shared" si="68"/>
        <v/>
      </c>
      <c r="K26" s="73" t="str">
        <f t="shared" si="68"/>
        <v/>
      </c>
      <c r="L26" s="73" t="str">
        <f t="shared" si="68"/>
        <v/>
      </c>
      <c r="M26" s="73" t="str">
        <f t="shared" si="68"/>
        <v/>
      </c>
      <c r="N26" s="73" t="str">
        <f t="shared" si="68"/>
        <v/>
      </c>
      <c r="O26" s="73" t="str">
        <f t="shared" si="68"/>
        <v/>
      </c>
      <c r="P26" s="73" t="str">
        <f t="shared" si="68"/>
        <v/>
      </c>
      <c r="Q26" s="73" t="str">
        <f t="shared" si="68"/>
        <v/>
      </c>
      <c r="R26" s="73" t="str">
        <f t="shared" si="68"/>
        <v/>
      </c>
      <c r="S26" s="73" t="str">
        <f t="shared" si="68"/>
        <v/>
      </c>
      <c r="T26" s="73" t="str">
        <f t="shared" si="68"/>
        <v/>
      </c>
      <c r="U26" s="73" t="str">
        <f t="shared" si="68"/>
        <v/>
      </c>
      <c r="V26" s="73" t="str">
        <f t="shared" si="68"/>
        <v/>
      </c>
      <c r="W26" s="73" t="str">
        <f t="shared" si="68"/>
        <v/>
      </c>
      <c r="X26" s="73" t="str">
        <f t="shared" si="68"/>
        <v/>
      </c>
      <c r="Y26" s="73" t="str">
        <f t="shared" si="68"/>
        <v/>
      </c>
    </row>
    <row r="27" spans="1:32" ht="15" hidden="1" customHeight="1" x14ac:dyDescent="0.2">
      <c r="A27" s="73">
        <f t="shared" si="66"/>
        <v>0</v>
      </c>
      <c r="B27" s="73" t="str">
        <f t="shared" ca="1" si="67"/>
        <v/>
      </c>
      <c r="C27" s="73" t="str">
        <f t="shared" si="68"/>
        <v/>
      </c>
      <c r="D27" s="73" t="str">
        <f t="shared" si="68"/>
        <v/>
      </c>
      <c r="E27" s="73" t="str">
        <f t="shared" si="68"/>
        <v/>
      </c>
      <c r="F27" s="73" t="str">
        <f t="shared" si="68"/>
        <v/>
      </c>
      <c r="G27" s="73" t="str">
        <f t="shared" si="68"/>
        <v/>
      </c>
      <c r="H27" s="73" t="str">
        <f t="shared" si="68"/>
        <v/>
      </c>
      <c r="I27" s="73" t="str">
        <f t="shared" si="68"/>
        <v/>
      </c>
      <c r="J27" s="73" t="str">
        <f t="shared" si="68"/>
        <v/>
      </c>
      <c r="K27" s="73" t="str">
        <f t="shared" si="68"/>
        <v/>
      </c>
      <c r="L27" s="73" t="str">
        <f t="shared" si="68"/>
        <v/>
      </c>
      <c r="M27" s="73" t="str">
        <f t="shared" si="68"/>
        <v/>
      </c>
      <c r="N27" s="73" t="str">
        <f t="shared" si="68"/>
        <v/>
      </c>
      <c r="O27" s="73" t="str">
        <f t="shared" si="68"/>
        <v/>
      </c>
      <c r="P27" s="73" t="str">
        <f t="shared" si="68"/>
        <v/>
      </c>
      <c r="Q27" s="73" t="str">
        <f t="shared" si="68"/>
        <v/>
      </c>
      <c r="R27" s="73" t="str">
        <f t="shared" si="68"/>
        <v/>
      </c>
      <c r="S27" s="73" t="str">
        <f t="shared" si="68"/>
        <v/>
      </c>
      <c r="T27" s="73" t="str">
        <f t="shared" si="68"/>
        <v/>
      </c>
      <c r="U27" s="73" t="str">
        <f t="shared" si="68"/>
        <v/>
      </c>
      <c r="V27" s="73" t="str">
        <f t="shared" si="68"/>
        <v/>
      </c>
      <c r="W27" s="73" t="str">
        <f t="shared" si="68"/>
        <v/>
      </c>
      <c r="X27" s="73" t="str">
        <f t="shared" si="68"/>
        <v/>
      </c>
      <c r="Y27" s="73" t="str">
        <f t="shared" si="68"/>
        <v/>
      </c>
    </row>
    <row r="28" spans="1:32" ht="15" hidden="1" customHeight="1" x14ac:dyDescent="0.2">
      <c r="B28" s="73"/>
    </row>
    <row r="29" spans="1:32" ht="15" hidden="1" customHeight="1" x14ac:dyDescent="0.2">
      <c r="A29" s="73">
        <f>A15</f>
        <v>0</v>
      </c>
      <c r="B29" s="73" t="str">
        <f ca="1">B15</f>
        <v/>
      </c>
      <c r="C29" s="73" t="str">
        <f t="shared" ref="C29:Y30" si="69">IF($A15&lt;&gt;"",IF(ABS(C$3/3-C15)&lt;=0.75,1,0),"")</f>
        <v/>
      </c>
      <c r="D29" s="73" t="str">
        <f t="shared" si="69"/>
        <v/>
      </c>
      <c r="E29" s="73" t="str">
        <f t="shared" si="69"/>
        <v/>
      </c>
      <c r="F29" s="73" t="str">
        <f t="shared" si="69"/>
        <v/>
      </c>
      <c r="G29" s="73" t="str">
        <f t="shared" si="69"/>
        <v/>
      </c>
      <c r="H29" s="73" t="str">
        <f t="shared" si="69"/>
        <v/>
      </c>
      <c r="I29" s="73" t="str">
        <f t="shared" si="69"/>
        <v/>
      </c>
      <c r="J29" s="73" t="str">
        <f t="shared" si="69"/>
        <v/>
      </c>
      <c r="K29" s="73" t="str">
        <f t="shared" si="69"/>
        <v/>
      </c>
      <c r="L29" s="73" t="str">
        <f t="shared" si="69"/>
        <v/>
      </c>
      <c r="M29" s="73" t="str">
        <f t="shared" si="69"/>
        <v/>
      </c>
      <c r="N29" s="73" t="str">
        <f t="shared" si="69"/>
        <v/>
      </c>
      <c r="O29" s="73" t="str">
        <f t="shared" si="69"/>
        <v/>
      </c>
      <c r="P29" s="73" t="str">
        <f t="shared" si="69"/>
        <v/>
      </c>
      <c r="Q29" s="73" t="str">
        <f t="shared" si="69"/>
        <v/>
      </c>
      <c r="R29" s="73" t="str">
        <f t="shared" si="69"/>
        <v/>
      </c>
      <c r="S29" s="73" t="str">
        <f t="shared" si="69"/>
        <v/>
      </c>
      <c r="T29" s="73" t="str">
        <f t="shared" si="69"/>
        <v/>
      </c>
      <c r="U29" s="73" t="str">
        <f t="shared" si="69"/>
        <v/>
      </c>
      <c r="V29" s="73" t="str">
        <f t="shared" si="69"/>
        <v/>
      </c>
      <c r="W29" s="73" t="str">
        <f t="shared" si="69"/>
        <v/>
      </c>
      <c r="X29" s="73" t="str">
        <f t="shared" si="69"/>
        <v/>
      </c>
      <c r="Y29" s="73" t="str">
        <f t="shared" si="69"/>
        <v/>
      </c>
    </row>
    <row r="30" spans="1:32" ht="15" hidden="1" customHeight="1" x14ac:dyDescent="0.2">
      <c r="A30" s="73">
        <f>A16</f>
        <v>0</v>
      </c>
      <c r="B30" s="73" t="str">
        <f ca="1">B16</f>
        <v/>
      </c>
      <c r="C30" s="73" t="str">
        <f t="shared" si="69"/>
        <v/>
      </c>
      <c r="D30" s="73" t="str">
        <f t="shared" si="69"/>
        <v/>
      </c>
      <c r="E30" s="73" t="str">
        <f t="shared" si="69"/>
        <v/>
      </c>
      <c r="F30" s="73" t="str">
        <f t="shared" si="69"/>
        <v/>
      </c>
      <c r="G30" s="73" t="str">
        <f t="shared" si="69"/>
        <v/>
      </c>
      <c r="H30" s="73" t="str">
        <f t="shared" si="69"/>
        <v/>
      </c>
      <c r="I30" s="73" t="str">
        <f t="shared" si="69"/>
        <v/>
      </c>
      <c r="J30" s="73" t="str">
        <f t="shared" si="69"/>
        <v/>
      </c>
      <c r="K30" s="73" t="str">
        <f t="shared" si="69"/>
        <v/>
      </c>
      <c r="L30" s="73" t="str">
        <f t="shared" si="69"/>
        <v/>
      </c>
      <c r="M30" s="73" t="str">
        <f t="shared" si="69"/>
        <v/>
      </c>
      <c r="N30" s="73" t="str">
        <f t="shared" si="69"/>
        <v/>
      </c>
      <c r="O30" s="73" t="str">
        <f t="shared" si="69"/>
        <v/>
      </c>
      <c r="P30" s="73" t="str">
        <f t="shared" si="69"/>
        <v/>
      </c>
      <c r="Q30" s="73" t="str">
        <f t="shared" si="69"/>
        <v/>
      </c>
      <c r="R30" s="73" t="str">
        <f t="shared" si="69"/>
        <v/>
      </c>
      <c r="S30" s="73" t="str">
        <f t="shared" si="69"/>
        <v/>
      </c>
      <c r="T30" s="73" t="str">
        <f t="shared" si="69"/>
        <v/>
      </c>
      <c r="U30" s="73" t="str">
        <f t="shared" si="69"/>
        <v/>
      </c>
      <c r="V30" s="73" t="str">
        <f t="shared" si="69"/>
        <v/>
      </c>
      <c r="W30" s="73" t="str">
        <f t="shared" si="69"/>
        <v/>
      </c>
      <c r="X30" s="73" t="str">
        <f t="shared" si="69"/>
        <v/>
      </c>
      <c r="Y30" s="73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69" priority="11">
      <formula>C4&gt;3</formula>
    </cfRule>
    <cfRule type="expression" dxfId="68" priority="12">
      <formula>AND(C4&gt;2,C4&lt;=3)</formula>
    </cfRule>
    <cfRule type="expression" dxfId="67" priority="13">
      <formula>AND(C4&gt;1,C4&lt;=2)</formula>
    </cfRule>
    <cfRule type="expression" dxfId="66" priority="14">
      <formula>C4&lt;=1</formula>
    </cfRule>
  </conditionalFormatting>
  <conditionalFormatting sqref="C8:Y10 C12:Y13">
    <cfRule type="expression" dxfId="65" priority="9">
      <formula>C$3/3-C8&lt;-0.75</formula>
    </cfRule>
    <cfRule type="expression" dxfId="64" priority="10">
      <formula>C$3/3-C8&gt;0.75</formula>
    </cfRule>
  </conditionalFormatting>
  <conditionalFormatting sqref="C11:D11">
    <cfRule type="expression" dxfId="63" priority="7">
      <formula>C$3/3-C11&lt;-0.75</formula>
    </cfRule>
    <cfRule type="expression" dxfId="62" priority="8">
      <formula>C$3/3-C11&gt;0.75</formula>
    </cfRule>
  </conditionalFormatting>
  <conditionalFormatting sqref="E11:Y11">
    <cfRule type="expression" dxfId="61" priority="5">
      <formula>E$3/3-E11&lt;-0.75</formula>
    </cfRule>
    <cfRule type="expression" dxfId="60" priority="6">
      <formula>E$3/3-E11&gt;0.75</formula>
    </cfRule>
  </conditionalFormatting>
  <conditionalFormatting sqref="S4:X4">
    <cfRule type="expression" dxfId="59" priority="1">
      <formula>S4&gt;3</formula>
    </cfRule>
    <cfRule type="expression" dxfId="58" priority="2">
      <formula>AND(S4&gt;2,S4&lt;=3)</formula>
    </cfRule>
    <cfRule type="expression" dxfId="57" priority="3">
      <formula>AND(S4&gt;1,S4&lt;=2)</formula>
    </cfRule>
    <cfRule type="expression" dxfId="56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3" width="5.7109375" style="29" customWidth="1"/>
    <col min="24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90</v>
      </c>
      <c r="E2" s="111" t="s">
        <v>91</v>
      </c>
      <c r="F2" s="111" t="s">
        <v>92</v>
      </c>
      <c r="G2" s="111" t="s">
        <v>93</v>
      </c>
      <c r="H2" s="111" t="s">
        <v>94</v>
      </c>
      <c r="I2" s="111" t="s">
        <v>96</v>
      </c>
      <c r="J2" s="111" t="s">
        <v>97</v>
      </c>
      <c r="K2" s="111" t="s">
        <v>98</v>
      </c>
      <c r="L2" s="111" t="s">
        <v>90</v>
      </c>
      <c r="M2" s="111" t="s">
        <v>100</v>
      </c>
      <c r="N2" s="111" t="s">
        <v>91</v>
      </c>
      <c r="O2" s="111" t="s">
        <v>84</v>
      </c>
      <c r="P2" s="111" t="s">
        <v>92</v>
      </c>
      <c r="Q2" s="111" t="s">
        <v>93</v>
      </c>
      <c r="R2" s="111" t="s">
        <v>101</v>
      </c>
      <c r="S2" s="111" t="s">
        <v>94</v>
      </c>
      <c r="T2" s="111" t="s">
        <v>96</v>
      </c>
      <c r="U2" s="111" t="s">
        <v>97</v>
      </c>
      <c r="V2" s="111" t="s">
        <v>103</v>
      </c>
      <c r="W2" s="111" t="s">
        <v>76</v>
      </c>
      <c r="X2" s="111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32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ht="15" customHeight="1" x14ac:dyDescent="0.2">
      <c r="A17" s="410"/>
      <c r="B17" s="410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AF17" s="114"/>
    </row>
    <row r="18" spans="1:32" ht="15" customHeight="1" x14ac:dyDescent="0.2">
      <c r="A18" s="410"/>
      <c r="B18" s="410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55" priority="11">
      <formula>C4&gt;3</formula>
    </cfRule>
    <cfRule type="expression" dxfId="54" priority="12">
      <formula>AND(C4&gt;2,C4&lt;=3)</formula>
    </cfRule>
    <cfRule type="expression" dxfId="53" priority="13">
      <formula>AND(C4&gt;1,C4&lt;=2)</formula>
    </cfRule>
    <cfRule type="expression" dxfId="52" priority="14">
      <formula>C4&lt;=1</formula>
    </cfRule>
  </conditionalFormatting>
  <conditionalFormatting sqref="C8:Y10 C12:Y13">
    <cfRule type="expression" dxfId="51" priority="9">
      <formula>C$3/3-C8&lt;-0.75</formula>
    </cfRule>
    <cfRule type="expression" dxfId="50" priority="10">
      <formula>C$3/3-C8&gt;0.75</formula>
    </cfRule>
  </conditionalFormatting>
  <conditionalFormatting sqref="C11:D11">
    <cfRule type="expression" dxfId="49" priority="7">
      <formula>C$3/3-C11&lt;-0.75</formula>
    </cfRule>
    <cfRule type="expression" dxfId="48" priority="8">
      <formula>C$3/3-C11&gt;0.75</formula>
    </cfRule>
  </conditionalFormatting>
  <conditionalFormatting sqref="E11:Y11">
    <cfRule type="expression" dxfId="47" priority="5">
      <formula>E$3/3-E11&lt;-0.75</formula>
    </cfRule>
    <cfRule type="expression" dxfId="46" priority="6">
      <formula>E$3/3-E11&gt;0.75</formula>
    </cfRule>
  </conditionalFormatting>
  <conditionalFormatting sqref="S4:X4">
    <cfRule type="expression" dxfId="45" priority="1">
      <formula>S4&gt;3</formula>
    </cfRule>
    <cfRule type="expression" dxfId="44" priority="2">
      <formula>AND(S4&gt;2,S4&lt;=3)</formula>
    </cfRule>
    <cfRule type="expression" dxfId="43" priority="3">
      <formula>AND(S4&gt;1,S4&lt;=2)</formula>
    </cfRule>
    <cfRule type="expression" dxfId="4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90</v>
      </c>
      <c r="E2" s="111" t="s">
        <v>106</v>
      </c>
      <c r="F2" s="111" t="s">
        <v>107</v>
      </c>
      <c r="G2" s="111" t="s">
        <v>108</v>
      </c>
      <c r="H2" s="111" t="s">
        <v>109</v>
      </c>
      <c r="I2" s="111" t="s">
        <v>110</v>
      </c>
      <c r="J2" s="111" t="s">
        <v>111</v>
      </c>
      <c r="K2" s="111" t="s">
        <v>78</v>
      </c>
      <c r="L2" s="111" t="s">
        <v>113</v>
      </c>
      <c r="M2" s="111" t="s">
        <v>114</v>
      </c>
      <c r="N2" s="111" t="s">
        <v>115</v>
      </c>
      <c r="O2" s="111" t="s">
        <v>116</v>
      </c>
      <c r="P2" s="111" t="s">
        <v>91</v>
      </c>
      <c r="Q2" s="111" t="s">
        <v>117</v>
      </c>
      <c r="R2" s="111" t="s">
        <v>118</v>
      </c>
      <c r="S2" s="111" t="s">
        <v>120</v>
      </c>
      <c r="T2" s="111" t="s">
        <v>121</v>
      </c>
      <c r="U2" s="111" t="s">
        <v>122</v>
      </c>
      <c r="V2" s="111" t="s">
        <v>124</v>
      </c>
      <c r="W2" s="111" t="s">
        <v>125</v>
      </c>
      <c r="X2" s="111" t="s">
        <v>126</v>
      </c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32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x14ac:dyDescent="0.2">
      <c r="AF17" s="114"/>
    </row>
    <row r="18" spans="1:32" x14ac:dyDescent="0.2"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41" priority="11">
      <formula>C4&gt;3</formula>
    </cfRule>
    <cfRule type="expression" dxfId="40" priority="12">
      <formula>AND(C4&gt;2,C4&lt;=3)</formula>
    </cfRule>
    <cfRule type="expression" dxfId="39" priority="13">
      <formula>AND(C4&gt;1,C4&lt;=2)</formula>
    </cfRule>
    <cfRule type="expression" dxfId="38" priority="14">
      <formula>C4&lt;=1</formula>
    </cfRule>
  </conditionalFormatting>
  <conditionalFormatting sqref="C8:Y10 C12:Y13">
    <cfRule type="expression" dxfId="37" priority="9">
      <formula>C$3/3-C8&lt;-0.75</formula>
    </cfRule>
    <cfRule type="expression" dxfId="36" priority="10">
      <formula>C$3/3-C8&gt;0.75</formula>
    </cfRule>
  </conditionalFormatting>
  <conditionalFormatting sqref="C11:D11">
    <cfRule type="expression" dxfId="35" priority="7">
      <formula>C$3/3-C11&lt;-0.75</formula>
    </cfRule>
    <cfRule type="expression" dxfId="34" priority="8">
      <formula>C$3/3-C11&gt;0.75</formula>
    </cfRule>
  </conditionalFormatting>
  <conditionalFormatting sqref="E11:Y11">
    <cfRule type="expression" dxfId="33" priority="5">
      <formula>E$3/3-E11&lt;-0.75</formula>
    </cfRule>
    <cfRule type="expression" dxfId="32" priority="6">
      <formula>E$3/3-E11&gt;0.75</formula>
    </cfRule>
  </conditionalFormatting>
  <conditionalFormatting sqref="S4:X4">
    <cfRule type="expression" dxfId="31" priority="1">
      <formula>S4&gt;3</formula>
    </cfRule>
    <cfRule type="expression" dxfId="30" priority="2">
      <formula>AND(S4&gt;2,S4&lt;=3)</formula>
    </cfRule>
    <cfRule type="expression" dxfId="29" priority="3">
      <formula>AND(S4&gt;1,S4&lt;=2)</formula>
    </cfRule>
    <cfRule type="expression" dxfId="2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INDIRECT("'"&amp;$A8&amp;"'!K6")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129</v>
      </c>
      <c r="E2" s="111" t="s">
        <v>130</v>
      </c>
      <c r="F2" s="111" t="s">
        <v>131</v>
      </c>
      <c r="G2" s="111" t="s">
        <v>132</v>
      </c>
      <c r="H2" s="111" t="s">
        <v>133</v>
      </c>
      <c r="I2" s="111" t="s">
        <v>134</v>
      </c>
      <c r="J2" s="111" t="s">
        <v>135</v>
      </c>
      <c r="K2" s="111" t="s">
        <v>151</v>
      </c>
      <c r="L2" s="111" t="s">
        <v>137</v>
      </c>
      <c r="M2" s="111" t="s">
        <v>152</v>
      </c>
      <c r="N2" s="111" t="s">
        <v>139</v>
      </c>
      <c r="O2" s="111" t="s">
        <v>153</v>
      </c>
      <c r="P2" s="111" t="s">
        <v>154</v>
      </c>
      <c r="Q2" s="111" t="s">
        <v>142</v>
      </c>
      <c r="R2" s="111" t="s">
        <v>144</v>
      </c>
      <c r="S2" s="111" t="s">
        <v>145</v>
      </c>
      <c r="T2" s="111" t="s">
        <v>146</v>
      </c>
      <c r="U2" s="111" t="s">
        <v>147</v>
      </c>
      <c r="V2" s="111" t="s">
        <v>148</v>
      </c>
      <c r="W2" s="111" t="s">
        <v>149</v>
      </c>
      <c r="X2" s="111" t="s">
        <v>150</v>
      </c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32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x14ac:dyDescent="0.2">
      <c r="AF17" s="114"/>
    </row>
    <row r="18" spans="1:32" x14ac:dyDescent="0.2"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27" priority="11">
      <formula>C4&gt;3</formula>
    </cfRule>
    <cfRule type="expression" dxfId="26" priority="12">
      <formula>AND(C4&gt;2,C4&lt;=3)</formula>
    </cfRule>
    <cfRule type="expression" dxfId="25" priority="13">
      <formula>AND(C4&gt;1,C4&lt;=2)</formula>
    </cfRule>
    <cfRule type="expression" dxfId="24" priority="14">
      <formula>C4&lt;=1</formula>
    </cfRule>
  </conditionalFormatting>
  <conditionalFormatting sqref="C8:Y10 C12:Y13">
    <cfRule type="expression" dxfId="23" priority="9">
      <formula>C$3/3-C8&lt;-0.75</formula>
    </cfRule>
    <cfRule type="expression" dxfId="22" priority="10">
      <formula>C$3/3-C8&gt;0.75</formula>
    </cfRule>
  </conditionalFormatting>
  <conditionalFormatting sqref="C11:D11">
    <cfRule type="expression" dxfId="21" priority="7">
      <formula>C$3/3-C11&lt;-0.75</formula>
    </cfRule>
    <cfRule type="expression" dxfId="20" priority="8">
      <formula>C$3/3-C11&gt;0.75</formula>
    </cfRule>
  </conditionalFormatting>
  <conditionalFormatting sqref="E11:Y11">
    <cfRule type="expression" dxfId="19" priority="5">
      <formula>E$3/3-E11&lt;-0.75</formula>
    </cfRule>
    <cfRule type="expression" dxfId="18" priority="6">
      <formula>E$3/3-E11&gt;0.75</formula>
    </cfRule>
  </conditionalFormatting>
  <conditionalFormatting sqref="S4:X4">
    <cfRule type="expression" dxfId="17" priority="1">
      <formula>S4&gt;3</formula>
    </cfRule>
    <cfRule type="expression" dxfId="16" priority="2">
      <formula>AND(S4&gt;2,S4&lt;=3)</formula>
    </cfRule>
    <cfRule type="expression" dxfId="15" priority="3">
      <formula>AND(S4&gt;1,S4&lt;=2)</formula>
    </cfRule>
    <cfRule type="expression" dxfId="1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1" width="5.7109375" style="29" customWidth="1"/>
    <col min="22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5" t="e">
        <f ca="1">INDIRECT("'"&amp;$A8&amp;"'!D8") &amp; "-" &amp; INDIRECT("'"&amp;$A8&amp;"'!D9") &amp; " (" &amp; INDIRECT("'"&amp;$A8&amp;"'!L8") &amp;")"</f>
        <v>#REF!</v>
      </c>
      <c r="Z1" s="126"/>
      <c r="AA1" s="126"/>
      <c r="AB1" s="107"/>
      <c r="AF1" s="117"/>
    </row>
    <row r="2" spans="1:32" ht="128.1" customHeight="1" x14ac:dyDescent="0.2">
      <c r="A2" s="118" t="str">
        <f>Doku!B44</f>
        <v>Position</v>
      </c>
      <c r="B2" s="118" t="str">
        <f>Doku!B50</f>
        <v>Name</v>
      </c>
      <c r="C2" s="111" t="str">
        <f>Doku!B51</f>
        <v>Angrüßen</v>
      </c>
      <c r="D2" s="111" t="s">
        <v>214</v>
      </c>
      <c r="E2" s="111" t="s">
        <v>215</v>
      </c>
      <c r="F2" s="111" t="s">
        <v>216</v>
      </c>
      <c r="G2" s="111" t="s">
        <v>217</v>
      </c>
      <c r="H2" s="111" t="s">
        <v>218</v>
      </c>
      <c r="I2" s="111" t="s">
        <v>219</v>
      </c>
      <c r="J2" s="111" t="s">
        <v>220</v>
      </c>
      <c r="K2" s="111" t="s">
        <v>221</v>
      </c>
      <c r="L2" s="111" t="s">
        <v>222</v>
      </c>
      <c r="M2" s="111" t="s">
        <v>223</v>
      </c>
      <c r="N2" s="111" t="s">
        <v>224</v>
      </c>
      <c r="O2" s="111" t="s">
        <v>225</v>
      </c>
      <c r="P2" s="111" t="s">
        <v>226</v>
      </c>
      <c r="Q2" s="111" t="s">
        <v>227</v>
      </c>
      <c r="R2" s="111" t="s">
        <v>228</v>
      </c>
      <c r="S2" s="111" t="s">
        <v>229</v>
      </c>
      <c r="T2" s="111" t="s">
        <v>230</v>
      </c>
      <c r="U2" s="111" t="s">
        <v>231</v>
      </c>
      <c r="V2" s="111"/>
      <c r="W2" s="111"/>
      <c r="X2" s="111"/>
      <c r="Y2" s="111" t="str">
        <f>Doku!B52</f>
        <v>Abgrüßen</v>
      </c>
      <c r="Z2" s="127" t="str">
        <f>Doku!B42</f>
        <v>Gesamt</v>
      </c>
      <c r="AA2" s="127" t="s">
        <v>191</v>
      </c>
      <c r="AB2" s="112" t="str">
        <f>Doku!B38</f>
        <v>Kleiner Fehler</v>
      </c>
      <c r="AC2" s="111" t="str">
        <f>Doku!B39</f>
        <v>Mittlerer Fehler</v>
      </c>
      <c r="AD2" s="111" t="str">
        <f>Doku!B40</f>
        <v>Großer Fehler</v>
      </c>
      <c r="AE2" s="111" t="str">
        <f>Doku!B53</f>
        <v>Korrektur</v>
      </c>
      <c r="AF2" s="111" t="str">
        <f>Doku!B41</f>
        <v>Technik vergessen</v>
      </c>
    </row>
    <row r="3" spans="1:32" ht="15" customHeight="1" x14ac:dyDescent="0.2">
      <c r="A3" s="409" t="s">
        <v>232</v>
      </c>
      <c r="B3" s="409"/>
      <c r="C3" s="283">
        <f ca="1">IF(COUNTIF(C8:C12,"")&gt;0,SUM(C8:C12),SUM(C8:C12)-MAX(C8:C12)-MIN(C8:C12))</f>
        <v>0</v>
      </c>
      <c r="D3" s="283">
        <f t="shared" ref="D3:Y3" ca="1" si="0">IF(COUNTIF(D8:D12,"")&gt;0,SUM(D8:D12),SUM(D8:D12)-MAX(D8:D12)-MIN(D8:D12))</f>
        <v>0</v>
      </c>
      <c r="E3" s="283">
        <f t="shared" ca="1" si="0"/>
        <v>0</v>
      </c>
      <c r="F3" s="283">
        <f t="shared" ca="1" si="0"/>
        <v>0</v>
      </c>
      <c r="G3" s="283">
        <f t="shared" ca="1" si="0"/>
        <v>0</v>
      </c>
      <c r="H3" s="283">
        <f t="shared" ca="1" si="0"/>
        <v>0</v>
      </c>
      <c r="I3" s="283">
        <f t="shared" ca="1" si="0"/>
        <v>0</v>
      </c>
      <c r="J3" s="283">
        <f t="shared" ca="1" si="0"/>
        <v>0</v>
      </c>
      <c r="K3" s="283">
        <f t="shared" ca="1" si="0"/>
        <v>0</v>
      </c>
      <c r="L3" s="283">
        <f t="shared" ca="1" si="0"/>
        <v>0</v>
      </c>
      <c r="M3" s="283">
        <f t="shared" ca="1" si="0"/>
        <v>0</v>
      </c>
      <c r="N3" s="283">
        <f t="shared" ca="1" si="0"/>
        <v>0</v>
      </c>
      <c r="O3" s="283">
        <f t="shared" ca="1" si="0"/>
        <v>0</v>
      </c>
      <c r="P3" s="283">
        <f t="shared" ca="1" si="0"/>
        <v>0</v>
      </c>
      <c r="Q3" s="283">
        <f t="shared" ca="1" si="0"/>
        <v>0</v>
      </c>
      <c r="R3" s="283">
        <f t="shared" ca="1" si="0"/>
        <v>0</v>
      </c>
      <c r="S3" s="284">
        <f t="shared" ca="1" si="0"/>
        <v>0</v>
      </c>
      <c r="T3" s="284">
        <f t="shared" ca="1" si="0"/>
        <v>0</v>
      </c>
      <c r="U3" s="284">
        <f t="shared" ca="1" si="0"/>
        <v>0</v>
      </c>
      <c r="V3" s="284">
        <f t="shared" ca="1" si="0"/>
        <v>0</v>
      </c>
      <c r="W3" s="284">
        <f t="shared" ca="1" si="0"/>
        <v>0</v>
      </c>
      <c r="X3" s="284">
        <f t="shared" ca="1" si="0"/>
        <v>0</v>
      </c>
      <c r="Y3" s="283">
        <f t="shared" ca="1" si="0"/>
        <v>0</v>
      </c>
      <c r="Z3" s="285">
        <f ca="1">IF(SUM(AF8:AF12)&gt;0,SUM(C3:Y3)/2,SUM(C3:Y3))</f>
        <v>0</v>
      </c>
      <c r="AA3" s="286"/>
      <c r="AB3" s="287">
        <f t="shared" ref="AB3:AF3" ca="1" si="1">IF(COUNTIF(AB8:AB12,"")&gt;0,SUM(AB8:AB12),SUM(AB8:AB12)-MAX(AB8:AB12)-MIN(AB8:AB12))</f>
        <v>0</v>
      </c>
      <c r="AC3" s="287">
        <f t="shared" ca="1" si="1"/>
        <v>0</v>
      </c>
      <c r="AD3" s="287">
        <f t="shared" ca="1" si="1"/>
        <v>0</v>
      </c>
      <c r="AE3" s="283">
        <f t="shared" ca="1" si="1"/>
        <v>0</v>
      </c>
      <c r="AF3" s="287">
        <f t="shared" ca="1" si="1"/>
        <v>0</v>
      </c>
    </row>
    <row r="4" spans="1:32" ht="15" customHeight="1" x14ac:dyDescent="0.2">
      <c r="A4" s="410" t="str">
        <f>Doku!B49&amp;":"</f>
        <v>Spannweite:</v>
      </c>
      <c r="B4" s="410"/>
      <c r="C4" s="129">
        <f t="shared" ref="C4:X4" ca="1" si="2">MAX(C8:C12)-MIN(C8:C12)</f>
        <v>0</v>
      </c>
      <c r="D4" s="129">
        <f t="shared" ca="1" si="2"/>
        <v>0</v>
      </c>
      <c r="E4" s="129">
        <f t="shared" ca="1" si="2"/>
        <v>0</v>
      </c>
      <c r="F4" s="129">
        <f t="shared" ca="1" si="2"/>
        <v>0</v>
      </c>
      <c r="G4" s="129">
        <f t="shared" ca="1" si="2"/>
        <v>0</v>
      </c>
      <c r="H4" s="129">
        <f t="shared" ca="1" si="2"/>
        <v>0</v>
      </c>
      <c r="I4" s="129">
        <f t="shared" ca="1" si="2"/>
        <v>0</v>
      </c>
      <c r="J4" s="129">
        <f t="shared" ca="1" si="2"/>
        <v>0</v>
      </c>
      <c r="K4" s="129">
        <f t="shared" ca="1" si="2"/>
        <v>0</v>
      </c>
      <c r="L4" s="129">
        <f t="shared" ca="1" si="2"/>
        <v>0</v>
      </c>
      <c r="M4" s="129">
        <f t="shared" ca="1" si="2"/>
        <v>0</v>
      </c>
      <c r="N4" s="129">
        <f t="shared" ca="1" si="2"/>
        <v>0</v>
      </c>
      <c r="O4" s="129">
        <f t="shared" ca="1" si="2"/>
        <v>0</v>
      </c>
      <c r="P4" s="129">
        <f t="shared" ca="1" si="2"/>
        <v>0</v>
      </c>
      <c r="Q4" s="129">
        <f t="shared" ca="1" si="2"/>
        <v>0</v>
      </c>
      <c r="R4" s="129">
        <f t="shared" ca="1" si="2"/>
        <v>0</v>
      </c>
      <c r="S4" s="129">
        <f t="shared" ca="1" si="2"/>
        <v>0</v>
      </c>
      <c r="T4" s="129">
        <f t="shared" ca="1" si="2"/>
        <v>0</v>
      </c>
      <c r="U4" s="129">
        <f t="shared" ca="1" si="2"/>
        <v>0</v>
      </c>
      <c r="V4" s="129">
        <f t="shared" ca="1" si="2"/>
        <v>0</v>
      </c>
      <c r="W4" s="129">
        <f t="shared" ca="1" si="2"/>
        <v>0</v>
      </c>
      <c r="X4" s="129">
        <f t="shared" ca="1" si="2"/>
        <v>0</v>
      </c>
      <c r="Y4" s="129">
        <f ca="1">MAX(Y8:Y12)-MIN(Y8:Y12)</f>
        <v>0</v>
      </c>
      <c r="Z4" s="131">
        <f ca="1">MAX(Z8:Z12)-MIN(Z8:Z12)</f>
        <v>0</v>
      </c>
      <c r="AA4" s="132"/>
      <c r="AB4" s="133">
        <f ca="1">MAX(AB8:AB12)-MIN(AB8:AB12)</f>
        <v>0</v>
      </c>
      <c r="AC4" s="133">
        <f ca="1">MAX(AC8:AC12)-MIN(AC8:AC12)</f>
        <v>0</v>
      </c>
      <c r="AD4" s="133">
        <f ca="1">MAX(AD8:AD12)-MIN(AD8:AD12)</f>
        <v>0</v>
      </c>
      <c r="AE4" s="129">
        <f ca="1">MAX(AE8:AE12)-MIN(AE8:AE12)</f>
        <v>0</v>
      </c>
      <c r="AF4" s="133">
        <f ca="1">MAX(AF8:AF12)-MIN(AF8:AF12)</f>
        <v>0</v>
      </c>
    </row>
    <row r="5" spans="1:32" ht="15" customHeight="1" x14ac:dyDescent="0.2">
      <c r="A5" s="410" t="str">
        <f>Doku!B47&amp;":"</f>
        <v>Mittelwert:</v>
      </c>
      <c r="B5" s="410"/>
      <c r="C5" s="129">
        <f ca="1">C3/3</f>
        <v>0</v>
      </c>
      <c r="D5" s="129">
        <f t="shared" ref="D5:AF5" ca="1" si="3">D3/3</f>
        <v>0</v>
      </c>
      <c r="E5" s="129">
        <f t="shared" ca="1" si="3"/>
        <v>0</v>
      </c>
      <c r="F5" s="129">
        <f t="shared" ca="1" si="3"/>
        <v>0</v>
      </c>
      <c r="G5" s="129">
        <f t="shared" ca="1" si="3"/>
        <v>0</v>
      </c>
      <c r="H5" s="129">
        <f t="shared" ca="1" si="3"/>
        <v>0</v>
      </c>
      <c r="I5" s="129">
        <f t="shared" ca="1" si="3"/>
        <v>0</v>
      </c>
      <c r="J5" s="129">
        <f t="shared" ca="1" si="3"/>
        <v>0</v>
      </c>
      <c r="K5" s="129">
        <f t="shared" ca="1" si="3"/>
        <v>0</v>
      </c>
      <c r="L5" s="129">
        <f t="shared" ca="1" si="3"/>
        <v>0</v>
      </c>
      <c r="M5" s="129">
        <f t="shared" ca="1" si="3"/>
        <v>0</v>
      </c>
      <c r="N5" s="129">
        <f t="shared" ca="1" si="3"/>
        <v>0</v>
      </c>
      <c r="O5" s="129">
        <f t="shared" ca="1" si="3"/>
        <v>0</v>
      </c>
      <c r="P5" s="129">
        <f t="shared" ca="1" si="3"/>
        <v>0</v>
      </c>
      <c r="Q5" s="129">
        <f t="shared" ca="1" si="3"/>
        <v>0</v>
      </c>
      <c r="R5" s="129">
        <f t="shared" ca="1" si="3"/>
        <v>0</v>
      </c>
      <c r="S5" s="129">
        <f t="shared" ca="1" si="3"/>
        <v>0</v>
      </c>
      <c r="T5" s="129">
        <f t="shared" ca="1" si="3"/>
        <v>0</v>
      </c>
      <c r="U5" s="129">
        <f t="shared" ca="1" si="3"/>
        <v>0</v>
      </c>
      <c r="V5" s="129">
        <f t="shared" ca="1" si="3"/>
        <v>0</v>
      </c>
      <c r="W5" s="129">
        <f t="shared" ca="1" si="3"/>
        <v>0</v>
      </c>
      <c r="X5" s="129">
        <f t="shared" ca="1" si="3"/>
        <v>0</v>
      </c>
      <c r="Y5" s="129">
        <f t="shared" ca="1" si="3"/>
        <v>0</v>
      </c>
      <c r="Z5" s="131">
        <f t="shared" ca="1" si="3"/>
        <v>0</v>
      </c>
      <c r="AA5" s="134"/>
      <c r="AB5" s="133">
        <f t="shared" ca="1" si="3"/>
        <v>0</v>
      </c>
      <c r="AC5" s="133">
        <f t="shared" ca="1" si="3"/>
        <v>0</v>
      </c>
      <c r="AD5" s="133">
        <f t="shared" ca="1" si="3"/>
        <v>0</v>
      </c>
      <c r="AE5" s="129">
        <f t="shared" ca="1" si="3"/>
        <v>0</v>
      </c>
      <c r="AF5" s="133">
        <f t="shared" ca="1" si="3"/>
        <v>0</v>
      </c>
    </row>
    <row r="6" spans="1:32" ht="15" hidden="1" customHeight="1" x14ac:dyDescent="0.2">
      <c r="A6" s="410"/>
      <c r="B6" s="410"/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30"/>
      <c r="T6" s="130"/>
      <c r="U6" s="130"/>
      <c r="V6" s="130"/>
      <c r="W6" s="130"/>
      <c r="X6" s="130"/>
      <c r="Y6" s="129"/>
      <c r="Z6" s="135"/>
      <c r="AA6" s="136"/>
      <c r="AB6" s="137"/>
      <c r="AC6" s="137"/>
      <c r="AD6" s="137"/>
      <c r="AE6" s="129"/>
      <c r="AF6" s="137"/>
    </row>
    <row r="7" spans="1:32" ht="15" customHeight="1" x14ac:dyDescent="0.2">
      <c r="A7" s="120"/>
      <c r="B7" s="120" t="str">
        <f ca="1">IF(A7&lt;&gt;"",INDIRECT("'"&amp;$A7&amp;"'!E5"),"")</f>
        <v/>
      </c>
      <c r="C7" s="138" t="str">
        <f ca="1">IF($A7&lt;&gt;"",INDIRECT("'"&amp;$A7&amp;"'!L13"),"")</f>
        <v/>
      </c>
      <c r="D7" s="138" t="str">
        <f ca="1">IF($A7&lt;&gt;"",INDIRECT("'"&amp;$A7&amp;"'!L14"),"")</f>
        <v/>
      </c>
      <c r="E7" s="138" t="str">
        <f ca="1">IF($A7&lt;&gt;"",INDIRECT("'"&amp;$A7&amp;"'!L15"),"")</f>
        <v/>
      </c>
      <c r="F7" s="138" t="str">
        <f ca="1">IF($A7&lt;&gt;"",INDIRECT("'"&amp;$A7&amp;"'!L16"),"")</f>
        <v/>
      </c>
      <c r="G7" s="138" t="str">
        <f ca="1">IF($A7&lt;&gt;"",INDIRECT("'"&amp;$A7&amp;"'!L17"),"")</f>
        <v/>
      </c>
      <c r="H7" s="138" t="str">
        <f ca="1">IF($A7&lt;&gt;"",INDIRECT("'"&amp;$A7&amp;"'!L18"),"")</f>
        <v/>
      </c>
      <c r="I7" s="138" t="str">
        <f ca="1">IF($A7&lt;&gt;"",INDIRECT("'"&amp;$A7&amp;"'!L19"),"")</f>
        <v/>
      </c>
      <c r="J7" s="138" t="str">
        <f ca="1">IF($A7&lt;&gt;"",INDIRECT("'"&amp;$A7&amp;"'!L20"),"")</f>
        <v/>
      </c>
      <c r="K7" s="138" t="str">
        <f ca="1">IF($A7&lt;&gt;"",INDIRECT("'"&amp;$A7&amp;"'!L21"),"")</f>
        <v/>
      </c>
      <c r="L7" s="138" t="str">
        <f ca="1">IF($A7&lt;&gt;"",INDIRECT("'"&amp;$A7&amp;"'!L22"),"")</f>
        <v/>
      </c>
      <c r="M7" s="138" t="str">
        <f ca="1">IF($A7&lt;&gt;"",INDIRECT("'"&amp;$A7&amp;"'!L23"),"")</f>
        <v/>
      </c>
      <c r="N7" s="138" t="str">
        <f ca="1">IF($A7&lt;&gt;"",INDIRECT("'"&amp;$A7&amp;"'!L24"),"")</f>
        <v/>
      </c>
      <c r="O7" s="138" t="str">
        <f ca="1">IF($A7&lt;&gt;"",INDIRECT("'"&amp;$A7&amp;"'!L25"),"")</f>
        <v/>
      </c>
      <c r="P7" s="138" t="str">
        <f ca="1">IF($A7&lt;&gt;"",INDIRECT("'"&amp;$A7&amp;"'!L26"),"")</f>
        <v/>
      </c>
      <c r="Q7" s="138" t="str">
        <f ca="1">IF($A7&lt;&gt;"",INDIRECT("'"&amp;$A7&amp;"'!L27"),"")</f>
        <v/>
      </c>
      <c r="R7" s="138" t="str">
        <f ca="1">IF($A7&lt;&gt;"",INDIRECT("'"&amp;$A7&amp;"'!L28"),"")</f>
        <v/>
      </c>
      <c r="S7" s="138" t="str">
        <f ca="1">IF($A7&lt;&gt;"",INDIRECT("'"&amp;$A7&amp;"'!L29"),"")</f>
        <v/>
      </c>
      <c r="T7" s="138" t="str">
        <f ca="1">IF($A7&lt;&gt;"",INDIRECT("'"&amp;$A7&amp;"'!L30"),"")</f>
        <v/>
      </c>
      <c r="U7" s="138" t="str">
        <f ca="1">IF($A7&lt;&gt;"",INDIRECT("'"&amp;$A7&amp;"'!L31"),"")</f>
        <v/>
      </c>
      <c r="V7" s="138" t="str">
        <f ca="1">IF($A7&lt;&gt;"",INDIRECT("'"&amp;$A7&amp;"'!L32"),"")</f>
        <v/>
      </c>
      <c r="W7" s="138" t="str">
        <f ca="1">IF($A7&lt;&gt;"",INDIRECT("'"&amp;$A7&amp;"'!L33"),"")</f>
        <v/>
      </c>
      <c r="X7" s="138" t="str">
        <f ca="1">IF($A7&lt;&gt;"",INDIRECT("'"&amp;$A7&amp;"'!L34"),"")</f>
        <v/>
      </c>
      <c r="Y7" s="138" t="str">
        <f ca="1">IF($A7&lt;&gt;"",INDIRECT("'"&amp;$A7&amp;"'!L35"),"")</f>
        <v/>
      </c>
      <c r="Z7" s="139" t="str">
        <f ca="1">IF($A7&lt;&gt;"",INDIRECT("'"&amp;$A7&amp;"'!L36"),"")</f>
        <v/>
      </c>
      <c r="AA7" s="140" t="str">
        <f t="shared" ref="AA7:AA13" si="4">IF($A7&lt;&gt;"",SUM(C21:Y21)/COUNT(C7:Y7),"")</f>
        <v/>
      </c>
      <c r="AB7" s="139" t="str">
        <f ca="1">IF($A7&lt;&gt;"",INDIRECT("'"&amp;$A7&amp;"'!F36"),"")</f>
        <v/>
      </c>
      <c r="AC7" s="139" t="str">
        <f ca="1">IF($A7&lt;&gt;"",INDIRECT("'"&amp;$A7&amp;"'!H36"),"")</f>
        <v/>
      </c>
      <c r="AD7" s="139" t="str">
        <f ca="1">IF($A7&lt;&gt;"",INDIRECT("'"&amp;$A7&amp;"'!I36"),"")</f>
        <v/>
      </c>
      <c r="AE7" s="138" t="str">
        <f ca="1">IF($A7&lt;&gt;"",INDIRECT("'"&amp;$A7&amp;"'!J36"),"")</f>
        <v/>
      </c>
      <c r="AF7" s="139" t="str">
        <f ca="1">IF($A7&lt;&gt;"",INDIRECT("'"&amp;$A7&amp;"'!K36"),"")</f>
        <v/>
      </c>
    </row>
    <row r="8" spans="1:32" ht="15" customHeight="1" x14ac:dyDescent="0.2">
      <c r="A8" s="121"/>
      <c r="B8" s="121" t="str">
        <f t="shared" ref="B8:B13" ca="1" si="5">IF(A8&lt;&gt;"",INDIRECT("'"&amp;$A8&amp;"'!E5"),"")</f>
        <v/>
      </c>
      <c r="C8" s="128" t="str">
        <f t="shared" ref="C8:C13" ca="1" si="6">IF($A8&lt;&gt;"",INDIRECT("'"&amp;$A8&amp;"'!L13"),"")</f>
        <v/>
      </c>
      <c r="D8" s="128" t="str">
        <f t="shared" ref="D8:D13" ca="1" si="7">IF($A8&lt;&gt;"",INDIRECT("'"&amp;$A8&amp;"'!L14"),"")</f>
        <v/>
      </c>
      <c r="E8" s="128" t="str">
        <f t="shared" ref="E8:E13" ca="1" si="8">IF($A8&lt;&gt;"",INDIRECT("'"&amp;$A8&amp;"'!L15"),"")</f>
        <v/>
      </c>
      <c r="F8" s="128" t="str">
        <f t="shared" ref="F8:F13" ca="1" si="9">IF($A8&lt;&gt;"",INDIRECT("'"&amp;$A8&amp;"'!L16"),"")</f>
        <v/>
      </c>
      <c r="G8" s="128" t="str">
        <f t="shared" ref="G8:G13" ca="1" si="10">IF($A8&lt;&gt;"",INDIRECT("'"&amp;$A8&amp;"'!L17"),"")</f>
        <v/>
      </c>
      <c r="H8" s="128" t="str">
        <f t="shared" ref="H8:H13" ca="1" si="11">IF($A8&lt;&gt;"",INDIRECT("'"&amp;$A8&amp;"'!L18"),"")</f>
        <v/>
      </c>
      <c r="I8" s="128" t="str">
        <f t="shared" ref="I8:I13" ca="1" si="12">IF($A8&lt;&gt;"",INDIRECT("'"&amp;$A8&amp;"'!L19"),"")</f>
        <v/>
      </c>
      <c r="J8" s="128" t="str">
        <f t="shared" ref="J8:J13" ca="1" si="13">IF($A8&lt;&gt;"",INDIRECT("'"&amp;$A8&amp;"'!L20"),"")</f>
        <v/>
      </c>
      <c r="K8" s="128" t="str">
        <f t="shared" ref="K8:K13" ca="1" si="14">IF($A8&lt;&gt;"",INDIRECT("'"&amp;$A8&amp;"'!L21"),"")</f>
        <v/>
      </c>
      <c r="L8" s="128" t="str">
        <f t="shared" ref="L8:L13" ca="1" si="15">IF($A8&lt;&gt;"",INDIRECT("'"&amp;$A8&amp;"'!L22"),"")</f>
        <v/>
      </c>
      <c r="M8" s="128" t="str">
        <f t="shared" ref="M8:M13" ca="1" si="16">IF($A8&lt;&gt;"",INDIRECT("'"&amp;$A8&amp;"'!L23"),"")</f>
        <v/>
      </c>
      <c r="N8" s="128" t="str">
        <f t="shared" ref="N8:N13" ca="1" si="17">IF($A8&lt;&gt;"",INDIRECT("'"&amp;$A8&amp;"'!L24"),"")</f>
        <v/>
      </c>
      <c r="O8" s="128" t="str">
        <f t="shared" ref="O8:O13" ca="1" si="18">IF($A8&lt;&gt;"",INDIRECT("'"&amp;$A8&amp;"'!L25"),"")</f>
        <v/>
      </c>
      <c r="P8" s="128" t="str">
        <f t="shared" ref="P8:P13" ca="1" si="19">IF($A8&lt;&gt;"",INDIRECT("'"&amp;$A8&amp;"'!L26"),"")</f>
        <v/>
      </c>
      <c r="Q8" s="128" t="str">
        <f t="shared" ref="Q8:Q13" ca="1" si="20">IF($A8&lt;&gt;"",INDIRECT("'"&amp;$A8&amp;"'!L27"),"")</f>
        <v/>
      </c>
      <c r="R8" s="128" t="str">
        <f t="shared" ref="R8:R13" ca="1" si="21">IF($A8&lt;&gt;"",INDIRECT("'"&amp;$A8&amp;"'!L28"),"")</f>
        <v/>
      </c>
      <c r="S8" s="128" t="str">
        <f t="shared" ref="S8:S13" ca="1" si="22">IF($A8&lt;&gt;"",INDIRECT("'"&amp;$A8&amp;"'!L29"),"")</f>
        <v/>
      </c>
      <c r="T8" s="128" t="str">
        <f t="shared" ref="T8:T13" ca="1" si="23">IF($A8&lt;&gt;"",INDIRECT("'"&amp;$A8&amp;"'!L30"),"")</f>
        <v/>
      </c>
      <c r="U8" s="128" t="str">
        <f t="shared" ref="U8:U13" ca="1" si="24">IF($A8&lt;&gt;"",INDIRECT("'"&amp;$A8&amp;"'!L31"),"")</f>
        <v/>
      </c>
      <c r="V8" s="128" t="str">
        <f t="shared" ref="V8:V13" ca="1" si="25">IF($A8&lt;&gt;"",INDIRECT("'"&amp;$A8&amp;"'!L32"),"")</f>
        <v/>
      </c>
      <c r="W8" s="128" t="str">
        <f t="shared" ref="W8:W13" ca="1" si="26">IF($A8&lt;&gt;"",INDIRECT("'"&amp;$A8&amp;"'!L33"),"")</f>
        <v/>
      </c>
      <c r="X8" s="128" t="str">
        <f t="shared" ref="X8:X13" ca="1" si="27">IF($A8&lt;&gt;"",INDIRECT("'"&amp;$A8&amp;"'!L34"),"")</f>
        <v/>
      </c>
      <c r="Y8" s="128" t="str">
        <f t="shared" ref="Y8:Y13" ca="1" si="28">IF($A8&lt;&gt;"",INDIRECT("'"&amp;$A8&amp;"'!L35"),"")</f>
        <v/>
      </c>
      <c r="Z8" s="141" t="str">
        <f t="shared" ref="Z8:Z13" ca="1" si="29">IF($A8&lt;&gt;"",INDIRECT("'"&amp;$A8&amp;"'!L36"),"")</f>
        <v/>
      </c>
      <c r="AA8" s="142" t="str">
        <f t="shared" si="4"/>
        <v/>
      </c>
      <c r="AB8" s="143" t="str">
        <f t="shared" ref="AB8:AB13" ca="1" si="30">IF($A8&lt;&gt;"",INDIRECT("'"&amp;$A8&amp;"'!F36"),"")</f>
        <v/>
      </c>
      <c r="AC8" s="143" t="str">
        <f t="shared" ref="AC8:AC13" ca="1" si="31">IF($A8&lt;&gt;"",INDIRECT("'"&amp;$A8&amp;"'!H36"),"")</f>
        <v/>
      </c>
      <c r="AD8" s="143" t="str">
        <f t="shared" ref="AD8:AD13" ca="1" si="32">IF($A8&lt;&gt;"",INDIRECT("'"&amp;$A8&amp;"'!I36"),"")</f>
        <v/>
      </c>
      <c r="AE8" s="144" t="str">
        <f t="shared" ref="AE8:AE13" ca="1" si="33">IF($A8&lt;&gt;"",INDIRECT("'"&amp;$A8&amp;"'!J36"),"")</f>
        <v/>
      </c>
      <c r="AF8" s="143" t="str">
        <f t="shared" ref="AF8:AF13" ca="1" si="34">IF($A8&lt;&gt;"",INDIRECT("'"&amp;$A8&amp;"'!K36"),"")</f>
        <v/>
      </c>
    </row>
    <row r="9" spans="1:32" ht="15" customHeight="1" x14ac:dyDescent="0.2">
      <c r="A9" s="121"/>
      <c r="B9" s="121" t="str">
        <f t="shared" ca="1" si="5"/>
        <v/>
      </c>
      <c r="C9" s="144" t="str">
        <f t="shared" ca="1" si="6"/>
        <v/>
      </c>
      <c r="D9" s="144" t="str">
        <f t="shared" ca="1" si="7"/>
        <v/>
      </c>
      <c r="E9" s="144" t="str">
        <f t="shared" ca="1" si="8"/>
        <v/>
      </c>
      <c r="F9" s="144" t="str">
        <f t="shared" ca="1" si="9"/>
        <v/>
      </c>
      <c r="G9" s="144" t="str">
        <f t="shared" ca="1" si="10"/>
        <v/>
      </c>
      <c r="H9" s="144" t="str">
        <f t="shared" ca="1" si="11"/>
        <v/>
      </c>
      <c r="I9" s="144" t="str">
        <f t="shared" ca="1" si="12"/>
        <v/>
      </c>
      <c r="J9" s="144" t="str">
        <f t="shared" ca="1" si="13"/>
        <v/>
      </c>
      <c r="K9" s="144" t="str">
        <f t="shared" ca="1" si="14"/>
        <v/>
      </c>
      <c r="L9" s="144" t="str">
        <f t="shared" ca="1" si="15"/>
        <v/>
      </c>
      <c r="M9" s="144" t="str">
        <f t="shared" ca="1" si="16"/>
        <v/>
      </c>
      <c r="N9" s="144" t="str">
        <f t="shared" ca="1" si="17"/>
        <v/>
      </c>
      <c r="O9" s="144" t="str">
        <f t="shared" ca="1" si="18"/>
        <v/>
      </c>
      <c r="P9" s="144" t="str">
        <f t="shared" ca="1" si="19"/>
        <v/>
      </c>
      <c r="Q9" s="144" t="str">
        <f t="shared" ca="1" si="20"/>
        <v/>
      </c>
      <c r="R9" s="144" t="str">
        <f t="shared" ca="1" si="21"/>
        <v/>
      </c>
      <c r="S9" s="144" t="str">
        <f t="shared" ca="1" si="22"/>
        <v/>
      </c>
      <c r="T9" s="144" t="str">
        <f t="shared" ca="1" si="23"/>
        <v/>
      </c>
      <c r="U9" s="144" t="str">
        <f t="shared" ca="1" si="24"/>
        <v/>
      </c>
      <c r="V9" s="144" t="str">
        <f t="shared" ca="1" si="25"/>
        <v/>
      </c>
      <c r="W9" s="144" t="str">
        <f t="shared" ca="1" si="26"/>
        <v/>
      </c>
      <c r="X9" s="144" t="str">
        <f t="shared" ca="1" si="27"/>
        <v/>
      </c>
      <c r="Y9" s="144" t="str">
        <f t="shared" ca="1" si="28"/>
        <v/>
      </c>
      <c r="Z9" s="141" t="str">
        <f t="shared" ca="1" si="29"/>
        <v/>
      </c>
      <c r="AA9" s="145" t="str">
        <f t="shared" si="4"/>
        <v/>
      </c>
      <c r="AB9" s="143" t="str">
        <f t="shared" ca="1" si="30"/>
        <v/>
      </c>
      <c r="AC9" s="143" t="str">
        <f t="shared" ca="1" si="31"/>
        <v/>
      </c>
      <c r="AD9" s="143" t="str">
        <f t="shared" ca="1" si="32"/>
        <v/>
      </c>
      <c r="AE9" s="144" t="str">
        <f t="shared" ca="1" si="33"/>
        <v/>
      </c>
      <c r="AF9" s="143" t="str">
        <f t="shared" ca="1" si="34"/>
        <v/>
      </c>
    </row>
    <row r="10" spans="1:32" ht="15" customHeight="1" x14ac:dyDescent="0.2">
      <c r="A10" s="121"/>
      <c r="B10" s="121" t="str">
        <f t="shared" ca="1" si="5"/>
        <v/>
      </c>
      <c r="C10" s="144" t="str">
        <f t="shared" ca="1" si="6"/>
        <v/>
      </c>
      <c r="D10" s="144" t="str">
        <f t="shared" ca="1" si="7"/>
        <v/>
      </c>
      <c r="E10" s="144" t="str">
        <f t="shared" ca="1" si="8"/>
        <v/>
      </c>
      <c r="F10" s="144" t="str">
        <f t="shared" ca="1" si="9"/>
        <v/>
      </c>
      <c r="G10" s="144" t="str">
        <f t="shared" ca="1" si="10"/>
        <v/>
      </c>
      <c r="H10" s="144" t="str">
        <f t="shared" ca="1" si="11"/>
        <v/>
      </c>
      <c r="I10" s="144" t="str">
        <f t="shared" ca="1" si="12"/>
        <v/>
      </c>
      <c r="J10" s="144" t="str">
        <f t="shared" ca="1" si="13"/>
        <v/>
      </c>
      <c r="K10" s="144" t="str">
        <f t="shared" ca="1" si="14"/>
        <v/>
      </c>
      <c r="L10" s="144" t="str">
        <f t="shared" ca="1" si="15"/>
        <v/>
      </c>
      <c r="M10" s="144" t="str">
        <f t="shared" ca="1" si="16"/>
        <v/>
      </c>
      <c r="N10" s="144" t="str">
        <f t="shared" ca="1" si="17"/>
        <v/>
      </c>
      <c r="O10" s="144" t="str">
        <f t="shared" ca="1" si="18"/>
        <v/>
      </c>
      <c r="P10" s="144" t="str">
        <f t="shared" ca="1" si="19"/>
        <v/>
      </c>
      <c r="Q10" s="144" t="str">
        <f t="shared" ca="1" si="20"/>
        <v/>
      </c>
      <c r="R10" s="144" t="str">
        <f t="shared" ca="1" si="21"/>
        <v/>
      </c>
      <c r="S10" s="144" t="str">
        <f t="shared" ca="1" si="22"/>
        <v/>
      </c>
      <c r="T10" s="144" t="str">
        <f t="shared" ca="1" si="23"/>
        <v/>
      </c>
      <c r="U10" s="144" t="str">
        <f t="shared" ca="1" si="24"/>
        <v/>
      </c>
      <c r="V10" s="144" t="str">
        <f t="shared" ca="1" si="25"/>
        <v/>
      </c>
      <c r="W10" s="144" t="str">
        <f t="shared" ca="1" si="26"/>
        <v/>
      </c>
      <c r="X10" s="144" t="str">
        <f t="shared" ca="1" si="27"/>
        <v/>
      </c>
      <c r="Y10" s="144" t="str">
        <f t="shared" ca="1" si="28"/>
        <v/>
      </c>
      <c r="Z10" s="141" t="str">
        <f t="shared" ca="1" si="29"/>
        <v/>
      </c>
      <c r="AA10" s="145" t="str">
        <f t="shared" si="4"/>
        <v/>
      </c>
      <c r="AB10" s="143" t="str">
        <f t="shared" ca="1" si="30"/>
        <v/>
      </c>
      <c r="AC10" s="143" t="str">
        <f t="shared" ca="1" si="31"/>
        <v/>
      </c>
      <c r="AD10" s="143" t="str">
        <f t="shared" ca="1" si="32"/>
        <v/>
      </c>
      <c r="AE10" s="144" t="str">
        <f t="shared" ca="1" si="33"/>
        <v/>
      </c>
      <c r="AF10" s="143" t="str">
        <f t="shared" ca="1" si="34"/>
        <v/>
      </c>
    </row>
    <row r="11" spans="1:32" ht="15" customHeight="1" x14ac:dyDescent="0.2">
      <c r="A11" s="121"/>
      <c r="B11" s="282" t="str">
        <f t="shared" ca="1" si="5"/>
        <v/>
      </c>
      <c r="C11" s="128" t="str">
        <f t="shared" ca="1" si="6"/>
        <v/>
      </c>
      <c r="D11" s="128" t="str">
        <f t="shared" ca="1" si="7"/>
        <v/>
      </c>
      <c r="E11" s="128" t="str">
        <f t="shared" ca="1" si="8"/>
        <v/>
      </c>
      <c r="F11" s="128" t="str">
        <f t="shared" ca="1" si="9"/>
        <v/>
      </c>
      <c r="G11" s="128" t="str">
        <f t="shared" ca="1" si="10"/>
        <v/>
      </c>
      <c r="H11" s="128" t="str">
        <f t="shared" ca="1" si="11"/>
        <v/>
      </c>
      <c r="I11" s="128" t="str">
        <f t="shared" ca="1" si="12"/>
        <v/>
      </c>
      <c r="J11" s="128" t="str">
        <f t="shared" ca="1" si="13"/>
        <v/>
      </c>
      <c r="K11" s="128" t="str">
        <f t="shared" ca="1" si="14"/>
        <v/>
      </c>
      <c r="L11" s="128" t="str">
        <f t="shared" ca="1" si="15"/>
        <v/>
      </c>
      <c r="M11" s="128" t="str">
        <f t="shared" ca="1" si="16"/>
        <v/>
      </c>
      <c r="N11" s="128" t="str">
        <f t="shared" ca="1" si="17"/>
        <v/>
      </c>
      <c r="O11" s="128" t="str">
        <f t="shared" ca="1" si="18"/>
        <v/>
      </c>
      <c r="P11" s="128" t="str">
        <f t="shared" ca="1" si="19"/>
        <v/>
      </c>
      <c r="Q11" s="128" t="str">
        <f t="shared" ca="1" si="20"/>
        <v/>
      </c>
      <c r="R11" s="128" t="str">
        <f t="shared" ca="1" si="21"/>
        <v/>
      </c>
      <c r="S11" s="128" t="str">
        <f t="shared" ca="1" si="22"/>
        <v/>
      </c>
      <c r="T11" s="128" t="str">
        <f t="shared" ca="1" si="23"/>
        <v/>
      </c>
      <c r="U11" s="128" t="str">
        <f t="shared" ca="1" si="24"/>
        <v/>
      </c>
      <c r="V11" s="128" t="str">
        <f t="shared" ca="1" si="25"/>
        <v/>
      </c>
      <c r="W11" s="128" t="str">
        <f t="shared" ca="1" si="26"/>
        <v/>
      </c>
      <c r="X11" s="128" t="str">
        <f t="shared" ca="1" si="27"/>
        <v/>
      </c>
      <c r="Y11" s="128" t="str">
        <f t="shared" ca="1" si="28"/>
        <v/>
      </c>
      <c r="Z11" s="141" t="str">
        <f t="shared" ca="1" si="29"/>
        <v/>
      </c>
      <c r="AA11" s="145" t="str">
        <f t="shared" si="4"/>
        <v/>
      </c>
      <c r="AB11" s="143" t="str">
        <f t="shared" ca="1" si="30"/>
        <v/>
      </c>
      <c r="AC11" s="143" t="str">
        <f t="shared" ca="1" si="31"/>
        <v/>
      </c>
      <c r="AD11" s="143" t="str">
        <f t="shared" ca="1" si="32"/>
        <v/>
      </c>
      <c r="AE11" s="144" t="str">
        <f t="shared" ca="1" si="33"/>
        <v/>
      </c>
      <c r="AF11" s="143" t="str">
        <f t="shared" ca="1" si="34"/>
        <v/>
      </c>
    </row>
    <row r="12" spans="1:32" ht="15" customHeight="1" thickBot="1" x14ac:dyDescent="0.25">
      <c r="A12" s="121"/>
      <c r="B12" s="122" t="str">
        <f t="shared" ca="1" si="5"/>
        <v/>
      </c>
      <c r="C12" s="146" t="str">
        <f t="shared" ca="1" si="6"/>
        <v/>
      </c>
      <c r="D12" s="146" t="str">
        <f t="shared" ca="1" si="7"/>
        <v/>
      </c>
      <c r="E12" s="146" t="str">
        <f t="shared" ca="1" si="8"/>
        <v/>
      </c>
      <c r="F12" s="146" t="str">
        <f t="shared" ca="1" si="9"/>
        <v/>
      </c>
      <c r="G12" s="146" t="str">
        <f t="shared" ca="1" si="10"/>
        <v/>
      </c>
      <c r="H12" s="146" t="str">
        <f t="shared" ca="1" si="11"/>
        <v/>
      </c>
      <c r="I12" s="146" t="str">
        <f t="shared" ca="1" si="12"/>
        <v/>
      </c>
      <c r="J12" s="146" t="str">
        <f t="shared" ca="1" si="13"/>
        <v/>
      </c>
      <c r="K12" s="146" t="str">
        <f t="shared" ca="1" si="14"/>
        <v/>
      </c>
      <c r="L12" s="146" t="str">
        <f t="shared" ca="1" si="15"/>
        <v/>
      </c>
      <c r="M12" s="146" t="str">
        <f t="shared" ca="1" si="16"/>
        <v/>
      </c>
      <c r="N12" s="146" t="str">
        <f t="shared" ca="1" si="17"/>
        <v/>
      </c>
      <c r="O12" s="146" t="str">
        <f t="shared" ca="1" si="18"/>
        <v/>
      </c>
      <c r="P12" s="146" t="str">
        <f t="shared" ca="1" si="19"/>
        <v/>
      </c>
      <c r="Q12" s="146" t="str">
        <f t="shared" ca="1" si="20"/>
        <v/>
      </c>
      <c r="R12" s="146" t="str">
        <f t="shared" ca="1" si="21"/>
        <v/>
      </c>
      <c r="S12" s="146" t="str">
        <f t="shared" ca="1" si="22"/>
        <v/>
      </c>
      <c r="T12" s="146" t="str">
        <f t="shared" ca="1" si="23"/>
        <v/>
      </c>
      <c r="U12" s="146" t="str">
        <f t="shared" ca="1" si="24"/>
        <v/>
      </c>
      <c r="V12" s="146" t="str">
        <f t="shared" ca="1" si="25"/>
        <v/>
      </c>
      <c r="W12" s="146" t="str">
        <f t="shared" ca="1" si="26"/>
        <v/>
      </c>
      <c r="X12" s="146" t="str">
        <f t="shared" ca="1" si="27"/>
        <v/>
      </c>
      <c r="Y12" s="146" t="str">
        <f t="shared" ca="1" si="28"/>
        <v/>
      </c>
      <c r="Z12" s="147" t="str">
        <f t="shared" ca="1" si="29"/>
        <v/>
      </c>
      <c r="AA12" s="145" t="str">
        <f t="shared" si="4"/>
        <v/>
      </c>
      <c r="AB12" s="147" t="str">
        <f t="shared" ca="1" si="30"/>
        <v/>
      </c>
      <c r="AC12" s="147" t="str">
        <f t="shared" ca="1" si="31"/>
        <v/>
      </c>
      <c r="AD12" s="147" t="str">
        <f t="shared" ca="1" si="32"/>
        <v/>
      </c>
      <c r="AE12" s="146" t="str">
        <f t="shared" ca="1" si="33"/>
        <v/>
      </c>
      <c r="AF12" s="147" t="str">
        <f t="shared" ca="1" si="34"/>
        <v/>
      </c>
    </row>
    <row r="13" spans="1:32" ht="13.5" thickBot="1" x14ac:dyDescent="0.25">
      <c r="A13" s="123"/>
      <c r="B13" s="123" t="str">
        <f t="shared" ca="1" si="5"/>
        <v/>
      </c>
      <c r="C13" s="148" t="str">
        <f t="shared" ca="1" si="6"/>
        <v/>
      </c>
      <c r="D13" s="148" t="str">
        <f t="shared" ca="1" si="7"/>
        <v/>
      </c>
      <c r="E13" s="148" t="str">
        <f t="shared" ca="1" si="8"/>
        <v/>
      </c>
      <c r="F13" s="148" t="str">
        <f t="shared" ca="1" si="9"/>
        <v/>
      </c>
      <c r="G13" s="148" t="str">
        <f t="shared" ca="1" si="10"/>
        <v/>
      </c>
      <c r="H13" s="148" t="str">
        <f t="shared" ca="1" si="11"/>
        <v/>
      </c>
      <c r="I13" s="148" t="str">
        <f t="shared" ca="1" si="12"/>
        <v/>
      </c>
      <c r="J13" s="148" t="str">
        <f t="shared" ca="1" si="13"/>
        <v/>
      </c>
      <c r="K13" s="148" t="str">
        <f t="shared" ca="1" si="14"/>
        <v/>
      </c>
      <c r="L13" s="148" t="str">
        <f t="shared" ca="1" si="15"/>
        <v/>
      </c>
      <c r="M13" s="148" t="str">
        <f t="shared" ca="1" si="16"/>
        <v/>
      </c>
      <c r="N13" s="148" t="str">
        <f t="shared" ca="1" si="17"/>
        <v/>
      </c>
      <c r="O13" s="148" t="str">
        <f t="shared" ca="1" si="18"/>
        <v/>
      </c>
      <c r="P13" s="148" t="str">
        <f t="shared" ca="1" si="19"/>
        <v/>
      </c>
      <c r="Q13" s="148" t="str">
        <f t="shared" ca="1" si="20"/>
        <v/>
      </c>
      <c r="R13" s="148" t="str">
        <f t="shared" ca="1" si="21"/>
        <v/>
      </c>
      <c r="S13" s="148" t="str">
        <f t="shared" ca="1" si="22"/>
        <v/>
      </c>
      <c r="T13" s="148" t="str">
        <f t="shared" ca="1" si="23"/>
        <v/>
      </c>
      <c r="U13" s="148" t="str">
        <f t="shared" ca="1" si="24"/>
        <v/>
      </c>
      <c r="V13" s="148" t="str">
        <f t="shared" ca="1" si="25"/>
        <v/>
      </c>
      <c r="W13" s="148" t="str">
        <f t="shared" ca="1" si="26"/>
        <v/>
      </c>
      <c r="X13" s="148" t="str">
        <f t="shared" ca="1" si="27"/>
        <v/>
      </c>
      <c r="Y13" s="148" t="str">
        <f t="shared" ca="1" si="28"/>
        <v/>
      </c>
      <c r="Z13" s="149" t="str">
        <f t="shared" ca="1" si="29"/>
        <v/>
      </c>
      <c r="AA13" s="150" t="str">
        <f t="shared" si="4"/>
        <v/>
      </c>
      <c r="AB13" s="149" t="str">
        <f t="shared" ca="1" si="30"/>
        <v/>
      </c>
      <c r="AC13" s="149" t="str">
        <f t="shared" ca="1" si="31"/>
        <v/>
      </c>
      <c r="AD13" s="149" t="str">
        <f t="shared" ca="1" si="32"/>
        <v/>
      </c>
      <c r="AE13" s="148" t="str">
        <f t="shared" ca="1" si="33"/>
        <v/>
      </c>
      <c r="AF13" s="149" t="str">
        <f t="shared" ca="1" si="34"/>
        <v/>
      </c>
    </row>
    <row r="14" spans="1:32" ht="15" customHeight="1" x14ac:dyDescent="0.2">
      <c r="A14" s="124"/>
      <c r="B14" s="124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2"/>
      <c r="AA14" s="153"/>
      <c r="AB14" s="154"/>
      <c r="AC14" s="154"/>
      <c r="AD14" s="154"/>
      <c r="AE14" s="151"/>
      <c r="AF14" s="154"/>
    </row>
    <row r="15" spans="1:32" ht="15" customHeight="1" x14ac:dyDescent="0.2">
      <c r="A15" s="125"/>
      <c r="B15" s="125" t="str">
        <f t="shared" ref="B15:B16" ca="1" si="35">IF(A15&lt;&gt;"",INDIRECT("'"&amp;$A15&amp;"'!E5"),"")</f>
        <v/>
      </c>
      <c r="C15" s="155" t="str">
        <f t="shared" ref="C15:C16" ca="1" si="36">IF($A15&lt;&gt;"",INDIRECT("'"&amp;$A15&amp;"'!L13"),"")</f>
        <v/>
      </c>
      <c r="D15" s="155" t="str">
        <f t="shared" ref="D15:D16" ca="1" si="37">IF($A15&lt;&gt;"",INDIRECT("'"&amp;$A15&amp;"'!L14"),"")</f>
        <v/>
      </c>
      <c r="E15" s="155" t="str">
        <f t="shared" ref="E15:E16" ca="1" si="38">IF($A15&lt;&gt;"",INDIRECT("'"&amp;$A15&amp;"'!L15"),"")</f>
        <v/>
      </c>
      <c r="F15" s="155" t="str">
        <f t="shared" ref="F15:F16" ca="1" si="39">IF($A15&lt;&gt;"",INDIRECT("'"&amp;$A15&amp;"'!L16"),"")</f>
        <v/>
      </c>
      <c r="G15" s="155" t="str">
        <f t="shared" ref="G15:G16" ca="1" si="40">IF($A15&lt;&gt;"",INDIRECT("'"&amp;$A15&amp;"'!L17"),"")</f>
        <v/>
      </c>
      <c r="H15" s="155" t="str">
        <f t="shared" ref="H15:H16" ca="1" si="41">IF($A15&lt;&gt;"",INDIRECT("'"&amp;$A15&amp;"'!L18"),"")</f>
        <v/>
      </c>
      <c r="I15" s="155" t="str">
        <f t="shared" ref="I15:I16" ca="1" si="42">IF($A15&lt;&gt;"",INDIRECT("'"&amp;$A15&amp;"'!L19"),"")</f>
        <v/>
      </c>
      <c r="J15" s="155" t="str">
        <f t="shared" ref="J15:J16" ca="1" si="43">IF($A15&lt;&gt;"",INDIRECT("'"&amp;$A15&amp;"'!L20"),"")</f>
        <v/>
      </c>
      <c r="K15" s="155" t="str">
        <f t="shared" ref="K15:K16" ca="1" si="44">IF($A15&lt;&gt;"",INDIRECT("'"&amp;$A15&amp;"'!L21"),"")</f>
        <v/>
      </c>
      <c r="L15" s="155" t="str">
        <f t="shared" ref="L15:L16" ca="1" si="45">IF($A15&lt;&gt;"",INDIRECT("'"&amp;$A15&amp;"'!L22"),"")</f>
        <v/>
      </c>
      <c r="M15" s="155" t="str">
        <f t="shared" ref="M15:M16" ca="1" si="46">IF($A15&lt;&gt;"",INDIRECT("'"&amp;$A15&amp;"'!L23"),"")</f>
        <v/>
      </c>
      <c r="N15" s="155" t="str">
        <f t="shared" ref="N15:N16" ca="1" si="47">IF($A15&lt;&gt;"",INDIRECT("'"&amp;$A15&amp;"'!L24"),"")</f>
        <v/>
      </c>
      <c r="O15" s="155" t="str">
        <f t="shared" ref="O15:O16" ca="1" si="48">IF($A15&lt;&gt;"",INDIRECT("'"&amp;$A15&amp;"'!L25"),"")</f>
        <v/>
      </c>
      <c r="P15" s="155" t="str">
        <f t="shared" ref="P15:P16" ca="1" si="49">IF($A15&lt;&gt;"",INDIRECT("'"&amp;$A15&amp;"'!L26"),"")</f>
        <v/>
      </c>
      <c r="Q15" s="155" t="str">
        <f t="shared" ref="Q15:Q16" ca="1" si="50">IF($A15&lt;&gt;"",INDIRECT("'"&amp;$A15&amp;"'!L27"),"")</f>
        <v/>
      </c>
      <c r="R15" s="155" t="str">
        <f t="shared" ref="R15:R16" ca="1" si="51">IF($A15&lt;&gt;"",INDIRECT("'"&amp;$A15&amp;"'!L28"),"")</f>
        <v/>
      </c>
      <c r="S15" s="155" t="str">
        <f t="shared" ref="S15:S16" ca="1" si="52">IF($A15&lt;&gt;"",INDIRECT("'"&amp;$A15&amp;"'!L29"),"")</f>
        <v/>
      </c>
      <c r="T15" s="155" t="str">
        <f t="shared" ref="T15:T16" ca="1" si="53">IF($A15&lt;&gt;"",INDIRECT("'"&amp;$A15&amp;"'!L30"),"")</f>
        <v/>
      </c>
      <c r="U15" s="155" t="str">
        <f t="shared" ref="U15:U16" ca="1" si="54">IF($A15&lt;&gt;"",INDIRECT("'"&amp;$A15&amp;"'!L31"),"")</f>
        <v/>
      </c>
      <c r="V15" s="155" t="str">
        <f t="shared" ref="V15:V16" ca="1" si="55">IF($A15&lt;&gt;"",INDIRECT("'"&amp;$A15&amp;"'!L32"),"")</f>
        <v/>
      </c>
      <c r="W15" s="155" t="str">
        <f t="shared" ref="W15:W16" ca="1" si="56">IF($A15&lt;&gt;"",INDIRECT("'"&amp;$A15&amp;"'!L33"),"")</f>
        <v/>
      </c>
      <c r="X15" s="155" t="str">
        <f t="shared" ref="X15:X16" ca="1" si="57">IF($A15&lt;&gt;"",INDIRECT("'"&amp;$A15&amp;"'!L34"),"")</f>
        <v/>
      </c>
      <c r="Y15" s="155" t="str">
        <f t="shared" ref="Y15:Y16" ca="1" si="58">IF($A15&lt;&gt;"",INDIRECT("'"&amp;$A15&amp;"'!L35"),"")</f>
        <v/>
      </c>
      <c r="Z15" s="156" t="str">
        <f t="shared" ref="Z15:Z16" ca="1" si="59">IF($A15&lt;&gt;"",INDIRECT("'"&amp;$A15&amp;"'!L36"),"")</f>
        <v/>
      </c>
      <c r="AA15" s="157" t="str">
        <f t="shared" ref="AA15:AA16" si="60">IF($A15&lt;&gt;"",SUM(C29:Y29)/COUNT(C15:Y15),"")</f>
        <v/>
      </c>
      <c r="AB15" s="158" t="str">
        <f t="shared" ref="AB15:AB16" ca="1" si="61">IF($A15&lt;&gt;"",INDIRECT("'"&amp;$A15&amp;"'!F36"),"")</f>
        <v/>
      </c>
      <c r="AC15" s="158" t="str">
        <f t="shared" ref="AC15:AC16" ca="1" si="62">IF($A15&lt;&gt;"",INDIRECT("'"&amp;$A15&amp;"'!H36"),"")</f>
        <v/>
      </c>
      <c r="AD15" s="158" t="str">
        <f t="shared" ref="AD15:AD16" ca="1" si="63">IF($A15&lt;&gt;"",INDIRECT("'"&amp;$A15&amp;"'!I36"),"")</f>
        <v/>
      </c>
      <c r="AE15" s="155" t="str">
        <f t="shared" ref="AE15:AE16" ca="1" si="64">IF($A15&lt;&gt;"",INDIRECT("'"&amp;$A15&amp;"'!J36"),"")</f>
        <v/>
      </c>
      <c r="AF15" s="158" t="str">
        <f t="shared" ref="AF15:AF16" ca="1" si="65">IF($A15&lt;&gt;"",INDIRECT("'"&amp;$A15&amp;"'!K36"),"")</f>
        <v/>
      </c>
    </row>
    <row r="16" spans="1:32" ht="15" customHeight="1" x14ac:dyDescent="0.2">
      <c r="A16" s="124"/>
      <c r="B16" s="124" t="str">
        <f t="shared" ca="1" si="35"/>
        <v/>
      </c>
      <c r="C16" s="151" t="str">
        <f t="shared" ca="1" si="36"/>
        <v/>
      </c>
      <c r="D16" s="151" t="str">
        <f t="shared" ca="1" si="37"/>
        <v/>
      </c>
      <c r="E16" s="151" t="str">
        <f t="shared" ca="1" si="38"/>
        <v/>
      </c>
      <c r="F16" s="151" t="str">
        <f t="shared" ca="1" si="39"/>
        <v/>
      </c>
      <c r="G16" s="151" t="str">
        <f t="shared" ca="1" si="40"/>
        <v/>
      </c>
      <c r="H16" s="151" t="str">
        <f t="shared" ca="1" si="41"/>
        <v/>
      </c>
      <c r="I16" s="151" t="str">
        <f t="shared" ca="1" si="42"/>
        <v/>
      </c>
      <c r="J16" s="151" t="str">
        <f t="shared" ca="1" si="43"/>
        <v/>
      </c>
      <c r="K16" s="151" t="str">
        <f t="shared" ca="1" si="44"/>
        <v/>
      </c>
      <c r="L16" s="151" t="str">
        <f t="shared" ca="1" si="45"/>
        <v/>
      </c>
      <c r="M16" s="151" t="str">
        <f t="shared" ca="1" si="46"/>
        <v/>
      </c>
      <c r="N16" s="151" t="str">
        <f t="shared" ca="1" si="47"/>
        <v/>
      </c>
      <c r="O16" s="151" t="str">
        <f t="shared" ca="1" si="48"/>
        <v/>
      </c>
      <c r="P16" s="151" t="str">
        <f t="shared" ca="1" si="49"/>
        <v/>
      </c>
      <c r="Q16" s="151" t="str">
        <f t="shared" ca="1" si="50"/>
        <v/>
      </c>
      <c r="R16" s="151" t="str">
        <f t="shared" ca="1" si="51"/>
        <v/>
      </c>
      <c r="S16" s="151" t="str">
        <f t="shared" ca="1" si="52"/>
        <v/>
      </c>
      <c r="T16" s="151" t="str">
        <f t="shared" ca="1" si="53"/>
        <v/>
      </c>
      <c r="U16" s="151" t="str">
        <f t="shared" ca="1" si="54"/>
        <v/>
      </c>
      <c r="V16" s="151" t="str">
        <f t="shared" ca="1" si="55"/>
        <v/>
      </c>
      <c r="W16" s="151" t="str">
        <f t="shared" ca="1" si="56"/>
        <v/>
      </c>
      <c r="X16" s="151" t="str">
        <f t="shared" ca="1" si="57"/>
        <v/>
      </c>
      <c r="Y16" s="151" t="str">
        <f t="shared" ca="1" si="58"/>
        <v/>
      </c>
      <c r="Z16" s="159" t="str">
        <f t="shared" ca="1" si="59"/>
        <v/>
      </c>
      <c r="AA16" s="157" t="str">
        <f t="shared" si="60"/>
        <v/>
      </c>
      <c r="AB16" s="154" t="str">
        <f t="shared" ca="1" si="61"/>
        <v/>
      </c>
      <c r="AC16" s="154" t="str">
        <f t="shared" ca="1" si="62"/>
        <v/>
      </c>
      <c r="AD16" s="154" t="str">
        <f t="shared" ca="1" si="63"/>
        <v/>
      </c>
      <c r="AE16" s="151" t="str">
        <f t="shared" ca="1" si="64"/>
        <v/>
      </c>
      <c r="AF16" s="154" t="str">
        <f t="shared" ca="1" si="65"/>
        <v/>
      </c>
    </row>
    <row r="17" spans="1:32" ht="15" customHeight="1" x14ac:dyDescent="0.2">
      <c r="A17" s="410"/>
      <c r="B17" s="410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AF17" s="114"/>
    </row>
    <row r="18" spans="1:32" ht="15" customHeight="1" x14ac:dyDescent="0.2">
      <c r="A18" s="410"/>
      <c r="B18" s="410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AF18" s="11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str">
        <f ca="1">B8</f>
        <v/>
      </c>
      <c r="C22" s="73" t="str">
        <f t="shared" ref="C22:Y30" si="66">IF($A8&lt;&gt;"",IF(ABS(C$3/3-C8)&lt;=0.75,1,0),"")</f>
        <v/>
      </c>
      <c r="D22" s="73" t="str">
        <f t="shared" si="66"/>
        <v/>
      </c>
      <c r="E22" s="73" t="str">
        <f t="shared" si="66"/>
        <v/>
      </c>
      <c r="F22" s="73" t="str">
        <f t="shared" si="66"/>
        <v/>
      </c>
      <c r="G22" s="73" t="str">
        <f t="shared" si="66"/>
        <v/>
      </c>
      <c r="H22" s="73" t="str">
        <f t="shared" si="66"/>
        <v/>
      </c>
      <c r="I22" s="73" t="str">
        <f t="shared" si="66"/>
        <v/>
      </c>
      <c r="J22" s="73" t="str">
        <f t="shared" si="66"/>
        <v/>
      </c>
      <c r="K22" s="73" t="str">
        <f t="shared" si="66"/>
        <v/>
      </c>
      <c r="L22" s="73" t="str">
        <f t="shared" si="66"/>
        <v/>
      </c>
      <c r="M22" s="73" t="str">
        <f t="shared" si="66"/>
        <v/>
      </c>
      <c r="N22" s="73" t="str">
        <f t="shared" si="66"/>
        <v/>
      </c>
      <c r="O22" s="73" t="str">
        <f t="shared" si="66"/>
        <v/>
      </c>
      <c r="P22" s="73" t="str">
        <f t="shared" si="66"/>
        <v/>
      </c>
      <c r="Q22" s="73" t="str">
        <f t="shared" si="66"/>
        <v/>
      </c>
      <c r="R22" s="73" t="str">
        <f t="shared" si="66"/>
        <v/>
      </c>
      <c r="S22" s="73" t="str">
        <f t="shared" si="66"/>
        <v/>
      </c>
      <c r="T22" s="73" t="str">
        <f t="shared" si="66"/>
        <v/>
      </c>
      <c r="U22" s="73" t="str">
        <f t="shared" si="66"/>
        <v/>
      </c>
      <c r="V22" s="73" t="str">
        <f t="shared" si="66"/>
        <v/>
      </c>
      <c r="W22" s="73" t="str">
        <f t="shared" si="66"/>
        <v/>
      </c>
      <c r="X22" s="73" t="str">
        <f t="shared" si="66"/>
        <v/>
      </c>
      <c r="Y22" s="73" t="str">
        <f t="shared" si="66"/>
        <v/>
      </c>
    </row>
    <row r="23" spans="1:32" hidden="1" x14ac:dyDescent="0.2">
      <c r="A23" s="73">
        <f>A9</f>
        <v>0</v>
      </c>
      <c r="B23" s="73" t="str">
        <f ca="1">B9</f>
        <v/>
      </c>
      <c r="C23" s="73" t="str">
        <f t="shared" si="66"/>
        <v/>
      </c>
      <c r="D23" s="73" t="str">
        <f t="shared" si="66"/>
        <v/>
      </c>
      <c r="E23" s="73" t="str">
        <f t="shared" si="66"/>
        <v/>
      </c>
      <c r="F23" s="73" t="str">
        <f t="shared" si="66"/>
        <v/>
      </c>
      <c r="G23" s="73" t="str">
        <f t="shared" si="66"/>
        <v/>
      </c>
      <c r="H23" s="73" t="str">
        <f t="shared" si="66"/>
        <v/>
      </c>
      <c r="I23" s="73" t="str">
        <f t="shared" si="66"/>
        <v/>
      </c>
      <c r="J23" s="73" t="str">
        <f t="shared" si="66"/>
        <v/>
      </c>
      <c r="K23" s="73" t="str">
        <f t="shared" si="66"/>
        <v/>
      </c>
      <c r="L23" s="73" t="str">
        <f t="shared" si="66"/>
        <v/>
      </c>
      <c r="M23" s="73" t="str">
        <f t="shared" si="66"/>
        <v/>
      </c>
      <c r="N23" s="73" t="str">
        <f t="shared" si="66"/>
        <v/>
      </c>
      <c r="O23" s="73" t="str">
        <f t="shared" si="66"/>
        <v/>
      </c>
      <c r="P23" s="73" t="str">
        <f t="shared" si="66"/>
        <v/>
      </c>
      <c r="Q23" s="73" t="str">
        <f t="shared" si="66"/>
        <v/>
      </c>
      <c r="R23" s="73" t="str">
        <f t="shared" si="66"/>
        <v/>
      </c>
      <c r="S23" s="73" t="str">
        <f t="shared" si="66"/>
        <v/>
      </c>
      <c r="T23" s="73" t="str">
        <f t="shared" si="66"/>
        <v/>
      </c>
      <c r="U23" s="73" t="str">
        <f t="shared" si="66"/>
        <v/>
      </c>
      <c r="V23" s="73" t="str">
        <f t="shared" si="66"/>
        <v/>
      </c>
      <c r="W23" s="73" t="str">
        <f t="shared" si="66"/>
        <v/>
      </c>
      <c r="X23" s="73" t="str">
        <f t="shared" si="66"/>
        <v/>
      </c>
      <c r="Y23" s="73" t="str">
        <f t="shared" si="66"/>
        <v/>
      </c>
    </row>
    <row r="24" spans="1:32" hidden="1" x14ac:dyDescent="0.2">
      <c r="A24" s="73">
        <f>A10</f>
        <v>0</v>
      </c>
      <c r="B24" s="73" t="str">
        <f t="shared" ref="B24:B30" ca="1" si="67">B10</f>
        <v/>
      </c>
      <c r="C24" s="73" t="str">
        <f t="shared" si="66"/>
        <v/>
      </c>
      <c r="D24" s="73" t="str">
        <f t="shared" si="66"/>
        <v/>
      </c>
      <c r="E24" s="73" t="str">
        <f t="shared" si="66"/>
        <v/>
      </c>
      <c r="F24" s="73" t="str">
        <f t="shared" si="66"/>
        <v/>
      </c>
      <c r="G24" s="73" t="str">
        <f t="shared" si="66"/>
        <v/>
      </c>
      <c r="H24" s="73" t="str">
        <f t="shared" si="66"/>
        <v/>
      </c>
      <c r="I24" s="73" t="str">
        <f t="shared" si="66"/>
        <v/>
      </c>
      <c r="J24" s="73" t="str">
        <f t="shared" si="66"/>
        <v/>
      </c>
      <c r="K24" s="73" t="str">
        <f t="shared" si="66"/>
        <v/>
      </c>
      <c r="L24" s="73" t="str">
        <f t="shared" si="66"/>
        <v/>
      </c>
      <c r="M24" s="73" t="str">
        <f t="shared" si="66"/>
        <v/>
      </c>
      <c r="N24" s="73" t="str">
        <f t="shared" si="66"/>
        <v/>
      </c>
      <c r="O24" s="73" t="str">
        <f t="shared" si="66"/>
        <v/>
      </c>
      <c r="P24" s="73" t="str">
        <f t="shared" si="66"/>
        <v/>
      </c>
      <c r="Q24" s="73" t="str">
        <f t="shared" si="66"/>
        <v/>
      </c>
      <c r="R24" s="73" t="str">
        <f t="shared" si="66"/>
        <v/>
      </c>
      <c r="S24" s="73" t="str">
        <f t="shared" si="66"/>
        <v/>
      </c>
      <c r="T24" s="73" t="str">
        <f t="shared" si="66"/>
        <v/>
      </c>
      <c r="U24" s="73" t="str">
        <f t="shared" si="66"/>
        <v/>
      </c>
      <c r="V24" s="73" t="str">
        <f t="shared" si="66"/>
        <v/>
      </c>
      <c r="W24" s="73" t="str">
        <f t="shared" si="66"/>
        <v/>
      </c>
      <c r="X24" s="73" t="str">
        <f t="shared" si="66"/>
        <v/>
      </c>
      <c r="Y24" s="73" t="str">
        <f t="shared" si="66"/>
        <v/>
      </c>
    </row>
    <row r="25" spans="1:32" hidden="1" x14ac:dyDescent="0.2">
      <c r="A25" s="73">
        <f>A11</f>
        <v>0</v>
      </c>
      <c r="B25" s="73" t="str">
        <f t="shared" ca="1" si="67"/>
        <v/>
      </c>
      <c r="C25" s="73" t="str">
        <f t="shared" si="66"/>
        <v/>
      </c>
      <c r="D25" s="73" t="str">
        <f t="shared" si="66"/>
        <v/>
      </c>
      <c r="E25" s="73" t="str">
        <f t="shared" si="66"/>
        <v/>
      </c>
      <c r="F25" s="73" t="str">
        <f t="shared" si="66"/>
        <v/>
      </c>
      <c r="G25" s="73" t="str">
        <f t="shared" si="66"/>
        <v/>
      </c>
      <c r="H25" s="73" t="str">
        <f t="shared" si="66"/>
        <v/>
      </c>
      <c r="I25" s="73" t="str">
        <f t="shared" si="66"/>
        <v/>
      </c>
      <c r="J25" s="73" t="str">
        <f t="shared" si="66"/>
        <v/>
      </c>
      <c r="K25" s="73" t="str">
        <f t="shared" si="66"/>
        <v/>
      </c>
      <c r="L25" s="73" t="str">
        <f t="shared" si="66"/>
        <v/>
      </c>
      <c r="M25" s="73" t="str">
        <f t="shared" si="66"/>
        <v/>
      </c>
      <c r="N25" s="73" t="str">
        <f t="shared" si="66"/>
        <v/>
      </c>
      <c r="O25" s="73" t="str">
        <f t="shared" si="66"/>
        <v/>
      </c>
      <c r="P25" s="73" t="str">
        <f t="shared" si="66"/>
        <v/>
      </c>
      <c r="Q25" s="73" t="str">
        <f t="shared" si="66"/>
        <v/>
      </c>
      <c r="R25" s="73" t="str">
        <f t="shared" si="66"/>
        <v/>
      </c>
      <c r="S25" s="73" t="str">
        <f t="shared" si="66"/>
        <v/>
      </c>
      <c r="T25" s="73" t="str">
        <f t="shared" si="66"/>
        <v/>
      </c>
      <c r="U25" s="73" t="str">
        <f t="shared" si="66"/>
        <v/>
      </c>
      <c r="V25" s="73" t="str">
        <f t="shared" si="66"/>
        <v/>
      </c>
      <c r="W25" s="73" t="str">
        <f t="shared" si="66"/>
        <v/>
      </c>
      <c r="X25" s="73" t="str">
        <f t="shared" si="66"/>
        <v/>
      </c>
      <c r="Y25" s="73" t="str">
        <f t="shared" si="66"/>
        <v/>
      </c>
    </row>
    <row r="26" spans="1:32" hidden="1" x14ac:dyDescent="0.2">
      <c r="A26" s="73">
        <f>A12</f>
        <v>0</v>
      </c>
      <c r="B26" s="73" t="str">
        <f t="shared" ca="1" si="67"/>
        <v/>
      </c>
      <c r="C26" s="73" t="str">
        <f t="shared" si="66"/>
        <v/>
      </c>
      <c r="D26" s="73" t="str">
        <f t="shared" si="66"/>
        <v/>
      </c>
      <c r="E26" s="73" t="str">
        <f t="shared" si="66"/>
        <v/>
      </c>
      <c r="F26" s="73" t="str">
        <f t="shared" si="66"/>
        <v/>
      </c>
      <c r="G26" s="73" t="str">
        <f t="shared" si="66"/>
        <v/>
      </c>
      <c r="H26" s="73" t="str">
        <f t="shared" si="66"/>
        <v/>
      </c>
      <c r="I26" s="73" t="str">
        <f t="shared" si="66"/>
        <v/>
      </c>
      <c r="J26" s="73" t="str">
        <f t="shared" si="66"/>
        <v/>
      </c>
      <c r="K26" s="73" t="str">
        <f t="shared" si="66"/>
        <v/>
      </c>
      <c r="L26" s="73" t="str">
        <f t="shared" si="66"/>
        <v/>
      </c>
      <c r="M26" s="73" t="str">
        <f t="shared" si="66"/>
        <v/>
      </c>
      <c r="N26" s="73" t="str">
        <f t="shared" si="66"/>
        <v/>
      </c>
      <c r="O26" s="73" t="str">
        <f t="shared" si="66"/>
        <v/>
      </c>
      <c r="P26" s="73" t="str">
        <f t="shared" si="66"/>
        <v/>
      </c>
      <c r="Q26" s="73" t="str">
        <f t="shared" si="66"/>
        <v/>
      </c>
      <c r="R26" s="73" t="str">
        <f t="shared" si="66"/>
        <v/>
      </c>
      <c r="S26" s="73" t="str">
        <f t="shared" si="66"/>
        <v/>
      </c>
      <c r="T26" s="73" t="str">
        <f t="shared" si="66"/>
        <v/>
      </c>
      <c r="U26" s="73" t="str">
        <f t="shared" si="66"/>
        <v/>
      </c>
      <c r="V26" s="73" t="str">
        <f t="shared" si="66"/>
        <v/>
      </c>
      <c r="W26" s="73" t="str">
        <f t="shared" si="66"/>
        <v/>
      </c>
      <c r="X26" s="73" t="str">
        <f t="shared" si="66"/>
        <v/>
      </c>
      <c r="Y26" s="73" t="str">
        <f t="shared" si="66"/>
        <v/>
      </c>
    </row>
    <row r="27" spans="1:32" hidden="1" x14ac:dyDescent="0.2">
      <c r="A27" s="73">
        <f>A13</f>
        <v>0</v>
      </c>
      <c r="B27" s="73" t="str">
        <f t="shared" ca="1" si="67"/>
        <v/>
      </c>
      <c r="C27" s="73" t="str">
        <f t="shared" si="66"/>
        <v/>
      </c>
      <c r="D27" s="73" t="str">
        <f t="shared" si="66"/>
        <v/>
      </c>
      <c r="E27" s="73" t="str">
        <f t="shared" si="66"/>
        <v/>
      </c>
      <c r="F27" s="73" t="str">
        <f t="shared" si="66"/>
        <v/>
      </c>
      <c r="G27" s="73" t="str">
        <f t="shared" si="66"/>
        <v/>
      </c>
      <c r="H27" s="73" t="str">
        <f t="shared" si="66"/>
        <v/>
      </c>
      <c r="I27" s="73" t="str">
        <f t="shared" si="66"/>
        <v/>
      </c>
      <c r="J27" s="73" t="str">
        <f t="shared" si="66"/>
        <v/>
      </c>
      <c r="K27" s="73" t="str">
        <f t="shared" si="66"/>
        <v/>
      </c>
      <c r="L27" s="73" t="str">
        <f t="shared" si="66"/>
        <v/>
      </c>
      <c r="M27" s="73" t="str">
        <f t="shared" si="66"/>
        <v/>
      </c>
      <c r="N27" s="73" t="str">
        <f t="shared" si="66"/>
        <v/>
      </c>
      <c r="O27" s="73" t="str">
        <f t="shared" si="66"/>
        <v/>
      </c>
      <c r="P27" s="73" t="str">
        <f t="shared" si="66"/>
        <v/>
      </c>
      <c r="Q27" s="73" t="str">
        <f t="shared" si="66"/>
        <v/>
      </c>
      <c r="R27" s="73" t="str">
        <f t="shared" si="66"/>
        <v/>
      </c>
      <c r="S27" s="73" t="str">
        <f t="shared" si="66"/>
        <v/>
      </c>
      <c r="T27" s="73" t="str">
        <f t="shared" si="66"/>
        <v/>
      </c>
      <c r="U27" s="73" t="str">
        <f t="shared" si="66"/>
        <v/>
      </c>
      <c r="V27" s="73" t="str">
        <f t="shared" si="66"/>
        <v/>
      </c>
      <c r="W27" s="73" t="str">
        <f t="shared" si="66"/>
        <v/>
      </c>
      <c r="X27" s="73" t="str">
        <f t="shared" si="66"/>
        <v/>
      </c>
      <c r="Y27" s="73" t="str">
        <f t="shared" si="66"/>
        <v/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str">
        <f t="shared" ca="1" si="67"/>
        <v/>
      </c>
      <c r="C29" s="73" t="str">
        <f t="shared" si="66"/>
        <v/>
      </c>
      <c r="D29" s="73" t="str">
        <f t="shared" si="66"/>
        <v/>
      </c>
      <c r="E29" s="73" t="str">
        <f t="shared" si="66"/>
        <v/>
      </c>
      <c r="F29" s="73" t="str">
        <f t="shared" si="66"/>
        <v/>
      </c>
      <c r="G29" s="73" t="str">
        <f t="shared" si="66"/>
        <v/>
      </c>
      <c r="H29" s="73" t="str">
        <f t="shared" si="66"/>
        <v/>
      </c>
      <c r="I29" s="73" t="str">
        <f t="shared" si="66"/>
        <v/>
      </c>
      <c r="J29" s="73" t="str">
        <f t="shared" si="66"/>
        <v/>
      </c>
      <c r="K29" s="73" t="str">
        <f t="shared" si="66"/>
        <v/>
      </c>
      <c r="L29" s="73" t="str">
        <f t="shared" si="66"/>
        <v/>
      </c>
      <c r="M29" s="73" t="str">
        <f t="shared" si="66"/>
        <v/>
      </c>
      <c r="N29" s="73" t="str">
        <f t="shared" si="66"/>
        <v/>
      </c>
      <c r="O29" s="73" t="str">
        <f t="shared" si="66"/>
        <v/>
      </c>
      <c r="P29" s="73" t="str">
        <f t="shared" si="66"/>
        <v/>
      </c>
      <c r="Q29" s="73" t="str">
        <f t="shared" si="66"/>
        <v/>
      </c>
      <c r="R29" s="73" t="str">
        <f t="shared" si="66"/>
        <v/>
      </c>
      <c r="S29" s="73" t="str">
        <f t="shared" si="66"/>
        <v/>
      </c>
      <c r="T29" s="73" t="str">
        <f t="shared" si="66"/>
        <v/>
      </c>
      <c r="U29" s="73" t="str">
        <f t="shared" si="66"/>
        <v/>
      </c>
      <c r="V29" s="73" t="str">
        <f t="shared" si="66"/>
        <v/>
      </c>
      <c r="W29" s="73" t="str">
        <f t="shared" si="66"/>
        <v/>
      </c>
      <c r="X29" s="73" t="str">
        <f t="shared" si="66"/>
        <v/>
      </c>
      <c r="Y29" s="73" t="str">
        <f t="shared" si="66"/>
        <v/>
      </c>
    </row>
    <row r="30" spans="1:32" hidden="1" x14ac:dyDescent="0.2">
      <c r="A30" s="73">
        <f>A16</f>
        <v>0</v>
      </c>
      <c r="B30" s="73" t="str">
        <f t="shared" ca="1" si="67"/>
        <v/>
      </c>
      <c r="C30" s="73" t="str">
        <f t="shared" si="66"/>
        <v/>
      </c>
      <c r="D30" s="73" t="str">
        <f t="shared" si="66"/>
        <v/>
      </c>
      <c r="E30" s="73" t="str">
        <f t="shared" si="66"/>
        <v/>
      </c>
      <c r="F30" s="73" t="str">
        <f t="shared" si="66"/>
        <v/>
      </c>
      <c r="G30" s="73" t="str">
        <f t="shared" si="66"/>
        <v/>
      </c>
      <c r="H30" s="73" t="str">
        <f t="shared" si="66"/>
        <v/>
      </c>
      <c r="I30" s="73" t="str">
        <f t="shared" si="66"/>
        <v/>
      </c>
      <c r="J30" s="73" t="str">
        <f t="shared" si="66"/>
        <v/>
      </c>
      <c r="K30" s="73" t="str">
        <f t="shared" si="66"/>
        <v/>
      </c>
      <c r="L30" s="73" t="str">
        <f t="shared" si="66"/>
        <v/>
      </c>
      <c r="M30" s="73" t="str">
        <f t="shared" si="66"/>
        <v/>
      </c>
      <c r="N30" s="73" t="str">
        <f t="shared" si="66"/>
        <v/>
      </c>
      <c r="O30" s="73" t="str">
        <f t="shared" si="66"/>
        <v/>
      </c>
      <c r="P30" s="73" t="str">
        <f t="shared" si="66"/>
        <v/>
      </c>
      <c r="Q30" s="73" t="str">
        <f t="shared" si="66"/>
        <v/>
      </c>
      <c r="R30" s="73" t="str">
        <f t="shared" si="66"/>
        <v/>
      </c>
      <c r="S30" s="73" t="str">
        <f t="shared" si="66"/>
        <v/>
      </c>
      <c r="T30" s="73" t="str">
        <f t="shared" si="66"/>
        <v/>
      </c>
      <c r="U30" s="73" t="str">
        <f t="shared" si="66"/>
        <v/>
      </c>
      <c r="V30" s="73" t="str">
        <f t="shared" si="66"/>
        <v/>
      </c>
      <c r="W30" s="73" t="str">
        <f t="shared" si="66"/>
        <v/>
      </c>
      <c r="X30" s="73" t="str">
        <f t="shared" si="66"/>
        <v/>
      </c>
      <c r="Y30" s="73" t="str">
        <f t="shared" si="66"/>
        <v/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60"/>
  </cols>
  <sheetData>
    <row r="1" spans="1:3" x14ac:dyDescent="0.25">
      <c r="A1" s="60" t="s">
        <v>31</v>
      </c>
      <c r="B1" s="27" t="s">
        <v>190</v>
      </c>
    </row>
    <row r="2" spans="1:3" x14ac:dyDescent="0.25">
      <c r="A2" s="60" t="s">
        <v>32</v>
      </c>
      <c r="B2" s="60" t="s">
        <v>33</v>
      </c>
    </row>
    <row r="3" spans="1:3" x14ac:dyDescent="0.25">
      <c r="A3" s="30" t="s">
        <v>196</v>
      </c>
    </row>
    <row r="4" spans="1:3" x14ac:dyDescent="0.25">
      <c r="A4" s="60" t="s">
        <v>34</v>
      </c>
    </row>
    <row r="5" spans="1:3" x14ac:dyDescent="0.25">
      <c r="A5" s="60" t="s">
        <v>35</v>
      </c>
      <c r="B5" s="60" t="s">
        <v>36</v>
      </c>
    </row>
    <row r="7" spans="1:3" x14ac:dyDescent="0.25">
      <c r="B7" s="30" t="s">
        <v>197</v>
      </c>
      <c r="C7" s="30" t="s">
        <v>198</v>
      </c>
    </row>
    <row r="8" spans="1:3" x14ac:dyDescent="0.25">
      <c r="B8" s="30" t="s">
        <v>199</v>
      </c>
      <c r="C8" s="30" t="s">
        <v>194</v>
      </c>
    </row>
    <row r="9" spans="1:3" x14ac:dyDescent="0.25">
      <c r="B9" s="30" t="s">
        <v>195</v>
      </c>
      <c r="C9" s="60" t="s">
        <v>37</v>
      </c>
    </row>
    <row r="10" spans="1:3" x14ac:dyDescent="0.25">
      <c r="B10" s="30" t="s">
        <v>200</v>
      </c>
      <c r="C10" s="60" t="s">
        <v>38</v>
      </c>
    </row>
    <row r="11" spans="1:3" x14ac:dyDescent="0.25">
      <c r="B11" s="30" t="s">
        <v>201</v>
      </c>
      <c r="C11" s="60" t="s">
        <v>39</v>
      </c>
    </row>
    <row r="12" spans="1:3" x14ac:dyDescent="0.25">
      <c r="B12" s="30" t="s">
        <v>202</v>
      </c>
      <c r="C12" s="30" t="s">
        <v>203</v>
      </c>
    </row>
    <row r="20" spans="1:3" x14ac:dyDescent="0.25">
      <c r="B20" s="30" t="s">
        <v>204</v>
      </c>
      <c r="C20" s="60" t="s">
        <v>40</v>
      </c>
    </row>
    <row r="24" spans="1:3" x14ac:dyDescent="0.25">
      <c r="A24" s="60" t="s">
        <v>44</v>
      </c>
    </row>
    <row r="25" spans="1:3" x14ac:dyDescent="0.25">
      <c r="B25" s="60" t="s">
        <v>45</v>
      </c>
    </row>
    <row r="26" spans="1:3" ht="15" customHeight="1" x14ac:dyDescent="0.25">
      <c r="A26" s="60" t="s">
        <v>161</v>
      </c>
    </row>
    <row r="27" spans="1:3" ht="15" customHeight="1" x14ac:dyDescent="0.25"/>
    <row r="28" spans="1:3" ht="15" customHeight="1" x14ac:dyDescent="0.25">
      <c r="A28" s="60" t="s">
        <v>156</v>
      </c>
      <c r="B28" s="30" t="s">
        <v>193</v>
      </c>
    </row>
    <row r="29" spans="1:3" ht="15" customHeight="1" x14ac:dyDescent="0.25">
      <c r="A29" s="60" t="s">
        <v>155</v>
      </c>
      <c r="B29" s="30" t="s">
        <v>194</v>
      </c>
    </row>
    <row r="30" spans="1:3" ht="15" customHeight="1" x14ac:dyDescent="0.25">
      <c r="A30" s="60" t="s">
        <v>159</v>
      </c>
      <c r="B30" s="60" t="s">
        <v>160</v>
      </c>
    </row>
    <row r="31" spans="1:3" ht="15" customHeight="1" x14ac:dyDescent="0.25">
      <c r="A31" s="60" t="s">
        <v>157</v>
      </c>
      <c r="B31" s="60" t="s">
        <v>158</v>
      </c>
    </row>
    <row r="32" spans="1:3" ht="15" customHeight="1" x14ac:dyDescent="0.25">
      <c r="A32" s="60" t="s">
        <v>162</v>
      </c>
      <c r="B32" s="60" t="s">
        <v>189</v>
      </c>
    </row>
    <row r="33" spans="1:2" ht="15" customHeight="1" x14ac:dyDescent="0.25">
      <c r="A33" s="60" t="s">
        <v>163</v>
      </c>
      <c r="B33" s="60" t="s">
        <v>1</v>
      </c>
    </row>
    <row r="34" spans="1:2" ht="15" customHeight="1" x14ac:dyDescent="0.25">
      <c r="A34" s="60" t="s">
        <v>164</v>
      </c>
      <c r="B34" s="60" t="s">
        <v>2</v>
      </c>
    </row>
    <row r="35" spans="1:2" ht="15" customHeight="1" x14ac:dyDescent="0.25">
      <c r="A35" s="60" t="s">
        <v>165</v>
      </c>
      <c r="B35" s="60" t="s">
        <v>3</v>
      </c>
    </row>
    <row r="36" spans="1:2" ht="15" customHeight="1" x14ac:dyDescent="0.25">
      <c r="A36" s="60" t="s">
        <v>166</v>
      </c>
      <c r="B36" s="60" t="s">
        <v>4</v>
      </c>
    </row>
    <row r="37" spans="1:2" ht="15" customHeight="1" x14ac:dyDescent="0.25">
      <c r="A37" s="60" t="s">
        <v>167</v>
      </c>
      <c r="B37" s="60" t="s">
        <v>6</v>
      </c>
    </row>
    <row r="38" spans="1:2" ht="15" customHeight="1" x14ac:dyDescent="0.25">
      <c r="A38" s="60" t="s">
        <v>168</v>
      </c>
      <c r="B38" s="60" t="s">
        <v>67</v>
      </c>
    </row>
    <row r="39" spans="1:2" ht="15" customHeight="1" x14ac:dyDescent="0.25">
      <c r="A39" s="60" t="s">
        <v>169</v>
      </c>
      <c r="B39" s="60" t="s">
        <v>66</v>
      </c>
    </row>
    <row r="40" spans="1:2" ht="15" customHeight="1" x14ac:dyDescent="0.25">
      <c r="A40" s="60" t="s">
        <v>170</v>
      </c>
      <c r="B40" s="60" t="s">
        <v>65</v>
      </c>
    </row>
    <row r="41" spans="1:2" ht="15" customHeight="1" x14ac:dyDescent="0.25">
      <c r="A41" s="60" t="s">
        <v>171</v>
      </c>
      <c r="B41" s="60" t="s">
        <v>5</v>
      </c>
    </row>
    <row r="42" spans="1:2" ht="15" customHeight="1" x14ac:dyDescent="0.25">
      <c r="A42" s="60" t="s">
        <v>172</v>
      </c>
      <c r="B42" s="60" t="s">
        <v>41</v>
      </c>
    </row>
    <row r="43" spans="1:2" ht="15" customHeight="1" x14ac:dyDescent="0.25">
      <c r="A43" s="60" t="s">
        <v>173</v>
      </c>
      <c r="B43" s="60" t="s">
        <v>174</v>
      </c>
    </row>
    <row r="44" spans="1:2" ht="15" customHeight="1" x14ac:dyDescent="0.25">
      <c r="A44" s="60" t="s">
        <v>175</v>
      </c>
      <c r="B44" s="60" t="s">
        <v>42</v>
      </c>
    </row>
    <row r="45" spans="1:2" ht="15" customHeight="1" x14ac:dyDescent="0.25">
      <c r="A45" s="60" t="s">
        <v>176</v>
      </c>
      <c r="B45" s="60" t="s">
        <v>177</v>
      </c>
    </row>
    <row r="46" spans="1:2" ht="15" customHeight="1" x14ac:dyDescent="0.25">
      <c r="A46" s="60" t="s">
        <v>178</v>
      </c>
      <c r="B46" s="60" t="s">
        <v>179</v>
      </c>
    </row>
    <row r="47" spans="1:2" ht="15" customHeight="1" x14ac:dyDescent="0.25">
      <c r="A47" s="60" t="s">
        <v>180</v>
      </c>
      <c r="B47" s="60" t="s">
        <v>181</v>
      </c>
    </row>
    <row r="48" spans="1:2" ht="15" customHeight="1" x14ac:dyDescent="0.25">
      <c r="A48" s="60" t="s">
        <v>182</v>
      </c>
      <c r="B48" s="60" t="s">
        <v>183</v>
      </c>
    </row>
    <row r="49" spans="1:8" x14ac:dyDescent="0.25">
      <c r="A49" s="60" t="s">
        <v>184</v>
      </c>
      <c r="B49" s="60" t="s">
        <v>185</v>
      </c>
    </row>
    <row r="50" spans="1:8" x14ac:dyDescent="0.25">
      <c r="A50" s="60" t="s">
        <v>186</v>
      </c>
      <c r="B50" s="60" t="s">
        <v>43</v>
      </c>
    </row>
    <row r="51" spans="1:8" x14ac:dyDescent="0.25">
      <c r="A51" s="60" t="s">
        <v>187</v>
      </c>
      <c r="B51" s="60" t="s">
        <v>7</v>
      </c>
      <c r="F51" s="30"/>
      <c r="G51" s="32"/>
      <c r="H51"/>
    </row>
    <row r="52" spans="1:8" x14ac:dyDescent="0.25">
      <c r="A52" s="60" t="s">
        <v>188</v>
      </c>
      <c r="B52" s="60" t="s">
        <v>28</v>
      </c>
      <c r="F52" s="27"/>
      <c r="G52" s="27"/>
      <c r="H52" s="31"/>
    </row>
    <row r="53" spans="1:8" x14ac:dyDescent="0.25">
      <c r="A53" s="30" t="s">
        <v>206</v>
      </c>
      <c r="B53" s="30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2018-10-10T20:53:39Z</dcterms:modified>
</cp:coreProperties>
</file>