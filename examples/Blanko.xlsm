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9185" yWindow="-15" windowWidth="19230" windowHeight="13170" tabRatio="840"/>
  </bookViews>
  <sheets>
    <sheet name="1 Nage" sheetId="1" r:id="rId1"/>
    <sheet name="2 Katame" sheetId="4" r:id="rId2"/>
    <sheet name="3 Ju" sheetId="6" r:id="rId3"/>
    <sheet name="4 Kime" sheetId="8" r:id="rId4"/>
    <sheet name="5 Goshin" sheetId="10" r:id="rId5"/>
    <sheet name="6 Koshiki" sheetId="12" r:id="rId6"/>
    <sheet name="1 Nage A" sheetId="2" r:id="rId7"/>
    <sheet name="2 Katame A" sheetId="5" r:id="rId8"/>
    <sheet name="3 Ju A" sheetId="7" r:id="rId9"/>
    <sheet name="4 Kime A" sheetId="9" r:id="rId10"/>
    <sheet name="5 Goshin A" sheetId="11" r:id="rId11"/>
    <sheet name="6 Koshiki A" sheetId="13" r:id="rId12"/>
    <sheet name="Doku" sheetId="3" r:id="rId13"/>
  </sheets>
  <definedNames>
    <definedName name="_xlnm.Print_Area" localSheetId="0">'1 Nage'!$A$1:$K$37</definedName>
    <definedName name="_xlnm.Print_Area" localSheetId="6">'1 Nage A'!$A$1:$AD$15</definedName>
    <definedName name="_xlnm.Print_Area" localSheetId="1">'2 Katame'!$A$1:$K$37</definedName>
    <definedName name="_xlnm.Print_Area" localSheetId="7">'2 Katame A'!$A$1:$AD$15</definedName>
    <definedName name="_xlnm.Print_Area" localSheetId="2">'3 Ju'!$A$1:$K$37</definedName>
    <definedName name="_xlnm.Print_Area" localSheetId="8">'3 Ju A'!$A$1:$AD$15</definedName>
    <definedName name="_xlnm.Print_Area" localSheetId="3">'4 Kime'!$A$1:$K$37</definedName>
    <definedName name="_xlnm.Print_Area" localSheetId="9">'4 Kime A'!$A$1:$AD$15</definedName>
    <definedName name="_xlnm.Print_Area" localSheetId="4">'5 Goshin'!$A$1:$K$37</definedName>
    <definedName name="_xlnm.Print_Area" localSheetId="10">'5 Goshin A'!$A$1:$AD$15</definedName>
    <definedName name="_xlnm.Print_Area" localSheetId="5">'6 Koshiki'!$A$1:$K$37</definedName>
    <definedName name="_xlnm.Print_Area" localSheetId="11">'6 Koshiki A'!$A$1:$AD$15</definedName>
  </definedNames>
  <calcPr calcId="171027"/>
</workbook>
</file>

<file path=xl/calcChain.xml><?xml version="1.0" encoding="utf-8"?>
<calcChain xmlns="http://schemas.openxmlformats.org/spreadsheetml/2006/main">
  <c r="A5" i="13" l="1"/>
  <c r="A4" i="13"/>
  <c r="A3" i="13"/>
  <c r="A2" i="13"/>
  <c r="A1" i="13"/>
  <c r="A5" i="11"/>
  <c r="A4" i="11"/>
  <c r="A3" i="11"/>
  <c r="A2" i="11"/>
  <c r="A1" i="11"/>
  <c r="A5" i="9"/>
  <c r="A4" i="9"/>
  <c r="A3" i="9"/>
  <c r="A2" i="9"/>
  <c r="A1" i="9"/>
  <c r="A5" i="7"/>
  <c r="A4" i="7"/>
  <c r="A3" i="7"/>
  <c r="A2" i="7"/>
  <c r="A1" i="7"/>
  <c r="A5" i="5"/>
  <c r="A4" i="5"/>
  <c r="A3" i="5"/>
  <c r="A2" i="5"/>
  <c r="A1" i="5"/>
  <c r="A5" i="2"/>
  <c r="A4" i="2"/>
  <c r="A3" i="2"/>
  <c r="A2" i="2"/>
  <c r="A1" i="2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J5" i="6"/>
  <c r="G5" i="6"/>
  <c r="A5" i="6"/>
  <c r="A36" i="6"/>
  <c r="A37" i="6"/>
  <c r="J5" i="4"/>
  <c r="G5" i="4"/>
  <c r="A5" i="4"/>
  <c r="A36" i="4"/>
  <c r="A37" i="4"/>
  <c r="A37" i="1"/>
  <c r="A36" i="1"/>
  <c r="J5" i="1"/>
  <c r="G5" i="1"/>
  <c r="A5" i="1"/>
  <c r="X6" i="9"/>
  <c r="S6" i="7"/>
  <c r="S6" i="5"/>
  <c r="S6" i="2"/>
  <c r="Y6" i="11"/>
  <c r="Y6" i="13"/>
  <c r="T6" i="2"/>
  <c r="T6" i="5"/>
  <c r="AD6" i="2"/>
  <c r="AC6" i="2"/>
  <c r="AB6" i="2"/>
  <c r="AA6" i="2"/>
  <c r="AD6" i="5"/>
  <c r="AC6" i="5"/>
  <c r="AB6" i="5"/>
  <c r="AA6" i="5"/>
  <c r="AD6" i="7"/>
  <c r="AC6" i="7"/>
  <c r="AB6" i="7"/>
  <c r="AA6" i="7"/>
  <c r="T6" i="7"/>
  <c r="B5" i="9"/>
  <c r="S12" i="7"/>
  <c r="S8" i="7"/>
  <c r="B5" i="13"/>
  <c r="B5" i="11"/>
  <c r="B5" i="5"/>
  <c r="B5" i="7"/>
  <c r="S10" i="7"/>
  <c r="S9" i="7"/>
  <c r="S7" i="7"/>
  <c r="S11" i="7"/>
  <c r="S2" i="7" l="1"/>
  <c r="S3" i="7"/>
  <c r="S1" i="7"/>
  <c r="S4" i="7"/>
  <c r="AD6" i="9"/>
  <c r="AC6" i="9"/>
  <c r="AB6" i="9"/>
  <c r="AA6" i="9"/>
  <c r="Y6" i="9"/>
  <c r="Z6" i="9"/>
  <c r="AD6" i="11"/>
  <c r="AC6" i="11"/>
  <c r="AB6" i="11"/>
  <c r="AA6" i="11"/>
  <c r="Z6" i="11"/>
  <c r="C6" i="2"/>
  <c r="B6" i="2"/>
  <c r="A6" i="2"/>
  <c r="C6" i="5"/>
  <c r="B6" i="5"/>
  <c r="A6" i="5"/>
  <c r="C6" i="7"/>
  <c r="B6" i="7"/>
  <c r="A6" i="7"/>
  <c r="C6" i="9"/>
  <c r="B6" i="9"/>
  <c r="A6" i="9"/>
  <c r="C6" i="11"/>
  <c r="B6" i="11"/>
  <c r="A6" i="11"/>
  <c r="C6" i="13"/>
  <c r="B6" i="13"/>
  <c r="A6" i="13"/>
  <c r="Z6" i="13"/>
  <c r="AD6" i="13"/>
  <c r="AC6" i="13"/>
  <c r="AB6" i="13"/>
  <c r="AA6" i="13"/>
  <c r="F37" i="1"/>
  <c r="F37" i="4"/>
  <c r="F37" i="6"/>
  <c r="F37" i="8"/>
  <c r="F37" i="10"/>
  <c r="A12" i="1"/>
  <c r="K11" i="1"/>
  <c r="J11" i="1"/>
  <c r="I11" i="1"/>
  <c r="H11" i="1"/>
  <c r="F11" i="1"/>
  <c r="A12" i="4"/>
  <c r="K11" i="4"/>
  <c r="J11" i="4"/>
  <c r="I11" i="4"/>
  <c r="H11" i="4"/>
  <c r="F11" i="4"/>
  <c r="A12" i="6"/>
  <c r="K11" i="6"/>
  <c r="J11" i="6"/>
  <c r="I11" i="6"/>
  <c r="H11" i="6"/>
  <c r="F11" i="6"/>
  <c r="A12" i="8"/>
  <c r="K11" i="8"/>
  <c r="J11" i="8"/>
  <c r="I11" i="8"/>
  <c r="H11" i="8"/>
  <c r="F11" i="8"/>
  <c r="A12" i="10"/>
  <c r="K11" i="10"/>
  <c r="J11" i="10"/>
  <c r="I11" i="10"/>
  <c r="H11" i="10"/>
  <c r="F11" i="10"/>
  <c r="K7" i="1"/>
  <c r="I7" i="1"/>
  <c r="F7" i="1"/>
  <c r="D7" i="1"/>
  <c r="K7" i="4"/>
  <c r="I7" i="4"/>
  <c r="F7" i="4"/>
  <c r="D7" i="4"/>
  <c r="K7" i="6"/>
  <c r="I7" i="6"/>
  <c r="F7" i="6"/>
  <c r="D7" i="6"/>
  <c r="K7" i="8"/>
  <c r="I7" i="8"/>
  <c r="F7" i="8"/>
  <c r="D7" i="8"/>
  <c r="K7" i="10"/>
  <c r="I7" i="10"/>
  <c r="F7" i="10"/>
  <c r="D7" i="10"/>
  <c r="A2" i="1"/>
  <c r="A1" i="1"/>
  <c r="A2" i="4"/>
  <c r="A1" i="4"/>
  <c r="A2" i="6"/>
  <c r="A1" i="6"/>
  <c r="A2" i="8"/>
  <c r="A1" i="8"/>
  <c r="A2" i="10"/>
  <c r="A1" i="10"/>
  <c r="F37" i="12"/>
  <c r="K11" i="12"/>
  <c r="J11" i="12"/>
  <c r="I11" i="12"/>
  <c r="H11" i="12"/>
  <c r="F11" i="12"/>
  <c r="A12" i="12"/>
  <c r="K7" i="12"/>
  <c r="I7" i="12"/>
  <c r="F7" i="12"/>
  <c r="D7" i="12"/>
  <c r="A2" i="12"/>
  <c r="A1" i="12"/>
  <c r="K36" i="12" l="1"/>
  <c r="J36" i="12"/>
  <c r="I36" i="12"/>
  <c r="H36" i="12"/>
  <c r="G36" i="12"/>
  <c r="F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B8" i="7"/>
  <c r="B7" i="13"/>
  <c r="B10" i="11"/>
  <c r="B11" i="2"/>
  <c r="B13" i="2"/>
  <c r="B14" i="9"/>
  <c r="B15" i="2"/>
  <c r="B15" i="7"/>
  <c r="B9" i="9"/>
  <c r="B9" i="11"/>
  <c r="B15" i="5"/>
  <c r="B13" i="11"/>
  <c r="B9" i="13"/>
  <c r="B12" i="2"/>
  <c r="B13" i="9"/>
  <c r="B7" i="11"/>
  <c r="B14" i="13"/>
  <c r="B8" i="11"/>
  <c r="B9" i="5"/>
  <c r="B8" i="9"/>
  <c r="B10" i="5"/>
  <c r="B12" i="5"/>
  <c r="B7" i="5"/>
  <c r="B7" i="9"/>
  <c r="B10" i="2"/>
  <c r="B8" i="13"/>
  <c r="B14" i="5"/>
  <c r="B9" i="2"/>
  <c r="B7" i="7"/>
  <c r="B11" i="5"/>
  <c r="B12" i="13"/>
  <c r="B10" i="7"/>
  <c r="B10" i="13"/>
  <c r="B13" i="5"/>
  <c r="B14" i="2"/>
  <c r="B13" i="7"/>
  <c r="B11" i="11"/>
  <c r="B8" i="2"/>
  <c r="B14" i="7"/>
  <c r="B15" i="13"/>
  <c r="B8" i="5"/>
  <c r="B10" i="9"/>
  <c r="B12" i="9"/>
  <c r="B15" i="11"/>
  <c r="B11" i="7"/>
  <c r="B12" i="7"/>
  <c r="B14" i="11"/>
  <c r="B12" i="11"/>
  <c r="B5" i="2"/>
  <c r="B9" i="7"/>
  <c r="B15" i="9"/>
  <c r="B13" i="13"/>
  <c r="B11" i="13"/>
  <c r="B7" i="2"/>
  <c r="B11" i="9"/>
  <c r="K36" i="10" l="1"/>
  <c r="J36" i="10"/>
  <c r="I36" i="10"/>
  <c r="H36" i="10"/>
  <c r="G36" i="10"/>
  <c r="F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36" i="8" l="1"/>
  <c r="J36" i="8"/>
  <c r="I36" i="8"/>
  <c r="H36" i="8"/>
  <c r="G36" i="8"/>
  <c r="F36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36" i="6" l="1"/>
  <c r="J36" i="6"/>
  <c r="I36" i="6"/>
  <c r="H36" i="6"/>
  <c r="G36" i="6"/>
  <c r="F36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7" i="9"/>
  <c r="Z15" i="11"/>
  <c r="J13" i="7"/>
  <c r="O9" i="9"/>
  <c r="O10" i="5"/>
  <c r="J7" i="9"/>
  <c r="R9" i="9"/>
  <c r="O9" i="7"/>
  <c r="E15" i="9"/>
  <c r="L9" i="13"/>
  <c r="K8" i="2"/>
  <c r="D13" i="9"/>
  <c r="H13" i="13"/>
  <c r="J10" i="2"/>
  <c r="AD13" i="2"/>
  <c r="D10" i="11"/>
  <c r="K9" i="7"/>
  <c r="O10" i="13"/>
  <c r="O8" i="5"/>
  <c r="I8" i="2"/>
  <c r="AC9" i="11"/>
  <c r="C8" i="2"/>
  <c r="P7" i="11"/>
  <c r="J7" i="11"/>
  <c r="Q12" i="2"/>
  <c r="E9" i="9"/>
  <c r="H12" i="11"/>
  <c r="O13" i="2"/>
  <c r="D15" i="13"/>
  <c r="C9" i="5"/>
  <c r="AB9" i="13"/>
  <c r="J13" i="9"/>
  <c r="S7" i="9"/>
  <c r="AC12" i="9"/>
  <c r="F11" i="13"/>
  <c r="W8" i="11"/>
  <c r="P14" i="5"/>
  <c r="D13" i="7"/>
  <c r="AB13" i="2"/>
  <c r="N9" i="7"/>
  <c r="E14" i="2"/>
  <c r="H14" i="7"/>
  <c r="S12" i="2"/>
  <c r="P8" i="11"/>
  <c r="T11" i="2"/>
  <c r="O15" i="7"/>
  <c r="F10" i="5"/>
  <c r="S10" i="11"/>
  <c r="L8" i="2"/>
  <c r="H13" i="11"/>
  <c r="U10" i="11"/>
  <c r="AB9" i="7"/>
  <c r="AB13" i="7"/>
  <c r="Q14" i="13"/>
  <c r="R11" i="13"/>
  <c r="X15" i="13"/>
  <c r="G7" i="11"/>
  <c r="T14" i="2"/>
  <c r="C10" i="5"/>
  <c r="AA8" i="5"/>
  <c r="O13" i="11"/>
  <c r="O12" i="11"/>
  <c r="C12" i="5"/>
  <c r="T7" i="9"/>
  <c r="AB11" i="2"/>
  <c r="M11" i="7"/>
  <c r="N12" i="5"/>
  <c r="O11" i="2"/>
  <c r="P9" i="11"/>
  <c r="I14" i="7"/>
  <c r="M13" i="13"/>
  <c r="E9" i="5"/>
  <c r="D11" i="7"/>
  <c r="I10" i="5"/>
  <c r="M12" i="5"/>
  <c r="L14" i="9"/>
  <c r="J14" i="11"/>
  <c r="AA12" i="13"/>
  <c r="Y12" i="13"/>
  <c r="I10" i="9"/>
  <c r="R14" i="2"/>
  <c r="AA7" i="2"/>
  <c r="L15" i="2"/>
  <c r="N7" i="13"/>
  <c r="N15" i="11"/>
  <c r="H7" i="13"/>
  <c r="D8" i="7"/>
  <c r="N14" i="9"/>
  <c r="X14" i="13"/>
  <c r="C9" i="7"/>
  <c r="J11" i="5"/>
  <c r="AC15" i="2"/>
  <c r="N8" i="13"/>
  <c r="O12" i="7"/>
  <c r="J10" i="13"/>
  <c r="AB11" i="11"/>
  <c r="H8" i="11"/>
  <c r="M10" i="7"/>
  <c r="T12" i="2"/>
  <c r="I14" i="11"/>
  <c r="AC8" i="7"/>
  <c r="M15" i="9"/>
  <c r="Z12" i="13"/>
  <c r="L14" i="7"/>
  <c r="M7" i="7"/>
  <c r="Y11" i="11"/>
  <c r="P11" i="9"/>
  <c r="Q15" i="11"/>
  <c r="L11" i="9"/>
  <c r="Z14" i="11"/>
  <c r="T10" i="2"/>
  <c r="AD12" i="7"/>
  <c r="Q11" i="11"/>
  <c r="R15" i="2"/>
  <c r="D14" i="5"/>
  <c r="L10" i="7"/>
  <c r="R10" i="11"/>
  <c r="I12" i="2"/>
  <c r="K11" i="2"/>
  <c r="I15" i="5"/>
  <c r="Q11" i="7"/>
  <c r="L7" i="13"/>
  <c r="J15" i="7"/>
  <c r="P11" i="2"/>
  <c r="R8" i="13"/>
  <c r="P10" i="13"/>
  <c r="G8" i="2"/>
  <c r="N11" i="11"/>
  <c r="T15" i="2"/>
  <c r="T8" i="9"/>
  <c r="I12" i="7"/>
  <c r="P9" i="2"/>
  <c r="S11" i="11"/>
  <c r="AD12" i="5"/>
  <c r="R13" i="2"/>
  <c r="I11" i="7"/>
  <c r="G11" i="9"/>
  <c r="T15" i="11"/>
  <c r="D12" i="7"/>
  <c r="P14" i="2"/>
  <c r="E15" i="11"/>
  <c r="F12" i="9"/>
  <c r="W14" i="11"/>
  <c r="M14" i="13"/>
  <c r="AD11" i="9"/>
  <c r="O9" i="5"/>
  <c r="N8" i="5"/>
  <c r="L10" i="13"/>
  <c r="P15" i="13"/>
  <c r="O8" i="7"/>
  <c r="C13" i="5"/>
  <c r="F14" i="2"/>
  <c r="O12" i="9"/>
  <c r="S7" i="2"/>
  <c r="F10" i="7"/>
  <c r="D9" i="9"/>
  <c r="AD15" i="13"/>
  <c r="F9" i="2"/>
  <c r="E11" i="5"/>
  <c r="N10" i="2"/>
  <c r="I14" i="13"/>
  <c r="K15" i="11"/>
  <c r="AA7" i="7"/>
  <c r="C8" i="13"/>
  <c r="J11" i="9"/>
  <c r="X7" i="11"/>
  <c r="W11" i="13"/>
  <c r="Q13" i="2"/>
  <c r="M13" i="7"/>
  <c r="O13" i="7"/>
  <c r="Q7" i="9"/>
  <c r="H7" i="11"/>
  <c r="AB9" i="5"/>
  <c r="AA14" i="11"/>
  <c r="AC10" i="2"/>
  <c r="Q9" i="2"/>
  <c r="U7" i="11"/>
  <c r="Q15" i="13"/>
  <c r="N15" i="5"/>
  <c r="N12" i="13"/>
  <c r="J11" i="7"/>
  <c r="AA15" i="2"/>
  <c r="Q14" i="5"/>
  <c r="O14" i="7"/>
  <c r="AA15" i="11"/>
  <c r="H15" i="5"/>
  <c r="O11" i="13"/>
  <c r="AB11" i="5"/>
  <c r="S10" i="9"/>
  <c r="S9" i="5"/>
  <c r="J10" i="5"/>
  <c r="M15" i="5"/>
  <c r="U7" i="9"/>
  <c r="H10" i="9"/>
  <c r="K15" i="9"/>
  <c r="S14" i="11"/>
  <c r="C15" i="5"/>
  <c r="M11" i="13"/>
  <c r="H15" i="13"/>
  <c r="P13" i="11"/>
  <c r="S14" i="9"/>
  <c r="T13" i="11"/>
  <c r="AC11" i="7"/>
  <c r="L8" i="9"/>
  <c r="V10" i="11"/>
  <c r="F7" i="7"/>
  <c r="S7" i="11"/>
  <c r="AD10" i="7"/>
  <c r="L9" i="11"/>
  <c r="Q9" i="11"/>
  <c r="X13" i="13"/>
  <c r="AB14" i="2"/>
  <c r="AA11" i="5"/>
  <c r="Q13" i="13"/>
  <c r="AC9" i="2"/>
  <c r="J14" i="7"/>
  <c r="AC7" i="13"/>
  <c r="V10" i="13"/>
  <c r="N14" i="2"/>
  <c r="M9" i="13"/>
  <c r="I14" i="5"/>
  <c r="AC10" i="9"/>
  <c r="AA15" i="5"/>
  <c r="AA14" i="13"/>
  <c r="T11" i="13"/>
  <c r="D7" i="2"/>
  <c r="J7" i="13"/>
  <c r="G15" i="11"/>
  <c r="D12" i="5"/>
  <c r="W8" i="13"/>
  <c r="AD10" i="5"/>
  <c r="H15" i="2"/>
  <c r="H12" i="9"/>
  <c r="H13" i="9"/>
  <c r="S15" i="2"/>
  <c r="AA8" i="2"/>
  <c r="G12" i="2"/>
  <c r="X14" i="11"/>
  <c r="F9" i="5"/>
  <c r="P12" i="7"/>
  <c r="X9" i="13"/>
  <c r="D10" i="5"/>
  <c r="AA11" i="9"/>
  <c r="I8" i="11"/>
  <c r="Q9" i="13"/>
  <c r="K15" i="2"/>
  <c r="M10" i="13"/>
  <c r="O12" i="5"/>
  <c r="L12" i="5"/>
  <c r="P10" i="5"/>
  <c r="C13" i="7"/>
  <c r="I12" i="9"/>
  <c r="AB12" i="7"/>
  <c r="W11" i="9"/>
  <c r="R8" i="11"/>
  <c r="D13" i="13"/>
  <c r="D10" i="13"/>
  <c r="J8" i="2"/>
  <c r="AA14" i="2"/>
  <c r="L9" i="5"/>
  <c r="AB10" i="9"/>
  <c r="P15" i="2"/>
  <c r="R15" i="11"/>
  <c r="AC14" i="2"/>
  <c r="AA7" i="11"/>
  <c r="L9" i="2"/>
  <c r="AA10" i="7"/>
  <c r="Q11" i="2"/>
  <c r="L9" i="7"/>
  <c r="K15" i="13"/>
  <c r="V8" i="11"/>
  <c r="J14" i="13"/>
  <c r="K13" i="5"/>
  <c r="S9" i="9"/>
  <c r="AB13" i="5"/>
  <c r="Z12" i="11"/>
  <c r="P13" i="2"/>
  <c r="AB7" i="11"/>
  <c r="C15" i="2"/>
  <c r="G10" i="13"/>
  <c r="X7" i="13"/>
  <c r="Z10" i="11"/>
  <c r="R15" i="9"/>
  <c r="J12" i="9"/>
  <c r="AC8" i="13"/>
  <c r="M15" i="2"/>
  <c r="AD15" i="2"/>
  <c r="D10" i="9"/>
  <c r="AC14" i="13"/>
  <c r="I15" i="9"/>
  <c r="N10" i="9"/>
  <c r="O14" i="5"/>
  <c r="L10" i="2"/>
  <c r="AB8" i="13"/>
  <c r="J13" i="5"/>
  <c r="E14" i="7"/>
  <c r="AD13" i="9"/>
  <c r="AC11" i="2"/>
  <c r="AD11" i="13"/>
  <c r="S8" i="13"/>
  <c r="AB8" i="11"/>
  <c r="T13" i="7"/>
  <c r="S13" i="11"/>
  <c r="AA7" i="9"/>
  <c r="E12" i="9"/>
  <c r="V13" i="9"/>
  <c r="M12" i="9"/>
  <c r="T15" i="13"/>
  <c r="H14" i="11"/>
  <c r="P8" i="9"/>
  <c r="C12" i="2"/>
  <c r="O12" i="13"/>
  <c r="R9" i="13"/>
  <c r="K14" i="13"/>
  <c r="I7" i="13"/>
  <c r="F13" i="7"/>
  <c r="AA10" i="13"/>
  <c r="Y10" i="13"/>
  <c r="L11" i="5"/>
  <c r="X12" i="11"/>
  <c r="AB14" i="9"/>
  <c r="O15" i="2"/>
  <c r="N12" i="9"/>
  <c r="Q12" i="13"/>
  <c r="C11" i="9"/>
  <c r="T10" i="5"/>
  <c r="AD12" i="13"/>
  <c r="E10" i="2"/>
  <c r="W12" i="11"/>
  <c r="AD14" i="11"/>
  <c r="C9" i="11"/>
  <c r="L12" i="2"/>
  <c r="H11" i="11"/>
  <c r="P11" i="11"/>
  <c r="E9" i="7"/>
  <c r="N13" i="11"/>
  <c r="AA14" i="5"/>
  <c r="D12" i="11"/>
  <c r="AB11" i="7"/>
  <c r="J10" i="11"/>
  <c r="O12" i="2"/>
  <c r="C15" i="13"/>
  <c r="M9" i="7"/>
  <c r="I13" i="5"/>
  <c r="L13" i="11"/>
  <c r="X10" i="11"/>
  <c r="M15" i="7"/>
  <c r="J11" i="13"/>
  <c r="S8" i="11"/>
  <c r="C14" i="11"/>
  <c r="AC13" i="13"/>
  <c r="N14" i="7"/>
  <c r="S9" i="2"/>
  <c r="H12" i="7"/>
  <c r="G11" i="11"/>
  <c r="M8" i="7"/>
  <c r="G10" i="5"/>
  <c r="AC14" i="7"/>
  <c r="F7" i="9"/>
  <c r="E11" i="13"/>
  <c r="U13" i="13"/>
  <c r="F12" i="2"/>
  <c r="G10" i="11"/>
  <c r="R14" i="5"/>
  <c r="D9" i="11"/>
  <c r="P15" i="7"/>
  <c r="L15" i="11"/>
  <c r="O11" i="9"/>
  <c r="AA15" i="9"/>
  <c r="AD7" i="9"/>
  <c r="O8" i="13"/>
  <c r="Q8" i="9"/>
  <c r="AB7" i="9"/>
  <c r="H9" i="13"/>
  <c r="H11" i="7"/>
  <c r="F15" i="7"/>
  <c r="W13" i="11"/>
  <c r="C7" i="13"/>
  <c r="D12" i="13"/>
  <c r="AD9" i="2"/>
  <c r="D14" i="7"/>
  <c r="E12" i="11"/>
  <c r="Q11" i="13"/>
  <c r="L11" i="7"/>
  <c r="U9" i="13"/>
  <c r="T11" i="9"/>
  <c r="AD9" i="11"/>
  <c r="Y15" i="11"/>
  <c r="V12" i="9"/>
  <c r="N12" i="2"/>
  <c r="L8" i="7"/>
  <c r="S11" i="2"/>
  <c r="I7" i="9"/>
  <c r="AA12" i="7"/>
  <c r="K8" i="7"/>
  <c r="J14" i="2"/>
  <c r="G9" i="9"/>
  <c r="J7" i="7"/>
  <c r="P8" i="2"/>
  <c r="J9" i="2"/>
  <c r="L14" i="13"/>
  <c r="T15" i="5"/>
  <c r="S10" i="2"/>
  <c r="P7" i="9"/>
  <c r="H13" i="2"/>
  <c r="AC12" i="5"/>
  <c r="L15" i="7"/>
  <c r="N11" i="5"/>
  <c r="R14" i="9"/>
  <c r="F10" i="9"/>
  <c r="V11" i="9"/>
  <c r="AB12" i="11"/>
  <c r="AD7" i="11"/>
  <c r="C14" i="7"/>
  <c r="AC11" i="9"/>
  <c r="AB14" i="7"/>
  <c r="U9" i="9"/>
  <c r="Y11" i="9"/>
  <c r="T11" i="5"/>
  <c r="AC8" i="9"/>
  <c r="P15" i="11"/>
  <c r="F13" i="13"/>
  <c r="J14" i="5"/>
  <c r="L13" i="9"/>
  <c r="X15" i="9"/>
  <c r="Q9" i="9"/>
  <c r="K12" i="9"/>
  <c r="N7" i="11"/>
  <c r="AD7" i="7"/>
  <c r="M13" i="5"/>
  <c r="H7" i="7"/>
  <c r="Y13" i="9"/>
  <c r="I11" i="2"/>
  <c r="E10" i="11"/>
  <c r="T13" i="13"/>
  <c r="AA14" i="9"/>
  <c r="H7" i="9"/>
  <c r="R13" i="13"/>
  <c r="C7" i="7"/>
  <c r="E15" i="7"/>
  <c r="P12" i="11"/>
  <c r="H15" i="7"/>
  <c r="G15" i="9"/>
  <c r="Q10" i="2"/>
  <c r="AD11" i="5"/>
  <c r="AC9" i="9"/>
  <c r="S12" i="5"/>
  <c r="G12" i="11"/>
  <c r="Q14" i="11"/>
  <c r="U10" i="9"/>
  <c r="P10" i="9"/>
  <c r="K8" i="5"/>
  <c r="L7" i="11"/>
  <c r="C13" i="2"/>
  <c r="L11" i="2"/>
  <c r="P8" i="13"/>
  <c r="M12" i="13"/>
  <c r="S15" i="13"/>
  <c r="M15" i="11"/>
  <c r="F11" i="5"/>
  <c r="S10" i="13"/>
  <c r="G11" i="5"/>
  <c r="K11" i="9"/>
  <c r="W7" i="9"/>
  <c r="E7" i="7"/>
  <c r="C11" i="2"/>
  <c r="L12" i="7"/>
  <c r="T15" i="9"/>
  <c r="V10" i="9"/>
  <c r="F10" i="2"/>
  <c r="R9" i="5"/>
  <c r="K9" i="13"/>
  <c r="AD12" i="2"/>
  <c r="Z9" i="13"/>
  <c r="L12" i="13"/>
  <c r="P15" i="9"/>
  <c r="I11" i="9"/>
  <c r="C11" i="5"/>
  <c r="T11" i="11"/>
  <c r="M7" i="2"/>
  <c r="AD14" i="9"/>
  <c r="T12" i="13"/>
  <c r="H13" i="7"/>
  <c r="C8" i="5"/>
  <c r="F8" i="7"/>
  <c r="T8" i="7"/>
  <c r="AA11" i="7"/>
  <c r="P10" i="7"/>
  <c r="J13" i="13"/>
  <c r="H8" i="9"/>
  <c r="K8" i="9"/>
  <c r="U15" i="9"/>
  <c r="V7" i="13"/>
  <c r="AC12" i="2"/>
  <c r="F7" i="11"/>
  <c r="C9" i="9"/>
  <c r="I11" i="11"/>
  <c r="F7" i="2"/>
  <c r="I9" i="9"/>
  <c r="C9" i="2"/>
  <c r="R10" i="2"/>
  <c r="L13" i="2"/>
  <c r="W10" i="9"/>
  <c r="AC13" i="9"/>
  <c r="AA13" i="2"/>
  <c r="V15" i="11"/>
  <c r="N13" i="2"/>
  <c r="Y8" i="9"/>
  <c r="V13" i="11"/>
  <c r="E9" i="2"/>
  <c r="I12" i="11"/>
  <c r="N9" i="2"/>
  <c r="P7" i="13"/>
  <c r="L9" i="9"/>
  <c r="R7" i="9"/>
  <c r="H11" i="13"/>
  <c r="N11" i="9"/>
  <c r="U11" i="13"/>
  <c r="AD8" i="11"/>
  <c r="AA13" i="13"/>
  <c r="H11" i="5"/>
  <c r="F14" i="13"/>
  <c r="D9" i="5"/>
  <c r="J12" i="5"/>
  <c r="O15" i="13"/>
  <c r="I9" i="7"/>
  <c r="R12" i="9"/>
  <c r="T9" i="7"/>
  <c r="M11" i="5"/>
  <c r="AD13" i="11"/>
  <c r="H14" i="2"/>
  <c r="M8" i="2"/>
  <c r="H10" i="2"/>
  <c r="R13" i="5"/>
  <c r="S8" i="9"/>
  <c r="D14" i="2"/>
  <c r="F15" i="2"/>
  <c r="K10" i="7"/>
  <c r="AB10" i="2"/>
  <c r="M13" i="2"/>
  <c r="R11" i="5"/>
  <c r="U9" i="11"/>
  <c r="AA10" i="11"/>
  <c r="R12" i="11"/>
  <c r="C11" i="7"/>
  <c r="AB7" i="7"/>
  <c r="Q8" i="11"/>
  <c r="C8" i="7"/>
  <c r="AC13" i="11"/>
  <c r="C14" i="9"/>
  <c r="I11" i="5"/>
  <c r="F15" i="9"/>
  <c r="W14" i="13"/>
  <c r="V9" i="9"/>
  <c r="E10" i="5"/>
  <c r="AD13" i="7"/>
  <c r="S15" i="11"/>
  <c r="X13" i="9"/>
  <c r="R10" i="5"/>
  <c r="AB12" i="2"/>
  <c r="E14" i="5"/>
  <c r="K7" i="11"/>
  <c r="AA9" i="11"/>
  <c r="J8" i="11"/>
  <c r="X10" i="9"/>
  <c r="M14" i="2"/>
  <c r="K9" i="9"/>
  <c r="Y12" i="11"/>
  <c r="AD13" i="5"/>
  <c r="K11" i="5"/>
  <c r="T9" i="9"/>
  <c r="X7" i="9"/>
  <c r="T11" i="7"/>
  <c r="AB14" i="11"/>
  <c r="S8" i="5"/>
  <c r="Y14" i="9"/>
  <c r="W15" i="13"/>
  <c r="AD10" i="11"/>
  <c r="M11" i="11"/>
  <c r="L12" i="11"/>
  <c r="I13" i="13"/>
  <c r="X12" i="9"/>
  <c r="R12" i="2"/>
  <c r="R9" i="11"/>
  <c r="R7" i="13"/>
  <c r="E14" i="11"/>
  <c r="K9" i="11"/>
  <c r="F11" i="7"/>
  <c r="E15" i="2"/>
  <c r="Z11" i="13"/>
  <c r="AD12" i="11"/>
  <c r="F12" i="11"/>
  <c r="AA10" i="5"/>
  <c r="S9" i="11"/>
  <c r="S14" i="7"/>
  <c r="H12" i="13"/>
  <c r="J8" i="7"/>
  <c r="P13" i="13"/>
  <c r="W9" i="13"/>
  <c r="AC15" i="9"/>
  <c r="D13" i="11"/>
  <c r="G9" i="5"/>
  <c r="N13" i="13"/>
  <c r="E13" i="9"/>
  <c r="Y7" i="9"/>
  <c r="L15" i="5"/>
  <c r="F8" i="2"/>
  <c r="AC8" i="11"/>
  <c r="I11" i="13"/>
  <c r="Q12" i="11"/>
  <c r="T14" i="9"/>
  <c r="D7" i="11"/>
  <c r="C14" i="5"/>
  <c r="T7" i="13"/>
  <c r="H7" i="2"/>
  <c r="AC12" i="13"/>
  <c r="C13" i="11"/>
  <c r="AB12" i="13"/>
  <c r="M9" i="11"/>
  <c r="AD15" i="7"/>
  <c r="M9" i="5"/>
  <c r="W13" i="9"/>
  <c r="J15" i="2"/>
  <c r="M9" i="9"/>
  <c r="O11" i="5"/>
  <c r="AC7" i="9"/>
  <c r="R8" i="5"/>
  <c r="G10" i="2"/>
  <c r="I8" i="7"/>
  <c r="K10" i="2"/>
  <c r="E10" i="13"/>
  <c r="G13" i="13"/>
  <c r="AD8" i="2"/>
  <c r="G11" i="7"/>
  <c r="M8" i="5"/>
  <c r="M10" i="11"/>
  <c r="R11" i="9"/>
  <c r="Q13" i="11"/>
  <c r="G7" i="7"/>
  <c r="I7" i="7"/>
  <c r="AC12" i="7"/>
  <c r="X10" i="13"/>
  <c r="AB13" i="13"/>
  <c r="AB15" i="11"/>
  <c r="I7" i="2"/>
  <c r="D13" i="5"/>
  <c r="M15" i="13"/>
  <c r="P13" i="5"/>
  <c r="H9" i="2"/>
  <c r="Z9" i="11"/>
  <c r="I13" i="9"/>
  <c r="I10" i="2"/>
  <c r="U8" i="9"/>
  <c r="N12" i="7"/>
  <c r="T9" i="13"/>
  <c r="AD13" i="13"/>
  <c r="K11" i="7"/>
  <c r="C10" i="13"/>
  <c r="U13" i="9"/>
  <c r="AC15" i="7"/>
  <c r="U11" i="9"/>
  <c r="AC10" i="11"/>
  <c r="G9" i="13"/>
  <c r="P7" i="7"/>
  <c r="L11" i="13"/>
  <c r="R8" i="9"/>
  <c r="G14" i="9"/>
  <c r="L7" i="9"/>
  <c r="D8" i="9"/>
  <c r="J11" i="11"/>
  <c r="U12" i="13"/>
  <c r="AC15" i="11"/>
  <c r="AA13" i="9"/>
  <c r="K15" i="5"/>
  <c r="N9" i="9"/>
  <c r="T12" i="9"/>
  <c r="U12" i="11"/>
  <c r="AD14" i="2"/>
  <c r="AB9" i="2"/>
  <c r="W12" i="13"/>
  <c r="AB12" i="5"/>
  <c r="V8" i="9"/>
  <c r="O7" i="9"/>
  <c r="G12" i="7"/>
  <c r="S12" i="9"/>
  <c r="T8" i="11"/>
  <c r="AB15" i="13"/>
  <c r="Z11" i="11"/>
  <c r="Z8" i="11"/>
  <c r="Y13" i="13"/>
  <c r="AA15" i="7"/>
  <c r="G13" i="7"/>
  <c r="I8" i="5"/>
  <c r="Q13" i="7"/>
  <c r="H9" i="11"/>
  <c r="H9" i="5"/>
  <c r="AD7" i="13"/>
  <c r="P11" i="7"/>
  <c r="H13" i="5"/>
  <c r="P7" i="2"/>
  <c r="Q8" i="2"/>
  <c r="Y12" i="9"/>
  <c r="V12" i="11"/>
  <c r="K14" i="9"/>
  <c r="AC11" i="5"/>
  <c r="J9" i="9"/>
  <c r="AA8" i="9"/>
  <c r="D15" i="7"/>
  <c r="AD8" i="13"/>
  <c r="I14" i="9"/>
  <c r="E13" i="11"/>
  <c r="P8" i="5"/>
  <c r="O13" i="9"/>
  <c r="Q12" i="7"/>
  <c r="J14" i="9"/>
  <c r="R12" i="7"/>
  <c r="F11" i="2"/>
  <c r="I8" i="9"/>
  <c r="N8" i="11"/>
  <c r="W9" i="9"/>
  <c r="M8" i="11"/>
  <c r="R11" i="11"/>
  <c r="K7" i="13"/>
  <c r="AC12" i="11"/>
  <c r="AA15" i="13"/>
  <c r="P12" i="2"/>
  <c r="N11" i="2"/>
  <c r="T7" i="7"/>
  <c r="E8" i="7"/>
  <c r="E8" i="5"/>
  <c r="AB10" i="5"/>
  <c r="AA10" i="2"/>
  <c r="K8" i="11"/>
  <c r="D10" i="7"/>
  <c r="E11" i="9"/>
  <c r="D11" i="13"/>
  <c r="Q10" i="11"/>
  <c r="R11" i="2"/>
  <c r="U14" i="13"/>
  <c r="J8" i="13"/>
  <c r="F9" i="7"/>
  <c r="S11" i="9"/>
  <c r="AA8" i="11"/>
  <c r="L11" i="11"/>
  <c r="V14" i="11"/>
  <c r="O10" i="9"/>
  <c r="D15" i="11"/>
  <c r="K12" i="11"/>
  <c r="K12" i="7"/>
  <c r="AB9" i="11"/>
  <c r="W10" i="13"/>
  <c r="J15" i="13"/>
  <c r="E13" i="5"/>
  <c r="AA10" i="9"/>
  <c r="P11" i="5"/>
  <c r="F13" i="2"/>
  <c r="AC8" i="5"/>
  <c r="J9" i="5"/>
  <c r="K10" i="13"/>
  <c r="K12" i="2"/>
  <c r="F9" i="13"/>
  <c r="M8" i="9"/>
  <c r="P13" i="7"/>
  <c r="O15" i="11"/>
  <c r="J15" i="5"/>
  <c r="F15" i="13"/>
  <c r="I8" i="13"/>
  <c r="AA7" i="13"/>
  <c r="AA8" i="7"/>
  <c r="F14" i="7"/>
  <c r="M9" i="2"/>
  <c r="S15" i="5"/>
  <c r="M7" i="9"/>
  <c r="N10" i="13"/>
  <c r="V8" i="13"/>
  <c r="E11" i="11"/>
  <c r="AD8" i="5"/>
  <c r="L13" i="13"/>
  <c r="G8" i="9"/>
  <c r="W15" i="9"/>
  <c r="F13" i="5"/>
  <c r="K8" i="13"/>
  <c r="H8" i="5"/>
  <c r="Q7" i="13"/>
  <c r="AC14" i="5"/>
  <c r="H8" i="13"/>
  <c r="J13" i="11"/>
  <c r="O11" i="7"/>
  <c r="D10" i="2"/>
  <c r="Q8" i="13"/>
  <c r="AD9" i="5"/>
  <c r="C15" i="11"/>
  <c r="F8" i="13"/>
  <c r="N13" i="9"/>
  <c r="N8" i="7"/>
  <c r="R14" i="11"/>
  <c r="M12" i="2"/>
  <c r="K14" i="5"/>
  <c r="R10" i="7"/>
  <c r="G10" i="7"/>
  <c r="AB8" i="5"/>
  <c r="F7" i="13"/>
  <c r="O13" i="13"/>
  <c r="G9" i="11"/>
  <c r="T9" i="5"/>
  <c r="D15" i="5"/>
  <c r="R10" i="9"/>
  <c r="C7" i="9"/>
  <c r="J8" i="9"/>
  <c r="AD14" i="13"/>
  <c r="C11" i="13"/>
  <c r="I9" i="5"/>
  <c r="AB8" i="2"/>
  <c r="T13" i="5"/>
  <c r="T8" i="5"/>
  <c r="AC15" i="13"/>
  <c r="Q15" i="7"/>
  <c r="Q13" i="5"/>
  <c r="E7" i="9"/>
  <c r="AB8" i="7"/>
  <c r="P11" i="13"/>
  <c r="Z15" i="13"/>
  <c r="R9" i="2"/>
  <c r="C10" i="7"/>
  <c r="AD8" i="9"/>
  <c r="W15" i="11"/>
  <c r="D7" i="9"/>
  <c r="S15" i="7"/>
  <c r="X9" i="11"/>
  <c r="X13" i="11"/>
  <c r="AA9" i="9"/>
  <c r="V13" i="13"/>
  <c r="J15" i="9"/>
  <c r="N12" i="11"/>
  <c r="I15" i="13"/>
  <c r="H9" i="9"/>
  <c r="Y8" i="13"/>
  <c r="M14" i="7"/>
  <c r="D11" i="9"/>
  <c r="G12" i="13"/>
  <c r="W11" i="11"/>
  <c r="E15" i="5"/>
  <c r="AB11" i="9"/>
  <c r="AC13" i="5"/>
  <c r="G9" i="7"/>
  <c r="G11" i="13"/>
  <c r="R12" i="5"/>
  <c r="D14" i="13"/>
  <c r="D8" i="2"/>
  <c r="AD15" i="11"/>
  <c r="AD11" i="11"/>
  <c r="F12" i="5"/>
  <c r="O8" i="9"/>
  <c r="Y10" i="9"/>
  <c r="K12" i="13"/>
  <c r="J12" i="13"/>
  <c r="M13" i="11"/>
  <c r="X11" i="13"/>
  <c r="E9" i="11"/>
  <c r="H8" i="7"/>
  <c r="L10" i="11"/>
  <c r="Q14" i="7"/>
  <c r="AD15" i="9"/>
  <c r="V14" i="9"/>
  <c r="S13" i="13"/>
  <c r="L7" i="7"/>
  <c r="AB7" i="13"/>
  <c r="M10" i="2"/>
  <c r="F13" i="11"/>
  <c r="S13" i="2"/>
  <c r="F14" i="5"/>
  <c r="J11" i="2"/>
  <c r="AD14" i="7"/>
  <c r="Q15" i="9"/>
  <c r="AC13" i="7"/>
  <c r="U15" i="13"/>
  <c r="O9" i="11"/>
  <c r="K10" i="11"/>
  <c r="Q15" i="5"/>
  <c r="V9" i="13"/>
  <c r="AC8" i="2"/>
  <c r="N15" i="2"/>
  <c r="D9" i="13"/>
  <c r="F13" i="9"/>
  <c r="S11" i="5"/>
  <c r="W7" i="11"/>
  <c r="S11" i="13"/>
  <c r="AA12" i="9"/>
  <c r="AB12" i="9"/>
  <c r="K11" i="11"/>
  <c r="T10" i="13"/>
  <c r="D7" i="7"/>
  <c r="X14" i="9"/>
  <c r="J8" i="5"/>
  <c r="H11" i="2"/>
  <c r="R7" i="11"/>
  <c r="I13" i="2"/>
  <c r="L15" i="13"/>
  <c r="AB10" i="13"/>
  <c r="AC14" i="11"/>
  <c r="W14" i="9"/>
  <c r="P12" i="13"/>
  <c r="E10" i="7"/>
  <c r="G11" i="2"/>
  <c r="P8" i="7"/>
  <c r="N13" i="7"/>
  <c r="G14" i="13"/>
  <c r="P14" i="11"/>
  <c r="C9" i="13"/>
  <c r="J10" i="9"/>
  <c r="Y8" i="11"/>
  <c r="J9" i="11"/>
  <c r="Q7" i="2"/>
  <c r="X9" i="9"/>
  <c r="G8" i="11"/>
  <c r="N10" i="7"/>
  <c r="AA11" i="13"/>
  <c r="AB15" i="5"/>
  <c r="T14" i="7"/>
  <c r="E8" i="13"/>
  <c r="G13" i="2"/>
  <c r="G8" i="5"/>
  <c r="M12" i="11"/>
  <c r="I15" i="7"/>
  <c r="C12" i="7"/>
  <c r="O8" i="2"/>
  <c r="S8" i="2"/>
  <c r="Q10" i="9"/>
  <c r="O10" i="7"/>
  <c r="M11" i="9"/>
  <c r="S7" i="13"/>
  <c r="P12" i="5"/>
  <c r="AB8" i="9"/>
  <c r="U12" i="9"/>
  <c r="R7" i="7"/>
  <c r="K14" i="2"/>
  <c r="K13" i="9"/>
  <c r="Z13" i="13"/>
  <c r="G8" i="13"/>
  <c r="O7" i="7"/>
  <c r="N11" i="7"/>
  <c r="E14" i="9"/>
  <c r="I13" i="11"/>
  <c r="D11" i="5"/>
  <c r="X15" i="11"/>
  <c r="E7" i="11"/>
  <c r="Y13" i="11"/>
  <c r="N11" i="13"/>
  <c r="I14" i="2"/>
  <c r="AC10" i="7"/>
  <c r="Z7" i="11"/>
  <c r="Q11" i="9"/>
  <c r="D15" i="2"/>
  <c r="Y15" i="13"/>
  <c r="H10" i="11"/>
  <c r="H12" i="2"/>
  <c r="AA13" i="5"/>
  <c r="R12" i="13"/>
  <c r="Q7" i="7"/>
  <c r="U14" i="9"/>
  <c r="Q15" i="2"/>
  <c r="K7" i="2"/>
  <c r="F11" i="11"/>
  <c r="R15" i="7"/>
  <c r="AA11" i="11"/>
  <c r="R13" i="11"/>
  <c r="P10" i="11"/>
  <c r="Y14" i="13"/>
  <c r="Q9" i="5"/>
  <c r="AD10" i="9"/>
  <c r="Q9" i="7"/>
  <c r="AB15" i="2"/>
  <c r="Z8" i="13"/>
  <c r="W10" i="11"/>
  <c r="Z10" i="13"/>
  <c r="W7" i="13"/>
  <c r="O14" i="11"/>
  <c r="X11" i="9"/>
  <c r="R13" i="7"/>
  <c r="P13" i="9"/>
  <c r="M11" i="2"/>
  <c r="O10" i="2"/>
  <c r="I10" i="7"/>
  <c r="I10" i="11"/>
  <c r="N7" i="9"/>
  <c r="AA9" i="5"/>
  <c r="G7" i="2"/>
  <c r="G14" i="2"/>
  <c r="N14" i="13"/>
  <c r="AD11" i="2"/>
  <c r="C13" i="13"/>
  <c r="K12" i="5"/>
  <c r="X11" i="11"/>
  <c r="O15" i="5"/>
  <c r="Y11" i="13"/>
  <c r="S9" i="13"/>
  <c r="E8" i="9"/>
  <c r="N14" i="11"/>
  <c r="S12" i="13"/>
  <c r="T13" i="2"/>
  <c r="G7" i="9"/>
  <c r="AA14" i="7"/>
  <c r="AB15" i="7"/>
  <c r="M7" i="11"/>
  <c r="E12" i="13"/>
  <c r="Y9" i="9"/>
  <c r="N8" i="9"/>
  <c r="R15" i="5"/>
  <c r="M14" i="9"/>
  <c r="T13" i="9"/>
  <c r="C15" i="7"/>
  <c r="AB15" i="9"/>
  <c r="H10" i="13"/>
  <c r="AC7" i="7"/>
  <c r="G10" i="9"/>
  <c r="F15" i="11"/>
  <c r="F10" i="11"/>
  <c r="L13" i="5"/>
  <c r="AC9" i="5"/>
  <c r="J13" i="2"/>
  <c r="AB14" i="5"/>
  <c r="Y9" i="11"/>
  <c r="AA13" i="11"/>
  <c r="Y7" i="13"/>
  <c r="H14" i="5"/>
  <c r="I9" i="11"/>
  <c r="T14" i="11"/>
  <c r="N7" i="7"/>
  <c r="D7" i="13"/>
  <c r="C14" i="13"/>
  <c r="L8" i="11"/>
  <c r="T9" i="11"/>
  <c r="M13" i="9"/>
  <c r="N7" i="2"/>
  <c r="O14" i="2"/>
  <c r="F8" i="11"/>
  <c r="M7" i="13"/>
  <c r="J12" i="2"/>
  <c r="X8" i="11"/>
  <c r="S14" i="2"/>
  <c r="F14" i="11"/>
  <c r="AC11" i="11"/>
  <c r="F9" i="9"/>
  <c r="S13" i="7"/>
  <c r="O14" i="13"/>
  <c r="J9" i="13"/>
  <c r="Q13" i="9"/>
  <c r="Y15" i="9"/>
  <c r="L8" i="13"/>
  <c r="S13" i="5"/>
  <c r="T12" i="11"/>
  <c r="P9" i="9"/>
  <c r="I10" i="13"/>
  <c r="F14" i="9"/>
  <c r="Q10" i="13"/>
  <c r="F11" i="9"/>
  <c r="H9" i="7"/>
  <c r="I9" i="2"/>
  <c r="V15" i="9"/>
  <c r="Q12" i="5"/>
  <c r="O7" i="11"/>
  <c r="F12" i="7"/>
  <c r="AC10" i="13"/>
  <c r="I9" i="13"/>
  <c r="F8" i="9"/>
  <c r="O9" i="2"/>
  <c r="AC11" i="13"/>
  <c r="P14" i="7"/>
  <c r="AA9" i="13"/>
  <c r="D15" i="9"/>
  <c r="D8" i="13"/>
  <c r="P12" i="9"/>
  <c r="V11" i="13"/>
  <c r="M8" i="13"/>
  <c r="R8" i="7"/>
  <c r="H14" i="13"/>
  <c r="AC14" i="9"/>
  <c r="O7" i="13"/>
  <c r="W12" i="9"/>
  <c r="X8" i="13"/>
  <c r="K9" i="2"/>
  <c r="L10" i="5"/>
  <c r="J7" i="2"/>
  <c r="F12" i="13"/>
  <c r="J12" i="7"/>
  <c r="I15" i="11"/>
  <c r="O11" i="11"/>
  <c r="E8" i="2"/>
  <c r="E14" i="13"/>
  <c r="Y14" i="11"/>
  <c r="AD9" i="13"/>
  <c r="Q10" i="7"/>
  <c r="X12" i="13"/>
  <c r="G14" i="7"/>
  <c r="L12" i="9"/>
  <c r="AC13" i="2"/>
  <c r="AB10" i="11"/>
  <c r="T8" i="2"/>
  <c r="D9" i="7"/>
  <c r="P9" i="7"/>
  <c r="G13" i="5"/>
  <c r="AD15" i="5"/>
  <c r="AB13" i="9"/>
  <c r="U15" i="11"/>
  <c r="M10" i="5"/>
  <c r="AC7" i="2"/>
  <c r="V7" i="9"/>
  <c r="G12" i="5"/>
  <c r="F8" i="5"/>
  <c r="V7" i="11"/>
  <c r="T12" i="7"/>
  <c r="C15" i="9"/>
  <c r="H15" i="9"/>
  <c r="J15" i="11"/>
  <c r="N10" i="11"/>
  <c r="D14" i="11"/>
  <c r="AC15" i="5"/>
  <c r="O14" i="9"/>
  <c r="P9" i="5"/>
  <c r="C12" i="11"/>
  <c r="D9" i="2"/>
  <c r="AD10" i="2"/>
  <c r="U8" i="11"/>
  <c r="R8" i="2"/>
  <c r="Z13" i="11"/>
  <c r="E7" i="13"/>
  <c r="D12" i="2"/>
  <c r="D11" i="11"/>
  <c r="K13" i="2"/>
  <c r="E9" i="13"/>
  <c r="R7" i="2"/>
  <c r="F10" i="13"/>
  <c r="AA8" i="13"/>
  <c r="S12" i="11"/>
  <c r="V12" i="13"/>
  <c r="M10" i="9"/>
  <c r="G15" i="2"/>
  <c r="T10" i="7"/>
  <c r="T15" i="7"/>
  <c r="C10" i="2"/>
  <c r="G9" i="2"/>
  <c r="G13" i="9"/>
  <c r="AA9" i="7"/>
  <c r="V9" i="11"/>
  <c r="O7" i="2"/>
  <c r="K9" i="5"/>
  <c r="AA9" i="2"/>
  <c r="G7" i="13"/>
  <c r="R9" i="7"/>
  <c r="N9" i="11"/>
  <c r="N15" i="7"/>
  <c r="H8" i="2"/>
  <c r="T10" i="11"/>
  <c r="F9" i="11"/>
  <c r="AC9" i="7"/>
  <c r="J10" i="7"/>
  <c r="AD11" i="7"/>
  <c r="H10" i="7"/>
  <c r="N13" i="5"/>
  <c r="U13" i="11"/>
  <c r="K13" i="11"/>
  <c r="C11" i="11"/>
  <c r="H10" i="5"/>
  <c r="G14" i="5"/>
  <c r="N15" i="13"/>
  <c r="L13" i="7"/>
  <c r="AB9" i="9"/>
  <c r="D11" i="2"/>
  <c r="AB14" i="13"/>
  <c r="T7" i="11"/>
  <c r="AD14" i="5"/>
  <c r="W8" i="9"/>
  <c r="AC10" i="5"/>
  <c r="AC7" i="11"/>
  <c r="G12" i="9"/>
  <c r="U8" i="13"/>
  <c r="K10" i="9"/>
  <c r="H14" i="9"/>
  <c r="AD10" i="13"/>
  <c r="X8" i="9"/>
  <c r="Q8" i="7"/>
  <c r="S13" i="9"/>
  <c r="AA13" i="7"/>
  <c r="U7" i="13"/>
  <c r="N15" i="9"/>
  <c r="AD9" i="7"/>
  <c r="T8" i="13"/>
  <c r="P9" i="13"/>
  <c r="J12" i="11"/>
  <c r="N10" i="5"/>
  <c r="L14" i="11"/>
  <c r="E13" i="7"/>
  <c r="O13" i="5"/>
  <c r="AD12" i="9"/>
  <c r="Q14" i="9"/>
  <c r="I7" i="11"/>
  <c r="Q10" i="5"/>
  <c r="AA11" i="2"/>
  <c r="E12" i="5"/>
  <c r="Z14" i="13"/>
  <c r="AD8" i="7"/>
  <c r="P10" i="2"/>
  <c r="V14" i="13"/>
  <c r="I12" i="5"/>
  <c r="E13" i="13"/>
  <c r="T9" i="2"/>
  <c r="N9" i="5"/>
  <c r="O10" i="11"/>
  <c r="I15" i="2"/>
  <c r="R14" i="7"/>
  <c r="K15" i="7"/>
  <c r="O8" i="11"/>
  <c r="T7" i="2"/>
  <c r="AD9" i="9"/>
  <c r="P15" i="5"/>
  <c r="AC9" i="13"/>
  <c r="Z7" i="13"/>
  <c r="I13" i="7"/>
  <c r="F15" i="5"/>
  <c r="P14" i="9"/>
  <c r="H15" i="11"/>
  <c r="K14" i="11"/>
  <c r="G15" i="7"/>
  <c r="C14" i="2"/>
  <c r="C8" i="11"/>
  <c r="G8" i="7"/>
  <c r="S10" i="5"/>
  <c r="E7" i="2"/>
  <c r="G15" i="13"/>
  <c r="N14" i="5"/>
  <c r="R14" i="13"/>
  <c r="Y10" i="11"/>
  <c r="W13" i="13"/>
  <c r="V11" i="11"/>
  <c r="T14" i="13"/>
  <c r="D8" i="11"/>
  <c r="AD7" i="2"/>
  <c r="U10" i="13"/>
  <c r="E8" i="11"/>
  <c r="K14" i="7"/>
  <c r="L14" i="2"/>
  <c r="Q11" i="5"/>
  <c r="P14" i="13"/>
  <c r="C12" i="9"/>
  <c r="AB10" i="7"/>
  <c r="Q12" i="9"/>
  <c r="T14" i="5"/>
  <c r="J9" i="7"/>
  <c r="E11" i="7"/>
  <c r="C10" i="9"/>
  <c r="R10" i="13"/>
  <c r="R11" i="7"/>
  <c r="AB11" i="13"/>
  <c r="G15" i="5"/>
  <c r="S14" i="5"/>
  <c r="R13" i="9"/>
  <c r="E13" i="2"/>
  <c r="E12" i="7"/>
  <c r="T10" i="9"/>
  <c r="C13" i="9"/>
  <c r="G13" i="11"/>
  <c r="L8" i="5"/>
  <c r="AA12" i="2"/>
  <c r="L7" i="2"/>
  <c r="C7" i="11"/>
  <c r="Y9" i="13"/>
  <c r="Q7" i="11"/>
  <c r="G14" i="11"/>
  <c r="H12" i="5"/>
  <c r="K7" i="7"/>
  <c r="E10" i="9"/>
  <c r="N8" i="2"/>
  <c r="AB13" i="11"/>
  <c r="U11" i="11"/>
  <c r="Q8" i="5"/>
  <c r="D13" i="2"/>
  <c r="M14" i="5"/>
  <c r="V15" i="13"/>
  <c r="E12" i="2"/>
  <c r="K10" i="5"/>
  <c r="O9" i="13"/>
  <c r="M12" i="7"/>
  <c r="Y7" i="11"/>
  <c r="D14" i="9"/>
  <c r="M14" i="11"/>
  <c r="Q14" i="2"/>
  <c r="T12" i="5"/>
  <c r="R15" i="13"/>
  <c r="C7" i="2"/>
  <c r="H11" i="9"/>
  <c r="C10" i="11"/>
  <c r="L10" i="9"/>
  <c r="K13" i="7"/>
  <c r="K11" i="13"/>
  <c r="O15" i="9"/>
  <c r="W9" i="11"/>
  <c r="L15" i="9"/>
  <c r="D8" i="5"/>
  <c r="S15" i="9"/>
  <c r="E15" i="13"/>
  <c r="I12" i="13"/>
  <c r="C8" i="9"/>
  <c r="N9" i="13"/>
  <c r="E11" i="2"/>
  <c r="AA12" i="5"/>
  <c r="L14" i="5"/>
  <c r="AA12" i="11"/>
  <c r="S14" i="13"/>
  <c r="U14" i="11"/>
  <c r="D12" i="9"/>
  <c r="AB7" i="2"/>
  <c r="K13" i="13"/>
  <c r="C12" i="13"/>
  <c r="T4" i="7" l="1"/>
  <c r="T3" i="7"/>
  <c r="T2" i="7"/>
  <c r="Y4" i="9"/>
  <c r="Y3" i="9"/>
  <c r="Y2" i="9"/>
  <c r="Z4" i="11"/>
  <c r="Z3" i="11"/>
  <c r="Z2" i="11"/>
  <c r="Z4" i="13"/>
  <c r="Z3" i="13"/>
  <c r="Z2" i="13"/>
  <c r="AB3" i="13"/>
  <c r="AB4" i="13"/>
  <c r="AB2" i="13"/>
  <c r="AB1" i="13"/>
  <c r="AA3" i="13"/>
  <c r="AA4" i="13"/>
  <c r="AA2" i="13"/>
  <c r="AA1" i="13"/>
  <c r="AD4" i="13"/>
  <c r="AD2" i="13"/>
  <c r="AD3" i="13"/>
  <c r="AD1" i="13"/>
  <c r="AC4" i="13"/>
  <c r="AC2" i="13"/>
  <c r="AC3" i="13"/>
  <c r="AC1" i="13"/>
  <c r="AD4" i="11"/>
  <c r="AD2" i="11"/>
  <c r="AD1" i="11"/>
  <c r="AD3" i="11"/>
  <c r="AA1" i="11"/>
  <c r="AA4" i="11"/>
  <c r="AA2" i="11"/>
  <c r="AA3" i="11"/>
  <c r="AB1" i="11"/>
  <c r="AB4" i="11"/>
  <c r="AB2" i="11"/>
  <c r="AB3" i="11"/>
  <c r="AC4" i="11"/>
  <c r="AC2" i="11"/>
  <c r="AC1" i="11"/>
  <c r="AC3" i="11"/>
  <c r="AB1" i="9"/>
  <c r="AB3" i="9"/>
  <c r="AB4" i="9"/>
  <c r="AB2" i="9"/>
  <c r="AC4" i="9"/>
  <c r="AC2" i="9"/>
  <c r="AC1" i="9"/>
  <c r="AC3" i="9"/>
  <c r="AD4" i="9"/>
  <c r="AD2" i="9"/>
  <c r="AD1" i="9"/>
  <c r="AD3" i="9"/>
  <c r="AA1" i="9"/>
  <c r="AA4" i="9"/>
  <c r="AA2" i="9"/>
  <c r="AA3" i="9"/>
  <c r="AD4" i="7"/>
  <c r="AD2" i="7"/>
  <c r="AD3" i="7"/>
  <c r="AD1" i="7"/>
  <c r="AA4" i="7"/>
  <c r="AA2" i="7"/>
  <c r="AA3" i="7"/>
  <c r="AA1" i="7"/>
  <c r="AC4" i="7"/>
  <c r="AC2" i="7"/>
  <c r="AC1" i="7"/>
  <c r="AC3" i="7"/>
  <c r="AB1" i="7"/>
  <c r="AB4" i="7"/>
  <c r="AB2" i="7"/>
  <c r="AB3" i="7"/>
  <c r="AD4" i="2"/>
  <c r="AD3" i="2"/>
  <c r="AD2" i="2"/>
  <c r="AC4" i="2"/>
  <c r="AC3" i="2"/>
  <c r="AC2" i="2"/>
  <c r="AB3" i="2"/>
  <c r="AB2" i="2"/>
  <c r="AB4" i="2"/>
  <c r="AA4" i="2"/>
  <c r="AA3" i="2"/>
  <c r="AA2" i="2"/>
  <c r="K4" i="7"/>
  <c r="K2" i="7"/>
  <c r="K1" i="7"/>
  <c r="K3" i="7"/>
  <c r="F1" i="7"/>
  <c r="F2" i="7"/>
  <c r="F3" i="7"/>
  <c r="F4" i="7"/>
  <c r="O1" i="7"/>
  <c r="O2" i="7"/>
  <c r="O3" i="7"/>
  <c r="O4" i="7"/>
  <c r="M1" i="7"/>
  <c r="M2" i="7"/>
  <c r="M3" i="7"/>
  <c r="M4" i="7"/>
  <c r="P1" i="7"/>
  <c r="P2" i="7"/>
  <c r="P3" i="7"/>
  <c r="P4" i="7"/>
  <c r="D1" i="7"/>
  <c r="D2" i="7"/>
  <c r="D3" i="7"/>
  <c r="D4" i="7"/>
  <c r="N1" i="7"/>
  <c r="N2" i="7"/>
  <c r="N3" i="7"/>
  <c r="N4" i="7"/>
  <c r="I1" i="7"/>
  <c r="I2" i="7"/>
  <c r="I3" i="7"/>
  <c r="I4" i="7"/>
  <c r="Q1" i="7"/>
  <c r="Q2" i="7"/>
  <c r="Q3" i="7"/>
  <c r="Q4" i="7"/>
  <c r="J1" i="7"/>
  <c r="J2" i="7"/>
  <c r="J3" i="7"/>
  <c r="J4" i="7"/>
  <c r="L1" i="7"/>
  <c r="L2" i="7"/>
  <c r="L3" i="7"/>
  <c r="L4" i="7"/>
  <c r="E1" i="7"/>
  <c r="E2" i="7"/>
  <c r="E3" i="7"/>
  <c r="E4" i="7"/>
  <c r="H1" i="7"/>
  <c r="H2" i="7"/>
  <c r="H3" i="7"/>
  <c r="H4" i="7"/>
  <c r="G1" i="7"/>
  <c r="G2" i="7"/>
  <c r="G3" i="7"/>
  <c r="G4" i="7"/>
  <c r="R1" i="7"/>
  <c r="R2" i="7"/>
  <c r="R3" i="7"/>
  <c r="R4" i="7"/>
  <c r="N4" i="9"/>
  <c r="N1" i="9"/>
  <c r="N3" i="9"/>
  <c r="N2" i="9"/>
  <c r="G2" i="9"/>
  <c r="G4" i="9"/>
  <c r="G1" i="9"/>
  <c r="G3" i="9"/>
  <c r="T1" i="9"/>
  <c r="T3" i="9"/>
  <c r="T4" i="9"/>
  <c r="T2" i="9"/>
  <c r="W2" i="9"/>
  <c r="W4" i="9"/>
  <c r="W1" i="9"/>
  <c r="W3" i="9"/>
  <c r="J3" i="9"/>
  <c r="J2" i="9"/>
  <c r="J4" i="9"/>
  <c r="J1" i="9"/>
  <c r="P2" i="9"/>
  <c r="P4" i="9"/>
  <c r="P1" i="9"/>
  <c r="P3" i="9"/>
  <c r="R3" i="9"/>
  <c r="R2" i="9"/>
  <c r="R4" i="9"/>
  <c r="R1" i="9"/>
  <c r="L1" i="9"/>
  <c r="L3" i="9"/>
  <c r="L4" i="9"/>
  <c r="L2" i="9"/>
  <c r="E4" i="9"/>
  <c r="E1" i="9"/>
  <c r="E3" i="9"/>
  <c r="E2" i="9"/>
  <c r="V4" i="9"/>
  <c r="V1" i="9"/>
  <c r="V2" i="9"/>
  <c r="V3" i="9"/>
  <c r="M4" i="9"/>
  <c r="M1" i="9"/>
  <c r="M3" i="9"/>
  <c r="M2" i="9"/>
  <c r="D1" i="9"/>
  <c r="D3" i="9"/>
  <c r="D4" i="9"/>
  <c r="D2" i="9"/>
  <c r="H2" i="9"/>
  <c r="H4" i="9"/>
  <c r="H1" i="9"/>
  <c r="H3" i="9"/>
  <c r="S3" i="9"/>
  <c r="S1" i="9"/>
  <c r="S4" i="9"/>
  <c r="S2" i="9"/>
  <c r="O2" i="9"/>
  <c r="O4" i="9"/>
  <c r="O1" i="9"/>
  <c r="O3" i="9"/>
  <c r="X2" i="9"/>
  <c r="X4" i="9"/>
  <c r="X1" i="9"/>
  <c r="X3" i="9"/>
  <c r="Q2" i="9"/>
  <c r="Q4" i="9"/>
  <c r="Q3" i="9"/>
  <c r="Q1" i="9"/>
  <c r="I2" i="9"/>
  <c r="I4" i="9"/>
  <c r="I1" i="9"/>
  <c r="I3" i="9"/>
  <c r="K3" i="9"/>
  <c r="K1" i="9"/>
  <c r="K2" i="9"/>
  <c r="K4" i="9"/>
  <c r="U4" i="9"/>
  <c r="U1" i="9"/>
  <c r="U3" i="9"/>
  <c r="U2" i="9"/>
  <c r="F2" i="9"/>
  <c r="F4" i="9"/>
  <c r="F1" i="9"/>
  <c r="F3" i="9"/>
  <c r="M1" i="11"/>
  <c r="M4" i="11"/>
  <c r="M2" i="11"/>
  <c r="M3" i="11"/>
  <c r="F2" i="11"/>
  <c r="F1" i="11"/>
  <c r="F3" i="11"/>
  <c r="F4" i="11"/>
  <c r="N2" i="11"/>
  <c r="N3" i="11"/>
  <c r="N1" i="11"/>
  <c r="N4" i="11"/>
  <c r="O2" i="11"/>
  <c r="O1" i="11"/>
  <c r="O4" i="11"/>
  <c r="O3" i="11"/>
  <c r="T1" i="11"/>
  <c r="T4" i="11"/>
  <c r="T3" i="11"/>
  <c r="T2" i="11"/>
  <c r="V2" i="11"/>
  <c r="V3" i="11"/>
  <c r="V1" i="11"/>
  <c r="V4" i="11"/>
  <c r="E1" i="11"/>
  <c r="E4" i="11"/>
  <c r="E2" i="11"/>
  <c r="E3" i="11"/>
  <c r="W2" i="11"/>
  <c r="W1" i="11"/>
  <c r="W4" i="11"/>
  <c r="W3" i="11"/>
  <c r="J4" i="11"/>
  <c r="J3" i="11"/>
  <c r="J2" i="11"/>
  <c r="J1" i="11"/>
  <c r="R4" i="11"/>
  <c r="R3" i="11"/>
  <c r="R2" i="11"/>
  <c r="R1" i="11"/>
  <c r="U1" i="11"/>
  <c r="U2" i="11"/>
  <c r="U4" i="11"/>
  <c r="U3" i="11"/>
  <c r="Y3" i="11"/>
  <c r="Y2" i="11"/>
  <c r="Y4" i="11"/>
  <c r="Y1" i="11"/>
  <c r="Q3" i="11"/>
  <c r="Q2" i="11"/>
  <c r="Q4" i="11"/>
  <c r="Q1" i="11"/>
  <c r="D1" i="11"/>
  <c r="D4" i="11"/>
  <c r="D3" i="11"/>
  <c r="D2" i="11"/>
  <c r="H3" i="11"/>
  <c r="H2" i="11"/>
  <c r="H1" i="11"/>
  <c r="H4" i="11"/>
  <c r="G3" i="11"/>
  <c r="G2" i="11"/>
  <c r="G1" i="11"/>
  <c r="G4" i="11"/>
  <c r="X3" i="11"/>
  <c r="X2" i="11"/>
  <c r="X1" i="11"/>
  <c r="X4" i="11"/>
  <c r="P3" i="11"/>
  <c r="P2" i="11"/>
  <c r="P4" i="11"/>
  <c r="P1" i="11"/>
  <c r="L1" i="11"/>
  <c r="L4" i="11"/>
  <c r="L3" i="11"/>
  <c r="L2" i="11"/>
  <c r="K4" i="11"/>
  <c r="K3" i="11"/>
  <c r="K2" i="11"/>
  <c r="K1" i="11"/>
  <c r="I4" i="11"/>
  <c r="I3" i="11"/>
  <c r="I2" i="11"/>
  <c r="I1" i="11"/>
  <c r="S4" i="11"/>
  <c r="S1" i="11"/>
  <c r="S3" i="11"/>
  <c r="S2" i="11"/>
  <c r="E1" i="13"/>
  <c r="E4" i="13"/>
  <c r="E3" i="13"/>
  <c r="E2" i="13"/>
  <c r="U1" i="13"/>
  <c r="U4" i="13"/>
  <c r="U3" i="13"/>
  <c r="U2" i="13"/>
  <c r="O2" i="13"/>
  <c r="O1" i="13"/>
  <c r="O4" i="13"/>
  <c r="O3" i="13"/>
  <c r="L1" i="13"/>
  <c r="L4" i="13"/>
  <c r="L3" i="13"/>
  <c r="L2" i="13"/>
  <c r="W2" i="13"/>
  <c r="W1" i="13"/>
  <c r="W4" i="13"/>
  <c r="W3" i="13"/>
  <c r="S4" i="13"/>
  <c r="S3" i="13"/>
  <c r="S2" i="13"/>
  <c r="S1" i="13"/>
  <c r="D1" i="13"/>
  <c r="D2" i="13"/>
  <c r="D4" i="13"/>
  <c r="D3" i="13"/>
  <c r="F2" i="13"/>
  <c r="F1" i="13"/>
  <c r="F4" i="13"/>
  <c r="F3" i="13"/>
  <c r="R4" i="13"/>
  <c r="R3" i="13"/>
  <c r="R1" i="13"/>
  <c r="R2" i="13"/>
  <c r="I3" i="13"/>
  <c r="I2" i="13"/>
  <c r="I1" i="13"/>
  <c r="I4" i="13"/>
  <c r="G2" i="13"/>
  <c r="G1" i="13"/>
  <c r="G4" i="13"/>
  <c r="G3" i="13"/>
  <c r="Q3" i="13"/>
  <c r="Q2" i="13"/>
  <c r="Q1" i="13"/>
  <c r="Q4" i="13"/>
  <c r="K4" i="13"/>
  <c r="K3" i="13"/>
  <c r="K2" i="13"/>
  <c r="K1" i="13"/>
  <c r="T1" i="13"/>
  <c r="T4" i="13"/>
  <c r="T2" i="13"/>
  <c r="T3" i="13"/>
  <c r="X3" i="13"/>
  <c r="X4" i="13"/>
  <c r="X2" i="13"/>
  <c r="X1" i="13"/>
  <c r="Y3" i="13"/>
  <c r="Y2" i="13"/>
  <c r="Y1" i="13"/>
  <c r="Y4" i="13"/>
  <c r="P3" i="13"/>
  <c r="P2" i="13"/>
  <c r="P4" i="13"/>
  <c r="P1" i="13"/>
  <c r="M1" i="13"/>
  <c r="M4" i="13"/>
  <c r="M3" i="13"/>
  <c r="M2" i="13"/>
  <c r="V2" i="13"/>
  <c r="V3" i="13"/>
  <c r="V1" i="13"/>
  <c r="V4" i="13"/>
  <c r="H3" i="13"/>
  <c r="H2" i="13"/>
  <c r="H4" i="13"/>
  <c r="H1" i="13"/>
  <c r="J4" i="13"/>
  <c r="J1" i="13"/>
  <c r="J3" i="13"/>
  <c r="J2" i="13"/>
  <c r="N2" i="13"/>
  <c r="N1" i="13"/>
  <c r="N4" i="13"/>
  <c r="N3" i="13"/>
  <c r="C4" i="13"/>
  <c r="C3" i="13"/>
  <c r="C2" i="13"/>
  <c r="C1" i="13"/>
  <c r="C4" i="11"/>
  <c r="C3" i="11"/>
  <c r="C2" i="11"/>
  <c r="C1" i="11"/>
  <c r="C4" i="9"/>
  <c r="C3" i="9"/>
  <c r="C2" i="9"/>
  <c r="C1" i="9"/>
  <c r="C4" i="7"/>
  <c r="C3" i="7"/>
  <c r="C2" i="7"/>
  <c r="C1" i="7"/>
  <c r="AD1" i="2"/>
  <c r="AC1" i="2"/>
  <c r="AB1" i="2"/>
  <c r="AA1" i="2"/>
  <c r="T1" i="2"/>
  <c r="T4" i="2"/>
  <c r="T3" i="2"/>
  <c r="T2" i="2"/>
  <c r="F1" i="2"/>
  <c r="F2" i="2"/>
  <c r="F3" i="2"/>
  <c r="F4" i="2"/>
  <c r="R1" i="2"/>
  <c r="R4" i="2"/>
  <c r="R3" i="2"/>
  <c r="R2" i="2"/>
  <c r="L1" i="2"/>
  <c r="L2" i="2"/>
  <c r="L3" i="2"/>
  <c r="L4" i="2"/>
  <c r="N1" i="2"/>
  <c r="N2" i="2"/>
  <c r="N3" i="2"/>
  <c r="N4" i="2"/>
  <c r="E1" i="2"/>
  <c r="E2" i="2"/>
  <c r="E3" i="2"/>
  <c r="E4" i="2"/>
  <c r="M1" i="2"/>
  <c r="M2" i="2"/>
  <c r="M3" i="2"/>
  <c r="M4" i="2"/>
  <c r="O1" i="2"/>
  <c r="O2" i="2"/>
  <c r="O3" i="2"/>
  <c r="O4" i="2"/>
  <c r="D1" i="2"/>
  <c r="D2" i="2"/>
  <c r="D3" i="2"/>
  <c r="D4" i="2"/>
  <c r="P1" i="2"/>
  <c r="P2" i="2"/>
  <c r="P3" i="2"/>
  <c r="P4" i="2"/>
  <c r="S1" i="2"/>
  <c r="S2" i="2"/>
  <c r="S3" i="2"/>
  <c r="S4" i="2"/>
  <c r="Q4" i="2"/>
  <c r="Q3" i="2"/>
  <c r="Q1" i="2"/>
  <c r="Q2" i="2"/>
  <c r="G1" i="2"/>
  <c r="G2" i="2"/>
  <c r="G3" i="2"/>
  <c r="G4" i="2"/>
  <c r="K1" i="2"/>
  <c r="K2" i="2"/>
  <c r="K3" i="2"/>
  <c r="K4" i="2"/>
  <c r="I4" i="2"/>
  <c r="I1" i="2"/>
  <c r="I2" i="2"/>
  <c r="I3" i="2"/>
  <c r="J1" i="2"/>
  <c r="J2" i="2"/>
  <c r="J4" i="2"/>
  <c r="J3" i="2"/>
  <c r="H1" i="2"/>
  <c r="H2" i="2"/>
  <c r="H3" i="2"/>
  <c r="H4" i="2"/>
  <c r="C4" i="2"/>
  <c r="C3" i="2"/>
  <c r="C2" i="2"/>
  <c r="C1" i="2"/>
  <c r="Z1" i="13"/>
  <c r="Z1" i="11"/>
  <c r="Y1" i="9"/>
  <c r="T1" i="7"/>
  <c r="J36" i="4" l="1"/>
  <c r="I36" i="4"/>
  <c r="H36" i="4"/>
  <c r="G36" i="4"/>
  <c r="F36" i="4"/>
  <c r="K29" i="4"/>
  <c r="K28" i="4"/>
  <c r="K27" i="4"/>
  <c r="K26" i="4"/>
  <c r="K25" i="4"/>
  <c r="K24" i="4"/>
  <c r="K23" i="4"/>
  <c r="K22" i="4"/>
  <c r="K21" i="4"/>
  <c r="K20" i="4"/>
  <c r="K19" i="4"/>
  <c r="K36" i="4" s="1"/>
  <c r="K18" i="4"/>
  <c r="K17" i="4"/>
  <c r="K16" i="4"/>
  <c r="K15" i="4"/>
  <c r="K14" i="4"/>
  <c r="K13" i="4"/>
  <c r="AB7" i="5"/>
  <c r="F7" i="5"/>
  <c r="P7" i="5"/>
  <c r="Q7" i="5"/>
  <c r="AA7" i="5"/>
  <c r="T7" i="5"/>
  <c r="J7" i="5"/>
  <c r="H7" i="5"/>
  <c r="K7" i="5"/>
  <c r="G7" i="5"/>
  <c r="M7" i="5"/>
  <c r="S7" i="5"/>
  <c r="N7" i="5"/>
  <c r="I7" i="5"/>
  <c r="AC7" i="5"/>
  <c r="L7" i="5"/>
  <c r="R7" i="5"/>
  <c r="E7" i="5"/>
  <c r="C7" i="5"/>
  <c r="AD7" i="5"/>
  <c r="O7" i="5"/>
  <c r="D7" i="5"/>
  <c r="T4" i="5" l="1"/>
  <c r="T3" i="5"/>
  <c r="T2" i="5"/>
  <c r="AA1" i="5"/>
  <c r="AA4" i="5"/>
  <c r="AA2" i="5"/>
  <c r="AA3" i="5"/>
  <c r="AB4" i="5"/>
  <c r="AB2" i="5"/>
  <c r="AB1" i="5"/>
  <c r="AB3" i="5"/>
  <c r="AD4" i="5"/>
  <c r="AD2" i="5"/>
  <c r="AD3" i="5"/>
  <c r="AD1" i="5"/>
  <c r="AC4" i="5"/>
  <c r="AC2" i="5"/>
  <c r="AC3" i="5"/>
  <c r="AC1" i="5"/>
  <c r="L1" i="5"/>
  <c r="L2" i="5"/>
  <c r="L3" i="5"/>
  <c r="L4" i="5"/>
  <c r="S1" i="5"/>
  <c r="S3" i="5"/>
  <c r="S2" i="5"/>
  <c r="S4" i="5"/>
  <c r="D1" i="5"/>
  <c r="D2" i="5"/>
  <c r="D3" i="5"/>
  <c r="D4" i="5"/>
  <c r="J1" i="5"/>
  <c r="J2" i="5"/>
  <c r="J3" i="5"/>
  <c r="J4" i="5"/>
  <c r="E1" i="5"/>
  <c r="E2" i="5"/>
  <c r="E3" i="5"/>
  <c r="E4" i="5"/>
  <c r="N1" i="5"/>
  <c r="N2" i="5"/>
  <c r="N3" i="5"/>
  <c r="N4" i="5"/>
  <c r="F1" i="5"/>
  <c r="F2" i="5"/>
  <c r="F3" i="5"/>
  <c r="F4" i="5"/>
  <c r="P1" i="5"/>
  <c r="P2" i="5"/>
  <c r="P3" i="5"/>
  <c r="P4" i="5"/>
  <c r="M1" i="5"/>
  <c r="M2" i="5"/>
  <c r="M3" i="5"/>
  <c r="M4" i="5"/>
  <c r="K2" i="5"/>
  <c r="K3" i="5"/>
  <c r="K4" i="5"/>
  <c r="K1" i="5"/>
  <c r="G2" i="5"/>
  <c r="G4" i="5"/>
  <c r="G1" i="5"/>
  <c r="G3" i="5"/>
  <c r="Q1" i="5"/>
  <c r="Q2" i="5"/>
  <c r="Q3" i="5"/>
  <c r="Q4" i="5"/>
  <c r="I1" i="5"/>
  <c r="I2" i="5"/>
  <c r="I3" i="5"/>
  <c r="I4" i="5"/>
  <c r="H1" i="5"/>
  <c r="H2" i="5"/>
  <c r="H3" i="5"/>
  <c r="H4" i="5"/>
  <c r="O2" i="5"/>
  <c r="O3" i="5"/>
  <c r="O4" i="5"/>
  <c r="O1" i="5"/>
  <c r="R1" i="5"/>
  <c r="R2" i="5"/>
  <c r="R3" i="5"/>
  <c r="R4" i="5"/>
  <c r="C4" i="5"/>
  <c r="C3" i="5"/>
  <c r="C2" i="5"/>
  <c r="C1" i="5"/>
  <c r="T1" i="5"/>
  <c r="K13" i="1" l="1"/>
  <c r="H36" i="1" l="1"/>
  <c r="G36" i="1" l="1"/>
  <c r="I36" i="1"/>
  <c r="J36" i="1"/>
  <c r="F36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6" i="1" l="1"/>
</calcChain>
</file>

<file path=xl/sharedStrings.xml><?xml version="1.0" encoding="utf-8"?>
<sst xmlns="http://schemas.openxmlformats.org/spreadsheetml/2006/main" count="359" uniqueCount="214">
  <si>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</si>
  <si>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</si>
  <si>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</si>
  <si>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</si>
  <si>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</si>
  <si>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</si>
  <si>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</si>
  <si>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</si>
  <si>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</si>
  <si>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</si>
  <si>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</si>
  <si>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</si>
  <si>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</si>
  <si>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</si>
  <si>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</si>
  <si>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</si>
  <si>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</si>
  <si>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</si>
  <si>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</si>
  <si>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</si>
  <si>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</si>
  <si>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</si>
  <si>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</si>
  <si>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</si>
  <si>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</si>
  <si>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</si>
  <si>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</si>
  <si>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</si>
  <si>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</si>
  <si>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Kata Meisterschaft</t>
  </si>
  <si>
    <t>des Deutschen Judobundes</t>
  </si>
  <si>
    <t>Tori</t>
  </si>
  <si>
    <t>Uke</t>
  </si>
  <si>
    <t>Bogen:</t>
  </si>
  <si>
    <t>Blanko-Seite als Template für den Generator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</si>
  <si>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</si>
  <si>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</si>
  <si>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</si>
  <si>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</si>
  <si>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</si>
  <si>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</si>
  <si>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</si>
  <si>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</si>
  <si>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G5</t>
  </si>
  <si>
    <t>J5</t>
  </si>
  <si>
    <t>D5</t>
  </si>
  <si>
    <t>C8</t>
  </si>
  <si>
    <t>E8</t>
  </si>
  <si>
    <t>H8</t>
  </si>
  <si>
    <t>J8</t>
  </si>
  <si>
    <t>Tori Nachname</t>
  </si>
  <si>
    <t>Tori Vorname</t>
  </si>
  <si>
    <t>Tori Verein</t>
  </si>
  <si>
    <t>Tori Landesverband</t>
  </si>
  <si>
    <t>C9</t>
  </si>
  <si>
    <t>E9</t>
  </si>
  <si>
    <t>H9</t>
  </si>
  <si>
    <t>J9</t>
  </si>
  <si>
    <t>Uke Nachname</t>
  </si>
  <si>
    <t>Uke Vorname</t>
  </si>
  <si>
    <t>Uke Verein</t>
  </si>
  <si>
    <t>Uke Landesverband</t>
  </si>
  <si>
    <t>D31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</si>
  <si>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</si>
  <si>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</si>
  <si>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</si>
  <si>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</si>
  <si>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</si>
  <si>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</si>
  <si>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Der Aggregator kann Zeile 1 Auslesen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</si>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</sst>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b/>
      <sz val="2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8" fillId="0" borderId="0"/>
  </cellStyleXfs>
  <cellXfs count="401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2" borderId="29" xfId="0" applyFont="1" applyFill="1" applyBorder="1" applyAlignment="1" applyProtection="1">
      <alignment horizontal="center" vertical="center"/>
      <protection hidden="1"/>
    </xf>
    <xf numFmtId="0" fontId="8" fillId="2" borderId="35" xfId="0" applyFont="1" applyFill="1" applyBorder="1" applyAlignment="1" applyProtection="1">
      <alignment horizontal="center" vertical="center"/>
      <protection hidden="1"/>
    </xf>
    <xf numFmtId="0" fontId="8" fillId="2" borderId="38" xfId="0" applyFont="1" applyFill="1" applyBorder="1" applyAlignment="1" applyProtection="1">
      <alignment horizontal="center" vertical="center"/>
      <protection hidden="1"/>
    </xf>
    <xf numFmtId="0" fontId="8" fillId="2" borderId="40" xfId="0" applyFont="1" applyFill="1" applyBorder="1" applyAlignment="1" applyProtection="1">
      <alignment horizontal="center" vertical="center"/>
      <protection hidden="1"/>
    </xf>
    <xf numFmtId="0" fontId="8" fillId="2" borderId="41" xfId="0" applyFont="1" applyFill="1" applyBorder="1" applyAlignment="1" applyProtection="1">
      <alignment horizontal="center" vertical="center"/>
      <protection hidden="1"/>
    </xf>
    <xf numFmtId="0" fontId="8" fillId="2" borderId="42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1" fillId="2" borderId="5" xfId="0" applyFont="1" applyFill="1" applyBorder="1" applyAlignment="1" applyProtection="1">
      <alignment horizontal="center" vertical="center" wrapText="1"/>
      <protection hidden="1"/>
    </xf>
    <xf numFmtId="0" fontId="11" fillId="2" borderId="26" xfId="0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vertical="center"/>
      <protection hidden="1"/>
    </xf>
    <xf numFmtId="0" fontId="15" fillId="0" borderId="0" xfId="0" applyFont="1" applyFill="1" applyAlignment="1" applyProtection="1">
      <alignment horizontal="center" vertical="center"/>
      <protection hidden="1"/>
    </xf>
    <xf numFmtId="0" fontId="16" fillId="2" borderId="18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hidden="1"/>
    </xf>
    <xf numFmtId="14" fontId="11" fillId="0" borderId="0" xfId="0" applyNumberFormat="1" applyFont="1" applyFill="1" applyBorder="1" applyAlignment="1" applyProtection="1">
      <alignment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locked="0" hidden="1"/>
    </xf>
    <xf numFmtId="0" fontId="5" fillId="0" borderId="15" xfId="0" applyFont="1" applyFill="1" applyBorder="1" applyAlignment="1" applyProtection="1">
      <alignment horizontal="center" vertical="center"/>
      <protection locked="0" hidden="1"/>
    </xf>
    <xf numFmtId="0" fontId="14" fillId="0" borderId="0" xfId="0" applyFont="1" applyProtection="1"/>
    <xf numFmtId="0" fontId="0" fillId="0" borderId="0" xfId="0" applyFont="1" applyProtection="1"/>
    <xf numFmtId="0" fontId="13" fillId="0" borderId="0" xfId="0" applyFont="1" applyProtection="1"/>
    <xf numFmtId="0" fontId="19" fillId="0" borderId="0" xfId="0" applyFont="1" applyProtection="1"/>
    <xf numFmtId="0" fontId="11" fillId="0" borderId="0" xfId="0" applyFont="1" applyFill="1" applyBorder="1" applyAlignment="1" applyProtection="1">
      <alignment vertical="center"/>
      <protection locked="0" hidden="1"/>
    </xf>
    <xf numFmtId="14" fontId="11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12" fillId="0" borderId="0" xfId="0" applyFont="1" applyProtection="1"/>
    <xf numFmtId="0" fontId="22" fillId="0" borderId="0" xfId="0" applyFont="1"/>
    <xf numFmtId="0" fontId="3" fillId="3" borderId="33" xfId="0" applyFont="1" applyFill="1" applyBorder="1" applyAlignment="1" applyProtection="1">
      <alignment horizontal="center" vertical="center"/>
      <protection hidden="1"/>
    </xf>
    <xf numFmtId="0" fontId="3" fillId="3" borderId="65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21" fillId="0" borderId="72" xfId="0" applyFont="1" applyFill="1" applyBorder="1" applyAlignment="1" applyProtection="1">
      <alignment horizontal="center" vertical="center"/>
      <protection hidden="1"/>
    </xf>
    <xf numFmtId="0" fontId="21" fillId="0" borderId="73" xfId="0" applyFont="1" applyFill="1" applyBorder="1" applyAlignment="1" applyProtection="1">
      <alignment horizontal="center" vertical="center"/>
      <protection hidden="1"/>
    </xf>
    <xf numFmtId="1" fontId="4" fillId="0" borderId="50" xfId="0" applyNumberFormat="1" applyFont="1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3" borderId="63" xfId="0" applyFont="1" applyFill="1" applyBorder="1" applyAlignment="1" applyProtection="1">
      <alignment horizontal="center" vertical="center"/>
      <protection locked="0" hidden="1"/>
    </xf>
    <xf numFmtId="0" fontId="3" fillId="3" borderId="64" xfId="0" applyFont="1" applyFill="1" applyBorder="1" applyAlignment="1" applyProtection="1">
      <alignment horizontal="center" vertical="center"/>
      <protection locked="0" hidden="1"/>
    </xf>
    <xf numFmtId="0" fontId="3" fillId="3" borderId="65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32" xfId="0" applyFont="1" applyFill="1" applyBorder="1" applyAlignment="1" applyProtection="1">
      <alignment horizontal="center" vertical="center"/>
      <protection locked="0"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3" borderId="33" xfId="0" applyFont="1" applyFill="1" applyBorder="1" applyAlignment="1" applyProtection="1">
      <alignment horizontal="center" vertical="center"/>
      <protection locked="0" hidden="1"/>
    </xf>
    <xf numFmtId="0" fontId="3" fillId="3" borderId="56" xfId="0" applyFont="1" applyFill="1" applyBorder="1" applyAlignment="1" applyProtection="1">
      <alignment horizontal="center" vertical="center"/>
      <protection locked="0" hidden="1"/>
    </xf>
    <xf numFmtId="0" fontId="3" fillId="3" borderId="57" xfId="0" applyFont="1" applyFill="1" applyBorder="1" applyAlignment="1" applyProtection="1">
      <alignment horizontal="center" vertical="center"/>
      <protection locked="0" hidden="1"/>
    </xf>
    <xf numFmtId="0" fontId="3" fillId="3" borderId="58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23" fillId="0" borderId="0" xfId="0" applyFont="1"/>
    <xf numFmtId="1" fontId="24" fillId="0" borderId="0" xfId="0" applyNumberFormat="1" applyFont="1" applyAlignment="1">
      <alignment horizontal="right"/>
    </xf>
    <xf numFmtId="1" fontId="24" fillId="0" borderId="74" xfId="0" applyNumberFormat="1" applyFont="1" applyBorder="1" applyAlignment="1">
      <alignment horizontal="right"/>
    </xf>
    <xf numFmtId="1" fontId="25" fillId="0" borderId="0" xfId="0" applyNumberFormat="1" applyFont="1" applyAlignment="1">
      <alignment horizontal="right"/>
    </xf>
    <xf numFmtId="1" fontId="25" fillId="0" borderId="74" xfId="0" applyNumberFormat="1" applyFont="1" applyBorder="1" applyAlignment="1">
      <alignment horizontal="right"/>
    </xf>
    <xf numFmtId="0" fontId="25" fillId="0" borderId="0" xfId="0" applyFont="1" applyAlignment="1">
      <alignment horizontal="right"/>
    </xf>
    <xf numFmtId="0" fontId="25" fillId="0" borderId="74" xfId="0" applyFont="1" applyBorder="1" applyAlignment="1">
      <alignment horizontal="right"/>
    </xf>
    <xf numFmtId="0" fontId="0" fillId="0" borderId="0" xfId="0" applyFont="1"/>
    <xf numFmtId="0" fontId="0" fillId="0" borderId="74" xfId="0" applyFont="1" applyBorder="1"/>
    <xf numFmtId="0" fontId="22" fillId="0" borderId="0" xfId="0" applyFont="1" applyAlignment="1">
      <alignment textRotation="90"/>
    </xf>
    <xf numFmtId="0" fontId="22" fillId="0" borderId="74" xfId="0" applyFont="1" applyBorder="1" applyAlignment="1">
      <alignment textRotation="90"/>
    </xf>
    <xf numFmtId="0" fontId="22" fillId="0" borderId="0" xfId="0" applyFont="1" applyBorder="1" applyAlignment="1">
      <alignment textRotation="90"/>
    </xf>
    <xf numFmtId="0" fontId="0" fillId="3" borderId="0" xfId="0" applyFont="1" applyFill="1"/>
    <xf numFmtId="1" fontId="25" fillId="3" borderId="0" xfId="0" applyNumberFormat="1" applyFont="1" applyFill="1" applyAlignment="1">
      <alignment horizontal="right"/>
    </xf>
    <xf numFmtId="1" fontId="25" fillId="3" borderId="74" xfId="0" applyNumberFormat="1" applyFont="1" applyFill="1" applyBorder="1" applyAlignment="1">
      <alignment horizontal="right"/>
    </xf>
    <xf numFmtId="0" fontId="0" fillId="0" borderId="0" xfId="0" applyFont="1" applyAlignment="1">
      <alignment horizontal="left"/>
    </xf>
    <xf numFmtId="0" fontId="21" fillId="0" borderId="76" xfId="0" applyFont="1" applyFill="1" applyBorder="1" applyAlignment="1" applyProtection="1">
      <alignment horizontal="center" vertical="center"/>
      <protection hidden="1"/>
    </xf>
    <xf numFmtId="0" fontId="21" fillId="0" borderId="75" xfId="0" applyFont="1" applyFill="1" applyBorder="1" applyAlignment="1" applyProtection="1">
      <alignment horizontal="center" vertical="center"/>
      <protection hidden="1"/>
    </xf>
    <xf numFmtId="0" fontId="3" fillId="5" borderId="31" xfId="0" applyFont="1" applyFill="1" applyBorder="1" applyAlignment="1" applyProtection="1">
      <alignment horizontal="center" vertical="center"/>
      <protection hidden="1"/>
    </xf>
    <xf numFmtId="0" fontId="3" fillId="5" borderId="32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5" borderId="33" xfId="0" applyFont="1" applyFill="1" applyBorder="1" applyAlignment="1" applyProtection="1">
      <alignment horizontal="center" vertical="center"/>
      <protection hidden="1"/>
    </xf>
    <xf numFmtId="0" fontId="26" fillId="5" borderId="34" xfId="0" applyFont="1" applyFill="1" applyBorder="1" applyAlignment="1" applyProtection="1">
      <alignment horizontal="center" vertical="center"/>
      <protection hidden="1"/>
    </xf>
    <xf numFmtId="0" fontId="3" fillId="5" borderId="31" xfId="0" applyFont="1" applyFill="1" applyBorder="1" applyAlignment="1" applyProtection="1">
      <alignment horizontal="center" vertical="center"/>
      <protection locked="0" hidden="1"/>
    </xf>
    <xf numFmtId="0" fontId="3" fillId="5" borderId="32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5" borderId="33" xfId="0" applyFont="1" applyFill="1" applyBorder="1" applyAlignment="1" applyProtection="1">
      <alignment horizontal="center" vertical="center"/>
      <protection locked="0" hidden="1"/>
    </xf>
    <xf numFmtId="0" fontId="3" fillId="5" borderId="62" xfId="0" applyFont="1" applyFill="1" applyBorder="1" applyAlignment="1" applyProtection="1">
      <alignment horizontal="center" vertical="center"/>
      <protection locked="0" hidden="1"/>
    </xf>
    <xf numFmtId="0" fontId="3" fillId="5" borderId="63" xfId="0" applyFont="1" applyFill="1" applyBorder="1" applyAlignment="1" applyProtection="1">
      <alignment horizontal="center" vertical="center"/>
      <protection locked="0" hidden="1"/>
    </xf>
    <xf numFmtId="0" fontId="3" fillId="5" borderId="64" xfId="0" applyFont="1" applyFill="1" applyBorder="1" applyAlignment="1" applyProtection="1">
      <alignment horizontal="center" vertical="center"/>
      <protection locked="0" hidden="1"/>
    </xf>
    <xf numFmtId="0" fontId="3" fillId="5" borderId="65" xfId="0" applyFont="1" applyFill="1" applyBorder="1" applyAlignment="1" applyProtection="1">
      <alignment horizontal="center" vertical="center"/>
      <protection locked="0" hidden="1"/>
    </xf>
    <xf numFmtId="0" fontId="3" fillId="5" borderId="65" xfId="0" applyFont="1" applyFill="1" applyBorder="1" applyAlignment="1" applyProtection="1">
      <alignment horizontal="center" vertical="center"/>
      <protection hidden="1"/>
    </xf>
    <xf numFmtId="0" fontId="3" fillId="5" borderId="56" xfId="0" applyFont="1" applyFill="1" applyBorder="1" applyAlignment="1" applyProtection="1">
      <alignment horizontal="center" vertical="center"/>
      <protection locked="0"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3" fillId="5" borderId="58" xfId="0" applyFont="1" applyFill="1" applyBorder="1" applyAlignment="1" applyProtection="1">
      <alignment horizontal="center" vertical="center"/>
      <protection locked="0" hidden="1"/>
    </xf>
    <xf numFmtId="0" fontId="3" fillId="5" borderId="59" xfId="0" applyFont="1" applyFill="1" applyBorder="1" applyAlignment="1" applyProtection="1">
      <alignment horizontal="center" vertical="center"/>
      <protection locked="0" hidden="1"/>
    </xf>
    <xf numFmtId="0" fontId="3" fillId="5" borderId="59" xfId="0" applyFont="1" applyFill="1" applyBorder="1" applyAlignment="1" applyProtection="1">
      <alignment horizontal="center" vertical="center"/>
      <protection hidden="1"/>
    </xf>
    <xf numFmtId="0" fontId="3" fillId="5" borderId="43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hidden="1"/>
    </xf>
    <xf numFmtId="0" fontId="2" fillId="4" borderId="43" xfId="0" applyFont="1" applyFill="1" applyBorder="1" applyAlignment="1" applyProtection="1">
      <alignment vertical="center"/>
      <protection hidden="1"/>
    </xf>
    <xf numFmtId="0" fontId="3" fillId="3" borderId="66" xfId="0" applyFont="1" applyFill="1" applyBorder="1" applyAlignment="1" applyProtection="1">
      <alignment horizontal="center" vertical="center"/>
      <protection locked="0" hidden="1"/>
    </xf>
    <xf numFmtId="0" fontId="3" fillId="3" borderId="67" xfId="0" applyFont="1" applyFill="1" applyBorder="1" applyAlignment="1" applyProtection="1">
      <alignment horizontal="center" vertical="center"/>
      <protection locked="0" hidden="1"/>
    </xf>
    <xf numFmtId="0" fontId="3" fillId="3" borderId="68" xfId="0" applyFont="1" applyFill="1" applyBorder="1" applyAlignment="1" applyProtection="1">
      <alignment horizontal="center" vertical="center"/>
      <protection locked="0" hidden="1"/>
    </xf>
    <xf numFmtId="0" fontId="3" fillId="3" borderId="27" xfId="0" applyFont="1" applyFill="1" applyBorder="1" applyAlignment="1" applyProtection="1">
      <alignment horizontal="center" vertical="center"/>
      <protection locked="0" hidden="1"/>
    </xf>
    <xf numFmtId="0" fontId="3" fillId="3" borderId="27" xfId="0" applyFont="1" applyFill="1" applyBorder="1" applyAlignment="1" applyProtection="1">
      <alignment horizontal="center" vertical="center"/>
      <protection hidden="1"/>
    </xf>
    <xf numFmtId="0" fontId="2" fillId="4" borderId="77" xfId="0" applyFont="1" applyFill="1" applyBorder="1" applyAlignment="1" applyProtection="1">
      <alignment vertical="center"/>
      <protection hidden="1"/>
    </xf>
    <xf numFmtId="0" fontId="8" fillId="2" borderId="78" xfId="0" applyFont="1" applyFill="1" applyBorder="1" applyAlignment="1" applyProtection="1">
      <alignment horizontal="center" vertical="center"/>
      <protection hidden="1"/>
    </xf>
    <xf numFmtId="0" fontId="8" fillId="2" borderId="79" xfId="0" applyFont="1" applyFill="1" applyBorder="1" applyAlignment="1" applyProtection="1">
      <alignment horizontal="center" vertical="center"/>
      <protection hidden="1"/>
    </xf>
    <xf numFmtId="0" fontId="3" fillId="5" borderId="80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hidden="1"/>
    </xf>
    <xf numFmtId="0" fontId="8" fillId="2" borderId="84" xfId="0" applyFont="1" applyFill="1" applyBorder="1" applyAlignment="1" applyProtection="1">
      <alignment horizontal="center" vertical="center"/>
      <protection hidden="1"/>
    </xf>
    <xf numFmtId="0" fontId="21" fillId="0" borderId="87" xfId="0" applyFont="1" applyFill="1" applyBorder="1" applyAlignment="1" applyProtection="1">
      <alignment horizontal="center" vertical="center"/>
      <protection hidden="1"/>
    </xf>
    <xf numFmtId="0" fontId="21" fillId="0" borderId="88" xfId="0" applyFont="1" applyFill="1" applyBorder="1" applyAlignment="1" applyProtection="1">
      <alignment horizontal="center" vertical="center"/>
      <protection hidden="1"/>
    </xf>
    <xf numFmtId="1" fontId="4" fillId="0" borderId="51" xfId="0" applyNumberFormat="1" applyFont="1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 hidden="1"/>
    </xf>
    <xf numFmtId="1" fontId="24" fillId="0" borderId="0" xfId="0" applyNumberFormat="1" applyFont="1" applyBorder="1"/>
    <xf numFmtId="1" fontId="25" fillId="0" borderId="0" xfId="0" applyNumberFormat="1" applyFont="1"/>
    <xf numFmtId="1" fontId="25" fillId="0" borderId="0" xfId="0" applyNumberFormat="1" applyFont="1" applyBorder="1"/>
    <xf numFmtId="0" fontId="25" fillId="0" borderId="0" xfId="0" applyFont="1"/>
    <xf numFmtId="0" fontId="25" fillId="0" borderId="0" xfId="0" applyFont="1" applyBorder="1"/>
    <xf numFmtId="0" fontId="22" fillId="0" borderId="54" xfId="0" applyFont="1" applyBorder="1" applyAlignment="1">
      <alignment textRotation="90"/>
    </xf>
    <xf numFmtId="0" fontId="0" fillId="3" borderId="0" xfId="0" applyFill="1"/>
    <xf numFmtId="0" fontId="0" fillId="0" borderId="0" xfId="0" applyBorder="1"/>
    <xf numFmtId="0" fontId="23" fillId="0" borderId="54" xfId="0" applyFont="1" applyBorder="1"/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32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33" xfId="0" applyFont="1" applyFill="1" applyBorder="1" applyAlignment="1" applyProtection="1">
      <alignment horizontal="center" vertical="center"/>
      <protection locked="0" hidden="1"/>
    </xf>
    <xf numFmtId="0" fontId="3" fillId="0" borderId="33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63" xfId="0" applyFont="1" applyFill="1" applyBorder="1" applyAlignment="1" applyProtection="1">
      <alignment horizontal="center" vertical="center"/>
      <protection locked="0" hidden="1"/>
    </xf>
    <xf numFmtId="0" fontId="3" fillId="0" borderId="64" xfId="0" applyFont="1" applyFill="1" applyBorder="1" applyAlignment="1" applyProtection="1">
      <alignment horizontal="center" vertical="center"/>
      <protection locked="0" hidden="1"/>
    </xf>
    <xf numFmtId="0" fontId="3" fillId="0" borderId="65" xfId="0" applyFont="1" applyFill="1" applyBorder="1" applyAlignment="1" applyProtection="1">
      <alignment horizontal="center" vertical="center"/>
      <protection locked="0" hidden="1"/>
    </xf>
    <xf numFmtId="0" fontId="3" fillId="0" borderId="65" xfId="0" applyFont="1" applyFill="1" applyBorder="1" applyAlignment="1" applyProtection="1">
      <alignment horizontal="center" vertical="center"/>
      <protection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3" borderId="92" xfId="0" applyFont="1" applyFill="1" applyBorder="1" applyAlignment="1" applyProtection="1">
      <alignment horizontal="center" vertical="center"/>
      <protection locked="0" hidden="1"/>
    </xf>
    <xf numFmtId="0" fontId="3" fillId="3" borderId="9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locked="0"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3" fillId="0" borderId="58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0" fillId="0" borderId="74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77" xfId="0" applyFont="1" applyFill="1" applyBorder="1" applyAlignment="1" applyProtection="1">
      <alignment horizontal="center" vertical="center"/>
      <protection locked="0" hidden="1"/>
    </xf>
    <xf numFmtId="0" fontId="3" fillId="0" borderId="93" xfId="0" applyFont="1" applyFill="1" applyBorder="1" applyAlignment="1" applyProtection="1">
      <alignment horizontal="center" vertical="center"/>
      <protection locked="0" hidden="1"/>
    </xf>
    <xf numFmtId="0" fontId="3" fillId="0" borderId="94" xfId="0" applyFont="1" applyFill="1" applyBorder="1" applyAlignment="1" applyProtection="1">
      <alignment horizontal="center" vertical="center"/>
      <protection locked="0" hidden="1"/>
    </xf>
    <xf numFmtId="0" fontId="3" fillId="0" borderId="95" xfId="0" applyFont="1" applyFill="1" applyBorder="1" applyAlignment="1" applyProtection="1">
      <alignment horizontal="center" vertical="center"/>
      <protection locked="0" hidden="1"/>
    </xf>
    <xf numFmtId="0" fontId="26" fillId="0" borderId="29" xfId="0" applyFont="1" applyFill="1" applyBorder="1" applyAlignment="1" applyProtection="1">
      <alignment horizontal="center" vertical="center"/>
      <protection hidden="1"/>
    </xf>
    <xf numFmtId="0" fontId="3" fillId="3" borderId="39" xfId="0" applyFont="1" applyFill="1" applyBorder="1" applyAlignment="1" applyProtection="1">
      <alignment horizontal="center" vertical="center"/>
      <protection locked="0" hidden="1"/>
    </xf>
    <xf numFmtId="0" fontId="3" fillId="3" borderId="96" xfId="0" applyFont="1" applyFill="1" applyBorder="1" applyAlignment="1" applyProtection="1">
      <alignment horizontal="center" vertical="center"/>
      <protection locked="0" hidden="1"/>
    </xf>
    <xf numFmtId="0" fontId="3" fillId="3" borderId="97" xfId="0" applyFont="1" applyFill="1" applyBorder="1" applyAlignment="1" applyProtection="1">
      <alignment horizontal="center" vertical="center"/>
      <protection locked="0" hidden="1"/>
    </xf>
    <xf numFmtId="0" fontId="3" fillId="3" borderId="55" xfId="0" applyFont="1" applyFill="1" applyBorder="1" applyAlignment="1" applyProtection="1">
      <alignment horizontal="center" vertical="center"/>
      <protection hidden="1"/>
    </xf>
    <xf numFmtId="0" fontId="3" fillId="0" borderId="61" xfId="0" applyFont="1" applyFill="1" applyBorder="1" applyAlignment="1" applyProtection="1">
      <alignment horizontal="center" vertical="center"/>
      <protection hidden="1"/>
    </xf>
    <xf numFmtId="0" fontId="3" fillId="3" borderId="61" xfId="0" applyFont="1" applyFill="1" applyBorder="1" applyAlignment="1" applyProtection="1">
      <alignment horizontal="center" vertical="center"/>
      <protection hidden="1"/>
    </xf>
    <xf numFmtId="0" fontId="3" fillId="3" borderId="86" xfId="0" applyFont="1" applyFill="1" applyBorder="1" applyAlignment="1" applyProtection="1">
      <alignment horizontal="center" vertical="center"/>
      <protection hidden="1"/>
    </xf>
    <xf numFmtId="0" fontId="3" fillId="0" borderId="39" xfId="0" applyFont="1" applyFill="1" applyBorder="1" applyAlignment="1" applyProtection="1">
      <alignment horizontal="center" vertical="center"/>
      <protection locked="0" hidden="1"/>
    </xf>
    <xf numFmtId="0" fontId="3" fillId="0" borderId="96" xfId="0" applyFont="1" applyFill="1" applyBorder="1" applyAlignment="1" applyProtection="1">
      <alignment horizontal="center" vertical="center"/>
      <protection locked="0" hidden="1"/>
    </xf>
    <xf numFmtId="0" fontId="3" fillId="0" borderId="97" xfId="0" applyFont="1" applyFill="1" applyBorder="1" applyAlignment="1" applyProtection="1">
      <alignment horizontal="center" vertical="center"/>
      <protection locked="0" hidden="1"/>
    </xf>
    <xf numFmtId="0" fontId="3" fillId="0" borderId="101" xfId="0" applyFont="1" applyFill="1" applyBorder="1" applyAlignment="1" applyProtection="1">
      <alignment horizontal="center" vertical="center"/>
      <protection locked="0" hidden="1"/>
    </xf>
    <xf numFmtId="0" fontId="3" fillId="0" borderId="55" xfId="0" applyFont="1" applyFill="1" applyBorder="1" applyAlignment="1" applyProtection="1">
      <alignment horizontal="center" vertical="center"/>
      <protection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7" xfId="0" applyFont="1" applyFill="1" applyBorder="1" applyAlignment="1" applyProtection="1">
      <alignment horizontal="center" vertical="center"/>
      <protection locked="0"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3" fillId="0" borderId="27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hidden="1"/>
    </xf>
    <xf numFmtId="0" fontId="3" fillId="0" borderId="80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103" xfId="0" applyFont="1" applyFill="1" applyBorder="1" applyAlignment="1" applyProtection="1">
      <alignment horizontal="center" vertical="center"/>
      <protection hidden="1"/>
    </xf>
    <xf numFmtId="0" fontId="8" fillId="2" borderId="98" xfId="0" applyFont="1" applyFill="1" applyBorder="1" applyAlignment="1" applyProtection="1">
      <alignment horizontal="center" vertical="center"/>
      <protection hidden="1"/>
    </xf>
    <xf numFmtId="0" fontId="3" fillId="0" borderId="107" xfId="0" applyFont="1" applyFill="1" applyBorder="1" applyAlignment="1" applyProtection="1">
      <alignment horizontal="center" vertical="center"/>
      <protection locked="0" hidden="1"/>
    </xf>
    <xf numFmtId="0" fontId="3" fillId="0" borderId="108" xfId="0" applyFont="1" applyFill="1" applyBorder="1" applyAlignment="1" applyProtection="1">
      <alignment horizontal="center" vertical="center"/>
      <protection locked="0" hidden="1"/>
    </xf>
    <xf numFmtId="0" fontId="3" fillId="0" borderId="109" xfId="0" applyFont="1" applyFill="1" applyBorder="1" applyAlignment="1" applyProtection="1">
      <alignment horizontal="center" vertical="center"/>
      <protection locked="0" hidden="1"/>
    </xf>
    <xf numFmtId="0" fontId="3" fillId="0" borderId="110" xfId="0" applyFont="1" applyFill="1" applyBorder="1" applyAlignment="1" applyProtection="1">
      <alignment horizontal="center" vertical="center"/>
      <protection locked="0" hidden="1"/>
    </xf>
    <xf numFmtId="0" fontId="3" fillId="0" borderId="106" xfId="0" applyFont="1" applyFill="1" applyBorder="1" applyAlignment="1" applyProtection="1">
      <alignment horizontal="center" vertical="center"/>
      <protection hidden="1"/>
    </xf>
    <xf numFmtId="0" fontId="3" fillId="0" borderId="76" xfId="0" applyFont="1" applyFill="1" applyBorder="1" applyAlignment="1" applyProtection="1">
      <alignment horizontal="center" vertical="center"/>
      <protection hidden="1"/>
    </xf>
    <xf numFmtId="0" fontId="3" fillId="0" borderId="72" xfId="0" applyFont="1" applyFill="1" applyBorder="1" applyAlignment="1" applyProtection="1">
      <alignment horizontal="center" vertical="center"/>
      <protection hidden="1"/>
    </xf>
    <xf numFmtId="0" fontId="3" fillId="0" borderId="111" xfId="0" applyFont="1" applyFill="1" applyBorder="1" applyAlignment="1" applyProtection="1">
      <alignment horizontal="center" vertical="center"/>
      <protection hidden="1"/>
    </xf>
    <xf numFmtId="0" fontId="18" fillId="4" borderId="51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 applyFill="1" applyBorder="1"/>
    <xf numFmtId="1" fontId="25" fillId="0" borderId="0" xfId="0" applyNumberFormat="1" applyFont="1" applyBorder="1" applyAlignment="1">
      <alignment horizontal="right"/>
    </xf>
    <xf numFmtId="1" fontId="25" fillId="3" borderId="0" xfId="0" applyNumberFormat="1" applyFont="1" applyFill="1" applyBorder="1" applyAlignment="1">
      <alignment horizontal="right"/>
    </xf>
    <xf numFmtId="0" fontId="0" fillId="0" borderId="0" xfId="0" applyAlignment="1">
      <alignment textRotation="9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8" fillId="4" borderId="29" xfId="0" applyFont="1" applyFill="1" applyBorder="1" applyAlignment="1" applyProtection="1">
      <alignment horizontal="center" vertical="center"/>
      <protection hidden="1"/>
    </xf>
    <xf numFmtId="0" fontId="3" fillId="0" borderId="77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94" xfId="0" applyFont="1" applyFill="1" applyBorder="1" applyAlignment="1" applyProtection="1">
      <alignment horizontal="center" vertical="center"/>
      <protection hidden="1"/>
    </xf>
    <xf numFmtId="0" fontId="3" fillId="0" borderId="95" xfId="0" applyFont="1" applyFill="1" applyBorder="1" applyAlignment="1" applyProtection="1">
      <alignment horizontal="center" vertical="center"/>
      <protection hidden="1"/>
    </xf>
    <xf numFmtId="0" fontId="3" fillId="3" borderId="39" xfId="0" applyFont="1" applyFill="1" applyBorder="1" applyAlignment="1" applyProtection="1">
      <alignment horizontal="center" vertical="center"/>
      <protection hidden="1"/>
    </xf>
    <xf numFmtId="0" fontId="3" fillId="3" borderId="96" xfId="0" applyFont="1" applyFill="1" applyBorder="1" applyAlignment="1" applyProtection="1">
      <alignment horizontal="center" vertical="center"/>
      <protection hidden="1"/>
    </xf>
    <xf numFmtId="0" fontId="3" fillId="3" borderId="97" xfId="0" applyFont="1" applyFill="1" applyBorder="1" applyAlignment="1" applyProtection="1">
      <alignment horizontal="center" vertical="center"/>
      <protection hidden="1"/>
    </xf>
    <xf numFmtId="0" fontId="3" fillId="3" borderId="101" xfId="0" applyFont="1" applyFill="1" applyBorder="1" applyAlignment="1" applyProtection="1">
      <alignment horizontal="center" vertical="center"/>
      <protection hidden="1"/>
    </xf>
    <xf numFmtId="0" fontId="26" fillId="3" borderId="98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0" borderId="63" xfId="0" applyFont="1" applyFill="1" applyBorder="1" applyAlignment="1" applyProtection="1">
      <alignment horizontal="center" vertical="center"/>
      <protection hidden="1"/>
    </xf>
    <xf numFmtId="0" fontId="3" fillId="0" borderId="64" xfId="0" applyFont="1" applyFill="1" applyBorder="1" applyAlignment="1" applyProtection="1">
      <alignment horizontal="center" vertical="center"/>
      <protection hidden="1"/>
    </xf>
    <xf numFmtId="0" fontId="26" fillId="0" borderId="112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3" borderId="63" xfId="0" applyFont="1" applyFill="1" applyBorder="1" applyAlignment="1" applyProtection="1">
      <alignment horizontal="center" vertical="center"/>
      <protection hidden="1"/>
    </xf>
    <xf numFmtId="0" fontId="3" fillId="3" borderId="64" xfId="0" applyFont="1" applyFill="1" applyBorder="1" applyAlignment="1" applyProtection="1">
      <alignment horizontal="center" vertical="center"/>
      <protection hidden="1"/>
    </xf>
    <xf numFmtId="0" fontId="26" fillId="3" borderId="112" xfId="0" applyFont="1" applyFill="1" applyBorder="1" applyAlignment="1" applyProtection="1">
      <alignment horizontal="center" vertical="center"/>
      <protection hidden="1"/>
    </xf>
    <xf numFmtId="0" fontId="8" fillId="2" borderId="113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3" fillId="0" borderId="32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26" fillId="0" borderId="34" xfId="0" applyFont="1" applyFill="1" applyBorder="1" applyAlignment="1" applyProtection="1">
      <alignment horizontal="center" vertical="center"/>
      <protection hidden="1"/>
    </xf>
    <xf numFmtId="0" fontId="3" fillId="0" borderId="66" xfId="0" applyFont="1" applyFill="1" applyBorder="1" applyAlignment="1" applyProtection="1">
      <alignment horizontal="center" vertical="center"/>
      <protection hidden="1"/>
    </xf>
    <xf numFmtId="0" fontId="3" fillId="0" borderId="67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hidden="1"/>
    </xf>
    <xf numFmtId="0" fontId="3" fillId="0" borderId="27" xfId="0" applyFont="1" applyFill="1" applyBorder="1" applyAlignment="1" applyProtection="1">
      <alignment horizontal="center" vertical="center"/>
      <protection hidden="1"/>
    </xf>
    <xf numFmtId="0" fontId="26" fillId="0" borderId="28" xfId="0" applyFont="1" applyFill="1" applyBorder="1" applyAlignment="1" applyProtection="1">
      <alignment horizontal="center" vertical="center"/>
      <protection hidden="1"/>
    </xf>
    <xf numFmtId="0" fontId="3" fillId="0" borderId="39" xfId="0" applyFont="1" applyFill="1" applyBorder="1" applyAlignment="1" applyProtection="1">
      <alignment horizontal="center" vertical="center"/>
      <protection hidden="1"/>
    </xf>
    <xf numFmtId="0" fontId="3" fillId="0" borderId="96" xfId="0" applyFont="1" applyFill="1" applyBorder="1" applyAlignment="1" applyProtection="1">
      <alignment horizontal="center" vertical="center"/>
      <protection hidden="1"/>
    </xf>
    <xf numFmtId="0" fontId="3" fillId="0" borderId="97" xfId="0" applyFont="1" applyFill="1" applyBorder="1" applyAlignment="1" applyProtection="1">
      <alignment horizontal="center" vertical="center"/>
      <protection hidden="1"/>
    </xf>
    <xf numFmtId="0" fontId="3" fillId="0" borderId="101" xfId="0" applyFont="1" applyFill="1" applyBorder="1" applyAlignment="1" applyProtection="1">
      <alignment horizontal="center" vertical="center"/>
      <protection hidden="1"/>
    </xf>
    <xf numFmtId="0" fontId="26" fillId="0" borderId="98" xfId="0" applyFont="1" applyFill="1" applyBorder="1" applyAlignment="1" applyProtection="1">
      <alignment horizontal="center" vertical="center"/>
      <protection hidden="1"/>
    </xf>
    <xf numFmtId="0" fontId="8" fillId="4" borderId="42" xfId="0" applyFont="1" applyFill="1" applyBorder="1" applyAlignment="1" applyProtection="1">
      <alignment horizontal="center" vertical="center"/>
      <protection hidden="1"/>
    </xf>
    <xf numFmtId="0" fontId="3" fillId="3" borderId="116" xfId="0" applyFont="1" applyFill="1" applyBorder="1" applyAlignment="1" applyProtection="1">
      <alignment horizontal="center" vertical="center"/>
      <protection hidden="1"/>
    </xf>
    <xf numFmtId="0" fontId="3" fillId="3" borderId="117" xfId="0" applyFont="1" applyFill="1" applyBorder="1" applyAlignment="1" applyProtection="1">
      <alignment horizontal="center" vertical="center"/>
      <protection hidden="1"/>
    </xf>
    <xf numFmtId="0" fontId="3" fillId="3" borderId="118" xfId="0" applyFont="1" applyFill="1" applyBorder="1" applyAlignment="1" applyProtection="1">
      <alignment horizontal="center" vertical="center"/>
      <protection hidden="1"/>
    </xf>
    <xf numFmtId="0" fontId="3" fillId="3" borderId="119" xfId="0" applyFont="1" applyFill="1" applyBorder="1" applyAlignment="1" applyProtection="1">
      <alignment horizontal="center" vertical="center"/>
      <protection hidden="1"/>
    </xf>
    <xf numFmtId="0" fontId="26" fillId="3" borderId="7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0" fontId="3" fillId="0" borderId="87" xfId="0" applyFont="1" applyFill="1" applyBorder="1" applyAlignment="1" applyProtection="1">
      <alignment horizontal="center" vertical="center"/>
      <protection hidden="1"/>
    </xf>
    <xf numFmtId="0" fontId="3" fillId="0" borderId="88" xfId="0" applyFont="1" applyFill="1" applyBorder="1" applyAlignment="1" applyProtection="1">
      <alignment horizontal="center" vertical="center"/>
      <protection hidden="1"/>
    </xf>
    <xf numFmtId="0" fontId="8" fillId="4" borderId="49" xfId="0" applyFont="1" applyFill="1" applyBorder="1" applyAlignment="1" applyProtection="1">
      <alignment vertical="center"/>
      <protection hidden="1"/>
    </xf>
    <xf numFmtId="0" fontId="9" fillId="4" borderId="51" xfId="0" applyFont="1" applyFill="1" applyBorder="1" applyAlignment="1" applyProtection="1">
      <alignment horizontal="center" vertical="center"/>
      <protection hidden="1"/>
    </xf>
    <xf numFmtId="0" fontId="31" fillId="0" borderId="0" xfId="0" applyFont="1" applyProtection="1"/>
    <xf numFmtId="0" fontId="8" fillId="5" borderId="105" xfId="0" applyFont="1" applyFill="1" applyBorder="1" applyAlignment="1" applyProtection="1">
      <alignment horizontal="right" vertical="center" indent="1"/>
      <protection hidden="1"/>
    </xf>
    <xf numFmtId="0" fontId="8" fillId="5" borderId="106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/>
    <xf numFmtId="0" fontId="3" fillId="3" borderId="66" xfId="0" applyFont="1" applyFill="1" applyBorder="1" applyAlignment="1" applyProtection="1">
      <alignment horizontal="center" vertical="center"/>
      <protection hidden="1"/>
    </xf>
    <xf numFmtId="0" fontId="3" fillId="3" borderId="67" xfId="0" applyFont="1" applyFill="1" applyBorder="1" applyAlignment="1" applyProtection="1">
      <alignment horizontal="center" vertical="center"/>
      <protection hidden="1"/>
    </xf>
    <xf numFmtId="0" fontId="3" fillId="3" borderId="68" xfId="0" applyFont="1" applyFill="1" applyBorder="1" applyAlignment="1" applyProtection="1">
      <alignment horizontal="center" vertical="center"/>
      <protection hidden="1"/>
    </xf>
    <xf numFmtId="0" fontId="3" fillId="0" borderId="116" xfId="0" applyFont="1" applyFill="1" applyBorder="1" applyAlignment="1" applyProtection="1">
      <alignment horizontal="center" vertical="center"/>
      <protection hidden="1"/>
    </xf>
    <xf numFmtId="0" fontId="3" fillId="0" borderId="117" xfId="0" applyFont="1" applyFill="1" applyBorder="1" applyAlignment="1" applyProtection="1">
      <alignment horizontal="center" vertical="center"/>
      <protection hidden="1"/>
    </xf>
    <xf numFmtId="0" fontId="3" fillId="0" borderId="118" xfId="0" applyFont="1" applyFill="1" applyBorder="1" applyAlignment="1" applyProtection="1">
      <alignment horizontal="center" vertical="center"/>
      <protection hidden="1"/>
    </xf>
    <xf numFmtId="0" fontId="3" fillId="0" borderId="119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8" fillId="2" borderId="24" xfId="0" applyFont="1" applyFill="1" applyBorder="1" applyAlignment="1" applyProtection="1">
      <alignment horizontal="center" vertical="center"/>
      <protection hidden="1"/>
    </xf>
    <xf numFmtId="0" fontId="8" fillId="2" borderId="104" xfId="0" applyFont="1" applyFill="1" applyBorder="1" applyAlignment="1" applyProtection="1">
      <alignment horizontal="center" vertical="center"/>
      <protection hidden="1"/>
    </xf>
    <xf numFmtId="0" fontId="8" fillId="2" borderId="100" xfId="0" applyFont="1" applyFill="1" applyBorder="1" applyAlignment="1" applyProtection="1">
      <alignment horizontal="center" vertical="center"/>
      <protection hidden="1"/>
    </xf>
    <xf numFmtId="0" fontId="8" fillId="2" borderId="28" xfId="0" applyFont="1" applyFill="1" applyBorder="1" applyAlignment="1" applyProtection="1">
      <alignment horizontal="center" vertical="center"/>
      <protection hidden="1"/>
    </xf>
    <xf numFmtId="0" fontId="8" fillId="2" borderId="34" xfId="0" applyFont="1" applyFill="1" applyBorder="1" applyAlignment="1" applyProtection="1">
      <alignment horizontal="center" vertical="center"/>
      <protection hidden="1"/>
    </xf>
    <xf numFmtId="0" fontId="8" fillId="4" borderId="105" xfId="0" applyFont="1" applyFill="1" applyBorder="1" applyAlignment="1" applyProtection="1">
      <alignment horizontal="center" vertical="center"/>
      <protection hidden="1"/>
    </xf>
    <xf numFmtId="0" fontId="3" fillId="0" borderId="105" xfId="0" applyFont="1" applyFill="1" applyBorder="1" applyAlignment="1" applyProtection="1">
      <alignment horizontal="center" vertical="center"/>
      <protection locked="0" hidden="1"/>
    </xf>
    <xf numFmtId="0" fontId="3" fillId="0" borderId="120" xfId="0" applyFont="1" applyFill="1" applyBorder="1" applyAlignment="1" applyProtection="1">
      <alignment horizontal="center" vertical="center"/>
      <protection locked="0" hidden="1"/>
    </xf>
    <xf numFmtId="0" fontId="3" fillId="0" borderId="121" xfId="0" applyFont="1" applyFill="1" applyBorder="1" applyAlignment="1" applyProtection="1">
      <alignment horizontal="center" vertical="center"/>
      <protection locked="0" hidden="1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2" fillId="4" borderId="105" xfId="0" applyFont="1" applyFill="1" applyBorder="1" applyAlignment="1" applyProtection="1">
      <alignment vertical="center"/>
      <protection hidden="1"/>
    </xf>
    <xf numFmtId="0" fontId="8" fillId="0" borderId="105" xfId="0" applyFont="1" applyFill="1" applyBorder="1" applyAlignment="1" applyProtection="1">
      <alignment horizontal="right" vertical="center" indent="1"/>
      <protection hidden="1"/>
    </xf>
    <xf numFmtId="0" fontId="8" fillId="0" borderId="106" xfId="0" applyFont="1" applyFill="1" applyBorder="1" applyAlignment="1" applyProtection="1">
      <alignment horizontal="right" vertical="center" indent="1"/>
      <protection hidden="1"/>
    </xf>
    <xf numFmtId="0" fontId="8" fillId="2" borderId="122" xfId="0" applyFont="1" applyFill="1" applyBorder="1" applyAlignment="1" applyProtection="1">
      <alignment horizontal="center" vertical="center"/>
      <protection hidden="1"/>
    </xf>
    <xf numFmtId="0" fontId="8" fillId="2" borderId="105" xfId="0" applyFont="1" applyFill="1" applyBorder="1" applyAlignment="1" applyProtection="1">
      <alignment horizontal="center" vertical="center"/>
      <protection hidden="1"/>
    </xf>
    <xf numFmtId="0" fontId="3" fillId="5" borderId="107" xfId="0" applyFont="1" applyFill="1" applyBorder="1" applyAlignment="1" applyProtection="1">
      <alignment horizontal="center" vertical="center"/>
      <protection locked="0" hidden="1"/>
    </xf>
    <xf numFmtId="0" fontId="3" fillId="5" borderId="108" xfId="0" applyFont="1" applyFill="1" applyBorder="1" applyAlignment="1" applyProtection="1">
      <alignment horizontal="center" vertical="center"/>
      <protection locked="0" hidden="1"/>
    </xf>
    <xf numFmtId="0" fontId="3" fillId="5" borderId="109" xfId="0" applyFont="1" applyFill="1" applyBorder="1" applyAlignment="1" applyProtection="1">
      <alignment horizontal="center" vertical="center"/>
      <protection locked="0" hidden="1"/>
    </xf>
    <xf numFmtId="0" fontId="3" fillId="5" borderId="120" xfId="0" applyFont="1" applyFill="1" applyBorder="1" applyAlignment="1" applyProtection="1">
      <alignment horizontal="center" vertical="center"/>
      <protection locked="0" hidden="1"/>
    </xf>
    <xf numFmtId="0" fontId="3" fillId="5" borderId="105" xfId="0" applyFont="1" applyFill="1" applyBorder="1" applyAlignment="1" applyProtection="1">
      <alignment horizontal="center" vertical="center"/>
      <protection locked="0" hidden="1"/>
    </xf>
    <xf numFmtId="0" fontId="3" fillId="5" borderId="106" xfId="0" applyFont="1" applyFill="1" applyBorder="1" applyAlignment="1" applyProtection="1">
      <alignment horizontal="center" vertical="center"/>
      <protection hidden="1"/>
    </xf>
    <xf numFmtId="0" fontId="3" fillId="5" borderId="110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Border="1"/>
    <xf numFmtId="0" fontId="35" fillId="0" borderId="0" xfId="0" applyFont="1"/>
    <xf numFmtId="0" fontId="0" fillId="0" borderId="123" xfId="0" applyFont="1" applyBorder="1"/>
    <xf numFmtId="1" fontId="25" fillId="0" borderId="123" xfId="0" applyNumberFormat="1" applyFont="1" applyBorder="1" applyAlignment="1">
      <alignment horizontal="right"/>
    </xf>
    <xf numFmtId="1" fontId="25" fillId="0" borderId="124" xfId="0" applyNumberFormat="1" applyFont="1" applyBorder="1" applyAlignment="1">
      <alignment horizontal="right"/>
    </xf>
    <xf numFmtId="0" fontId="0" fillId="0" borderId="123" xfId="0" applyBorder="1"/>
    <xf numFmtId="0" fontId="36" fillId="3" borderId="0" xfId="0" applyFont="1" applyFill="1"/>
    <xf numFmtId="1" fontId="37" fillId="3" borderId="0" xfId="0" applyNumberFormat="1" applyFont="1" applyFill="1" applyAlignment="1">
      <alignment horizontal="right"/>
    </xf>
    <xf numFmtId="1" fontId="37" fillId="3" borderId="74" xfId="0" applyNumberFormat="1" applyFont="1" applyFill="1" applyBorder="1" applyAlignment="1">
      <alignment horizontal="right"/>
    </xf>
    <xf numFmtId="0" fontId="36" fillId="0" borderId="0" xfId="0" applyFont="1"/>
    <xf numFmtId="1" fontId="37" fillId="0" borderId="0" xfId="0" applyNumberFormat="1" applyFont="1" applyAlignment="1">
      <alignment horizontal="right"/>
    </xf>
    <xf numFmtId="1" fontId="37" fillId="0" borderId="74" xfId="0" applyNumberFormat="1" applyFont="1" applyBorder="1" applyAlignment="1">
      <alignment horizontal="right"/>
    </xf>
    <xf numFmtId="1" fontId="37" fillId="3" borderId="0" xfId="0" applyNumberFormat="1" applyFont="1" applyFill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" fontId="37" fillId="3" borderId="125" xfId="0" applyNumberFormat="1" applyFont="1" applyFill="1" applyBorder="1" applyAlignment="1">
      <alignment horizontal="right"/>
    </xf>
    <xf numFmtId="2" fontId="10" fillId="0" borderId="0" xfId="0" applyNumberFormat="1" applyFont="1" applyFill="1" applyBorder="1" applyAlignment="1" applyProtection="1">
      <alignment horizontal="center" vertical="center"/>
      <protection hidden="1"/>
    </xf>
    <xf numFmtId="2" fontId="32" fillId="0" borderId="0" xfId="0" applyNumberFormat="1" applyFont="1" applyFill="1" applyBorder="1" applyAlignment="1" applyProtection="1">
      <alignment horizontal="center" vertical="center"/>
      <protection hidden="1"/>
    </xf>
    <xf numFmtId="2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53" xfId="0" applyFont="1" applyFill="1" applyBorder="1" applyAlignment="1" applyProtection="1">
      <alignment horizontal="right" vertical="center" indent="1"/>
      <protection hidden="1"/>
    </xf>
    <xf numFmtId="0" fontId="8" fillId="5" borderId="44" xfId="0" applyFont="1" applyFill="1" applyBorder="1" applyAlignment="1" applyProtection="1">
      <alignment horizontal="right" vertical="center" indent="1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0" borderId="49" xfId="0" applyFont="1" applyFill="1" applyBorder="1" applyAlignment="1" applyProtection="1">
      <alignment horizontal="center" vertical="center" wrapText="1"/>
      <protection hidden="1"/>
    </xf>
    <xf numFmtId="0" fontId="9" fillId="0" borderId="50" xfId="0" applyFont="1" applyFill="1" applyBorder="1" applyAlignment="1" applyProtection="1">
      <alignment horizontal="center" vertical="center" wrapTex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39" xfId="0" applyFont="1" applyFill="1" applyBorder="1" applyAlignment="1" applyProtection="1">
      <alignment horizontal="center" vertical="center" textRotation="90"/>
      <protection hidden="1"/>
    </xf>
    <xf numFmtId="0" fontId="8" fillId="5" borderId="36" xfId="0" applyFont="1" applyFill="1" applyBorder="1" applyAlignment="1" applyProtection="1">
      <alignment horizontal="right" vertical="center" indent="1"/>
      <protection hidden="1"/>
    </xf>
    <xf numFmtId="0" fontId="8" fillId="5" borderId="37" xfId="0" applyFont="1" applyFill="1" applyBorder="1" applyAlignment="1" applyProtection="1">
      <alignment horizontal="right" vertical="center" indent="1"/>
      <protection hidden="1"/>
    </xf>
    <xf numFmtId="0" fontId="8" fillId="3" borderId="60" xfId="0" applyFont="1" applyFill="1" applyBorder="1" applyAlignment="1" applyProtection="1">
      <alignment horizontal="right" vertical="center" indent="1"/>
      <protection hidden="1"/>
    </xf>
    <xf numFmtId="0" fontId="8" fillId="3" borderId="61" xfId="0" applyFont="1" applyFill="1" applyBorder="1" applyAlignment="1" applyProtection="1">
      <alignment horizontal="right" vertical="center" indent="1"/>
      <protection hidden="1"/>
    </xf>
    <xf numFmtId="0" fontId="8" fillId="5" borderId="54" xfId="0" applyFont="1" applyFill="1" applyBorder="1" applyAlignment="1" applyProtection="1">
      <alignment horizontal="right" vertical="center" indent="1"/>
      <protection hidden="1"/>
    </xf>
    <xf numFmtId="0" fontId="8" fillId="5" borderId="55" xfId="0" applyFont="1" applyFill="1" applyBorder="1" applyAlignment="1" applyProtection="1">
      <alignment horizontal="right" vertical="center" indent="1"/>
      <protection hidden="1"/>
    </xf>
    <xf numFmtId="0" fontId="8" fillId="3" borderId="36" xfId="0" applyFont="1" applyFill="1" applyBorder="1" applyAlignment="1" applyProtection="1">
      <alignment horizontal="right" vertical="center" indent="1"/>
      <protection hidden="1"/>
    </xf>
    <xf numFmtId="0" fontId="8" fillId="3" borderId="37" xfId="0" applyFont="1" applyFill="1" applyBorder="1" applyAlignment="1" applyProtection="1">
      <alignment horizontal="right" vertical="center" indent="1"/>
      <protection hidden="1"/>
    </xf>
    <xf numFmtId="0" fontId="8" fillId="5" borderId="60" xfId="0" applyFont="1" applyFill="1" applyBorder="1" applyAlignment="1" applyProtection="1">
      <alignment horizontal="right" vertical="center" indent="1"/>
      <protection hidden="1"/>
    </xf>
    <xf numFmtId="0" fontId="8" fillId="5" borderId="61" xfId="0" applyFont="1" applyFill="1" applyBorder="1" applyAlignment="1" applyProtection="1">
      <alignment horizontal="right" vertical="center" indent="1"/>
      <protection hidden="1"/>
    </xf>
    <xf numFmtId="0" fontId="8" fillId="3" borderId="54" xfId="0" applyFont="1" applyFill="1" applyBorder="1" applyAlignment="1" applyProtection="1">
      <alignment horizontal="right" vertical="center" indent="1"/>
      <protection hidden="1"/>
    </xf>
    <xf numFmtId="0" fontId="8" fillId="3" borderId="55" xfId="0" applyFont="1" applyFill="1" applyBorder="1" applyAlignment="1" applyProtection="1">
      <alignment horizontal="right" vertical="center" indent="1"/>
      <protection hidden="1"/>
    </xf>
    <xf numFmtId="0" fontId="7" fillId="4" borderId="20" xfId="0" applyFont="1" applyFill="1" applyBorder="1" applyAlignment="1" applyProtection="1">
      <alignment horizontal="center" vertical="center" wrapText="1"/>
      <protection hidden="1"/>
    </xf>
    <xf numFmtId="0" fontId="7" fillId="4" borderId="28" xfId="0" applyFont="1" applyFill="1" applyBorder="1" applyAlignment="1" applyProtection="1">
      <alignment horizontal="center" vertical="center" wrapText="1"/>
      <protection hidden="1"/>
    </xf>
    <xf numFmtId="0" fontId="12" fillId="2" borderId="21" xfId="0" applyFont="1" applyFill="1" applyBorder="1" applyAlignment="1" applyProtection="1">
      <alignment horizontal="center" vertical="center"/>
      <protection hidden="1"/>
    </xf>
    <xf numFmtId="0" fontId="12" fillId="2" borderId="22" xfId="0" applyFont="1" applyFill="1" applyBorder="1" applyAlignment="1" applyProtection="1">
      <alignment horizontal="center" vertical="center"/>
      <protection hidden="1"/>
    </xf>
    <xf numFmtId="0" fontId="12" fillId="2" borderId="23" xfId="0" applyFont="1" applyFill="1" applyBorder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center" vertical="center"/>
      <protection hidden="1"/>
    </xf>
    <xf numFmtId="0" fontId="11" fillId="2" borderId="25" xfId="0" applyFont="1" applyFill="1" applyBorder="1" applyAlignment="1" applyProtection="1">
      <alignment horizontal="center" vertical="center"/>
      <protection hidden="1"/>
    </xf>
    <xf numFmtId="0" fontId="8" fillId="4" borderId="48" xfId="0" applyFont="1" applyFill="1" applyBorder="1" applyAlignment="1" applyProtection="1">
      <alignment horizontal="right" vertical="center" indent="1"/>
      <protection hidden="1"/>
    </xf>
    <xf numFmtId="0" fontId="8" fillId="4" borderId="49" xfId="0" applyFont="1" applyFill="1" applyBorder="1" applyAlignment="1" applyProtection="1">
      <alignment horizontal="right" vertical="center" indent="1"/>
      <protection hidden="1"/>
    </xf>
    <xf numFmtId="0" fontId="8" fillId="4" borderId="50" xfId="0" applyFont="1" applyFill="1" applyBorder="1" applyAlignment="1" applyProtection="1">
      <alignment horizontal="right" vertical="center" indent="1"/>
      <protection hidden="1"/>
    </xf>
    <xf numFmtId="0" fontId="8" fillId="5" borderId="52" xfId="0" applyFont="1" applyFill="1" applyBorder="1" applyAlignment="1" applyProtection="1">
      <alignment horizontal="right" vertical="center" indent="1"/>
      <protection hidden="1"/>
    </xf>
    <xf numFmtId="0" fontId="8" fillId="5" borderId="30" xfId="0" applyFont="1" applyFill="1" applyBorder="1" applyAlignment="1" applyProtection="1">
      <alignment horizontal="right" vertical="center" indent="1"/>
      <protection hidden="1"/>
    </xf>
    <xf numFmtId="0" fontId="8" fillId="4" borderId="48" xfId="0" applyFont="1" applyFill="1" applyBorder="1" applyAlignment="1" applyProtection="1">
      <alignment horizontal="center" vertical="center"/>
      <protection hidden="1"/>
    </xf>
    <xf numFmtId="0" fontId="8" fillId="4" borderId="49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left" vertical="center" indent="1"/>
      <protection locked="0" hidden="1"/>
    </xf>
    <xf numFmtId="0" fontId="5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4" xfId="0" applyFont="1" applyFill="1" applyBorder="1" applyAlignment="1" applyProtection="1">
      <alignment horizontal="left" vertical="center" indent="1"/>
      <protection locked="0" hidden="1"/>
    </xf>
    <xf numFmtId="0" fontId="6" fillId="0" borderId="11" xfId="0" applyFont="1" applyFill="1" applyBorder="1" applyAlignment="1" applyProtection="1">
      <alignment horizontal="left" vertical="center" indent="1"/>
      <protection locked="0" hidden="1"/>
    </xf>
    <xf numFmtId="0" fontId="16" fillId="2" borderId="16" xfId="0" applyFont="1" applyFill="1" applyBorder="1" applyAlignment="1" applyProtection="1">
      <alignment horizontal="center" vertical="center" wrapText="1"/>
      <protection hidden="1"/>
    </xf>
    <xf numFmtId="0" fontId="16" fillId="2" borderId="17" xfId="0" applyFont="1" applyFill="1" applyBorder="1" applyAlignment="1" applyProtection="1">
      <alignment horizontal="center" vertical="center" wrapText="1"/>
      <protection hidden="1"/>
    </xf>
    <xf numFmtId="0" fontId="7" fillId="2" borderId="19" xfId="0" applyFont="1" applyFill="1" applyBorder="1" applyAlignment="1" applyProtection="1">
      <alignment horizontal="center" vertical="center" wrapText="1"/>
      <protection hidden="1"/>
    </xf>
    <xf numFmtId="0" fontId="7" fillId="2" borderId="27" xfId="0" applyFont="1" applyFill="1" applyBorder="1" applyAlignment="1" applyProtection="1">
      <alignment horizontal="center" vertical="center" wrapText="1"/>
      <protection hidden="1"/>
    </xf>
    <xf numFmtId="0" fontId="5" fillId="0" borderId="71" xfId="0" applyFont="1" applyFill="1" applyBorder="1" applyAlignment="1" applyProtection="1">
      <alignment horizontal="left" vertical="center" indent="1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11" fillId="2" borderId="3" xfId="0" applyFont="1" applyFill="1" applyBorder="1" applyAlignment="1" applyProtection="1">
      <alignment horizontal="center" vertical="center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left" vertical="center" indent="1"/>
      <protection locked="0" hidden="1"/>
    </xf>
    <xf numFmtId="0" fontId="5" fillId="0" borderId="8" xfId="0" applyFont="1" applyFill="1" applyBorder="1" applyAlignment="1" applyProtection="1">
      <alignment horizontal="left" vertical="center" indent="1"/>
      <protection locked="0" hidden="1"/>
    </xf>
    <xf numFmtId="0" fontId="5" fillId="0" borderId="9" xfId="0" applyFont="1" applyFill="1" applyBorder="1" applyAlignment="1" applyProtection="1">
      <alignment horizontal="left" vertical="center" indent="1"/>
      <protection locked="0" hidden="1"/>
    </xf>
    <xf numFmtId="0" fontId="6" fillId="0" borderId="6" xfId="0" applyFont="1" applyFill="1" applyBorder="1" applyAlignment="1" applyProtection="1">
      <alignment horizontal="left" vertical="center" indent="1"/>
      <protection locked="0" hidden="1"/>
    </xf>
    <xf numFmtId="0" fontId="11" fillId="2" borderId="69" xfId="0" applyFont="1" applyFill="1" applyBorder="1" applyAlignment="1" applyProtection="1">
      <alignment horizontal="center" vertical="center" wrapText="1"/>
      <protection hidden="1"/>
    </xf>
    <xf numFmtId="0" fontId="5" fillId="0" borderId="70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" fillId="2" borderId="66" xfId="0" applyFont="1" applyFill="1" applyBorder="1" applyAlignment="1" applyProtection="1">
      <alignment horizontal="center" vertical="center" textRotation="90"/>
      <protection hidden="1"/>
    </xf>
    <xf numFmtId="0" fontId="27" fillId="3" borderId="36" xfId="0" applyFont="1" applyFill="1" applyBorder="1" applyAlignment="1" applyProtection="1">
      <alignment horizontal="right" vertical="center" indent="1"/>
      <protection hidden="1"/>
    </xf>
    <xf numFmtId="0" fontId="27" fillId="3" borderId="37" xfId="0" applyFont="1" applyFill="1" applyBorder="1" applyAlignment="1" applyProtection="1">
      <alignment horizontal="right" vertical="center" indent="1"/>
      <protection hidden="1"/>
    </xf>
    <xf numFmtId="0" fontId="27" fillId="5" borderId="60" xfId="0" applyFont="1" applyFill="1" applyBorder="1" applyAlignment="1" applyProtection="1">
      <alignment horizontal="right" vertical="center" indent="1"/>
      <protection hidden="1"/>
    </xf>
    <xf numFmtId="0" fontId="27" fillId="5" borderId="61" xfId="0" applyFont="1" applyFill="1" applyBorder="1" applyAlignment="1" applyProtection="1">
      <alignment horizontal="right" vertical="center" indent="1"/>
      <protection hidden="1"/>
    </xf>
    <xf numFmtId="0" fontId="27" fillId="3" borderId="60" xfId="0" applyFont="1" applyFill="1" applyBorder="1" applyAlignment="1" applyProtection="1">
      <alignment horizontal="right" vertical="center" indent="1"/>
      <protection hidden="1"/>
    </xf>
    <xf numFmtId="0" fontId="27" fillId="3" borderId="61" xfId="0" applyFont="1" applyFill="1" applyBorder="1" applyAlignment="1" applyProtection="1">
      <alignment horizontal="right" vertical="center" indent="1"/>
      <protection hidden="1"/>
    </xf>
    <xf numFmtId="0" fontId="27" fillId="3" borderId="54" xfId="0" applyFont="1" applyFill="1" applyBorder="1" applyAlignment="1" applyProtection="1">
      <alignment horizontal="right" vertical="center" indent="1"/>
      <protection hidden="1"/>
    </xf>
    <xf numFmtId="0" fontId="27" fillId="3" borderId="55" xfId="0" applyFont="1" applyFill="1" applyBorder="1" applyAlignment="1" applyProtection="1">
      <alignment horizontal="right" vertical="center" indent="1"/>
      <protection hidden="1"/>
    </xf>
    <xf numFmtId="0" fontId="27" fillId="5" borderId="36" xfId="0" applyFont="1" applyFill="1" applyBorder="1" applyAlignment="1" applyProtection="1">
      <alignment horizontal="right" vertical="center" indent="1"/>
      <protection hidden="1"/>
    </xf>
    <xf numFmtId="0" fontId="27" fillId="5" borderId="37" xfId="0" applyFont="1" applyFill="1" applyBorder="1" applyAlignment="1" applyProtection="1">
      <alignment horizontal="right" vertical="center" indent="1"/>
      <protection hidden="1"/>
    </xf>
    <xf numFmtId="0" fontId="27" fillId="5" borderId="85" xfId="0" applyFont="1" applyFill="1" applyBorder="1" applyAlignment="1" applyProtection="1">
      <alignment horizontal="right" vertical="center" indent="1"/>
      <protection hidden="1"/>
    </xf>
    <xf numFmtId="0" fontId="27" fillId="5" borderId="86" xfId="0" applyFont="1" applyFill="1" applyBorder="1" applyAlignment="1" applyProtection="1">
      <alignment horizontal="right" vertical="center" indent="1"/>
      <protection hidden="1"/>
    </xf>
    <xf numFmtId="0" fontId="27" fillId="3" borderId="85" xfId="0" applyFont="1" applyFill="1" applyBorder="1" applyAlignment="1" applyProtection="1">
      <alignment horizontal="right" vertical="center" indent="1"/>
      <protection hidden="1"/>
    </xf>
    <xf numFmtId="0" fontId="27" fillId="3" borderId="86" xfId="0" applyFont="1" applyFill="1" applyBorder="1" applyAlignment="1" applyProtection="1">
      <alignment horizontal="right" vertical="center" indent="1"/>
      <protection hidden="1"/>
    </xf>
    <xf numFmtId="0" fontId="8" fillId="0" borderId="53" xfId="0" applyFont="1" applyFill="1" applyBorder="1" applyAlignment="1" applyProtection="1">
      <alignment horizontal="right" vertical="center" indent="1"/>
      <protection hidden="1"/>
    </xf>
    <xf numFmtId="0" fontId="8" fillId="0" borderId="44" xfId="0" applyFont="1" applyFill="1" applyBorder="1" applyAlignment="1" applyProtection="1">
      <alignment horizontal="right" vertical="center" indent="1"/>
      <protection hidden="1"/>
    </xf>
    <xf numFmtId="0" fontId="8" fillId="0" borderId="60" xfId="0" applyFont="1" applyFill="1" applyBorder="1" applyAlignment="1" applyProtection="1">
      <alignment horizontal="right" vertical="center" indent="1"/>
      <protection hidden="1"/>
    </xf>
    <xf numFmtId="0" fontId="8" fillId="0" borderId="61" xfId="0" applyFont="1" applyFill="1" applyBorder="1" applyAlignment="1" applyProtection="1">
      <alignment horizontal="right" vertical="center" indent="1"/>
      <protection hidden="1"/>
    </xf>
    <xf numFmtId="0" fontId="8" fillId="3" borderId="85" xfId="0" applyFont="1" applyFill="1" applyBorder="1" applyAlignment="1" applyProtection="1">
      <alignment horizontal="right" vertical="center" indent="1"/>
      <protection hidden="1"/>
    </xf>
    <xf numFmtId="0" fontId="8" fillId="3" borderId="86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right" vertical="center" indent="1"/>
      <protection hidden="1"/>
    </xf>
    <xf numFmtId="0" fontId="8" fillId="0" borderId="85" xfId="0" applyFont="1" applyFill="1" applyBorder="1" applyAlignment="1" applyProtection="1">
      <alignment horizontal="right" vertical="center" indent="1"/>
      <protection hidden="1"/>
    </xf>
    <xf numFmtId="0" fontId="8" fillId="0" borderId="86" xfId="0" applyFont="1" applyFill="1" applyBorder="1" applyAlignment="1" applyProtection="1">
      <alignment horizontal="right" vertical="center" indent="1"/>
      <protection hidden="1"/>
    </xf>
    <xf numFmtId="0" fontId="8" fillId="0" borderId="52" xfId="0" applyFont="1" applyFill="1" applyBorder="1" applyAlignment="1" applyProtection="1">
      <alignment horizontal="right" vertical="center" indent="1"/>
      <protection hidden="1"/>
    </xf>
    <xf numFmtId="0" fontId="8" fillId="0" borderId="30" xfId="0" applyFont="1" applyFill="1" applyBorder="1" applyAlignment="1" applyProtection="1">
      <alignment horizontal="right" vertical="center" indent="1"/>
      <protection hidden="1"/>
    </xf>
    <xf numFmtId="0" fontId="1" fillId="2" borderId="34" xfId="0" applyFont="1" applyFill="1" applyBorder="1" applyAlignment="1" applyProtection="1">
      <alignment horizontal="center" vertical="center" textRotation="90"/>
      <protection hidden="1"/>
    </xf>
    <xf numFmtId="0" fontId="1" fillId="2" borderId="98" xfId="0" applyFont="1" applyFill="1" applyBorder="1" applyAlignment="1" applyProtection="1">
      <alignment horizontal="center" vertical="center" textRotation="90"/>
      <protection hidden="1"/>
    </xf>
    <xf numFmtId="0" fontId="1" fillId="2" borderId="28" xfId="0" applyFont="1" applyFill="1" applyBorder="1" applyAlignment="1" applyProtection="1">
      <alignment horizontal="center" vertical="center" textRotation="90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0" fontId="8" fillId="4" borderId="30" xfId="0" applyFont="1" applyFill="1" applyBorder="1" applyAlignment="1" applyProtection="1">
      <alignment horizontal="center" vertical="center"/>
      <protection hidden="1"/>
    </xf>
    <xf numFmtId="0" fontId="8" fillId="3" borderId="99" xfId="0" applyFont="1" applyFill="1" applyBorder="1" applyAlignment="1" applyProtection="1">
      <alignment horizontal="right" vertical="center" indent="1"/>
      <protection hidden="1"/>
    </xf>
    <xf numFmtId="0" fontId="8" fillId="0" borderId="99" xfId="0" applyFont="1" applyFill="1" applyBorder="1" applyAlignment="1" applyProtection="1">
      <alignment horizontal="right" vertical="center" indent="1"/>
      <protection hidden="1"/>
    </xf>
    <xf numFmtId="0" fontId="20" fillId="2" borderId="34" xfId="0" applyFont="1" applyFill="1" applyBorder="1" applyAlignment="1" applyProtection="1">
      <alignment horizontal="center" vertical="center" textRotation="90"/>
      <protection hidden="1"/>
    </xf>
    <xf numFmtId="0" fontId="20" fillId="2" borderId="98" xfId="0" applyFont="1" applyFill="1" applyBorder="1" applyAlignment="1" applyProtection="1">
      <alignment horizontal="center" vertical="center" textRotation="90"/>
      <protection hidden="1"/>
    </xf>
    <xf numFmtId="0" fontId="8" fillId="3" borderId="35" xfId="0" applyFont="1" applyFill="1" applyBorder="1" applyAlignment="1" applyProtection="1">
      <alignment horizontal="right" vertical="center" indent="1"/>
      <protection hidden="1"/>
    </xf>
    <xf numFmtId="0" fontId="8" fillId="0" borderId="100" xfId="0" applyFont="1" applyFill="1" applyBorder="1" applyAlignment="1" applyProtection="1">
      <alignment horizontal="right" vertical="center" indent="1"/>
      <protection hidden="1"/>
    </xf>
    <xf numFmtId="0" fontId="8" fillId="3" borderId="100" xfId="0" applyFont="1" applyFill="1" applyBorder="1" applyAlignment="1" applyProtection="1">
      <alignment horizontal="right" vertical="center" indent="1"/>
      <protection hidden="1"/>
    </xf>
    <xf numFmtId="0" fontId="20" fillId="2" borderId="28" xfId="0" applyFont="1" applyFill="1" applyBorder="1" applyAlignment="1" applyProtection="1">
      <alignment horizontal="center" vertical="center" textRotation="90"/>
      <protection hidden="1"/>
    </xf>
    <xf numFmtId="0" fontId="8" fillId="0" borderId="35" xfId="0" applyFont="1" applyFill="1" applyBorder="1" applyAlignment="1" applyProtection="1">
      <alignment horizontal="right" vertical="center" indent="1"/>
      <protection hidden="1"/>
    </xf>
    <xf numFmtId="0" fontId="8" fillId="0" borderId="55" xfId="0" applyFont="1" applyFill="1" applyBorder="1" applyAlignment="1" applyProtection="1">
      <alignment horizontal="right" vertical="center" indent="1"/>
      <protection hidden="1"/>
    </xf>
    <xf numFmtId="0" fontId="8" fillId="0" borderId="102" xfId="0" applyFont="1" applyFill="1" applyBorder="1" applyAlignment="1" applyProtection="1">
      <alignment horizontal="right" vertical="center" indent="1"/>
      <protection hidden="1"/>
    </xf>
    <xf numFmtId="0" fontId="8" fillId="0" borderId="103" xfId="0" applyFont="1" applyFill="1" applyBorder="1" applyAlignment="1" applyProtection="1">
      <alignment horizontal="right" vertical="center" indent="1"/>
      <protection hidden="1"/>
    </xf>
    <xf numFmtId="0" fontId="8" fillId="4" borderId="104" xfId="0" applyFont="1" applyFill="1" applyBorder="1" applyAlignment="1" applyProtection="1">
      <alignment horizontal="center" vertical="center"/>
      <protection hidden="1"/>
    </xf>
    <xf numFmtId="0" fontId="8" fillId="4" borderId="44" xfId="0" applyFont="1" applyFill="1" applyBorder="1" applyAlignment="1" applyProtection="1">
      <alignment horizontal="center" vertical="center"/>
      <protection hidden="1"/>
    </xf>
    <xf numFmtId="0" fontId="8" fillId="5" borderId="105" xfId="0" applyFont="1" applyFill="1" applyBorder="1" applyAlignment="1" applyProtection="1">
      <alignment horizontal="right" vertical="center" indent="1"/>
      <protection hidden="1"/>
    </xf>
    <xf numFmtId="0" fontId="8" fillId="5" borderId="106" xfId="0" applyFont="1" applyFill="1" applyBorder="1" applyAlignment="1" applyProtection="1">
      <alignment horizontal="right" vertical="center" indent="1"/>
      <protection hidden="1"/>
    </xf>
    <xf numFmtId="0" fontId="8" fillId="3" borderId="114" xfId="0" applyFont="1" applyFill="1" applyBorder="1" applyAlignment="1" applyProtection="1">
      <alignment horizontal="right" vertical="center" indent="1"/>
      <protection hidden="1"/>
    </xf>
    <xf numFmtId="0" fontId="8" fillId="3" borderId="115" xfId="0" applyFont="1" applyFill="1" applyBorder="1" applyAlignment="1" applyProtection="1">
      <alignment horizontal="right" vertical="center" indent="1"/>
      <protection hidden="1"/>
    </xf>
    <xf numFmtId="0" fontId="8" fillId="0" borderId="113" xfId="0" applyFont="1" applyFill="1" applyBorder="1" applyAlignment="1" applyProtection="1">
      <alignment horizontal="right" vertical="center" indent="1"/>
      <protection hidden="1"/>
    </xf>
    <xf numFmtId="2" fontId="30" fillId="0" borderId="0" xfId="0" applyNumberFormat="1" applyFont="1" applyFill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</xf>
    <xf numFmtId="0" fontId="8" fillId="0" borderId="114" xfId="0" applyFont="1" applyFill="1" applyBorder="1" applyAlignment="1" applyProtection="1">
      <alignment horizontal="right" vertical="center" indent="1"/>
      <protection hidden="1"/>
    </xf>
    <xf numFmtId="0" fontId="8" fillId="0" borderId="115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horizontal="right" indent="1"/>
    </xf>
    <xf numFmtId="0" fontId="0" fillId="0" borderId="0" xfId="0" applyAlignment="1">
      <alignment horizontal="right" indent="1"/>
    </xf>
  </cellXfs>
  <cellStyles count="2">
    <cellStyle name="Standard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44604" cy="1066799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8823" y="1"/>
          <a:ext cx="823723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227914</xdr:colOff>
      <xdr:row>0</xdr:row>
      <xdr:rowOff>0</xdr:rowOff>
    </xdr:from>
    <xdr:to>
      <xdr:col>11</xdr:col>
      <xdr:colOff>650</xdr:colOff>
      <xdr:row>3</xdr:row>
      <xdr:rowOff>4641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7554" y="0"/>
          <a:ext cx="1235776" cy="1071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7408</xdr:colOff>
      <xdr:row>0</xdr:row>
      <xdr:rowOff>0</xdr:rowOff>
    </xdr:from>
    <xdr:to>
      <xdr:col>11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68" y="0"/>
          <a:ext cx="724762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190501</xdr:colOff>
      <xdr:row>0</xdr:row>
      <xdr:rowOff>0</xdr:rowOff>
    </xdr:from>
    <xdr:to>
      <xdr:col>10</xdr:col>
      <xdr:colOff>710991</xdr:colOff>
      <xdr:row>3</xdr:row>
      <xdr:rowOff>13200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2521" y="0"/>
          <a:ext cx="1252010" cy="108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600075</xdr:colOff>
      <xdr:row>0</xdr:row>
      <xdr:rowOff>0</xdr:rowOff>
    </xdr:from>
    <xdr:to>
      <xdr:col>11</xdr:col>
      <xdr:colOff>3296</xdr:colOff>
      <xdr:row>3</xdr:row>
      <xdr:rowOff>13200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2435" y="0"/>
          <a:ext cx="1597781" cy="108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390526</xdr:colOff>
      <xdr:row>0</xdr:row>
      <xdr:rowOff>0</xdr:rowOff>
    </xdr:from>
    <xdr:to>
      <xdr:col>11</xdr:col>
      <xdr:colOff>38620</xdr:colOff>
      <xdr:row>3</xdr:row>
      <xdr:rowOff>13200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2886" y="0"/>
          <a:ext cx="1842654" cy="108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40"/>
  <sheetViews>
    <sheetView tabSelected="1" zoomScaleNormal="100" zoomScaleSheetLayoutView="100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23.425781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32" s="23" customFormat="1" ht="24.95" customHeight="1" x14ac:dyDescent="0.5">
      <c r="A1" s="287" t="str">
        <f>Doku!B28</f>
        <v>Kata Meisterschaft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</row>
    <row r="2" spans="1:32" s="26" customFormat="1" ht="20.100000000000001" customHeight="1" x14ac:dyDescent="0.45">
      <c r="A2" s="288" t="str">
        <f>Doku!B29</f>
        <v>des Deutschen Judobundes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</row>
    <row r="3" spans="1:32" s="23" customFormat="1" ht="39.950000000000003" customHeight="1" x14ac:dyDescent="0.5">
      <c r="A3" s="289" t="s">
        <v>0</v>
      </c>
      <c r="B3" s="289"/>
      <c r="C3" s="289"/>
      <c r="D3" s="289"/>
      <c r="E3" s="289"/>
      <c r="F3" s="289"/>
      <c r="G3" s="289"/>
      <c r="H3" s="289"/>
      <c r="I3" s="289"/>
      <c r="J3" s="289"/>
      <c r="K3" s="289"/>
    </row>
    <row r="4" spans="1:32" s="23" customFormat="1" ht="12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5" customHeight="1" x14ac:dyDescent="0.25">
      <c r="A5" s="332" t="str">
        <f>Doku!B31&amp;":"</f>
        <v>Bewerter:</v>
      </c>
      <c r="B5" s="332"/>
      <c r="C5" s="332"/>
      <c r="D5" s="332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55000000000000004">
      <c r="A6" s="1"/>
      <c r="B6" s="1"/>
      <c r="C6" s="2"/>
      <c r="D6" s="2"/>
      <c r="E6" s="147"/>
      <c r="F6" s="148"/>
      <c r="G6" s="148"/>
      <c r="H6" s="343"/>
      <c r="I6" s="343"/>
      <c r="J6" s="343"/>
      <c r="K6" s="23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35">
      <c r="A7" s="12"/>
      <c r="B7" s="12"/>
      <c r="C7" s="12"/>
      <c r="D7" s="341" t="str">
        <f>Doku!B33</f>
        <v>Nachname</v>
      </c>
      <c r="E7" s="335"/>
      <c r="F7" s="333" t="str">
        <f>Doku!B34</f>
        <v>Vorname</v>
      </c>
      <c r="G7" s="334"/>
      <c r="H7" s="335"/>
      <c r="I7" s="336" t="str">
        <f>Doku!B35</f>
        <v>Verein</v>
      </c>
      <c r="J7" s="336"/>
      <c r="K7" s="13" t="str">
        <f>Doku!B36</f>
        <v>Land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5" customHeight="1" x14ac:dyDescent="0.25">
      <c r="A8" s="18" t="s">
        <v>31</v>
      </c>
      <c r="B8" s="18"/>
      <c r="C8" s="18"/>
      <c r="D8" s="342"/>
      <c r="E8" s="339"/>
      <c r="F8" s="337"/>
      <c r="G8" s="338"/>
      <c r="H8" s="339"/>
      <c r="I8" s="340"/>
      <c r="J8" s="340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5" customHeight="1" thickBot="1" x14ac:dyDescent="0.3">
      <c r="A9" s="18" t="s">
        <v>32</v>
      </c>
      <c r="B9" s="18"/>
      <c r="C9" s="18"/>
      <c r="D9" s="331"/>
      <c r="E9" s="325"/>
      <c r="F9" s="323"/>
      <c r="G9" s="324"/>
      <c r="H9" s="325"/>
      <c r="I9" s="326"/>
      <c r="J9" s="326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39.75" customHeight="1" thickTop="1" thickBot="1" x14ac:dyDescent="0.3">
      <c r="A11" s="5"/>
      <c r="B11" s="5"/>
      <c r="C11" s="5"/>
      <c r="D11" s="5"/>
      <c r="E11" s="5"/>
      <c r="F11" s="327" t="str">
        <f>Doku!B38</f>
        <v>Kleiner Fehler</v>
      </c>
      <c r="G11" s="328"/>
      <c r="H11" s="17" t="str">
        <f>Doku!B39</f>
        <v>Mittlerer Fehler</v>
      </c>
      <c r="I11" s="17" t="str">
        <f>Doku!B40</f>
        <v>Großer Fehler</v>
      </c>
      <c r="J11" s="329" t="str">
        <f>Doku!B41</f>
        <v>Technik vergessen</v>
      </c>
      <c r="K11" s="309" t="str">
        <f>Doku!B42</f>
        <v>Gesamt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">
      <c r="A12" s="311" t="str">
        <f>Doku!B37</f>
        <v>Technik</v>
      </c>
      <c r="B12" s="312"/>
      <c r="C12" s="312"/>
      <c r="D12" s="312"/>
      <c r="E12" s="313"/>
      <c r="F12" s="314">
        <v>1</v>
      </c>
      <c r="G12" s="315"/>
      <c r="H12" s="14">
        <v>3</v>
      </c>
      <c r="I12" s="14">
        <v>5</v>
      </c>
      <c r="J12" s="330"/>
      <c r="K12" s="31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">
      <c r="A13" s="6">
        <v>1</v>
      </c>
      <c r="B13" s="250"/>
      <c r="C13" s="99"/>
      <c r="D13" s="319" t="s">
        <v>7</v>
      </c>
      <c r="E13" s="320"/>
      <c r="F13" s="69"/>
      <c r="G13" s="70"/>
      <c r="H13" s="71"/>
      <c r="I13" s="71"/>
      <c r="J13" s="72"/>
      <c r="K13" s="73" t="str">
        <f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25">
      <c r="A14" s="7">
        <v>2</v>
      </c>
      <c r="B14" s="7"/>
      <c r="C14" s="295" t="s">
        <v>8</v>
      </c>
      <c r="D14" s="303" t="s">
        <v>9</v>
      </c>
      <c r="E14" s="304"/>
      <c r="F14" s="43"/>
      <c r="G14" s="44"/>
      <c r="H14" s="45"/>
      <c r="I14" s="45"/>
      <c r="J14" s="46"/>
      <c r="K14" s="32" t="str">
        <f t="shared" ref="K14:K29" si="0">IF($K$37&lt;&gt;"",IF(J14&lt;&gt;"",0,MAX(1,10-5*(I14&lt;&gt;"")-3*(H14&lt;&gt;"")-1*(G14&lt;&gt;"")-1*(F14&lt;&gt;""))),"")</f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25">
      <c r="A15" s="8">
        <v>3</v>
      </c>
      <c r="B15" s="7"/>
      <c r="C15" s="296"/>
      <c r="D15" s="305" t="s">
        <v>10</v>
      </c>
      <c r="E15" s="306"/>
      <c r="F15" s="78"/>
      <c r="G15" s="79"/>
      <c r="H15" s="80"/>
      <c r="I15" s="80"/>
      <c r="J15" s="81"/>
      <c r="K15" s="82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thickBot="1" x14ac:dyDescent="0.3">
      <c r="A16" s="9">
        <v>4</v>
      </c>
      <c r="B16" s="7"/>
      <c r="C16" s="296"/>
      <c r="D16" s="307" t="s">
        <v>11</v>
      </c>
      <c r="E16" s="308"/>
      <c r="F16" s="47"/>
      <c r="G16" s="48"/>
      <c r="H16" s="49"/>
      <c r="I16" s="49"/>
      <c r="J16" s="50"/>
      <c r="K16" s="34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25">
      <c r="A17" s="7">
        <v>5</v>
      </c>
      <c r="B17" s="7"/>
      <c r="C17" s="295" t="s">
        <v>12</v>
      </c>
      <c r="D17" s="297" t="s">
        <v>13</v>
      </c>
      <c r="E17" s="298"/>
      <c r="F17" s="74"/>
      <c r="G17" s="75"/>
      <c r="H17" s="76"/>
      <c r="I17" s="76"/>
      <c r="J17" s="77"/>
      <c r="K17" s="72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x14ac:dyDescent="0.25">
      <c r="A18" s="8">
        <v>6</v>
      </c>
      <c r="B18" s="7"/>
      <c r="C18" s="296"/>
      <c r="D18" s="299" t="s">
        <v>14</v>
      </c>
      <c r="E18" s="300"/>
      <c r="F18" s="39"/>
      <c r="G18" s="40"/>
      <c r="H18" s="41"/>
      <c r="I18" s="41"/>
      <c r="J18" s="42"/>
      <c r="K18" s="33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thickBot="1" x14ac:dyDescent="0.3">
      <c r="A19" s="9">
        <v>7</v>
      </c>
      <c r="B19" s="7"/>
      <c r="C19" s="296"/>
      <c r="D19" s="301" t="s">
        <v>15</v>
      </c>
      <c r="E19" s="302"/>
      <c r="F19" s="83"/>
      <c r="G19" s="84"/>
      <c r="H19" s="85"/>
      <c r="I19" s="85"/>
      <c r="J19" s="86"/>
      <c r="K19" s="87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25">
      <c r="A20" s="10">
        <v>8</v>
      </c>
      <c r="B20" s="211"/>
      <c r="C20" s="295" t="s">
        <v>16</v>
      </c>
      <c r="D20" s="303" t="s">
        <v>17</v>
      </c>
      <c r="E20" s="304"/>
      <c r="F20" s="43"/>
      <c r="G20" s="44"/>
      <c r="H20" s="45"/>
      <c r="I20" s="45"/>
      <c r="J20" s="46"/>
      <c r="K20" s="32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25">
      <c r="A21" s="8">
        <v>9</v>
      </c>
      <c r="B21" s="7"/>
      <c r="C21" s="296"/>
      <c r="D21" s="305" t="s">
        <v>18</v>
      </c>
      <c r="E21" s="306"/>
      <c r="F21" s="78"/>
      <c r="G21" s="79"/>
      <c r="H21" s="80"/>
      <c r="I21" s="80"/>
      <c r="J21" s="81"/>
      <c r="K21" s="82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thickBot="1" x14ac:dyDescent="0.3">
      <c r="A22" s="9">
        <v>10</v>
      </c>
      <c r="B22" s="7"/>
      <c r="C22" s="296"/>
      <c r="D22" s="307" t="s">
        <v>19</v>
      </c>
      <c r="E22" s="308"/>
      <c r="F22" s="47"/>
      <c r="G22" s="48"/>
      <c r="H22" s="49"/>
      <c r="I22" s="49"/>
      <c r="J22" s="50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x14ac:dyDescent="0.25">
      <c r="A23" s="10">
        <v>11</v>
      </c>
      <c r="B23" s="211"/>
      <c r="C23" s="295" t="s">
        <v>20</v>
      </c>
      <c r="D23" s="297" t="s">
        <v>21</v>
      </c>
      <c r="E23" s="298"/>
      <c r="F23" s="74"/>
      <c r="G23" s="75"/>
      <c r="H23" s="76"/>
      <c r="I23" s="76"/>
      <c r="J23" s="77"/>
      <c r="K23" s="72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25">
      <c r="A24" s="8">
        <v>12</v>
      </c>
      <c r="B24" s="7"/>
      <c r="C24" s="296"/>
      <c r="D24" s="299" t="s">
        <v>22</v>
      </c>
      <c r="E24" s="300"/>
      <c r="F24" s="39"/>
      <c r="G24" s="40"/>
      <c r="H24" s="41"/>
      <c r="I24" s="41"/>
      <c r="J24" s="42"/>
      <c r="K24" s="33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thickBot="1" x14ac:dyDescent="0.3">
      <c r="A25" s="9">
        <v>13</v>
      </c>
      <c r="B25" s="7"/>
      <c r="C25" s="296"/>
      <c r="D25" s="301" t="s">
        <v>23</v>
      </c>
      <c r="E25" s="302"/>
      <c r="F25" s="83"/>
      <c r="G25" s="84"/>
      <c r="H25" s="85"/>
      <c r="I25" s="85"/>
      <c r="J25" s="86"/>
      <c r="K25" s="87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25">
      <c r="A26" s="10">
        <v>14</v>
      </c>
      <c r="B26" s="211"/>
      <c r="C26" s="295" t="s">
        <v>24</v>
      </c>
      <c r="D26" s="303" t="s">
        <v>25</v>
      </c>
      <c r="E26" s="304"/>
      <c r="F26" s="43"/>
      <c r="G26" s="44"/>
      <c r="H26" s="45"/>
      <c r="I26" s="45"/>
      <c r="J26" s="46"/>
      <c r="K26" s="32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25">
      <c r="A27" s="7">
        <v>15</v>
      </c>
      <c r="B27" s="7"/>
      <c r="C27" s="296"/>
      <c r="D27" s="305" t="s">
        <v>26</v>
      </c>
      <c r="E27" s="306"/>
      <c r="F27" s="78"/>
      <c r="G27" s="79"/>
      <c r="H27" s="80"/>
      <c r="I27" s="80"/>
      <c r="J27" s="81"/>
      <c r="K27" s="82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">
      <c r="A28" s="9">
        <v>16</v>
      </c>
      <c r="B28" s="7"/>
      <c r="C28" s="296"/>
      <c r="D28" s="307" t="s">
        <v>27</v>
      </c>
      <c r="E28" s="308"/>
      <c r="F28" s="94"/>
      <c r="G28" s="95"/>
      <c r="H28" s="96"/>
      <c r="I28" s="96"/>
      <c r="J28" s="97"/>
      <c r="K28" s="98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">
      <c r="A29" s="11">
        <v>17</v>
      </c>
      <c r="B29" s="251"/>
      <c r="C29" s="93"/>
      <c r="D29" s="290" t="s">
        <v>28</v>
      </c>
      <c r="E29" s="291"/>
      <c r="F29" s="88"/>
      <c r="G29" s="89"/>
      <c r="H29" s="90"/>
      <c r="I29" s="90"/>
      <c r="J29" s="91"/>
      <c r="K29" s="92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Top="1" thickBot="1" x14ac:dyDescent="0.3">
      <c r="A30" s="263"/>
      <c r="B30" s="264"/>
      <c r="C30" s="260"/>
      <c r="D30" s="238"/>
      <c r="E30" s="239"/>
      <c r="F30" s="265"/>
      <c r="G30" s="268"/>
      <c r="H30" s="267"/>
      <c r="I30" s="267"/>
      <c r="J30" s="271"/>
      <c r="K30" s="270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">
      <c r="A31" s="263"/>
      <c r="B31" s="264"/>
      <c r="C31" s="260"/>
      <c r="D31" s="238"/>
      <c r="E31" s="239"/>
      <c r="F31" s="265"/>
      <c r="G31" s="268"/>
      <c r="H31" s="267"/>
      <c r="I31" s="267"/>
      <c r="J31" s="271"/>
      <c r="K31" s="270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">
      <c r="A32" s="263"/>
      <c r="B32" s="264"/>
      <c r="C32" s="260"/>
      <c r="D32" s="238"/>
      <c r="E32" s="239"/>
      <c r="F32" s="265"/>
      <c r="G32" s="268"/>
      <c r="H32" s="267"/>
      <c r="I32" s="267"/>
      <c r="J32" s="271"/>
      <c r="K32" s="270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">
      <c r="A33" s="263"/>
      <c r="B33" s="264"/>
      <c r="C33" s="260"/>
      <c r="D33" s="238"/>
      <c r="E33" s="239"/>
      <c r="F33" s="265"/>
      <c r="G33" s="268"/>
      <c r="H33" s="267"/>
      <c r="I33" s="267"/>
      <c r="J33" s="271"/>
      <c r="K33" s="270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">
      <c r="A34" s="263"/>
      <c r="B34" s="264"/>
      <c r="C34" s="260"/>
      <c r="D34" s="238"/>
      <c r="E34" s="239"/>
      <c r="F34" s="265"/>
      <c r="G34" s="268"/>
      <c r="H34" s="267"/>
      <c r="I34" s="267"/>
      <c r="J34" s="271"/>
      <c r="K34" s="270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">
      <c r="A35" s="263"/>
      <c r="B35" s="264"/>
      <c r="C35" s="260"/>
      <c r="D35" s="238"/>
      <c r="E35" s="239"/>
      <c r="F35" s="265"/>
      <c r="G35" s="268"/>
      <c r="H35" s="267"/>
      <c r="I35" s="267"/>
      <c r="J35" s="271"/>
      <c r="K35" s="270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5" customHeight="1" thickTop="1" thickBot="1" x14ac:dyDescent="0.3">
      <c r="A36" s="292" t="str">
        <f>Doku!B43&amp;":"</f>
        <v>Summe Fehler und Punkte:</v>
      </c>
      <c r="B36" s="293"/>
      <c r="C36" s="293"/>
      <c r="D36" s="293"/>
      <c r="E36" s="294"/>
      <c r="F36" s="68" t="str">
        <f>IF($K$37&lt;&gt;"",COUNTA(F13:F29),"")</f>
        <v/>
      </c>
      <c r="G36" s="67" t="str">
        <f t="shared" ref="G36:J36" si="1">IF($K$37&lt;&gt;"",COUNTA(G13:G29),"")</f>
        <v/>
      </c>
      <c r="H36" s="35" t="str">
        <f t="shared" si="1"/>
        <v/>
      </c>
      <c r="I36" s="35" t="str">
        <f t="shared" si="1"/>
        <v/>
      </c>
      <c r="J36" s="36" t="str">
        <f t="shared" si="1"/>
        <v/>
      </c>
      <c r="K36" s="37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">
      <c r="A37" s="321" t="str">
        <f>Doku!B44&amp;":"</f>
        <v>Position:</v>
      </c>
      <c r="B37" s="322"/>
      <c r="C37" s="322"/>
      <c r="D37" s="322"/>
      <c r="E37" s="235"/>
      <c r="F37" s="316" t="str">
        <f>Doku!B45</f>
        <v>Übertrag ok?</v>
      </c>
      <c r="G37" s="317"/>
      <c r="H37" s="317"/>
      <c r="I37" s="317"/>
      <c r="J37" s="318"/>
      <c r="K37" s="38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.75" thickTop="1" x14ac:dyDescent="0.25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25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25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4">
    <mergeCell ref="A5:D5"/>
    <mergeCell ref="F7:H7"/>
    <mergeCell ref="I7:J7"/>
    <mergeCell ref="F8:H8"/>
    <mergeCell ref="I8:J8"/>
    <mergeCell ref="D7:E7"/>
    <mergeCell ref="D8:E8"/>
    <mergeCell ref="H6:J6"/>
    <mergeCell ref="F9:H9"/>
    <mergeCell ref="I9:J9"/>
    <mergeCell ref="F11:G11"/>
    <mergeCell ref="J11:J12"/>
    <mergeCell ref="D9:E9"/>
    <mergeCell ref="F37:J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A1:K1"/>
    <mergeCell ref="A2:K2"/>
    <mergeCell ref="A3:K3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K11:K12"/>
    <mergeCell ref="A12:E12"/>
    <mergeCell ref="F12:G12"/>
  </mergeCells>
  <dataValidations count="2">
    <dataValidation type="textLength" allowBlank="1" showInputMessage="1" showErrorMessage="1" sqref="G13:J35 F14:F35">
      <formula1>1</formula1>
      <formula2>1</formula2>
    </dataValidation>
    <dataValidation type="textLength" operator="equal" allowBlank="1" showInputMessage="1" showErrorMessage="1" sqref="F13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F40"/>
  <sheetViews>
    <sheetView zoomScaleNormal="100" zoomScaleSheetLayoutView="100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23.425781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32" s="23" customFormat="1" ht="24.95" customHeight="1" x14ac:dyDescent="0.5">
      <c r="A1" s="287" t="str">
        <f>Doku!B28</f>
        <v>Kata Meisterschaft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</row>
    <row r="2" spans="1:32" s="26" customFormat="1" ht="20.100000000000001" customHeight="1" x14ac:dyDescent="0.45">
      <c r="A2" s="288" t="str">
        <f>Doku!B29</f>
        <v>des Deutschen Judobundes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</row>
    <row r="3" spans="1:32" s="23" customFormat="1" ht="39.950000000000003" customHeight="1" x14ac:dyDescent="0.5">
      <c r="A3" s="289" t="s">
        <v>70</v>
      </c>
      <c r="B3" s="289"/>
      <c r="C3" s="289"/>
      <c r="D3" s="289"/>
      <c r="E3" s="289"/>
      <c r="F3" s="289"/>
      <c r="G3" s="289"/>
      <c r="H3" s="289"/>
      <c r="I3" s="289"/>
      <c r="J3" s="289"/>
      <c r="K3" s="289"/>
    </row>
    <row r="4" spans="1:32" s="23" customFormat="1" ht="12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5" customHeight="1" x14ac:dyDescent="0.25">
      <c r="A5" s="332" t="str">
        <f>Doku!B31&amp;":"</f>
        <v>Bewerter:</v>
      </c>
      <c r="B5" s="332"/>
      <c r="C5" s="332"/>
      <c r="D5" s="332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55000000000000004">
      <c r="A6" s="1"/>
      <c r="B6" s="1"/>
      <c r="C6" s="2"/>
      <c r="D6" s="2"/>
      <c r="E6" s="147"/>
      <c r="F6" s="148"/>
      <c r="G6" s="148"/>
      <c r="H6" s="343"/>
      <c r="I6" s="343"/>
      <c r="J6" s="343"/>
      <c r="K6" s="23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35">
      <c r="A7" s="12"/>
      <c r="B7" s="12"/>
      <c r="C7" s="12"/>
      <c r="D7" s="341" t="str">
        <f>Doku!B33</f>
        <v>Nachname</v>
      </c>
      <c r="E7" s="335"/>
      <c r="F7" s="333" t="str">
        <f>Doku!B34</f>
        <v>Vorname</v>
      </c>
      <c r="G7" s="334"/>
      <c r="H7" s="335"/>
      <c r="I7" s="336" t="str">
        <f>Doku!B35</f>
        <v>Verein</v>
      </c>
      <c r="J7" s="336"/>
      <c r="K7" s="13" t="str">
        <f>Doku!B36</f>
        <v>Land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5" customHeight="1" x14ac:dyDescent="0.25">
      <c r="A8" s="18" t="s">
        <v>31</v>
      </c>
      <c r="B8" s="18"/>
      <c r="C8" s="18"/>
      <c r="D8" s="342"/>
      <c r="E8" s="339"/>
      <c r="F8" s="337"/>
      <c r="G8" s="338"/>
      <c r="H8" s="339"/>
      <c r="I8" s="340"/>
      <c r="J8" s="340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5" customHeight="1" thickBot="1" x14ac:dyDescent="0.3">
      <c r="A9" s="18" t="s">
        <v>32</v>
      </c>
      <c r="B9" s="18"/>
      <c r="C9" s="18"/>
      <c r="D9" s="331"/>
      <c r="E9" s="325"/>
      <c r="F9" s="323"/>
      <c r="G9" s="324"/>
      <c r="H9" s="325"/>
      <c r="I9" s="326"/>
      <c r="J9" s="326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39.75" customHeight="1" thickTop="1" thickBot="1" x14ac:dyDescent="0.3">
      <c r="A11" s="5"/>
      <c r="B11" s="5"/>
      <c r="C11" s="5"/>
      <c r="D11" s="5"/>
      <c r="E11" s="5"/>
      <c r="F11" s="327" t="str">
        <f>Doku!B38</f>
        <v>Kleiner Fehler</v>
      </c>
      <c r="G11" s="328"/>
      <c r="H11" s="17" t="str">
        <f>Doku!B39</f>
        <v>Mittlerer Fehler</v>
      </c>
      <c r="I11" s="17" t="str">
        <f>Doku!B40</f>
        <v>Großer Fehler</v>
      </c>
      <c r="J11" s="329" t="str">
        <f>Doku!B41</f>
        <v>Technik vergessen</v>
      </c>
      <c r="K11" s="309" t="str">
        <f>Doku!B42</f>
        <v>Gesamt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">
      <c r="A12" s="311" t="str">
        <f>Doku!B37</f>
        <v>Technik</v>
      </c>
      <c r="B12" s="312"/>
      <c r="C12" s="312"/>
      <c r="D12" s="312"/>
      <c r="E12" s="313"/>
      <c r="F12" s="314">
        <v>1</v>
      </c>
      <c r="G12" s="315"/>
      <c r="H12" s="14">
        <v>3</v>
      </c>
      <c r="I12" s="14">
        <v>5</v>
      </c>
      <c r="J12" s="330"/>
      <c r="K12" s="31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">
      <c r="A13" s="6">
        <v>1</v>
      </c>
      <c r="B13" s="250"/>
      <c r="C13" s="99"/>
      <c r="D13" s="319" t="s">
        <v>7</v>
      </c>
      <c r="E13" s="320"/>
      <c r="F13" s="74"/>
      <c r="G13" s="75"/>
      <c r="H13" s="76"/>
      <c r="I13" s="76"/>
      <c r="J13" s="77"/>
      <c r="K13" s="72" t="str">
        <f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25">
      <c r="A14" s="7">
        <v>2</v>
      </c>
      <c r="B14" s="7"/>
      <c r="C14" s="295" t="s">
        <v>71</v>
      </c>
      <c r="D14" s="345" t="s">
        <v>72</v>
      </c>
      <c r="E14" s="346"/>
      <c r="F14" s="43"/>
      <c r="G14" s="44"/>
      <c r="H14" s="45"/>
      <c r="I14" s="45"/>
      <c r="J14" s="46"/>
      <c r="K14" s="32" t="str">
        <f t="shared" ref="K14:K29" si="0">IF($K$37&lt;&gt;"",IF(J14&lt;&gt;"",0,MAX(1,10-5*(I14&lt;&gt;"")-3*(H14&lt;&gt;"")-1*(G14&lt;&gt;"")-1*(F14&lt;&gt;""))),"")</f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25">
      <c r="A15" s="8">
        <v>3</v>
      </c>
      <c r="B15" s="7"/>
      <c r="C15" s="296"/>
      <c r="D15" s="347" t="s">
        <v>73</v>
      </c>
      <c r="E15" s="348"/>
      <c r="F15" s="78"/>
      <c r="G15" s="79"/>
      <c r="H15" s="80"/>
      <c r="I15" s="80"/>
      <c r="J15" s="81"/>
      <c r="K15" s="82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x14ac:dyDescent="0.25">
      <c r="A16" s="100">
        <v>4</v>
      </c>
      <c r="B16" s="7"/>
      <c r="C16" s="296"/>
      <c r="D16" s="349" t="s">
        <v>74</v>
      </c>
      <c r="E16" s="350"/>
      <c r="F16" s="47"/>
      <c r="G16" s="48"/>
      <c r="H16" s="49"/>
      <c r="I16" s="49"/>
      <c r="J16" s="50"/>
      <c r="K16" s="34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25">
      <c r="A17" s="8">
        <v>5</v>
      </c>
      <c r="B17" s="7"/>
      <c r="C17" s="296"/>
      <c r="D17" s="347" t="s">
        <v>75</v>
      </c>
      <c r="E17" s="348"/>
      <c r="F17" s="78"/>
      <c r="G17" s="79"/>
      <c r="H17" s="80"/>
      <c r="I17" s="80"/>
      <c r="J17" s="81"/>
      <c r="K17" s="82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thickBot="1" x14ac:dyDescent="0.3">
      <c r="A18" s="9">
        <v>6</v>
      </c>
      <c r="B18" s="252"/>
      <c r="C18" s="344"/>
      <c r="D18" s="351" t="s">
        <v>76</v>
      </c>
      <c r="E18" s="352"/>
      <c r="F18" s="47"/>
      <c r="G18" s="48"/>
      <c r="H18" s="49"/>
      <c r="I18" s="49"/>
      <c r="J18" s="50"/>
      <c r="K18" s="34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x14ac:dyDescent="0.25">
      <c r="A19" s="101">
        <v>7</v>
      </c>
      <c r="B19" s="7"/>
      <c r="C19" s="296" t="s">
        <v>77</v>
      </c>
      <c r="D19" s="353" t="s">
        <v>78</v>
      </c>
      <c r="E19" s="354"/>
      <c r="F19" s="102"/>
      <c r="G19" s="103"/>
      <c r="H19" s="104"/>
      <c r="I19" s="104"/>
      <c r="J19" s="105"/>
      <c r="K19" s="106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25">
      <c r="A20" s="101">
        <v>8</v>
      </c>
      <c r="B20" s="7"/>
      <c r="C20" s="296"/>
      <c r="D20" s="349" t="s">
        <v>79</v>
      </c>
      <c r="E20" s="350"/>
      <c r="F20" s="47"/>
      <c r="G20" s="48"/>
      <c r="H20" s="49"/>
      <c r="I20" s="49"/>
      <c r="J20" s="50"/>
      <c r="K20" s="34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25">
      <c r="A21" s="8">
        <v>9</v>
      </c>
      <c r="B21" s="7"/>
      <c r="C21" s="296"/>
      <c r="D21" s="347" t="s">
        <v>80</v>
      </c>
      <c r="E21" s="348"/>
      <c r="F21" s="78"/>
      <c r="G21" s="79"/>
      <c r="H21" s="80"/>
      <c r="I21" s="80"/>
      <c r="J21" s="81"/>
      <c r="K21" s="82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x14ac:dyDescent="0.25">
      <c r="A22" s="107">
        <v>10</v>
      </c>
      <c r="B22" s="7"/>
      <c r="C22" s="296"/>
      <c r="D22" s="349" t="s">
        <v>81</v>
      </c>
      <c r="E22" s="350"/>
      <c r="F22" s="47"/>
      <c r="G22" s="48"/>
      <c r="H22" s="49"/>
      <c r="I22" s="49"/>
      <c r="J22" s="50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thickBot="1" x14ac:dyDescent="0.3">
      <c r="A23" s="9">
        <v>11</v>
      </c>
      <c r="B23" s="252"/>
      <c r="C23" s="344"/>
      <c r="D23" s="355" t="s">
        <v>82</v>
      </c>
      <c r="E23" s="356"/>
      <c r="F23" s="83"/>
      <c r="G23" s="84"/>
      <c r="H23" s="85"/>
      <c r="I23" s="85"/>
      <c r="J23" s="86"/>
      <c r="K23" s="87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25">
      <c r="A24" s="7">
        <v>12</v>
      </c>
      <c r="B24" s="7"/>
      <c r="C24" s="296" t="s">
        <v>83</v>
      </c>
      <c r="D24" s="351" t="s">
        <v>84</v>
      </c>
      <c r="E24" s="352"/>
      <c r="F24" s="43"/>
      <c r="G24" s="44"/>
      <c r="H24" s="45"/>
      <c r="I24" s="45"/>
      <c r="J24" s="46"/>
      <c r="K24" s="32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x14ac:dyDescent="0.25">
      <c r="A25" s="100">
        <v>13</v>
      </c>
      <c r="B25" s="7"/>
      <c r="C25" s="296"/>
      <c r="D25" s="347" t="s">
        <v>85</v>
      </c>
      <c r="E25" s="348"/>
      <c r="F25" s="78"/>
      <c r="G25" s="79"/>
      <c r="H25" s="80"/>
      <c r="I25" s="80"/>
      <c r="J25" s="81"/>
      <c r="K25" s="82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25">
      <c r="A26" s="101">
        <v>14</v>
      </c>
      <c r="B26" s="7"/>
      <c r="C26" s="296"/>
      <c r="D26" s="351" t="s">
        <v>86</v>
      </c>
      <c r="E26" s="352"/>
      <c r="F26" s="47"/>
      <c r="G26" s="48"/>
      <c r="H26" s="49"/>
      <c r="I26" s="49"/>
      <c r="J26" s="50"/>
      <c r="K26" s="34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25">
      <c r="A27" s="7">
        <v>15</v>
      </c>
      <c r="B27" s="7"/>
      <c r="C27" s="296"/>
      <c r="D27" s="347" t="s">
        <v>87</v>
      </c>
      <c r="E27" s="348"/>
      <c r="F27" s="78"/>
      <c r="G27" s="79"/>
      <c r="H27" s="80"/>
      <c r="I27" s="80"/>
      <c r="J27" s="81"/>
      <c r="K27" s="82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">
      <c r="A28" s="9">
        <v>16</v>
      </c>
      <c r="B28" s="252"/>
      <c r="C28" s="344"/>
      <c r="D28" s="357" t="s">
        <v>88</v>
      </c>
      <c r="E28" s="358"/>
      <c r="F28" s="94"/>
      <c r="G28" s="95"/>
      <c r="H28" s="96"/>
      <c r="I28" s="96"/>
      <c r="J28" s="97"/>
      <c r="K28" s="98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">
      <c r="A29" s="11">
        <v>17</v>
      </c>
      <c r="B29" s="251"/>
      <c r="C29" s="93"/>
      <c r="D29" s="290" t="s">
        <v>28</v>
      </c>
      <c r="E29" s="291"/>
      <c r="F29" s="88"/>
      <c r="G29" s="89"/>
      <c r="H29" s="90"/>
      <c r="I29" s="90"/>
      <c r="J29" s="91"/>
      <c r="K29" s="92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Top="1" thickBot="1" x14ac:dyDescent="0.3">
      <c r="A30" s="263"/>
      <c r="B30" s="264"/>
      <c r="C30" s="260"/>
      <c r="D30" s="238"/>
      <c r="E30" s="239"/>
      <c r="F30" s="265"/>
      <c r="G30" s="266"/>
      <c r="H30" s="267"/>
      <c r="I30" s="268"/>
      <c r="J30" s="269"/>
      <c r="K30" s="270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">
      <c r="A31" s="263"/>
      <c r="B31" s="264"/>
      <c r="C31" s="260"/>
      <c r="D31" s="238"/>
      <c r="E31" s="239"/>
      <c r="F31" s="265"/>
      <c r="G31" s="266"/>
      <c r="H31" s="267"/>
      <c r="I31" s="268"/>
      <c r="J31" s="269"/>
      <c r="K31" s="270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">
      <c r="A32" s="263"/>
      <c r="B32" s="264"/>
      <c r="C32" s="260"/>
      <c r="D32" s="238"/>
      <c r="E32" s="239"/>
      <c r="F32" s="265"/>
      <c r="G32" s="266"/>
      <c r="H32" s="267"/>
      <c r="I32" s="268"/>
      <c r="J32" s="269"/>
      <c r="K32" s="270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">
      <c r="A33" s="263"/>
      <c r="B33" s="264"/>
      <c r="C33" s="260"/>
      <c r="D33" s="238"/>
      <c r="E33" s="239"/>
      <c r="F33" s="265"/>
      <c r="G33" s="266"/>
      <c r="H33" s="267"/>
      <c r="I33" s="268"/>
      <c r="J33" s="269"/>
      <c r="K33" s="270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">
      <c r="A34" s="263"/>
      <c r="B34" s="264"/>
      <c r="C34" s="260"/>
      <c r="D34" s="238"/>
      <c r="E34" s="239"/>
      <c r="F34" s="265"/>
      <c r="G34" s="266"/>
      <c r="H34" s="267"/>
      <c r="I34" s="268"/>
      <c r="J34" s="269"/>
      <c r="K34" s="270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">
      <c r="A35" s="263"/>
      <c r="B35" s="264"/>
      <c r="C35" s="260"/>
      <c r="D35" s="238"/>
      <c r="E35" s="239"/>
      <c r="F35" s="265"/>
      <c r="G35" s="266"/>
      <c r="H35" s="267"/>
      <c r="I35" s="268"/>
      <c r="J35" s="269"/>
      <c r="K35" s="270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5" customHeight="1" thickTop="1" thickBot="1" x14ac:dyDescent="0.3">
      <c r="A36" s="292" t="str">
        <f>Doku!B43&amp;":"</f>
        <v>Summe Fehler und Punkte:</v>
      </c>
      <c r="B36" s="293"/>
      <c r="C36" s="293"/>
      <c r="D36" s="293"/>
      <c r="E36" s="294"/>
      <c r="F36" s="68" t="str">
        <f>IF($K$37&lt;&gt;"",COUNTA(F13:F29),"")</f>
        <v/>
      </c>
      <c r="G36" s="108" t="str">
        <f t="shared" ref="G36:J36" si="1">IF($K$37&lt;&gt;"",COUNTA(G13:G29),"")</f>
        <v/>
      </c>
      <c r="H36" s="35" t="str">
        <f t="shared" si="1"/>
        <v/>
      </c>
      <c r="I36" s="67" t="str">
        <f t="shared" si="1"/>
        <v/>
      </c>
      <c r="J36" s="109" t="str">
        <f t="shared" si="1"/>
        <v/>
      </c>
      <c r="K36" s="110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">
      <c r="A37" s="321" t="str">
        <f>Doku!B44&amp;":"</f>
        <v>Position:</v>
      </c>
      <c r="B37" s="322"/>
      <c r="C37" s="322"/>
      <c r="D37" s="322"/>
      <c r="E37" s="235"/>
      <c r="F37" s="316" t="str">
        <f>Doku!B45</f>
        <v>Übertrag ok?</v>
      </c>
      <c r="G37" s="317"/>
      <c r="H37" s="317"/>
      <c r="I37" s="317"/>
      <c r="J37" s="318"/>
      <c r="K37" s="111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.75" thickTop="1" x14ac:dyDescent="0.25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25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25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2"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A1:K1"/>
    <mergeCell ref="A2:K2"/>
    <mergeCell ref="A3:K3"/>
    <mergeCell ref="A5:D5"/>
    <mergeCell ref="D7:E7"/>
    <mergeCell ref="F7:H7"/>
    <mergeCell ref="I7:J7"/>
    <mergeCell ref="H6:J6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F40"/>
  <sheetViews>
    <sheetView zoomScaleNormal="100" zoomScaleSheetLayoutView="100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23.425781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32" s="23" customFormat="1" ht="24.95" customHeight="1" x14ac:dyDescent="0.5">
      <c r="A1" s="287" t="str">
        <f>Doku!B28</f>
        <v>Kata Meisterschaft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</row>
    <row r="2" spans="1:32" s="26" customFormat="1" ht="20.100000000000001" customHeight="1" x14ac:dyDescent="0.45">
      <c r="A2" s="288" t="str">
        <f>Doku!B29</f>
        <v>des Deutschen Judobundes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</row>
    <row r="3" spans="1:32" s="23" customFormat="1" ht="39.950000000000003" customHeight="1" x14ac:dyDescent="0.5">
      <c r="A3" s="289" t="s">
        <v>92</v>
      </c>
      <c r="B3" s="289"/>
      <c r="C3" s="289"/>
      <c r="D3" s="289"/>
      <c r="E3" s="289"/>
      <c r="F3" s="289"/>
      <c r="G3" s="289"/>
      <c r="H3" s="289"/>
      <c r="I3" s="289"/>
      <c r="J3" s="289"/>
      <c r="K3" s="289"/>
    </row>
    <row r="4" spans="1:32" s="23" customFormat="1" ht="12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5" customHeight="1" x14ac:dyDescent="0.25">
      <c r="A5" s="332" t="str">
        <f>Doku!B31&amp;":"</f>
        <v>Bewerter:</v>
      </c>
      <c r="B5" s="332"/>
      <c r="C5" s="332"/>
      <c r="D5" s="332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55000000000000004">
      <c r="A6" s="1"/>
      <c r="B6" s="1"/>
      <c r="C6" s="2"/>
      <c r="D6" s="2"/>
      <c r="E6" s="147"/>
      <c r="F6" s="148"/>
      <c r="G6" s="148"/>
      <c r="H6" s="343"/>
      <c r="I6" s="343"/>
      <c r="J6" s="343"/>
      <c r="K6" s="23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35">
      <c r="A7" s="12"/>
      <c r="B7" s="12"/>
      <c r="C7" s="12"/>
      <c r="D7" s="341" t="str">
        <f>Doku!B33</f>
        <v>Nachname</v>
      </c>
      <c r="E7" s="335"/>
      <c r="F7" s="333" t="str">
        <f>Doku!B34</f>
        <v>Vorname</v>
      </c>
      <c r="G7" s="334"/>
      <c r="H7" s="335"/>
      <c r="I7" s="336" t="str">
        <f>Doku!B35</f>
        <v>Verein</v>
      </c>
      <c r="J7" s="336"/>
      <c r="K7" s="13" t="str">
        <f>Doku!B36</f>
        <v>Land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5" customHeight="1" x14ac:dyDescent="0.25">
      <c r="A8" s="18" t="s">
        <v>31</v>
      </c>
      <c r="B8" s="18"/>
      <c r="C8" s="18"/>
      <c r="D8" s="342"/>
      <c r="E8" s="339"/>
      <c r="F8" s="337"/>
      <c r="G8" s="338"/>
      <c r="H8" s="339"/>
      <c r="I8" s="340"/>
      <c r="J8" s="340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5" customHeight="1" thickBot="1" x14ac:dyDescent="0.3">
      <c r="A9" s="18" t="s">
        <v>32</v>
      </c>
      <c r="B9" s="18"/>
      <c r="C9" s="18"/>
      <c r="D9" s="331"/>
      <c r="E9" s="325"/>
      <c r="F9" s="323"/>
      <c r="G9" s="324"/>
      <c r="H9" s="325"/>
      <c r="I9" s="326"/>
      <c r="J9" s="326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39.75" customHeight="1" thickTop="1" thickBot="1" x14ac:dyDescent="0.3">
      <c r="A11" s="5"/>
      <c r="B11" s="5"/>
      <c r="C11" s="5"/>
      <c r="D11" s="5"/>
      <c r="E11" s="5"/>
      <c r="F11" s="327" t="str">
        <f>Doku!B38</f>
        <v>Kleiner Fehler</v>
      </c>
      <c r="G11" s="328"/>
      <c r="H11" s="17" t="str">
        <f>Doku!B39</f>
        <v>Mittlerer Fehler</v>
      </c>
      <c r="I11" s="17" t="str">
        <f>Doku!B40</f>
        <v>Großer Fehler</v>
      </c>
      <c r="J11" s="329" t="str">
        <f>Doku!B41</f>
        <v>Technik vergessen</v>
      </c>
      <c r="K11" s="309" t="str">
        <f>Doku!B42</f>
        <v>Gesamt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">
      <c r="A12" s="311" t="str">
        <f>Doku!B37</f>
        <v>Technik</v>
      </c>
      <c r="B12" s="312"/>
      <c r="C12" s="312"/>
      <c r="D12" s="312"/>
      <c r="E12" s="313"/>
      <c r="F12" s="314">
        <v>1</v>
      </c>
      <c r="G12" s="315"/>
      <c r="H12" s="14">
        <v>3</v>
      </c>
      <c r="I12" s="14">
        <v>5</v>
      </c>
      <c r="J12" s="330"/>
      <c r="K12" s="31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">
      <c r="A13" s="6">
        <v>1</v>
      </c>
      <c r="B13" s="250"/>
      <c r="C13" s="99"/>
      <c r="D13" s="369" t="s">
        <v>7</v>
      </c>
      <c r="E13" s="370"/>
      <c r="F13" s="121"/>
      <c r="G13" s="122"/>
      <c r="H13" s="123"/>
      <c r="I13" s="123"/>
      <c r="J13" s="124"/>
      <c r="K13" s="125" t="str">
        <f t="shared" ref="K13:K29" si="0"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25">
      <c r="A14" s="7">
        <v>2</v>
      </c>
      <c r="B14" s="7"/>
      <c r="C14" s="295" t="s">
        <v>93</v>
      </c>
      <c r="D14" s="303" t="s">
        <v>94</v>
      </c>
      <c r="E14" s="304"/>
      <c r="F14" s="43"/>
      <c r="G14" s="44"/>
      <c r="H14" s="45"/>
      <c r="I14" s="45"/>
      <c r="J14" s="46"/>
      <c r="K14" s="32" t="str">
        <f t="shared" si="0"/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25">
      <c r="A15" s="8">
        <v>3</v>
      </c>
      <c r="B15" s="7"/>
      <c r="C15" s="296"/>
      <c r="D15" s="361" t="s">
        <v>95</v>
      </c>
      <c r="E15" s="362"/>
      <c r="F15" s="126"/>
      <c r="G15" s="127"/>
      <c r="H15" s="128"/>
      <c r="I15" s="128"/>
      <c r="J15" s="129"/>
      <c r="K15" s="130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x14ac:dyDescent="0.25">
      <c r="A16" s="100">
        <v>4</v>
      </c>
      <c r="B16" s="7"/>
      <c r="C16" s="296"/>
      <c r="D16" s="299" t="s">
        <v>96</v>
      </c>
      <c r="E16" s="300"/>
      <c r="F16" s="131"/>
      <c r="G16" s="132"/>
      <c r="H16" s="133"/>
      <c r="I16" s="133"/>
      <c r="J16" s="134"/>
      <c r="K16" s="135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25">
      <c r="A17" s="8">
        <v>5</v>
      </c>
      <c r="B17" s="7"/>
      <c r="C17" s="296"/>
      <c r="D17" s="361" t="s">
        <v>97</v>
      </c>
      <c r="E17" s="362"/>
      <c r="F17" s="126"/>
      <c r="G17" s="127"/>
      <c r="H17" s="128"/>
      <c r="I17" s="128"/>
      <c r="J17" s="129"/>
      <c r="K17" s="130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thickBot="1" x14ac:dyDescent="0.3">
      <c r="A18" s="9">
        <v>6</v>
      </c>
      <c r="B18" s="252"/>
      <c r="C18" s="344"/>
      <c r="D18" s="363" t="s">
        <v>98</v>
      </c>
      <c r="E18" s="364"/>
      <c r="F18" s="47"/>
      <c r="G18" s="48"/>
      <c r="H18" s="49"/>
      <c r="I18" s="49"/>
      <c r="J18" s="50"/>
      <c r="K18" s="34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x14ac:dyDescent="0.25">
      <c r="A19" s="101">
        <v>7</v>
      </c>
      <c r="B19" s="7"/>
      <c r="C19" s="296" t="s">
        <v>99</v>
      </c>
      <c r="D19" s="365" t="s">
        <v>100</v>
      </c>
      <c r="E19" s="366"/>
      <c r="F19" s="121"/>
      <c r="G19" s="122"/>
      <c r="H19" s="123"/>
      <c r="I19" s="123"/>
      <c r="J19" s="124"/>
      <c r="K19" s="125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25">
      <c r="A20" s="101">
        <v>8</v>
      </c>
      <c r="B20" s="7"/>
      <c r="C20" s="296"/>
      <c r="D20" s="299" t="s">
        <v>101</v>
      </c>
      <c r="E20" s="300"/>
      <c r="F20" s="39"/>
      <c r="G20" s="40"/>
      <c r="H20" s="41"/>
      <c r="I20" s="41"/>
      <c r="J20" s="42"/>
      <c r="K20" s="33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25">
      <c r="A21" s="8">
        <v>9</v>
      </c>
      <c r="B21" s="7"/>
      <c r="C21" s="296"/>
      <c r="D21" s="361" t="s">
        <v>102</v>
      </c>
      <c r="E21" s="362"/>
      <c r="F21" s="126"/>
      <c r="G21" s="127"/>
      <c r="H21" s="128"/>
      <c r="I21" s="128"/>
      <c r="J21" s="129"/>
      <c r="K21" s="130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x14ac:dyDescent="0.25">
      <c r="A22" s="107">
        <v>10</v>
      </c>
      <c r="B22" s="7"/>
      <c r="C22" s="296"/>
      <c r="D22" s="299" t="s">
        <v>103</v>
      </c>
      <c r="E22" s="300"/>
      <c r="F22" s="47"/>
      <c r="G22" s="48"/>
      <c r="H22" s="49"/>
      <c r="I22" s="49"/>
      <c r="J22" s="50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thickBot="1" x14ac:dyDescent="0.3">
      <c r="A23" s="9">
        <v>11</v>
      </c>
      <c r="B23" s="252"/>
      <c r="C23" s="344"/>
      <c r="D23" s="367" t="s">
        <v>104</v>
      </c>
      <c r="E23" s="368"/>
      <c r="F23" s="136"/>
      <c r="G23" s="137"/>
      <c r="H23" s="138"/>
      <c r="I23" s="138"/>
      <c r="J23" s="139"/>
      <c r="K23" s="140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25">
      <c r="A24" s="7">
        <v>12</v>
      </c>
      <c r="B24" s="7"/>
      <c r="C24" s="296" t="s">
        <v>105</v>
      </c>
      <c r="D24" s="303" t="s">
        <v>106</v>
      </c>
      <c r="E24" s="304"/>
      <c r="F24" s="43"/>
      <c r="G24" s="44"/>
      <c r="H24" s="45"/>
      <c r="I24" s="45"/>
      <c r="J24" s="46"/>
      <c r="K24" s="32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x14ac:dyDescent="0.25">
      <c r="A25" s="100">
        <v>13</v>
      </c>
      <c r="B25" s="7"/>
      <c r="C25" s="296"/>
      <c r="D25" s="361" t="s">
        <v>107</v>
      </c>
      <c r="E25" s="362"/>
      <c r="F25" s="126"/>
      <c r="G25" s="127"/>
      <c r="H25" s="128"/>
      <c r="I25" s="128"/>
      <c r="J25" s="129"/>
      <c r="K25" s="130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25">
      <c r="A26" s="101">
        <v>14</v>
      </c>
      <c r="B26" s="7"/>
      <c r="C26" s="296"/>
      <c r="D26" s="299" t="s">
        <v>108</v>
      </c>
      <c r="E26" s="300"/>
      <c r="F26" s="47"/>
      <c r="G26" s="48"/>
      <c r="H26" s="49"/>
      <c r="I26" s="49"/>
      <c r="J26" s="50"/>
      <c r="K26" s="34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25">
      <c r="A27" s="7">
        <v>15</v>
      </c>
      <c r="B27" s="7"/>
      <c r="C27" s="296"/>
      <c r="D27" s="361" t="s">
        <v>109</v>
      </c>
      <c r="E27" s="362"/>
      <c r="F27" s="126"/>
      <c r="G27" s="127"/>
      <c r="H27" s="128"/>
      <c r="I27" s="128"/>
      <c r="J27" s="129"/>
      <c r="K27" s="130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">
      <c r="A28" s="9">
        <v>16</v>
      </c>
      <c r="B28" s="252"/>
      <c r="C28" s="344"/>
      <c r="D28" s="363" t="s">
        <v>110</v>
      </c>
      <c r="E28" s="364"/>
      <c r="F28" s="94"/>
      <c r="G28" s="95"/>
      <c r="H28" s="96"/>
      <c r="I28" s="96"/>
      <c r="J28" s="97"/>
      <c r="K28" s="98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">
      <c r="A29" s="9">
        <v>17</v>
      </c>
      <c r="B29" s="7"/>
      <c r="C29" s="93"/>
      <c r="D29" s="359" t="s">
        <v>28</v>
      </c>
      <c r="E29" s="360"/>
      <c r="F29" s="141"/>
      <c r="G29" s="142"/>
      <c r="H29" s="143"/>
      <c r="I29" s="143"/>
      <c r="J29" s="144"/>
      <c r="K29" s="145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Bot="1" x14ac:dyDescent="0.3">
      <c r="A30" s="7"/>
      <c r="B30" s="259"/>
      <c r="C30" s="260"/>
      <c r="D30" s="261"/>
      <c r="E30" s="262"/>
      <c r="F30" s="178"/>
      <c r="G30" s="179"/>
      <c r="H30" s="180"/>
      <c r="I30" s="180"/>
      <c r="J30" s="256"/>
      <c r="K30" s="182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">
      <c r="A31" s="7"/>
      <c r="B31" s="259"/>
      <c r="C31" s="260"/>
      <c r="D31" s="261"/>
      <c r="E31" s="262"/>
      <c r="F31" s="178"/>
      <c r="G31" s="179"/>
      <c r="H31" s="180"/>
      <c r="I31" s="180"/>
      <c r="J31" s="256"/>
      <c r="K31" s="182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">
      <c r="A32" s="7"/>
      <c r="B32" s="259"/>
      <c r="C32" s="260"/>
      <c r="D32" s="261"/>
      <c r="E32" s="262"/>
      <c r="F32" s="178"/>
      <c r="G32" s="179"/>
      <c r="H32" s="180"/>
      <c r="I32" s="180"/>
      <c r="J32" s="256"/>
      <c r="K32" s="182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">
      <c r="A33" s="7"/>
      <c r="B33" s="259"/>
      <c r="C33" s="260"/>
      <c r="D33" s="261"/>
      <c r="E33" s="262"/>
      <c r="F33" s="178"/>
      <c r="G33" s="179"/>
      <c r="H33" s="180"/>
      <c r="I33" s="180"/>
      <c r="J33" s="256"/>
      <c r="K33" s="182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">
      <c r="A34" s="7"/>
      <c r="B34" s="259"/>
      <c r="C34" s="260"/>
      <c r="D34" s="261"/>
      <c r="E34" s="262"/>
      <c r="F34" s="178"/>
      <c r="G34" s="179"/>
      <c r="H34" s="180"/>
      <c r="I34" s="180"/>
      <c r="J34" s="256"/>
      <c r="K34" s="182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">
      <c r="A35" s="7"/>
      <c r="B35" s="259"/>
      <c r="C35" s="260"/>
      <c r="D35" s="261"/>
      <c r="E35" s="262"/>
      <c r="F35" s="178"/>
      <c r="G35" s="179"/>
      <c r="H35" s="180"/>
      <c r="I35" s="180"/>
      <c r="J35" s="256"/>
      <c r="K35" s="182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5" customHeight="1" thickTop="1" thickBot="1" x14ac:dyDescent="0.3">
      <c r="A36" s="292" t="str">
        <f>Doku!B43&amp;":"</f>
        <v>Summe Fehler und Punkte:</v>
      </c>
      <c r="B36" s="293"/>
      <c r="C36" s="293"/>
      <c r="D36" s="293"/>
      <c r="E36" s="294"/>
      <c r="F36" s="68" t="str">
        <f>IF($K$37&lt;&gt;"",COUNTA(F13:F29),"")</f>
        <v/>
      </c>
      <c r="G36" s="108" t="str">
        <f>IF($K$37&lt;&gt;"",COUNTA(G13:G29),"")</f>
        <v/>
      </c>
      <c r="H36" s="35" t="str">
        <f>IF($K$37&lt;&gt;"",COUNTA(H13:H29),"")</f>
        <v/>
      </c>
      <c r="I36" s="35" t="str">
        <f>IF($K$37&lt;&gt;"",COUNTA(I13:I29),"")</f>
        <v/>
      </c>
      <c r="J36" s="109" t="str">
        <f>IF($K$37&lt;&gt;"",COUNTA(J13:J29),"")</f>
        <v/>
      </c>
      <c r="K36" s="110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">
      <c r="A37" s="321" t="str">
        <f>Doku!B44&amp;":"</f>
        <v>Position:</v>
      </c>
      <c r="B37" s="322"/>
      <c r="C37" s="322"/>
      <c r="D37" s="322"/>
      <c r="E37" s="235"/>
      <c r="F37" s="316" t="str">
        <f>Doku!B45</f>
        <v>Übertrag ok?</v>
      </c>
      <c r="G37" s="317"/>
      <c r="H37" s="317"/>
      <c r="I37" s="317"/>
      <c r="J37" s="318"/>
      <c r="K37" s="111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.75" thickTop="1" x14ac:dyDescent="0.25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25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25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2">
    <mergeCell ref="A1:K1"/>
    <mergeCell ref="A2:K2"/>
    <mergeCell ref="A3:K3"/>
    <mergeCell ref="A5:D5"/>
    <mergeCell ref="D7:E7"/>
    <mergeCell ref="F7:H7"/>
    <mergeCell ref="I7:J7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C19:C23"/>
    <mergeCell ref="D19:E19"/>
    <mergeCell ref="D20:E20"/>
    <mergeCell ref="D21:E21"/>
    <mergeCell ref="D22:E22"/>
    <mergeCell ref="D23:E23"/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K38"/>
  <sheetViews>
    <sheetView zoomScaleNormal="100" zoomScaleSheetLayoutView="85" workbookViewId="0">
      <selection sqref="A1:K1"/>
    </sheetView>
  </sheetViews>
  <sheetFormatPr baseColWidth="10" defaultColWidth="11.42578125" defaultRowHeight="15" x14ac:dyDescent="0.25"/>
  <cols>
    <col min="1" max="3" width="3.7109375" style="24" customWidth="1"/>
    <col min="4" max="4" width="5.7109375" style="24" customWidth="1"/>
    <col min="5" max="5" width="19.710937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11" s="23" customFormat="1" ht="24.95" customHeight="1" x14ac:dyDescent="0.5">
      <c r="A1" s="287" t="str">
        <f>Doku!B28</f>
        <v>Kata Meisterschaft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</row>
    <row r="2" spans="1:11" s="23" customFormat="1" ht="20.100000000000001" customHeight="1" x14ac:dyDescent="0.5">
      <c r="A2" s="288" t="str">
        <f>Doku!B29</f>
        <v>des Deutschen Judobundes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</row>
    <row r="3" spans="1:11" s="23" customFormat="1" ht="39.950000000000003" customHeight="1" x14ac:dyDescent="0.5">
      <c r="A3" s="289" t="s">
        <v>111</v>
      </c>
      <c r="B3" s="289"/>
      <c r="C3" s="289"/>
      <c r="D3" s="289"/>
      <c r="E3" s="289"/>
      <c r="F3" s="289"/>
      <c r="G3" s="289"/>
      <c r="H3" s="289"/>
      <c r="I3" s="289"/>
      <c r="J3" s="289"/>
      <c r="K3" s="289"/>
    </row>
    <row r="4" spans="1:11" s="23" customFormat="1" ht="7.9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  <c r="K4" s="25"/>
    </row>
    <row r="5" spans="1:11" ht="21.95" customHeight="1" x14ac:dyDescent="0.25">
      <c r="A5" s="332" t="str">
        <f>Doku!B31&amp;":"</f>
        <v>Bewerter:</v>
      </c>
      <c r="B5" s="332"/>
      <c r="C5" s="332"/>
      <c r="D5" s="332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</row>
    <row r="6" spans="1:11" ht="7.9" customHeight="1" thickBot="1" x14ac:dyDescent="0.55000000000000004">
      <c r="A6" s="1"/>
      <c r="B6" s="1"/>
      <c r="C6" s="2"/>
      <c r="D6" s="2"/>
      <c r="E6" s="147"/>
      <c r="F6" s="148"/>
      <c r="G6" s="148"/>
      <c r="H6" s="343"/>
      <c r="I6" s="343"/>
      <c r="J6" s="343"/>
      <c r="K6" s="23"/>
    </row>
    <row r="7" spans="1:11" s="25" customFormat="1" ht="20.100000000000001" customHeight="1" x14ac:dyDescent="0.35">
      <c r="A7" s="12"/>
      <c r="B7" s="12"/>
      <c r="C7" s="12"/>
      <c r="D7" s="341" t="str">
        <f>Doku!B33</f>
        <v>Nachname</v>
      </c>
      <c r="E7" s="335"/>
      <c r="F7" s="333" t="str">
        <f>Doku!B34</f>
        <v>Vorname</v>
      </c>
      <c r="G7" s="334"/>
      <c r="H7" s="335"/>
      <c r="I7" s="336" t="str">
        <f>Doku!B35</f>
        <v>Verein</v>
      </c>
      <c r="J7" s="336"/>
      <c r="K7" s="13" t="str">
        <f>Doku!B36</f>
        <v>Land</v>
      </c>
    </row>
    <row r="8" spans="1:11" ht="21.95" customHeight="1" x14ac:dyDescent="0.25">
      <c r="A8" s="18" t="s">
        <v>31</v>
      </c>
      <c r="B8" s="18"/>
      <c r="C8" s="18"/>
      <c r="D8" s="342"/>
      <c r="E8" s="339"/>
      <c r="F8" s="337"/>
      <c r="G8" s="338"/>
      <c r="H8" s="339"/>
      <c r="I8" s="340"/>
      <c r="J8" s="340"/>
      <c r="K8" s="21"/>
    </row>
    <row r="9" spans="1:11" ht="21.95" customHeight="1" thickBot="1" x14ac:dyDescent="0.3">
      <c r="A9" s="18" t="s">
        <v>32</v>
      </c>
      <c r="B9" s="18"/>
      <c r="C9" s="18"/>
      <c r="D9" s="331"/>
      <c r="E9" s="325"/>
      <c r="F9" s="323"/>
      <c r="G9" s="324"/>
      <c r="H9" s="325"/>
      <c r="I9" s="326"/>
      <c r="J9" s="326"/>
      <c r="K9" s="22"/>
    </row>
    <row r="10" spans="1:11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25"/>
    </row>
    <row r="11" spans="1:11" ht="39.75" customHeight="1" thickTop="1" thickBot="1" x14ac:dyDescent="0.3">
      <c r="A11" s="5"/>
      <c r="B11" s="5"/>
      <c r="C11" s="5"/>
      <c r="D11" s="5"/>
      <c r="E11" s="5"/>
      <c r="F11" s="327" t="str">
        <f>Doku!B38</f>
        <v>Kleiner Fehler</v>
      </c>
      <c r="G11" s="328"/>
      <c r="H11" s="17" t="str">
        <f>Doku!B39</f>
        <v>Mittlerer Fehler</v>
      </c>
      <c r="I11" s="17" t="str">
        <f>Doku!B40</f>
        <v>Großer Fehler</v>
      </c>
      <c r="J11" s="329" t="str">
        <f>Doku!B41</f>
        <v>Technik vergessen</v>
      </c>
      <c r="K11" s="309" t="str">
        <f>Doku!B42</f>
        <v>Gesamt</v>
      </c>
    </row>
    <row r="12" spans="1:11" s="25" customFormat="1" ht="20.100000000000001" customHeight="1" thickTop="1" thickBot="1" x14ac:dyDescent="0.4">
      <c r="A12" s="311" t="str">
        <f>Doku!B37</f>
        <v>Technik</v>
      </c>
      <c r="B12" s="312"/>
      <c r="C12" s="312"/>
      <c r="D12" s="312"/>
      <c r="E12" s="313"/>
      <c r="F12" s="314">
        <v>1</v>
      </c>
      <c r="G12" s="315"/>
      <c r="H12" s="14">
        <v>3</v>
      </c>
      <c r="I12" s="14">
        <v>5</v>
      </c>
      <c r="J12" s="330"/>
      <c r="K12" s="310"/>
    </row>
    <row r="13" spans="1:11" ht="21" customHeight="1" thickBot="1" x14ac:dyDescent="0.3">
      <c r="A13" s="6">
        <v>1</v>
      </c>
      <c r="B13" s="374"/>
      <c r="C13" s="375"/>
      <c r="D13" s="369" t="s">
        <v>7</v>
      </c>
      <c r="E13" s="370"/>
      <c r="F13" s="150"/>
      <c r="G13" s="151"/>
      <c r="H13" s="152"/>
      <c r="I13" s="152"/>
      <c r="J13" s="153"/>
      <c r="K13" s="154" t="str">
        <f t="shared" ref="K13:K34" si="0">IF($K$37&lt;&gt;"",IF(J13&lt;&gt;"",0,MAX(1,10-5*(I13&lt;&gt;"")-3*(H13&lt;&gt;"")-1*(F13&lt;&gt;"")-1*(G13&lt;&gt;""))),"")</f>
        <v/>
      </c>
    </row>
    <row r="14" spans="1:11" ht="21" customHeight="1" x14ac:dyDescent="0.25">
      <c r="A14" s="7">
        <v>2</v>
      </c>
      <c r="B14" s="371" t="s">
        <v>112</v>
      </c>
      <c r="C14" s="378" t="s">
        <v>113</v>
      </c>
      <c r="D14" s="380" t="s">
        <v>114</v>
      </c>
      <c r="E14" s="308"/>
      <c r="F14" s="155"/>
      <c r="G14" s="156"/>
      <c r="H14" s="157"/>
      <c r="I14" s="157"/>
      <c r="J14" s="46"/>
      <c r="K14" s="158" t="str">
        <f t="shared" si="0"/>
        <v/>
      </c>
    </row>
    <row r="15" spans="1:11" ht="21" customHeight="1" x14ac:dyDescent="0.25">
      <c r="A15" s="8">
        <v>3</v>
      </c>
      <c r="B15" s="372"/>
      <c r="C15" s="379"/>
      <c r="D15" s="377" t="s">
        <v>115</v>
      </c>
      <c r="E15" s="362"/>
      <c r="F15" s="126"/>
      <c r="G15" s="127"/>
      <c r="H15" s="128"/>
      <c r="I15" s="128"/>
      <c r="J15" s="129"/>
      <c r="K15" s="159" t="str">
        <f t="shared" si="0"/>
        <v/>
      </c>
    </row>
    <row r="16" spans="1:11" ht="21" customHeight="1" x14ac:dyDescent="0.25">
      <c r="A16" s="100">
        <v>4</v>
      </c>
      <c r="B16" s="372"/>
      <c r="C16" s="379"/>
      <c r="D16" s="376" t="s">
        <v>116</v>
      </c>
      <c r="E16" s="300"/>
      <c r="F16" s="39"/>
      <c r="G16" s="40"/>
      <c r="H16" s="41"/>
      <c r="I16" s="41"/>
      <c r="J16" s="42"/>
      <c r="K16" s="160" t="str">
        <f t="shared" si="0"/>
        <v/>
      </c>
    </row>
    <row r="17" spans="1:11" ht="21" customHeight="1" x14ac:dyDescent="0.25">
      <c r="A17" s="8">
        <v>5</v>
      </c>
      <c r="B17" s="372"/>
      <c r="C17" s="379"/>
      <c r="D17" s="377" t="s">
        <v>117</v>
      </c>
      <c r="E17" s="362"/>
      <c r="F17" s="126"/>
      <c r="G17" s="127"/>
      <c r="H17" s="128"/>
      <c r="I17" s="128"/>
      <c r="J17" s="129"/>
      <c r="K17" s="159" t="str">
        <f t="shared" si="0"/>
        <v/>
      </c>
    </row>
    <row r="18" spans="1:11" ht="21" customHeight="1" thickBot="1" x14ac:dyDescent="0.3">
      <c r="A18" s="8">
        <v>6</v>
      </c>
      <c r="B18" s="372"/>
      <c r="C18" s="379"/>
      <c r="D18" s="382" t="s">
        <v>118</v>
      </c>
      <c r="E18" s="364"/>
      <c r="F18" s="94"/>
      <c r="G18" s="95"/>
      <c r="H18" s="96"/>
      <c r="I18" s="96"/>
      <c r="J18" s="97"/>
      <c r="K18" s="161" t="str">
        <f t="shared" si="0"/>
        <v/>
      </c>
    </row>
    <row r="19" spans="1:11" ht="21" customHeight="1" x14ac:dyDescent="0.25">
      <c r="A19" s="100">
        <v>7</v>
      </c>
      <c r="B19" s="372"/>
      <c r="C19" s="378" t="s">
        <v>119</v>
      </c>
      <c r="D19" s="384" t="s">
        <v>120</v>
      </c>
      <c r="E19" s="385"/>
      <c r="F19" s="162"/>
      <c r="G19" s="163"/>
      <c r="H19" s="164"/>
      <c r="I19" s="164"/>
      <c r="J19" s="165"/>
      <c r="K19" s="166" t="str">
        <f t="shared" si="0"/>
        <v/>
      </c>
    </row>
    <row r="20" spans="1:11" ht="21" customHeight="1" x14ac:dyDescent="0.25">
      <c r="A20" s="100">
        <v>8</v>
      </c>
      <c r="B20" s="372"/>
      <c r="C20" s="379"/>
      <c r="D20" s="376" t="s">
        <v>121</v>
      </c>
      <c r="E20" s="300"/>
      <c r="F20" s="39"/>
      <c r="G20" s="40"/>
      <c r="H20" s="41"/>
      <c r="I20" s="41"/>
      <c r="J20" s="42"/>
      <c r="K20" s="160" t="str">
        <f t="shared" si="0"/>
        <v/>
      </c>
    </row>
    <row r="21" spans="1:11" ht="21" customHeight="1" thickBot="1" x14ac:dyDescent="0.3">
      <c r="A21" s="9">
        <v>9</v>
      </c>
      <c r="B21" s="373"/>
      <c r="C21" s="383"/>
      <c r="D21" s="381" t="s">
        <v>122</v>
      </c>
      <c r="E21" s="368"/>
      <c r="F21" s="167"/>
      <c r="G21" s="168"/>
      <c r="H21" s="169"/>
      <c r="I21" s="169"/>
      <c r="J21" s="170"/>
      <c r="K21" s="171" t="str">
        <f t="shared" si="0"/>
        <v/>
      </c>
    </row>
    <row r="22" spans="1:11" ht="21" customHeight="1" x14ac:dyDescent="0.25">
      <c r="A22" s="101">
        <v>10</v>
      </c>
      <c r="B22" s="371" t="s">
        <v>123</v>
      </c>
      <c r="C22" s="378" t="s">
        <v>113</v>
      </c>
      <c r="D22" s="384" t="s">
        <v>114</v>
      </c>
      <c r="E22" s="385"/>
      <c r="F22" s="162"/>
      <c r="G22" s="163"/>
      <c r="H22" s="164"/>
      <c r="I22" s="164"/>
      <c r="J22" s="165"/>
      <c r="K22" s="166" t="str">
        <f t="shared" si="0"/>
        <v/>
      </c>
    </row>
    <row r="23" spans="1:11" ht="21" customHeight="1" x14ac:dyDescent="0.25">
      <c r="A23" s="100">
        <v>11</v>
      </c>
      <c r="B23" s="372"/>
      <c r="C23" s="379"/>
      <c r="D23" s="376" t="s">
        <v>124</v>
      </c>
      <c r="E23" s="300"/>
      <c r="F23" s="39"/>
      <c r="G23" s="40"/>
      <c r="H23" s="41"/>
      <c r="I23" s="41"/>
      <c r="J23" s="42"/>
      <c r="K23" s="160" t="str">
        <f t="shared" si="0"/>
        <v/>
      </c>
    </row>
    <row r="24" spans="1:11" ht="21" customHeight="1" x14ac:dyDescent="0.25">
      <c r="A24" s="100">
        <v>12</v>
      </c>
      <c r="B24" s="372"/>
      <c r="C24" s="379"/>
      <c r="D24" s="377" t="s">
        <v>115</v>
      </c>
      <c r="E24" s="362"/>
      <c r="F24" s="126"/>
      <c r="G24" s="127"/>
      <c r="H24" s="128"/>
      <c r="I24" s="128"/>
      <c r="J24" s="129"/>
      <c r="K24" s="159" t="str">
        <f t="shared" si="0"/>
        <v/>
      </c>
    </row>
    <row r="25" spans="1:11" ht="21" customHeight="1" x14ac:dyDescent="0.25">
      <c r="A25" s="100">
        <v>13</v>
      </c>
      <c r="B25" s="372"/>
      <c r="C25" s="379"/>
      <c r="D25" s="376" t="s">
        <v>108</v>
      </c>
      <c r="E25" s="300"/>
      <c r="F25" s="39"/>
      <c r="G25" s="40"/>
      <c r="H25" s="41"/>
      <c r="I25" s="41"/>
      <c r="J25" s="42"/>
      <c r="K25" s="160" t="str">
        <f t="shared" si="0"/>
        <v/>
      </c>
    </row>
    <row r="26" spans="1:11" ht="21" customHeight="1" x14ac:dyDescent="0.25">
      <c r="A26" s="100">
        <v>14</v>
      </c>
      <c r="B26" s="372"/>
      <c r="C26" s="379"/>
      <c r="D26" s="377" t="s">
        <v>116</v>
      </c>
      <c r="E26" s="362"/>
      <c r="F26" s="126"/>
      <c r="G26" s="127"/>
      <c r="H26" s="128"/>
      <c r="I26" s="128"/>
      <c r="J26" s="129"/>
      <c r="K26" s="159" t="str">
        <f t="shared" si="0"/>
        <v/>
      </c>
    </row>
    <row r="27" spans="1:11" ht="21" customHeight="1" x14ac:dyDescent="0.25">
      <c r="A27" s="100">
        <v>15</v>
      </c>
      <c r="B27" s="372"/>
      <c r="C27" s="379"/>
      <c r="D27" s="376" t="s">
        <v>117</v>
      </c>
      <c r="E27" s="300"/>
      <c r="F27" s="39"/>
      <c r="G27" s="40"/>
      <c r="H27" s="41"/>
      <c r="I27" s="41"/>
      <c r="J27" s="42"/>
      <c r="K27" s="160" t="str">
        <f t="shared" si="0"/>
        <v/>
      </c>
    </row>
    <row r="28" spans="1:11" ht="21" customHeight="1" x14ac:dyDescent="0.25">
      <c r="A28" s="100">
        <v>16</v>
      </c>
      <c r="B28" s="372"/>
      <c r="C28" s="379"/>
      <c r="D28" s="377" t="s">
        <v>125</v>
      </c>
      <c r="E28" s="362"/>
      <c r="F28" s="126"/>
      <c r="G28" s="127"/>
      <c r="H28" s="128"/>
      <c r="I28" s="128"/>
      <c r="J28" s="129"/>
      <c r="K28" s="159" t="str">
        <f t="shared" si="0"/>
        <v/>
      </c>
    </row>
    <row r="29" spans="1:11" ht="21" customHeight="1" thickBot="1" x14ac:dyDescent="0.3">
      <c r="A29" s="100">
        <v>17</v>
      </c>
      <c r="B29" s="372"/>
      <c r="C29" s="383"/>
      <c r="D29" s="382" t="s">
        <v>118</v>
      </c>
      <c r="E29" s="364"/>
      <c r="F29" s="94"/>
      <c r="G29" s="95"/>
      <c r="H29" s="96"/>
      <c r="I29" s="96"/>
      <c r="J29" s="97"/>
      <c r="K29" s="161" t="str">
        <f t="shared" si="0"/>
        <v/>
      </c>
    </row>
    <row r="30" spans="1:11" ht="21" customHeight="1" x14ac:dyDescent="0.25">
      <c r="A30" s="100">
        <v>18</v>
      </c>
      <c r="B30" s="372"/>
      <c r="C30" s="378" t="s">
        <v>119</v>
      </c>
      <c r="D30" s="386" t="s">
        <v>120</v>
      </c>
      <c r="E30" s="387"/>
      <c r="F30" s="172"/>
      <c r="G30" s="173"/>
      <c r="H30" s="174"/>
      <c r="I30" s="174"/>
      <c r="J30" s="175"/>
      <c r="K30" s="176" t="str">
        <f t="shared" si="0"/>
        <v/>
      </c>
    </row>
    <row r="31" spans="1:11" ht="21" customHeight="1" thickBot="1" x14ac:dyDescent="0.3">
      <c r="A31" s="100">
        <v>19</v>
      </c>
      <c r="B31" s="372"/>
      <c r="C31" s="383"/>
      <c r="D31" s="382" t="s">
        <v>121</v>
      </c>
      <c r="E31" s="364"/>
      <c r="F31" s="94"/>
      <c r="G31" s="95"/>
      <c r="H31" s="96"/>
      <c r="I31" s="96"/>
      <c r="J31" s="97"/>
      <c r="K31" s="161" t="str">
        <f t="shared" si="0"/>
        <v/>
      </c>
    </row>
    <row r="32" spans="1:11" ht="21" customHeight="1" x14ac:dyDescent="0.25">
      <c r="A32" s="100">
        <v>20</v>
      </c>
      <c r="B32" s="372"/>
      <c r="C32" s="379" t="s">
        <v>126</v>
      </c>
      <c r="D32" s="386" t="s">
        <v>127</v>
      </c>
      <c r="E32" s="387"/>
      <c r="F32" s="172"/>
      <c r="G32" s="173"/>
      <c r="H32" s="174"/>
      <c r="I32" s="174"/>
      <c r="J32" s="175"/>
      <c r="K32" s="176" t="str">
        <f t="shared" si="0"/>
        <v/>
      </c>
    </row>
    <row r="33" spans="1:11" ht="21" customHeight="1" thickBot="1" x14ac:dyDescent="0.3">
      <c r="A33" s="9">
        <v>21</v>
      </c>
      <c r="B33" s="373"/>
      <c r="C33" s="383"/>
      <c r="D33" s="382" t="s">
        <v>100</v>
      </c>
      <c r="E33" s="364"/>
      <c r="F33" s="94"/>
      <c r="G33" s="95"/>
      <c r="H33" s="96"/>
      <c r="I33" s="96"/>
      <c r="J33" s="97"/>
      <c r="K33" s="161" t="str">
        <f t="shared" si="0"/>
        <v/>
      </c>
    </row>
    <row r="34" spans="1:11" ht="21" customHeight="1" thickBot="1" x14ac:dyDescent="0.3">
      <c r="A34" s="177">
        <v>22</v>
      </c>
      <c r="B34" s="388"/>
      <c r="C34" s="389"/>
      <c r="D34" s="390" t="s">
        <v>28</v>
      </c>
      <c r="E34" s="391"/>
      <c r="F34" s="178"/>
      <c r="G34" s="179"/>
      <c r="H34" s="180"/>
      <c r="I34" s="180"/>
      <c r="J34" s="181"/>
      <c r="K34" s="182" t="str">
        <f t="shared" si="0"/>
        <v/>
      </c>
    </row>
    <row r="35" spans="1:11" ht="21" hidden="1" customHeight="1" thickTop="1" thickBot="1" x14ac:dyDescent="0.3">
      <c r="A35" s="7"/>
      <c r="B35" s="255"/>
      <c r="C35" s="255"/>
      <c r="D35" s="238"/>
      <c r="E35" s="239"/>
      <c r="F35" s="256"/>
      <c r="G35" s="257"/>
      <c r="H35" s="180"/>
      <c r="I35" s="180"/>
      <c r="J35" s="258"/>
      <c r="K35" s="182"/>
    </row>
    <row r="36" spans="1:11" ht="21.95" customHeight="1" thickTop="1" thickBot="1" x14ac:dyDescent="0.3">
      <c r="A36" s="292" t="str">
        <f>Doku!B43&amp;":"</f>
        <v>Summe Fehler und Punkte:</v>
      </c>
      <c r="B36" s="293"/>
      <c r="C36" s="293"/>
      <c r="D36" s="293"/>
      <c r="E36" s="294"/>
      <c r="F36" s="183" t="str">
        <f>IF($K$37&lt;&gt;"",COUNTA(F13:F34),"")</f>
        <v/>
      </c>
      <c r="G36" s="184" t="str">
        <f>IF($K$37&lt;&gt;"",COUNTA(G13:G34),"")</f>
        <v/>
      </c>
      <c r="H36" s="184" t="str">
        <f>IF($K$37&lt;&gt;"",COUNTA(H13:H34),"")</f>
        <v/>
      </c>
      <c r="I36" s="184" t="str">
        <f>IF($K$37&lt;&gt;"",COUNTA(I13:I34),"")</f>
        <v/>
      </c>
      <c r="J36" s="185" t="str">
        <f>IF($K$37&lt;&gt;"",COUNTA(J13:J34),"")</f>
        <v/>
      </c>
      <c r="K36" s="110" t="str">
        <f>IF(K37="","",IF(J36&lt;1,SUM(K13:K34),IF(J36&gt;=1,SUM(K13:K34)/2,"")))</f>
        <v/>
      </c>
    </row>
    <row r="37" spans="1:11" ht="20.100000000000001" customHeight="1" thickTop="1" thickBot="1" x14ac:dyDescent="0.3">
      <c r="A37" s="321" t="str">
        <f>Doku!B44&amp;":"</f>
        <v>Position:</v>
      </c>
      <c r="B37" s="322"/>
      <c r="C37" s="322"/>
      <c r="D37" s="322"/>
      <c r="E37" s="235"/>
      <c r="F37" s="316" t="str">
        <f>Doku!B45</f>
        <v>Übertrag ok?</v>
      </c>
      <c r="G37" s="317"/>
      <c r="H37" s="317"/>
      <c r="I37" s="317"/>
      <c r="J37" s="318"/>
      <c r="K37" s="186"/>
    </row>
    <row r="38" spans="1:11" ht="15.75" thickTop="1" x14ac:dyDescent="0.25"/>
  </sheetData>
  <mergeCells count="53">
    <mergeCell ref="D24:E24"/>
    <mergeCell ref="D23:E23"/>
    <mergeCell ref="F37:J37"/>
    <mergeCell ref="D29:E29"/>
    <mergeCell ref="C30:C31"/>
    <mergeCell ref="D30:E30"/>
    <mergeCell ref="D31:E31"/>
    <mergeCell ref="C32:C33"/>
    <mergeCell ref="D32:E32"/>
    <mergeCell ref="D33:E33"/>
    <mergeCell ref="B34:C34"/>
    <mergeCell ref="D34:E34"/>
    <mergeCell ref="A36:E36"/>
    <mergeCell ref="B22:B33"/>
    <mergeCell ref="C22:C29"/>
    <mergeCell ref="D22:E22"/>
    <mergeCell ref="D28:E28"/>
    <mergeCell ref="D21:E21"/>
    <mergeCell ref="D18:E18"/>
    <mergeCell ref="C19:C21"/>
    <mergeCell ref="D19:E19"/>
    <mergeCell ref="D20:E20"/>
    <mergeCell ref="C14:C18"/>
    <mergeCell ref="D14:E14"/>
    <mergeCell ref="D15:E15"/>
    <mergeCell ref="D16:E16"/>
    <mergeCell ref="D17:E17"/>
    <mergeCell ref="K11:K12"/>
    <mergeCell ref="A12:E12"/>
    <mergeCell ref="F12:G12"/>
    <mergeCell ref="B13:C13"/>
    <mergeCell ref="D13:E13"/>
    <mergeCell ref="B14:B21"/>
    <mergeCell ref="A37:D37"/>
    <mergeCell ref="D7:E7"/>
    <mergeCell ref="F7:H7"/>
    <mergeCell ref="I7:J7"/>
    <mergeCell ref="D8:E8"/>
    <mergeCell ref="F8:H8"/>
    <mergeCell ref="I8:J8"/>
    <mergeCell ref="D9:E9"/>
    <mergeCell ref="F9:H9"/>
    <mergeCell ref="I9:J9"/>
    <mergeCell ref="F11:G11"/>
    <mergeCell ref="J11:J12"/>
    <mergeCell ref="D25:E25"/>
    <mergeCell ref="D26:E26"/>
    <mergeCell ref="D27:E27"/>
    <mergeCell ref="A1:K1"/>
    <mergeCell ref="A2:K2"/>
    <mergeCell ref="A3:K3"/>
    <mergeCell ref="A5:D5"/>
    <mergeCell ref="H6:J6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K38"/>
  <sheetViews>
    <sheetView zoomScaleNormal="100" zoomScaleSheetLayoutView="85" workbookViewId="0">
      <selection sqref="A1:K1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18.1406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11" s="23" customFormat="1" ht="24.95" customHeight="1" x14ac:dyDescent="0.5">
      <c r="A1" s="287" t="str">
        <f>Doku!B28</f>
        <v>Kata Meisterschaft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</row>
    <row r="2" spans="1:11" s="23" customFormat="1" ht="20.100000000000001" customHeight="1" x14ac:dyDescent="0.5">
      <c r="A2" s="288" t="str">
        <f>Doku!B29</f>
        <v>des Deutschen Judobundes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</row>
    <row r="3" spans="1:11" s="23" customFormat="1" ht="39.950000000000003" customHeight="1" x14ac:dyDescent="0.5">
      <c r="A3" s="395" t="s">
        <v>128</v>
      </c>
      <c r="B3" s="395"/>
      <c r="C3" s="395"/>
      <c r="D3" s="395"/>
      <c r="E3" s="395"/>
      <c r="F3" s="395"/>
      <c r="G3" s="395"/>
      <c r="H3" s="395"/>
      <c r="I3" s="395"/>
      <c r="J3" s="395"/>
      <c r="K3" s="395"/>
    </row>
    <row r="4" spans="1:11" s="23" customFormat="1" ht="11.1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11" ht="21.95" customHeight="1" x14ac:dyDescent="0.25">
      <c r="A5" s="332" t="str">
        <f>Doku!B31&amp;":"</f>
        <v>Bewerter:</v>
      </c>
      <c r="B5" s="332"/>
      <c r="C5" s="332"/>
      <c r="D5" s="332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</row>
    <row r="6" spans="1:11" ht="11.1" customHeight="1" thickBot="1" x14ac:dyDescent="0.55000000000000004">
      <c r="A6" s="1"/>
      <c r="B6" s="1"/>
      <c r="C6" s="2"/>
      <c r="D6" s="2"/>
      <c r="E6" s="147"/>
      <c r="F6" s="148"/>
      <c r="G6" s="148"/>
      <c r="H6" s="343"/>
      <c r="I6" s="343"/>
      <c r="J6" s="343"/>
      <c r="K6" s="23"/>
    </row>
    <row r="7" spans="1:11" s="25" customFormat="1" ht="20.100000000000001" customHeight="1" x14ac:dyDescent="0.35">
      <c r="A7" s="12"/>
      <c r="B7" s="12"/>
      <c r="C7" s="12"/>
      <c r="D7" s="341" t="str">
        <f>Doku!B33</f>
        <v>Nachname</v>
      </c>
      <c r="E7" s="335"/>
      <c r="F7" s="333" t="str">
        <f>Doku!B34</f>
        <v>Vorname</v>
      </c>
      <c r="G7" s="334"/>
      <c r="H7" s="335"/>
      <c r="I7" s="336" t="str">
        <f>Doku!B35</f>
        <v>Verein</v>
      </c>
      <c r="J7" s="336"/>
      <c r="K7" s="13" t="str">
        <f>Doku!B36</f>
        <v>Land</v>
      </c>
    </row>
    <row r="8" spans="1:11" ht="21.95" customHeight="1" x14ac:dyDescent="0.25">
      <c r="A8" s="18" t="s">
        <v>31</v>
      </c>
      <c r="B8" s="18"/>
      <c r="C8" s="18"/>
      <c r="D8" s="342"/>
      <c r="E8" s="339"/>
      <c r="F8" s="337"/>
      <c r="G8" s="338"/>
      <c r="H8" s="339"/>
      <c r="I8" s="340"/>
      <c r="J8" s="340"/>
      <c r="K8" s="21"/>
    </row>
    <row r="9" spans="1:11" ht="21.95" customHeight="1" thickBot="1" x14ac:dyDescent="0.3">
      <c r="A9" s="18" t="s">
        <v>32</v>
      </c>
      <c r="B9" s="18"/>
      <c r="C9" s="18"/>
      <c r="D9" s="331"/>
      <c r="E9" s="325"/>
      <c r="F9" s="323"/>
      <c r="G9" s="324"/>
      <c r="H9" s="325"/>
      <c r="I9" s="326"/>
      <c r="J9" s="326"/>
      <c r="K9" s="22"/>
    </row>
    <row r="10" spans="1:11" ht="11.1" customHeight="1" thickBot="1" x14ac:dyDescent="0.3">
      <c r="A10" s="1"/>
      <c r="B10" s="1"/>
      <c r="C10" s="2"/>
      <c r="D10" s="2"/>
      <c r="E10" s="149"/>
      <c r="F10" s="4"/>
      <c r="G10" s="4"/>
      <c r="H10" s="4"/>
      <c r="I10" s="4"/>
      <c r="J10" s="4"/>
      <c r="K10" s="192"/>
    </row>
    <row r="11" spans="1:11" ht="39.75" customHeight="1" thickTop="1" thickBot="1" x14ac:dyDescent="0.3">
      <c r="A11" s="5"/>
      <c r="B11" s="5"/>
      <c r="C11" s="5"/>
      <c r="D11" s="5"/>
      <c r="E11" s="5"/>
      <c r="F11" s="327" t="str">
        <f>Doku!B38</f>
        <v>Kleiner Fehler</v>
      </c>
      <c r="G11" s="328"/>
      <c r="H11" s="17" t="str">
        <f>Doku!B39</f>
        <v>Mittlerer Fehler</v>
      </c>
      <c r="I11" s="17" t="str">
        <f>Doku!B40</f>
        <v>Großer Fehler</v>
      </c>
      <c r="J11" s="329" t="str">
        <f>Doku!B41</f>
        <v>Technik vergessen</v>
      </c>
      <c r="K11" s="309" t="str">
        <f>Doku!B42</f>
        <v>Gesamt</v>
      </c>
    </row>
    <row r="12" spans="1:11" s="25" customFormat="1" ht="20.100000000000001" customHeight="1" thickTop="1" thickBot="1" x14ac:dyDescent="0.4">
      <c r="A12" s="311" t="str">
        <f>Doku!B37</f>
        <v>Technik</v>
      </c>
      <c r="B12" s="312"/>
      <c r="C12" s="312"/>
      <c r="D12" s="312"/>
      <c r="E12" s="313"/>
      <c r="F12" s="314">
        <v>1</v>
      </c>
      <c r="G12" s="315"/>
      <c r="H12" s="14">
        <v>3</v>
      </c>
      <c r="I12" s="14">
        <v>5</v>
      </c>
      <c r="J12" s="330"/>
      <c r="K12" s="310"/>
    </row>
    <row r="13" spans="1:11" ht="19.899999999999999" customHeight="1" thickBot="1" x14ac:dyDescent="0.3">
      <c r="A13" s="6">
        <v>1</v>
      </c>
      <c r="B13" s="6"/>
      <c r="C13" s="193"/>
      <c r="D13" s="369" t="s">
        <v>7</v>
      </c>
      <c r="E13" s="370"/>
      <c r="F13" s="194"/>
      <c r="G13" s="195"/>
      <c r="H13" s="196"/>
      <c r="I13" s="196"/>
      <c r="J13" s="197"/>
      <c r="K13" s="154" t="str">
        <f t="shared" ref="K13:K35" si="0">IF($K$37&lt;&gt;"",IF(J13&lt;&gt;"",0,MAX(1,10-5*(I13&lt;&gt;"")-3*(H13&lt;&gt;"")-1*(G13&lt;&gt;"")-1*(F13&lt;&gt;""))),"")</f>
        <v/>
      </c>
    </row>
    <row r="14" spans="1:11" ht="19.899999999999999" customHeight="1" x14ac:dyDescent="0.25">
      <c r="A14" s="7">
        <v>2</v>
      </c>
      <c r="B14" s="7"/>
      <c r="C14" s="371" t="s">
        <v>129</v>
      </c>
      <c r="D14" s="380" t="s">
        <v>114</v>
      </c>
      <c r="E14" s="308"/>
      <c r="F14" s="198"/>
      <c r="G14" s="199"/>
      <c r="H14" s="200"/>
      <c r="I14" s="200"/>
      <c r="J14" s="201"/>
      <c r="K14" s="202" t="str">
        <f t="shared" si="0"/>
        <v/>
      </c>
    </row>
    <row r="15" spans="1:11" ht="19.899999999999999" customHeight="1" x14ac:dyDescent="0.25">
      <c r="A15" s="8">
        <v>3</v>
      </c>
      <c r="B15" s="7"/>
      <c r="C15" s="372"/>
      <c r="D15" s="377" t="s">
        <v>130</v>
      </c>
      <c r="E15" s="362"/>
      <c r="F15" s="203"/>
      <c r="G15" s="204"/>
      <c r="H15" s="205"/>
      <c r="I15" s="205"/>
      <c r="J15" s="130"/>
      <c r="K15" s="206" t="str">
        <f t="shared" si="0"/>
        <v/>
      </c>
    </row>
    <row r="16" spans="1:11" ht="19.899999999999999" customHeight="1" x14ac:dyDescent="0.25">
      <c r="A16" s="100">
        <v>4</v>
      </c>
      <c r="B16" s="177"/>
      <c r="C16" s="372"/>
      <c r="D16" s="376" t="s">
        <v>131</v>
      </c>
      <c r="E16" s="300"/>
      <c r="F16" s="207"/>
      <c r="G16" s="208"/>
      <c r="H16" s="209"/>
      <c r="I16" s="209"/>
      <c r="J16" s="33"/>
      <c r="K16" s="210" t="str">
        <f t="shared" si="0"/>
        <v/>
      </c>
    </row>
    <row r="17" spans="1:11" ht="19.899999999999999" customHeight="1" x14ac:dyDescent="0.25">
      <c r="A17" s="8">
        <v>5</v>
      </c>
      <c r="B17" s="7"/>
      <c r="C17" s="372"/>
      <c r="D17" s="377" t="s">
        <v>132</v>
      </c>
      <c r="E17" s="362"/>
      <c r="F17" s="203"/>
      <c r="G17" s="204"/>
      <c r="H17" s="205"/>
      <c r="I17" s="205"/>
      <c r="J17" s="130"/>
      <c r="K17" s="206" t="str">
        <f t="shared" si="0"/>
        <v/>
      </c>
    </row>
    <row r="18" spans="1:11" ht="19.899999999999999" customHeight="1" x14ac:dyDescent="0.25">
      <c r="A18" s="8">
        <v>6</v>
      </c>
      <c r="B18" s="7"/>
      <c r="C18" s="372"/>
      <c r="D18" s="376" t="s">
        <v>133</v>
      </c>
      <c r="E18" s="300"/>
      <c r="F18" s="207"/>
      <c r="G18" s="208"/>
      <c r="H18" s="209"/>
      <c r="I18" s="209"/>
      <c r="J18" s="33"/>
      <c r="K18" s="210" t="str">
        <f t="shared" si="0"/>
        <v/>
      </c>
    </row>
    <row r="19" spans="1:11" ht="19.899999999999999" customHeight="1" x14ac:dyDescent="0.25">
      <c r="A19" s="8">
        <v>7</v>
      </c>
      <c r="B19" s="7"/>
      <c r="C19" s="372"/>
      <c r="D19" s="377" t="s">
        <v>134</v>
      </c>
      <c r="E19" s="362"/>
      <c r="F19" s="203"/>
      <c r="G19" s="204"/>
      <c r="H19" s="205"/>
      <c r="I19" s="205"/>
      <c r="J19" s="130"/>
      <c r="K19" s="206" t="str">
        <f t="shared" si="0"/>
        <v/>
      </c>
    </row>
    <row r="20" spans="1:11" ht="19.899999999999999" customHeight="1" thickBot="1" x14ac:dyDescent="0.3">
      <c r="A20" s="8">
        <v>8</v>
      </c>
      <c r="B20" s="7"/>
      <c r="C20" s="372"/>
      <c r="D20" s="380" t="s">
        <v>135</v>
      </c>
      <c r="E20" s="308"/>
      <c r="F20" s="198"/>
      <c r="G20" s="199"/>
      <c r="H20" s="200"/>
      <c r="I20" s="200"/>
      <c r="J20" s="201"/>
      <c r="K20" s="202" t="str">
        <f t="shared" si="0"/>
        <v/>
      </c>
    </row>
    <row r="21" spans="1:11" ht="19.899999999999999" customHeight="1" x14ac:dyDescent="0.25">
      <c r="A21" s="211">
        <v>9</v>
      </c>
      <c r="B21" s="211"/>
      <c r="C21" s="371" t="s">
        <v>136</v>
      </c>
      <c r="D21" s="394" t="s">
        <v>102</v>
      </c>
      <c r="E21" s="366"/>
      <c r="F21" s="212"/>
      <c r="G21" s="213"/>
      <c r="H21" s="214"/>
      <c r="I21" s="214"/>
      <c r="J21" s="125"/>
      <c r="K21" s="215" t="str">
        <f t="shared" si="0"/>
        <v/>
      </c>
    </row>
    <row r="22" spans="1:11" ht="19.899999999999999" customHeight="1" x14ac:dyDescent="0.25">
      <c r="A22" s="8">
        <v>10</v>
      </c>
      <c r="B22" s="7"/>
      <c r="C22" s="372"/>
      <c r="D22" s="376" t="s">
        <v>137</v>
      </c>
      <c r="E22" s="300"/>
      <c r="F22" s="207"/>
      <c r="G22" s="208"/>
      <c r="H22" s="209"/>
      <c r="I22" s="209"/>
      <c r="J22" s="33"/>
      <c r="K22" s="210" t="str">
        <f t="shared" si="0"/>
        <v/>
      </c>
    </row>
    <row r="23" spans="1:11" ht="19.899999999999999" customHeight="1" x14ac:dyDescent="0.25">
      <c r="A23" s="8">
        <v>11</v>
      </c>
      <c r="B23" s="7"/>
      <c r="C23" s="372"/>
      <c r="D23" s="377" t="s">
        <v>138</v>
      </c>
      <c r="E23" s="362"/>
      <c r="F23" s="203"/>
      <c r="G23" s="204"/>
      <c r="H23" s="205"/>
      <c r="I23" s="205"/>
      <c r="J23" s="130"/>
      <c r="K23" s="206" t="str">
        <f t="shared" si="0"/>
        <v/>
      </c>
    </row>
    <row r="24" spans="1:11" ht="19.899999999999999" customHeight="1" x14ac:dyDescent="0.25">
      <c r="A24" s="100">
        <v>12</v>
      </c>
      <c r="B24" s="177"/>
      <c r="C24" s="372"/>
      <c r="D24" s="376" t="s">
        <v>139</v>
      </c>
      <c r="E24" s="300"/>
      <c r="F24" s="207"/>
      <c r="G24" s="208"/>
      <c r="H24" s="209"/>
      <c r="I24" s="209"/>
      <c r="J24" s="33"/>
      <c r="K24" s="210" t="str">
        <f t="shared" si="0"/>
        <v/>
      </c>
    </row>
    <row r="25" spans="1:11" ht="19.899999999999999" customHeight="1" thickBot="1" x14ac:dyDescent="0.3">
      <c r="A25" s="9">
        <v>13</v>
      </c>
      <c r="B25" s="253"/>
      <c r="C25" s="373"/>
      <c r="D25" s="381" t="s">
        <v>140</v>
      </c>
      <c r="E25" s="368"/>
      <c r="F25" s="216"/>
      <c r="G25" s="217"/>
      <c r="H25" s="218"/>
      <c r="I25" s="218"/>
      <c r="J25" s="219"/>
      <c r="K25" s="220" t="str">
        <f t="shared" si="0"/>
        <v/>
      </c>
    </row>
    <row r="26" spans="1:11" ht="19.899999999999999" customHeight="1" x14ac:dyDescent="0.25">
      <c r="A26" s="101">
        <v>14</v>
      </c>
      <c r="B26" s="177"/>
      <c r="C26" s="372" t="s">
        <v>119</v>
      </c>
      <c r="D26" s="384" t="s">
        <v>115</v>
      </c>
      <c r="E26" s="385"/>
      <c r="F26" s="221"/>
      <c r="G26" s="222"/>
      <c r="H26" s="223"/>
      <c r="I26" s="223"/>
      <c r="J26" s="224"/>
      <c r="K26" s="225" t="str">
        <f t="shared" si="0"/>
        <v/>
      </c>
    </row>
    <row r="27" spans="1:11" ht="19.899999999999999" customHeight="1" x14ac:dyDescent="0.25">
      <c r="A27" s="100">
        <v>15</v>
      </c>
      <c r="B27" s="177"/>
      <c r="C27" s="372"/>
      <c r="D27" s="376" t="s">
        <v>141</v>
      </c>
      <c r="E27" s="300"/>
      <c r="F27" s="207"/>
      <c r="G27" s="208"/>
      <c r="H27" s="209"/>
      <c r="I27" s="209"/>
      <c r="J27" s="33"/>
      <c r="K27" s="210" t="str">
        <f t="shared" si="0"/>
        <v/>
      </c>
    </row>
    <row r="28" spans="1:11" ht="19.899999999999999" customHeight="1" thickBot="1" x14ac:dyDescent="0.3">
      <c r="A28" s="9">
        <v>16</v>
      </c>
      <c r="B28" s="253"/>
      <c r="C28" s="373"/>
      <c r="D28" s="381" t="s">
        <v>142</v>
      </c>
      <c r="E28" s="368"/>
      <c r="F28" s="216"/>
      <c r="G28" s="217"/>
      <c r="H28" s="218"/>
      <c r="I28" s="218"/>
      <c r="J28" s="219"/>
      <c r="K28" s="220" t="str">
        <f t="shared" si="0"/>
        <v/>
      </c>
    </row>
    <row r="29" spans="1:11" ht="19.899999999999999" customHeight="1" x14ac:dyDescent="0.25">
      <c r="A29" s="101">
        <v>17</v>
      </c>
      <c r="B29" s="177"/>
      <c r="C29" s="372" t="s">
        <v>143</v>
      </c>
      <c r="D29" s="384" t="s">
        <v>144</v>
      </c>
      <c r="E29" s="385"/>
      <c r="F29" s="221"/>
      <c r="G29" s="222"/>
      <c r="H29" s="223"/>
      <c r="I29" s="223"/>
      <c r="J29" s="224"/>
      <c r="K29" s="225" t="str">
        <f t="shared" si="0"/>
        <v/>
      </c>
    </row>
    <row r="30" spans="1:11" ht="19.899999999999999" customHeight="1" x14ac:dyDescent="0.25">
      <c r="A30" s="100">
        <v>18</v>
      </c>
      <c r="B30" s="177"/>
      <c r="C30" s="372"/>
      <c r="D30" s="376" t="s">
        <v>145</v>
      </c>
      <c r="E30" s="300"/>
      <c r="F30" s="207"/>
      <c r="G30" s="208"/>
      <c r="H30" s="209"/>
      <c r="I30" s="209"/>
      <c r="J30" s="33"/>
      <c r="K30" s="210" t="str">
        <f t="shared" si="0"/>
        <v/>
      </c>
    </row>
    <row r="31" spans="1:11" ht="19.899999999999999" customHeight="1" thickBot="1" x14ac:dyDescent="0.3">
      <c r="A31" s="9">
        <v>19</v>
      </c>
      <c r="B31" s="253"/>
      <c r="C31" s="373"/>
      <c r="D31" s="381" t="s">
        <v>146</v>
      </c>
      <c r="E31" s="368"/>
      <c r="F31" s="216"/>
      <c r="G31" s="217"/>
      <c r="H31" s="218"/>
      <c r="I31" s="218"/>
      <c r="J31" s="219"/>
      <c r="K31" s="220" t="str">
        <f t="shared" si="0"/>
        <v/>
      </c>
    </row>
    <row r="32" spans="1:11" ht="19.899999999999999" customHeight="1" x14ac:dyDescent="0.25">
      <c r="A32" s="101">
        <v>20</v>
      </c>
      <c r="B32" s="177"/>
      <c r="C32" s="372" t="s">
        <v>147</v>
      </c>
      <c r="D32" s="384" t="s">
        <v>148</v>
      </c>
      <c r="E32" s="385"/>
      <c r="F32" s="221"/>
      <c r="G32" s="222"/>
      <c r="H32" s="223"/>
      <c r="I32" s="223"/>
      <c r="J32" s="224"/>
      <c r="K32" s="225" t="str">
        <f t="shared" si="0"/>
        <v/>
      </c>
    </row>
    <row r="33" spans="1:11" ht="19.899999999999999" customHeight="1" x14ac:dyDescent="0.25">
      <c r="A33" s="100">
        <v>21</v>
      </c>
      <c r="B33" s="177"/>
      <c r="C33" s="372"/>
      <c r="D33" s="376" t="s">
        <v>149</v>
      </c>
      <c r="E33" s="300"/>
      <c r="F33" s="207"/>
      <c r="G33" s="208"/>
      <c r="H33" s="209"/>
      <c r="I33" s="209"/>
      <c r="J33" s="33"/>
      <c r="K33" s="210" t="str">
        <f t="shared" si="0"/>
        <v/>
      </c>
    </row>
    <row r="34" spans="1:11" ht="19.899999999999999" customHeight="1" thickBot="1" x14ac:dyDescent="0.3">
      <c r="A34" s="9">
        <v>22</v>
      </c>
      <c r="B34" s="253"/>
      <c r="C34" s="373"/>
      <c r="D34" s="381" t="s">
        <v>150</v>
      </c>
      <c r="E34" s="368"/>
      <c r="F34" s="216"/>
      <c r="G34" s="217"/>
      <c r="H34" s="218"/>
      <c r="I34" s="218"/>
      <c r="J34" s="219"/>
      <c r="K34" s="220" t="str">
        <f t="shared" si="0"/>
        <v/>
      </c>
    </row>
    <row r="35" spans="1:11" ht="19.899999999999999" customHeight="1" thickBot="1" x14ac:dyDescent="0.3">
      <c r="A35" s="101">
        <v>23</v>
      </c>
      <c r="B35" s="177"/>
      <c r="C35" s="226"/>
      <c r="D35" s="392" t="s">
        <v>28</v>
      </c>
      <c r="E35" s="393"/>
      <c r="F35" s="227"/>
      <c r="G35" s="228"/>
      <c r="H35" s="229"/>
      <c r="I35" s="229"/>
      <c r="J35" s="230"/>
      <c r="K35" s="231" t="str">
        <f t="shared" si="0"/>
        <v/>
      </c>
    </row>
    <row r="36" spans="1:11" ht="21.95" customHeight="1" thickTop="1" thickBot="1" x14ac:dyDescent="0.3">
      <c r="A36" s="292" t="str">
        <f>Doku!B43&amp;":"</f>
        <v>Summe Fehler und Punkte:</v>
      </c>
      <c r="B36" s="293"/>
      <c r="C36" s="293"/>
      <c r="D36" s="293"/>
      <c r="E36" s="294"/>
      <c r="F36" s="232" t="str">
        <f>IF($K$37&lt;&gt;"",COUNTA(F13:F35),"")</f>
        <v/>
      </c>
      <c r="G36" s="233" t="str">
        <f>IF($K$37&lt;&gt;"",COUNTA(G13:G35),"")</f>
        <v/>
      </c>
      <c r="H36" s="184" t="str">
        <f>IF($K$37&lt;&gt;"",COUNTA(H13:H35),"")</f>
        <v/>
      </c>
      <c r="I36" s="184" t="str">
        <f>IF($K$37&lt;&gt;"",COUNTA(I13:I35),"")</f>
        <v/>
      </c>
      <c r="J36" s="234" t="str">
        <f>IF($K$37&lt;&gt;"",COUNTA(J13:J35),"")</f>
        <v/>
      </c>
      <c r="K36" s="110" t="str">
        <f>IF(K37="","",IF(J36&lt;1,SUM(K13:K35),IF(J36&gt;=1,SUM(K13:K35)/2,"")))</f>
        <v/>
      </c>
    </row>
    <row r="37" spans="1:11" s="237" customFormat="1" ht="20.100000000000001" customHeight="1" thickTop="1" thickBot="1" x14ac:dyDescent="0.35">
      <c r="A37" s="321" t="str">
        <f>Doku!B44&amp;":"</f>
        <v>Position:</v>
      </c>
      <c r="B37" s="322"/>
      <c r="C37" s="322"/>
      <c r="D37" s="322"/>
      <c r="E37" s="235"/>
      <c r="F37" s="316" t="str">
        <f>Doku!B45</f>
        <v>Übertrag ok?</v>
      </c>
      <c r="G37" s="317"/>
      <c r="H37" s="317"/>
      <c r="I37" s="317"/>
      <c r="J37" s="318"/>
      <c r="K37" s="236"/>
    </row>
    <row r="38" spans="1:11" ht="15.75" thickTop="1" x14ac:dyDescent="0.25"/>
  </sheetData>
  <mergeCells count="50">
    <mergeCell ref="D7:E7"/>
    <mergeCell ref="F7:H7"/>
    <mergeCell ref="I7:J7"/>
    <mergeCell ref="A1:K1"/>
    <mergeCell ref="A2:K2"/>
    <mergeCell ref="A3:K3"/>
    <mergeCell ref="A5:D5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J11:J12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J37"/>
    <mergeCell ref="C32:C34"/>
    <mergeCell ref="D32:E32"/>
    <mergeCell ref="D33:E33"/>
    <mergeCell ref="D34:E34"/>
    <mergeCell ref="D35:E35"/>
    <mergeCell ref="A36:E36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N38"/>
  <sheetViews>
    <sheetView zoomScaleNormal="100" zoomScaleSheetLayoutView="85" workbookViewId="0">
      <selection activeCell="A37" sqref="A37:D37"/>
    </sheetView>
  </sheetViews>
  <sheetFormatPr baseColWidth="10" defaultColWidth="11.42578125" defaultRowHeight="15" x14ac:dyDescent="0.25"/>
  <cols>
    <col min="1" max="1" width="3.7109375" style="24" customWidth="1"/>
    <col min="2" max="2" width="3.7109375" style="24" hidden="1" customWidth="1"/>
    <col min="3" max="3" width="3.7109375" style="24" customWidth="1"/>
    <col min="4" max="4" width="5.7109375" style="24" customWidth="1"/>
    <col min="5" max="5" width="18.140625" style="24" customWidth="1"/>
    <col min="6" max="7" width="5.7109375" style="24" customWidth="1"/>
    <col min="8" max="11" width="10.7109375" style="24" customWidth="1"/>
    <col min="12" max="16384" width="11.42578125" style="24"/>
  </cols>
  <sheetData>
    <row r="1" spans="1:14" s="23" customFormat="1" ht="24.95" customHeight="1" x14ac:dyDescent="0.5">
      <c r="A1" s="287" t="str">
        <f>Doku!B28</f>
        <v>Kata Meisterschaft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</row>
    <row r="2" spans="1:14" s="23" customFormat="1" ht="20.100000000000001" customHeight="1" x14ac:dyDescent="0.5">
      <c r="A2" s="288" t="str">
        <f>Doku!B29</f>
        <v>des Deutschen Judobundes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</row>
    <row r="3" spans="1:14" s="23" customFormat="1" ht="39.950000000000003" customHeight="1" x14ac:dyDescent="0.5">
      <c r="A3" s="396" t="s">
        <v>151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</row>
    <row r="4" spans="1:14" s="23" customFormat="1" ht="11.1" customHeight="1" x14ac:dyDescent="0.5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14" ht="21.95" customHeight="1" x14ac:dyDescent="0.25">
      <c r="A5" s="332" t="str">
        <f>Doku!B31&amp;":"</f>
        <v>Bewerter:</v>
      </c>
      <c r="B5" s="332"/>
      <c r="C5" s="332"/>
      <c r="D5" s="332"/>
      <c r="E5" s="27"/>
      <c r="F5" s="18"/>
      <c r="G5" s="19" t="str">
        <f>Doku!B30&amp;":"</f>
        <v>Datum:</v>
      </c>
      <c r="H5" s="28"/>
      <c r="I5" s="20"/>
      <c r="J5" s="20" t="str">
        <f>Doku!B32&amp;":"</f>
        <v>Paar Nr:</v>
      </c>
      <c r="K5" s="28"/>
    </row>
    <row r="6" spans="1:14" ht="11.1" customHeight="1" thickBot="1" x14ac:dyDescent="0.55000000000000004">
      <c r="A6" s="1"/>
      <c r="B6" s="1"/>
      <c r="C6" s="2"/>
      <c r="D6" s="2"/>
      <c r="E6" s="147"/>
      <c r="F6" s="148"/>
      <c r="G6" s="148"/>
      <c r="H6" s="343"/>
      <c r="I6" s="343"/>
      <c r="J6" s="343"/>
      <c r="K6" s="23"/>
    </row>
    <row r="7" spans="1:14" s="25" customFormat="1" ht="20.100000000000001" customHeight="1" x14ac:dyDescent="0.35">
      <c r="A7" s="12"/>
      <c r="B7" s="12"/>
      <c r="C7" s="12"/>
      <c r="D7" s="341" t="str">
        <f>Doku!B33</f>
        <v>Nachname</v>
      </c>
      <c r="E7" s="335"/>
      <c r="F7" s="333" t="str">
        <f>Doku!B34</f>
        <v>Vorname</v>
      </c>
      <c r="G7" s="334"/>
      <c r="H7" s="335"/>
      <c r="I7" s="336" t="str">
        <f>Doku!B35</f>
        <v>Verein</v>
      </c>
      <c r="J7" s="336"/>
      <c r="K7" s="13" t="str">
        <f>Doku!B36</f>
        <v>Land</v>
      </c>
    </row>
    <row r="8" spans="1:14" ht="21.95" customHeight="1" x14ac:dyDescent="0.25">
      <c r="A8" s="18" t="s">
        <v>31</v>
      </c>
      <c r="B8" s="18"/>
      <c r="C8" s="18"/>
      <c r="D8" s="342"/>
      <c r="E8" s="339"/>
      <c r="F8" s="337"/>
      <c r="G8" s="338"/>
      <c r="H8" s="339"/>
      <c r="I8" s="340"/>
      <c r="J8" s="340"/>
      <c r="K8" s="21"/>
    </row>
    <row r="9" spans="1:14" ht="21.95" customHeight="1" thickBot="1" x14ac:dyDescent="0.55000000000000004">
      <c r="A9" s="18" t="s">
        <v>32</v>
      </c>
      <c r="B9" s="18"/>
      <c r="C9" s="18"/>
      <c r="D9" s="331"/>
      <c r="E9" s="325"/>
      <c r="F9" s="323"/>
      <c r="G9" s="324"/>
      <c r="H9" s="325"/>
      <c r="I9" s="326"/>
      <c r="J9" s="326"/>
      <c r="K9" s="22"/>
      <c r="N9" s="23"/>
    </row>
    <row r="10" spans="1:14" ht="11.1" customHeight="1" thickBot="1" x14ac:dyDescent="0.55000000000000004">
      <c r="A10" s="1"/>
      <c r="B10" s="1"/>
      <c r="C10" s="2"/>
      <c r="D10" s="2"/>
      <c r="E10" s="191"/>
      <c r="F10" s="4"/>
      <c r="G10" s="4"/>
      <c r="H10" s="4"/>
      <c r="I10" s="4"/>
      <c r="J10" s="4"/>
      <c r="K10" s="23"/>
    </row>
    <row r="11" spans="1:14" ht="27" thickTop="1" thickBot="1" x14ac:dyDescent="0.3">
      <c r="A11" s="5"/>
      <c r="B11" s="5"/>
      <c r="C11" s="5"/>
      <c r="D11" s="5"/>
      <c r="E11" s="5"/>
      <c r="F11" s="327" t="str">
        <f>Doku!B38</f>
        <v>Kleiner Fehler</v>
      </c>
      <c r="G11" s="328"/>
      <c r="H11" s="17" t="str">
        <f>Doku!B39</f>
        <v>Mittlerer Fehler</v>
      </c>
      <c r="I11" s="17" t="str">
        <f>Doku!B40</f>
        <v>Großer Fehler</v>
      </c>
      <c r="J11" s="329" t="str">
        <f>Doku!B41</f>
        <v>Technik vergessen</v>
      </c>
      <c r="K11" s="309" t="str">
        <f>Doku!B42</f>
        <v>Gesamt</v>
      </c>
    </row>
    <row r="12" spans="1:14" s="25" customFormat="1" ht="20.100000000000001" customHeight="1" thickTop="1" thickBot="1" x14ac:dyDescent="0.4">
      <c r="A12" s="311" t="str">
        <f>Doku!B37</f>
        <v>Technik</v>
      </c>
      <c r="B12" s="312"/>
      <c r="C12" s="312"/>
      <c r="D12" s="312"/>
      <c r="E12" s="313"/>
      <c r="F12" s="314">
        <v>1</v>
      </c>
      <c r="G12" s="315"/>
      <c r="H12" s="14">
        <v>3</v>
      </c>
      <c r="I12" s="14">
        <v>5</v>
      </c>
      <c r="J12" s="330"/>
      <c r="K12" s="310"/>
    </row>
    <row r="13" spans="1:14" ht="19.899999999999999" customHeight="1" thickBot="1" x14ac:dyDescent="0.3">
      <c r="A13" s="6">
        <v>1</v>
      </c>
      <c r="B13" s="6"/>
      <c r="C13" s="193"/>
      <c r="D13" s="369" t="s">
        <v>7</v>
      </c>
      <c r="E13" s="370"/>
      <c r="F13" s="194"/>
      <c r="G13" s="195"/>
      <c r="H13" s="196"/>
      <c r="I13" s="196"/>
      <c r="J13" s="197"/>
      <c r="K13" s="197" t="str">
        <f t="shared" ref="K13:K35" si="0">IF($K$37&lt;&gt;"",IF(J13&lt;&gt;"",0,MAX(1,10-5*(I13&lt;&gt;"")-3*(H13&lt;&gt;"")-1*(G13&lt;&gt;"")-1*(F13&lt;&gt;""))),"")</f>
        <v/>
      </c>
      <c r="M13" s="240"/>
    </row>
    <row r="14" spans="1:14" ht="19.899999999999999" customHeight="1" x14ac:dyDescent="0.25">
      <c r="A14" s="100">
        <v>2</v>
      </c>
      <c r="B14" s="177"/>
      <c r="C14" s="371" t="s">
        <v>152</v>
      </c>
      <c r="D14" s="380" t="s">
        <v>153</v>
      </c>
      <c r="E14" s="308"/>
      <c r="F14" s="198"/>
      <c r="G14" s="199"/>
      <c r="H14" s="200"/>
      <c r="I14" s="200"/>
      <c r="J14" s="201"/>
      <c r="K14" s="201" t="str">
        <f t="shared" si="0"/>
        <v/>
      </c>
      <c r="M14" s="240"/>
    </row>
    <row r="15" spans="1:14" ht="19.899999999999999" customHeight="1" x14ac:dyDescent="0.25">
      <c r="A15" s="100">
        <v>3</v>
      </c>
      <c r="B15" s="177"/>
      <c r="C15" s="372"/>
      <c r="D15" s="377" t="s">
        <v>154</v>
      </c>
      <c r="E15" s="362"/>
      <c r="F15" s="203"/>
      <c r="G15" s="204"/>
      <c r="H15" s="205"/>
      <c r="I15" s="205"/>
      <c r="J15" s="130"/>
      <c r="K15" s="130" t="str">
        <f t="shared" si="0"/>
        <v/>
      </c>
      <c r="M15" s="240"/>
    </row>
    <row r="16" spans="1:14" ht="19.899999999999999" customHeight="1" x14ac:dyDescent="0.25">
      <c r="A16" s="100">
        <v>4</v>
      </c>
      <c r="B16" s="177"/>
      <c r="C16" s="372"/>
      <c r="D16" s="376" t="s">
        <v>155</v>
      </c>
      <c r="E16" s="300"/>
      <c r="F16" s="207"/>
      <c r="G16" s="208"/>
      <c r="H16" s="209"/>
      <c r="I16" s="209"/>
      <c r="J16" s="33"/>
      <c r="K16" s="33" t="str">
        <f t="shared" si="0"/>
        <v/>
      </c>
      <c r="M16" s="240"/>
    </row>
    <row r="17" spans="1:13" ht="19.899999999999999" customHeight="1" x14ac:dyDescent="0.25">
      <c r="A17" s="100">
        <v>5</v>
      </c>
      <c r="B17" s="177"/>
      <c r="C17" s="372"/>
      <c r="D17" s="377" t="s">
        <v>156</v>
      </c>
      <c r="E17" s="362"/>
      <c r="F17" s="203"/>
      <c r="G17" s="204"/>
      <c r="H17" s="205"/>
      <c r="I17" s="205"/>
      <c r="J17" s="130"/>
      <c r="K17" s="130" t="str">
        <f t="shared" si="0"/>
        <v/>
      </c>
      <c r="M17" s="240"/>
    </row>
    <row r="18" spans="1:13" ht="19.899999999999999" customHeight="1" x14ac:dyDescent="0.25">
      <c r="A18" s="100">
        <v>6</v>
      </c>
      <c r="B18" s="177"/>
      <c r="C18" s="372"/>
      <c r="D18" s="376" t="s">
        <v>157</v>
      </c>
      <c r="E18" s="300"/>
      <c r="F18" s="207"/>
      <c r="G18" s="208"/>
      <c r="H18" s="209"/>
      <c r="I18" s="209"/>
      <c r="J18" s="33"/>
      <c r="K18" s="33" t="str">
        <f t="shared" si="0"/>
        <v/>
      </c>
      <c r="M18" s="240"/>
    </row>
    <row r="19" spans="1:13" ht="19.899999999999999" customHeight="1" x14ac:dyDescent="0.25">
      <c r="A19" s="100">
        <v>7</v>
      </c>
      <c r="B19" s="177"/>
      <c r="C19" s="372"/>
      <c r="D19" s="377" t="s">
        <v>158</v>
      </c>
      <c r="E19" s="362"/>
      <c r="F19" s="203"/>
      <c r="G19" s="204"/>
      <c r="H19" s="205"/>
      <c r="I19" s="205"/>
      <c r="J19" s="130"/>
      <c r="K19" s="130" t="str">
        <f t="shared" si="0"/>
        <v/>
      </c>
      <c r="M19" s="240"/>
    </row>
    <row r="20" spans="1:13" ht="19.899999999999999" customHeight="1" x14ac:dyDescent="0.25">
      <c r="A20" s="100">
        <v>8</v>
      </c>
      <c r="B20" s="177"/>
      <c r="C20" s="372"/>
      <c r="D20" s="376" t="s">
        <v>159</v>
      </c>
      <c r="E20" s="300"/>
      <c r="F20" s="207"/>
      <c r="G20" s="208"/>
      <c r="H20" s="209"/>
      <c r="I20" s="209"/>
      <c r="J20" s="33"/>
      <c r="K20" s="33" t="str">
        <f t="shared" si="0"/>
        <v/>
      </c>
      <c r="M20" s="240"/>
    </row>
    <row r="21" spans="1:13" ht="19.899999999999999" customHeight="1" x14ac:dyDescent="0.25">
      <c r="A21" s="100">
        <v>9</v>
      </c>
      <c r="B21" s="177"/>
      <c r="C21" s="372"/>
      <c r="D21" s="377" t="s">
        <v>160</v>
      </c>
      <c r="E21" s="362"/>
      <c r="F21" s="203"/>
      <c r="G21" s="204"/>
      <c r="H21" s="205"/>
      <c r="I21" s="205"/>
      <c r="J21" s="130"/>
      <c r="K21" s="130" t="str">
        <f t="shared" si="0"/>
        <v/>
      </c>
      <c r="M21" s="240"/>
    </row>
    <row r="22" spans="1:13" ht="19.899999999999999" customHeight="1" x14ac:dyDescent="0.25">
      <c r="A22" s="100">
        <v>10</v>
      </c>
      <c r="B22" s="177"/>
      <c r="C22" s="372"/>
      <c r="D22" s="376" t="s">
        <v>161</v>
      </c>
      <c r="E22" s="300"/>
      <c r="F22" s="207"/>
      <c r="G22" s="208"/>
      <c r="H22" s="209"/>
      <c r="I22" s="209"/>
      <c r="J22" s="33"/>
      <c r="K22" s="33" t="str">
        <f t="shared" si="0"/>
        <v/>
      </c>
      <c r="M22" s="240"/>
    </row>
    <row r="23" spans="1:13" ht="19.899999999999999" customHeight="1" x14ac:dyDescent="0.25">
      <c r="A23" s="100">
        <v>11</v>
      </c>
      <c r="B23" s="177"/>
      <c r="C23" s="372"/>
      <c r="D23" s="377" t="s">
        <v>162</v>
      </c>
      <c r="E23" s="362"/>
      <c r="F23" s="203"/>
      <c r="G23" s="204"/>
      <c r="H23" s="205"/>
      <c r="I23" s="205"/>
      <c r="J23" s="130"/>
      <c r="K23" s="130" t="str">
        <f t="shared" si="0"/>
        <v/>
      </c>
      <c r="M23" s="240"/>
    </row>
    <row r="24" spans="1:13" ht="19.899999999999999" customHeight="1" x14ac:dyDescent="0.25">
      <c r="A24" s="100">
        <v>12</v>
      </c>
      <c r="B24" s="177"/>
      <c r="C24" s="372"/>
      <c r="D24" s="376" t="s">
        <v>163</v>
      </c>
      <c r="E24" s="300"/>
      <c r="F24" s="207"/>
      <c r="G24" s="208"/>
      <c r="H24" s="209"/>
      <c r="I24" s="209"/>
      <c r="J24" s="33"/>
      <c r="K24" s="33" t="str">
        <f t="shared" si="0"/>
        <v/>
      </c>
      <c r="M24" s="240"/>
    </row>
    <row r="25" spans="1:13" ht="19.899999999999999" customHeight="1" x14ac:dyDescent="0.25">
      <c r="A25" s="100">
        <v>13</v>
      </c>
      <c r="B25" s="177"/>
      <c r="C25" s="372"/>
      <c r="D25" s="377" t="s">
        <v>164</v>
      </c>
      <c r="E25" s="362"/>
      <c r="F25" s="203"/>
      <c r="G25" s="204"/>
      <c r="H25" s="205"/>
      <c r="I25" s="205"/>
      <c r="J25" s="130"/>
      <c r="K25" s="130" t="str">
        <f t="shared" si="0"/>
        <v/>
      </c>
      <c r="M25" s="240"/>
    </row>
    <row r="26" spans="1:13" ht="19.899999999999999" customHeight="1" x14ac:dyDescent="0.25">
      <c r="A26" s="100">
        <v>14</v>
      </c>
      <c r="B26" s="177"/>
      <c r="C26" s="372"/>
      <c r="D26" s="376" t="s">
        <v>165</v>
      </c>
      <c r="E26" s="300"/>
      <c r="F26" s="207"/>
      <c r="G26" s="208"/>
      <c r="H26" s="209"/>
      <c r="I26" s="209"/>
      <c r="J26" s="33"/>
      <c r="K26" s="33" t="str">
        <f t="shared" si="0"/>
        <v/>
      </c>
      <c r="M26" s="240"/>
    </row>
    <row r="27" spans="1:13" ht="19.899999999999999" customHeight="1" thickBot="1" x14ac:dyDescent="0.3">
      <c r="A27" s="100">
        <v>15</v>
      </c>
      <c r="B27" s="177"/>
      <c r="C27" s="373"/>
      <c r="D27" s="381" t="s">
        <v>166</v>
      </c>
      <c r="E27" s="368"/>
      <c r="F27" s="216"/>
      <c r="G27" s="217"/>
      <c r="H27" s="218"/>
      <c r="I27" s="218"/>
      <c r="J27" s="219"/>
      <c r="K27" s="219" t="str">
        <f t="shared" si="0"/>
        <v/>
      </c>
      <c r="M27" s="240"/>
    </row>
    <row r="28" spans="1:13" ht="19.899999999999999" customHeight="1" x14ac:dyDescent="0.25">
      <c r="A28" s="100">
        <v>16</v>
      </c>
      <c r="B28" s="177"/>
      <c r="C28" s="372" t="s">
        <v>167</v>
      </c>
      <c r="D28" s="380" t="s">
        <v>168</v>
      </c>
      <c r="E28" s="308"/>
      <c r="F28" s="198"/>
      <c r="G28" s="199"/>
      <c r="H28" s="200"/>
      <c r="I28" s="200"/>
      <c r="J28" s="201"/>
      <c r="K28" s="201" t="str">
        <f t="shared" si="0"/>
        <v/>
      </c>
      <c r="M28" s="240"/>
    </row>
    <row r="29" spans="1:13" ht="19.899999999999999" customHeight="1" x14ac:dyDescent="0.25">
      <c r="A29" s="100">
        <v>17</v>
      </c>
      <c r="B29" s="177"/>
      <c r="C29" s="372"/>
      <c r="D29" s="377" t="s">
        <v>169</v>
      </c>
      <c r="E29" s="362"/>
      <c r="F29" s="203"/>
      <c r="G29" s="204"/>
      <c r="H29" s="205"/>
      <c r="I29" s="205"/>
      <c r="J29" s="130"/>
      <c r="K29" s="130" t="str">
        <f t="shared" si="0"/>
        <v/>
      </c>
      <c r="M29" s="240"/>
    </row>
    <row r="30" spans="1:13" ht="19.899999999999999" customHeight="1" x14ac:dyDescent="0.25">
      <c r="A30" s="100">
        <v>18</v>
      </c>
      <c r="B30" s="177"/>
      <c r="C30" s="372"/>
      <c r="D30" s="376" t="s">
        <v>170</v>
      </c>
      <c r="E30" s="300"/>
      <c r="F30" s="207"/>
      <c r="G30" s="208"/>
      <c r="H30" s="209"/>
      <c r="I30" s="209"/>
      <c r="J30" s="33"/>
      <c r="K30" s="33" t="str">
        <f t="shared" si="0"/>
        <v/>
      </c>
      <c r="M30" s="240"/>
    </row>
    <row r="31" spans="1:13" ht="19.899999999999999" customHeight="1" x14ac:dyDescent="0.25">
      <c r="A31" s="100">
        <v>19</v>
      </c>
      <c r="B31" s="177"/>
      <c r="C31" s="372"/>
      <c r="D31" s="377" t="s">
        <v>171</v>
      </c>
      <c r="E31" s="362"/>
      <c r="F31" s="203"/>
      <c r="G31" s="204"/>
      <c r="H31" s="205"/>
      <c r="I31" s="205"/>
      <c r="J31" s="130"/>
      <c r="K31" s="130" t="str">
        <f t="shared" si="0"/>
        <v/>
      </c>
      <c r="M31" s="240"/>
    </row>
    <row r="32" spans="1:13" ht="19.899999999999999" customHeight="1" x14ac:dyDescent="0.25">
      <c r="A32" s="100">
        <v>20</v>
      </c>
      <c r="B32" s="177"/>
      <c r="C32" s="372"/>
      <c r="D32" s="376" t="s">
        <v>172</v>
      </c>
      <c r="E32" s="300"/>
      <c r="F32" s="207"/>
      <c r="G32" s="208"/>
      <c r="H32" s="209"/>
      <c r="I32" s="209"/>
      <c r="J32" s="33"/>
      <c r="K32" s="33" t="str">
        <f t="shared" si="0"/>
        <v/>
      </c>
      <c r="M32" s="240"/>
    </row>
    <row r="33" spans="1:13" ht="19.899999999999999" customHeight="1" x14ac:dyDescent="0.25">
      <c r="A33" s="100">
        <v>21</v>
      </c>
      <c r="B33" s="177"/>
      <c r="C33" s="372"/>
      <c r="D33" s="377" t="s">
        <v>173</v>
      </c>
      <c r="E33" s="362"/>
      <c r="F33" s="203"/>
      <c r="G33" s="204"/>
      <c r="H33" s="205"/>
      <c r="I33" s="205"/>
      <c r="J33" s="130"/>
      <c r="K33" s="130" t="str">
        <f t="shared" si="0"/>
        <v/>
      </c>
      <c r="M33" s="240"/>
    </row>
    <row r="34" spans="1:13" ht="19.899999999999999" customHeight="1" thickBot="1" x14ac:dyDescent="0.3">
      <c r="A34" s="100">
        <v>22</v>
      </c>
      <c r="B34" s="177"/>
      <c r="C34" s="373"/>
      <c r="D34" s="382" t="s">
        <v>174</v>
      </c>
      <c r="E34" s="364"/>
      <c r="F34" s="241"/>
      <c r="G34" s="242"/>
      <c r="H34" s="243"/>
      <c r="I34" s="243"/>
      <c r="J34" s="98"/>
      <c r="K34" s="98" t="str">
        <f t="shared" si="0"/>
        <v/>
      </c>
      <c r="M34" s="240"/>
    </row>
    <row r="35" spans="1:13" ht="19.899999999999999" customHeight="1" thickBot="1" x14ac:dyDescent="0.3">
      <c r="A35" s="6">
        <v>23</v>
      </c>
      <c r="B35" s="254"/>
      <c r="C35" s="226"/>
      <c r="D35" s="397" t="s">
        <v>28</v>
      </c>
      <c r="E35" s="398"/>
      <c r="F35" s="244"/>
      <c r="G35" s="245"/>
      <c r="H35" s="246"/>
      <c r="I35" s="246"/>
      <c r="J35" s="247"/>
      <c r="K35" s="247" t="str">
        <f t="shared" si="0"/>
        <v/>
      </c>
      <c r="M35" s="240"/>
    </row>
    <row r="36" spans="1:13" ht="21.95" customHeight="1" thickTop="1" thickBot="1" x14ac:dyDescent="0.3">
      <c r="A36" s="292" t="str">
        <f>Doku!B43&amp;":"</f>
        <v>Summe Fehler und Punkte:</v>
      </c>
      <c r="B36" s="293"/>
      <c r="C36" s="293"/>
      <c r="D36" s="293"/>
      <c r="E36" s="294"/>
      <c r="F36" s="232" t="str">
        <f>IF($K$37&lt;&gt;"",COUNTA(F13:F35),"")</f>
        <v/>
      </c>
      <c r="G36" s="233" t="str">
        <f>IF($K$37&lt;&gt;"",COUNTA(G13:G35),"")</f>
        <v/>
      </c>
      <c r="H36" s="184" t="str">
        <f>IF($K$37&lt;&gt;"",COUNTA(H13:H35),"")</f>
        <v/>
      </c>
      <c r="I36" s="184" t="str">
        <f>IF($K$37&lt;&gt;"",COUNTA(I13:I35),"")</f>
        <v/>
      </c>
      <c r="J36" s="234" t="str">
        <f>IF($K$37&lt;&gt;"",COUNTA(J13:J35),"")</f>
        <v/>
      </c>
      <c r="K36" s="110" t="str">
        <f>IF(K37="","",IF(J36&lt;1,SUM(K13:K35),IF(J36&gt;=1,SUM(K13:K35)/2,"")))</f>
        <v/>
      </c>
    </row>
    <row r="37" spans="1:13" s="237" customFormat="1" ht="20.100000000000001" customHeight="1" thickTop="1" thickBot="1" x14ac:dyDescent="0.35">
      <c r="A37" s="321" t="str">
        <f>Doku!B44&amp;":"</f>
        <v>Position:</v>
      </c>
      <c r="B37" s="322"/>
      <c r="C37" s="322"/>
      <c r="D37" s="322"/>
      <c r="E37" s="235"/>
      <c r="F37" s="316" t="str">
        <f>Doku!B45</f>
        <v>Übertrag ok?</v>
      </c>
      <c r="G37" s="317"/>
      <c r="H37" s="317"/>
      <c r="I37" s="317"/>
      <c r="J37" s="318"/>
      <c r="K37" s="236"/>
    </row>
    <row r="38" spans="1:13" ht="15.75" thickTop="1" x14ac:dyDescent="0.25"/>
  </sheetData>
  <mergeCells count="47">
    <mergeCell ref="D26:E26"/>
    <mergeCell ref="D27:E27"/>
    <mergeCell ref="F37:J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K11:K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J8"/>
    <mergeCell ref="D9:E9"/>
    <mergeCell ref="F9:H9"/>
    <mergeCell ref="I9:J9"/>
    <mergeCell ref="F11:G11"/>
    <mergeCell ref="J11:J12"/>
    <mergeCell ref="D7:E7"/>
    <mergeCell ref="F7:H7"/>
    <mergeCell ref="I7:J7"/>
    <mergeCell ref="A1:K1"/>
    <mergeCell ref="A2:K2"/>
    <mergeCell ref="A3:K3"/>
    <mergeCell ref="A5:D5"/>
    <mergeCell ref="H6:J6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E15"/>
  <sheetViews>
    <sheetView zoomScale="115" zoomScaleNormal="115" workbookViewId="0">
      <selection sqref="A1:B1"/>
    </sheetView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9" width="3.7109375" style="51" customWidth="1"/>
    <col min="20" max="20" width="5.7109375" style="51" customWidth="1"/>
    <col min="21" max="26" width="5.7109375" style="51" hidden="1" customWidth="1"/>
    <col min="27" max="30" width="3.7109375" style="51" customWidth="1"/>
  </cols>
  <sheetData>
    <row r="1" spans="1:31" x14ac:dyDescent="0.25">
      <c r="A1" s="399" t="str">
        <f>Doku!B42&amp;":"</f>
        <v>Gesamt:</v>
      </c>
      <c r="B1" s="399"/>
      <c r="C1" s="52" t="e">
        <f ca="1">SUM(C7:C11)-MAX(C7:C11)-MIN(C7:C11)</f>
        <v>#REF!</v>
      </c>
      <c r="D1" s="52" t="e">
        <f t="shared" ref="D1:S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3" t="e">
        <f ca="1">IF(SUM(AA7:AA12)&gt;0,SUM(C1:S1)/2,SUM(C1:S1))</f>
        <v>#REF!</v>
      </c>
      <c r="U1" s="248"/>
      <c r="V1" s="248"/>
      <c r="W1" s="248"/>
      <c r="X1" s="248"/>
      <c r="Y1" s="248"/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1" x14ac:dyDescent="0.25">
      <c r="A2" s="400" t="str">
        <f>Doku!B47&amp;":"</f>
        <v>Mittelwert:</v>
      </c>
      <c r="B2" s="400"/>
      <c r="C2" s="54" t="e">
        <f ca="1">AVERAGE(C7:C11)</f>
        <v>#REF!</v>
      </c>
      <c r="D2" s="54" t="e">
        <f t="shared" ref="D2:S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5" t="e">
        <f ca="1">AVERAGE(T7:T11)</f>
        <v>#REF!</v>
      </c>
      <c r="U2" s="188"/>
      <c r="V2" s="188"/>
      <c r="W2" s="188"/>
      <c r="X2" s="188"/>
      <c r="Y2" s="188"/>
      <c r="Z2" s="188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1" x14ac:dyDescent="0.25">
      <c r="A3" s="400" t="str">
        <f>Doku!B48&amp;":"</f>
        <v>Standardabweichung:</v>
      </c>
      <c r="B3" s="400"/>
      <c r="C3" s="56" t="e">
        <f ca="1">_xlfn.STDEV.P(C7:C11)</f>
        <v>#REF!</v>
      </c>
      <c r="D3" s="56" t="e">
        <f t="shared" ref="D3:S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7" t="e">
        <f ca="1">_xlfn.STDEV.P(T7:T11)</f>
        <v>#REF!</v>
      </c>
      <c r="U3" s="249"/>
      <c r="V3" s="249"/>
      <c r="W3" s="249"/>
      <c r="X3" s="249"/>
      <c r="Y3" s="249"/>
      <c r="Z3" s="249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1" x14ac:dyDescent="0.25">
      <c r="A4" s="400" t="str">
        <f>Doku!B49&amp;":"</f>
        <v>Spannweite:</v>
      </c>
      <c r="B4" s="400"/>
      <c r="C4" s="52" t="e">
        <f ca="1">MAX(C7:C11)-MIN(C7:C11)</f>
        <v>#REF!</v>
      </c>
      <c r="D4" s="52" t="e">
        <f t="shared" ref="D4:S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3" t="e">
        <f ca="1">MAX(T7:T11)-MIN(T7:T11)</f>
        <v>#REF!</v>
      </c>
      <c r="U4" s="248"/>
      <c r="V4" s="248"/>
      <c r="W4" s="248"/>
      <c r="X4" s="248"/>
      <c r="Y4" s="248"/>
      <c r="Z4" s="248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9"/>
      <c r="U5" s="272"/>
      <c r="V5" s="272"/>
      <c r="W5" s="272"/>
      <c r="X5" s="272"/>
      <c r="Y5" s="272"/>
      <c r="Z5" s="272"/>
      <c r="AB5" s="58"/>
      <c r="AC5" s="58"/>
      <c r="AD5" s="58"/>
      <c r="AE5" s="58"/>
    </row>
    <row r="6" spans="1:31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9</v>
      </c>
      <c r="E6" s="60" t="s">
        <v>10</v>
      </c>
      <c r="F6" s="60" t="s">
        <v>11</v>
      </c>
      <c r="G6" s="60" t="s">
        <v>13</v>
      </c>
      <c r="H6" s="60" t="s">
        <v>14</v>
      </c>
      <c r="I6" s="60" t="s">
        <v>15</v>
      </c>
      <c r="J6" s="60" t="s">
        <v>17</v>
      </c>
      <c r="K6" s="60" t="s">
        <v>18</v>
      </c>
      <c r="L6" s="60" t="s">
        <v>19</v>
      </c>
      <c r="M6" s="60" t="s">
        <v>21</v>
      </c>
      <c r="N6" s="60" t="s">
        <v>22</v>
      </c>
      <c r="O6" s="60" t="s">
        <v>23</v>
      </c>
      <c r="P6" s="60" t="s">
        <v>25</v>
      </c>
      <c r="Q6" s="60" t="s">
        <v>26</v>
      </c>
      <c r="R6" s="60" t="s">
        <v>27</v>
      </c>
      <c r="S6" s="60" t="str">
        <f>Doku!B52</f>
        <v>Abgrüßen</v>
      </c>
      <c r="T6" s="61" t="str">
        <f>Doku!B42</f>
        <v>Gesamt</v>
      </c>
      <c r="U6" s="62"/>
      <c r="V6" s="62"/>
      <c r="W6" s="62"/>
      <c r="X6" s="62"/>
      <c r="Y6" s="62"/>
      <c r="Z6" s="62"/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1" x14ac:dyDescent="0.25">
      <c r="A7" s="58"/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55" t="e">
        <f t="shared" ref="T7:T15" ca="1" si="4">INDIRECT("'"&amp;$A7&amp;"'!K36")</f>
        <v>#REF!</v>
      </c>
      <c r="U7" s="54"/>
      <c r="V7" s="54"/>
      <c r="W7" s="54"/>
      <c r="X7" s="54"/>
      <c r="Y7" s="54"/>
      <c r="Z7" s="54"/>
      <c r="AA7" s="54" t="e">
        <f t="shared" ref="AA7:AA15" ca="1" si="5">INDIRECT("'"&amp;$A7&amp;"'!J36")</f>
        <v>#REF!</v>
      </c>
      <c r="AB7" s="54" t="e">
        <f t="shared" ref="AB7:AB15" ca="1" si="6">INDIRECT("'"&amp;$A7&amp;"'!I36")</f>
        <v>#REF!</v>
      </c>
      <c r="AC7" s="54" t="e">
        <f t="shared" ref="AC7:AC15" ca="1" si="7">INDIRECT("'"&amp;$A7&amp;"'!H36")</f>
        <v>#REF!</v>
      </c>
      <c r="AD7" s="54" t="e">
        <f t="shared" ref="AD7:AD15" ca="1" si="8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1" x14ac:dyDescent="0.25">
      <c r="A8" s="63"/>
      <c r="B8" s="63" t="e">
        <f t="shared" ref="B8:B15" ca="1" si="9">INDIRECT("'"&amp;$A8&amp;"'!E5")</f>
        <v>#REF!</v>
      </c>
      <c r="C8" s="64" t="e">
        <f t="shared" ref="C8:C15" ca="1" si="10">INDIRECT("'"&amp;$A8&amp;"'!K13")</f>
        <v>#REF!</v>
      </c>
      <c r="D8" s="64" t="e">
        <f t="shared" ref="D8:D15" ca="1" si="11">INDIRECT("'"&amp;$A8&amp;"'!K14")</f>
        <v>#REF!</v>
      </c>
      <c r="E8" s="64" t="e">
        <f t="shared" ref="E8:E15" ca="1" si="12">INDIRECT("'"&amp;$A8&amp;"'!K15")</f>
        <v>#REF!</v>
      </c>
      <c r="F8" s="64" t="e">
        <f t="shared" ref="F8:F15" ca="1" si="13">INDIRECT("'"&amp;$A8&amp;"'!K16")</f>
        <v>#REF!</v>
      </c>
      <c r="G8" s="64" t="e">
        <f t="shared" ref="G8:G15" ca="1" si="14">INDIRECT("'"&amp;$A8&amp;"'!K17")</f>
        <v>#REF!</v>
      </c>
      <c r="H8" s="64" t="e">
        <f t="shared" ref="H8:H15" ca="1" si="15">INDIRECT("'"&amp;$A8&amp;"'!K18")</f>
        <v>#REF!</v>
      </c>
      <c r="I8" s="64" t="e">
        <f t="shared" ref="I8:I15" ca="1" si="16">INDIRECT("'"&amp;$A8&amp;"'!K19")</f>
        <v>#REF!</v>
      </c>
      <c r="J8" s="64" t="e">
        <f t="shared" ref="J8:J15" ca="1" si="17">INDIRECT("'"&amp;$A8&amp;"'!K20")</f>
        <v>#REF!</v>
      </c>
      <c r="K8" s="64" t="e">
        <f t="shared" ref="K8:K15" ca="1" si="18">INDIRECT("'"&amp;$A8&amp;"'!K21")</f>
        <v>#REF!</v>
      </c>
      <c r="L8" s="64" t="e">
        <f t="shared" ref="L8:L15" ca="1" si="19">INDIRECT("'"&amp;$A8&amp;"'!K22")</f>
        <v>#REF!</v>
      </c>
      <c r="M8" s="64" t="e">
        <f t="shared" ref="M8:M15" ca="1" si="20">INDIRECT("'"&amp;$A8&amp;"'!K23")</f>
        <v>#REF!</v>
      </c>
      <c r="N8" s="64" t="e">
        <f t="shared" ref="N8:N15" ca="1" si="21">INDIRECT("'"&amp;$A8&amp;"'!K24")</f>
        <v>#REF!</v>
      </c>
      <c r="O8" s="64" t="e">
        <f t="shared" ref="O8:O15" ca="1" si="22">INDIRECT("'"&amp;$A8&amp;"'!K25")</f>
        <v>#REF!</v>
      </c>
      <c r="P8" s="64" t="e">
        <f t="shared" ref="P8:P15" ca="1" si="23">INDIRECT("'"&amp;$A8&amp;"'!K26")</f>
        <v>#REF!</v>
      </c>
      <c r="Q8" s="64" t="e">
        <f t="shared" ref="Q8:Q15" ca="1" si="24">INDIRECT("'"&amp;$A8&amp;"'!K27")</f>
        <v>#REF!</v>
      </c>
      <c r="R8" s="64" t="e">
        <f t="shared" ref="R8:R15" ca="1" si="25">INDIRECT("'"&amp;$A8&amp;"'!K28")</f>
        <v>#REF!</v>
      </c>
      <c r="S8" s="64" t="e">
        <f t="shared" ref="S8:S15" ca="1" si="26">INDIRECT("'"&amp;$A8&amp;"'!K29")</f>
        <v>#REF!</v>
      </c>
      <c r="T8" s="65" t="e">
        <f t="shared" ca="1" si="4"/>
        <v>#REF!</v>
      </c>
      <c r="U8" s="64"/>
      <c r="V8" s="64"/>
      <c r="W8" s="64"/>
      <c r="X8" s="64"/>
      <c r="Y8" s="64"/>
      <c r="Z8" s="64"/>
      <c r="AA8" s="64" t="e">
        <f t="shared" ca="1" si="5"/>
        <v>#REF!</v>
      </c>
      <c r="AB8" s="64" t="e">
        <f t="shared" ca="1" si="6"/>
        <v>#REF!</v>
      </c>
      <c r="AC8" s="64" t="e">
        <f t="shared" ca="1" si="7"/>
        <v>#REF!</v>
      </c>
      <c r="AD8" s="64" t="e">
        <f t="shared" ca="1" si="8"/>
        <v>#REF!</v>
      </c>
    </row>
    <row r="9" spans="1:31" x14ac:dyDescent="0.25">
      <c r="A9" s="58"/>
      <c r="B9" s="58" t="e">
        <f t="shared" ca="1" si="9"/>
        <v>#REF!</v>
      </c>
      <c r="C9" s="54" t="e">
        <f t="shared" ca="1" si="10"/>
        <v>#REF!</v>
      </c>
      <c r="D9" s="54" t="e">
        <f t="shared" ca="1" si="11"/>
        <v>#REF!</v>
      </c>
      <c r="E9" s="54" t="e">
        <f t="shared" ca="1" si="12"/>
        <v>#REF!</v>
      </c>
      <c r="F9" s="54" t="e">
        <f t="shared" ca="1" si="13"/>
        <v>#REF!</v>
      </c>
      <c r="G9" s="54" t="e">
        <f t="shared" ca="1" si="14"/>
        <v>#REF!</v>
      </c>
      <c r="H9" s="54" t="e">
        <f t="shared" ca="1" si="15"/>
        <v>#REF!</v>
      </c>
      <c r="I9" s="54" t="e">
        <f t="shared" ca="1" si="16"/>
        <v>#REF!</v>
      </c>
      <c r="J9" s="54" t="e">
        <f t="shared" ca="1" si="17"/>
        <v>#REF!</v>
      </c>
      <c r="K9" s="54" t="e">
        <f t="shared" ca="1" si="18"/>
        <v>#REF!</v>
      </c>
      <c r="L9" s="54" t="e">
        <f t="shared" ca="1" si="19"/>
        <v>#REF!</v>
      </c>
      <c r="M9" s="54" t="e">
        <f t="shared" ca="1" si="20"/>
        <v>#REF!</v>
      </c>
      <c r="N9" s="54" t="e">
        <f t="shared" ca="1" si="21"/>
        <v>#REF!</v>
      </c>
      <c r="O9" s="54" t="e">
        <f t="shared" ca="1" si="22"/>
        <v>#REF!</v>
      </c>
      <c r="P9" s="54" t="e">
        <f t="shared" ca="1" si="23"/>
        <v>#REF!</v>
      </c>
      <c r="Q9" s="54" t="e">
        <f t="shared" ca="1" si="24"/>
        <v>#REF!</v>
      </c>
      <c r="R9" s="54" t="e">
        <f t="shared" ca="1" si="25"/>
        <v>#REF!</v>
      </c>
      <c r="S9" s="54" t="e">
        <f t="shared" ca="1" si="26"/>
        <v>#REF!</v>
      </c>
      <c r="T9" s="55" t="e">
        <f t="shared" ca="1" si="4"/>
        <v>#REF!</v>
      </c>
      <c r="U9" s="54"/>
      <c r="V9" s="54"/>
      <c r="W9" s="54"/>
      <c r="X9" s="54"/>
      <c r="Y9" s="54"/>
      <c r="Z9" s="54"/>
      <c r="AA9" s="54" t="e">
        <f t="shared" ca="1" si="5"/>
        <v>#REF!</v>
      </c>
      <c r="AB9" s="54" t="e">
        <f t="shared" ca="1" si="6"/>
        <v>#REF!</v>
      </c>
      <c r="AC9" s="54" t="e">
        <f t="shared" ca="1" si="7"/>
        <v>#REF!</v>
      </c>
      <c r="AD9" s="54" t="e">
        <f t="shared" ca="1" si="8"/>
        <v>#REF!</v>
      </c>
    </row>
    <row r="10" spans="1:31" x14ac:dyDescent="0.25">
      <c r="A10" s="63"/>
      <c r="B10" s="63" t="e">
        <f t="shared" ca="1" si="9"/>
        <v>#REF!</v>
      </c>
      <c r="C10" s="64" t="e">
        <f t="shared" ca="1" si="10"/>
        <v>#REF!</v>
      </c>
      <c r="D10" s="64" t="e">
        <f t="shared" ca="1" si="11"/>
        <v>#REF!</v>
      </c>
      <c r="E10" s="64" t="e">
        <f t="shared" ca="1" si="12"/>
        <v>#REF!</v>
      </c>
      <c r="F10" s="64" t="e">
        <f t="shared" ca="1" si="13"/>
        <v>#REF!</v>
      </c>
      <c r="G10" s="64" t="e">
        <f t="shared" ca="1" si="14"/>
        <v>#REF!</v>
      </c>
      <c r="H10" s="64" t="e">
        <f t="shared" ca="1" si="15"/>
        <v>#REF!</v>
      </c>
      <c r="I10" s="64" t="e">
        <f t="shared" ca="1" si="16"/>
        <v>#REF!</v>
      </c>
      <c r="J10" s="64" t="e">
        <f t="shared" ca="1" si="17"/>
        <v>#REF!</v>
      </c>
      <c r="K10" s="64" t="e">
        <f t="shared" ca="1" si="18"/>
        <v>#REF!</v>
      </c>
      <c r="L10" s="64" t="e">
        <f t="shared" ca="1" si="19"/>
        <v>#REF!</v>
      </c>
      <c r="M10" s="64" t="e">
        <f t="shared" ca="1" si="20"/>
        <v>#REF!</v>
      </c>
      <c r="N10" s="64" t="e">
        <f t="shared" ca="1" si="21"/>
        <v>#REF!</v>
      </c>
      <c r="O10" s="64" t="e">
        <f t="shared" ca="1" si="22"/>
        <v>#REF!</v>
      </c>
      <c r="P10" s="64" t="e">
        <f t="shared" ca="1" si="23"/>
        <v>#REF!</v>
      </c>
      <c r="Q10" s="64" t="e">
        <f t="shared" ca="1" si="24"/>
        <v>#REF!</v>
      </c>
      <c r="R10" s="64" t="e">
        <f t="shared" ca="1" si="25"/>
        <v>#REF!</v>
      </c>
      <c r="S10" s="64" t="e">
        <f t="shared" ca="1" si="26"/>
        <v>#REF!</v>
      </c>
      <c r="T10" s="65" t="e">
        <f t="shared" ca="1" si="4"/>
        <v>#REF!</v>
      </c>
      <c r="U10" s="64"/>
      <c r="V10" s="64"/>
      <c r="W10" s="64"/>
      <c r="X10" s="64"/>
      <c r="Y10" s="64"/>
      <c r="Z10" s="64"/>
      <c r="AA10" s="64" t="e">
        <f t="shared" ca="1" si="5"/>
        <v>#REF!</v>
      </c>
      <c r="AB10" s="64" t="e">
        <f t="shared" ca="1" si="6"/>
        <v>#REF!</v>
      </c>
      <c r="AC10" s="64" t="e">
        <f t="shared" ca="1" si="7"/>
        <v>#REF!</v>
      </c>
      <c r="AD10" s="64" t="e">
        <f t="shared" ca="1" si="8"/>
        <v>#REF!</v>
      </c>
    </row>
    <row r="11" spans="1:31" ht="15.75" thickBot="1" x14ac:dyDescent="0.3">
      <c r="A11" s="274"/>
      <c r="B11" s="274" t="e">
        <f t="shared" ca="1" si="9"/>
        <v>#REF!</v>
      </c>
      <c r="C11" s="275" t="e">
        <f t="shared" ca="1" si="10"/>
        <v>#REF!</v>
      </c>
      <c r="D11" s="275" t="e">
        <f t="shared" ca="1" si="11"/>
        <v>#REF!</v>
      </c>
      <c r="E11" s="275" t="e">
        <f t="shared" ca="1" si="12"/>
        <v>#REF!</v>
      </c>
      <c r="F11" s="275" t="e">
        <f t="shared" ca="1" si="13"/>
        <v>#REF!</v>
      </c>
      <c r="G11" s="275" t="e">
        <f t="shared" ca="1" si="14"/>
        <v>#REF!</v>
      </c>
      <c r="H11" s="275" t="e">
        <f t="shared" ca="1" si="15"/>
        <v>#REF!</v>
      </c>
      <c r="I11" s="275" t="e">
        <f t="shared" ca="1" si="16"/>
        <v>#REF!</v>
      </c>
      <c r="J11" s="275" t="e">
        <f t="shared" ca="1" si="17"/>
        <v>#REF!</v>
      </c>
      <c r="K11" s="275" t="e">
        <f t="shared" ca="1" si="18"/>
        <v>#REF!</v>
      </c>
      <c r="L11" s="275" t="e">
        <f t="shared" ca="1" si="19"/>
        <v>#REF!</v>
      </c>
      <c r="M11" s="275" t="e">
        <f t="shared" ca="1" si="20"/>
        <v>#REF!</v>
      </c>
      <c r="N11" s="275" t="e">
        <f t="shared" ca="1" si="21"/>
        <v>#REF!</v>
      </c>
      <c r="O11" s="275" t="e">
        <f t="shared" ca="1" si="22"/>
        <v>#REF!</v>
      </c>
      <c r="P11" s="275" t="e">
        <f t="shared" ca="1" si="23"/>
        <v>#REF!</v>
      </c>
      <c r="Q11" s="275" t="e">
        <f t="shared" ca="1" si="24"/>
        <v>#REF!</v>
      </c>
      <c r="R11" s="275" t="e">
        <f t="shared" ca="1" si="25"/>
        <v>#REF!</v>
      </c>
      <c r="S11" s="275" t="e">
        <f t="shared" ca="1" si="26"/>
        <v>#REF!</v>
      </c>
      <c r="T11" s="276" t="e">
        <f t="shared" ca="1" si="4"/>
        <v>#REF!</v>
      </c>
      <c r="U11" s="275"/>
      <c r="V11" s="275"/>
      <c r="W11" s="275"/>
      <c r="X11" s="275"/>
      <c r="Y11" s="275"/>
      <c r="Z11" s="275"/>
      <c r="AA11" s="275" t="e">
        <f t="shared" ca="1" si="5"/>
        <v>#REF!</v>
      </c>
      <c r="AB11" s="275" t="e">
        <f t="shared" ca="1" si="6"/>
        <v>#REF!</v>
      </c>
      <c r="AC11" s="275" t="e">
        <f t="shared" ca="1" si="7"/>
        <v>#REF!</v>
      </c>
      <c r="AD11" s="275" t="e">
        <f t="shared" ca="1" si="8"/>
        <v>#REF!</v>
      </c>
    </row>
    <row r="12" spans="1:31" x14ac:dyDescent="0.25">
      <c r="A12" s="278"/>
      <c r="B12" s="278" t="e">
        <f t="shared" ca="1" si="9"/>
        <v>#REF!</v>
      </c>
      <c r="C12" s="279" t="e">
        <f t="shared" ca="1" si="10"/>
        <v>#REF!</v>
      </c>
      <c r="D12" s="279" t="e">
        <f t="shared" ca="1" si="11"/>
        <v>#REF!</v>
      </c>
      <c r="E12" s="279" t="e">
        <f t="shared" ca="1" si="12"/>
        <v>#REF!</v>
      </c>
      <c r="F12" s="279" t="e">
        <f t="shared" ca="1" si="13"/>
        <v>#REF!</v>
      </c>
      <c r="G12" s="279" t="e">
        <f t="shared" ca="1" si="14"/>
        <v>#REF!</v>
      </c>
      <c r="H12" s="279" t="e">
        <f t="shared" ca="1" si="15"/>
        <v>#REF!</v>
      </c>
      <c r="I12" s="279" t="e">
        <f t="shared" ca="1" si="16"/>
        <v>#REF!</v>
      </c>
      <c r="J12" s="279" t="e">
        <f t="shared" ca="1" si="17"/>
        <v>#REF!</v>
      </c>
      <c r="K12" s="279" t="e">
        <f t="shared" ca="1" si="18"/>
        <v>#REF!</v>
      </c>
      <c r="L12" s="279" t="e">
        <f t="shared" ca="1" si="19"/>
        <v>#REF!</v>
      </c>
      <c r="M12" s="279" t="e">
        <f t="shared" ca="1" si="20"/>
        <v>#REF!</v>
      </c>
      <c r="N12" s="279" t="e">
        <f t="shared" ca="1" si="21"/>
        <v>#REF!</v>
      </c>
      <c r="O12" s="279" t="e">
        <f t="shared" ca="1" si="22"/>
        <v>#REF!</v>
      </c>
      <c r="P12" s="279" t="e">
        <f t="shared" ca="1" si="23"/>
        <v>#REF!</v>
      </c>
      <c r="Q12" s="279" t="e">
        <f t="shared" ca="1" si="24"/>
        <v>#REF!</v>
      </c>
      <c r="R12" s="279" t="e">
        <f t="shared" ca="1" si="25"/>
        <v>#REF!</v>
      </c>
      <c r="S12" s="279" t="e">
        <f t="shared" ca="1" si="26"/>
        <v>#REF!</v>
      </c>
      <c r="T12" s="280" t="e">
        <f t="shared" ca="1" si="4"/>
        <v>#REF!</v>
      </c>
      <c r="U12" s="279"/>
      <c r="V12" s="279"/>
      <c r="W12" s="279"/>
      <c r="X12" s="279"/>
      <c r="Y12" s="279"/>
      <c r="Z12" s="279"/>
      <c r="AA12" s="279" t="e">
        <f t="shared" ca="1" si="5"/>
        <v>#REF!</v>
      </c>
      <c r="AB12" s="279" t="e">
        <f t="shared" ca="1" si="6"/>
        <v>#REF!</v>
      </c>
      <c r="AC12" s="279" t="e">
        <f t="shared" ca="1" si="7"/>
        <v>#REF!</v>
      </c>
      <c r="AD12" s="279" t="e">
        <f t="shared" ca="1" si="8"/>
        <v>#REF!</v>
      </c>
    </row>
    <row r="13" spans="1:31" x14ac:dyDescent="0.25">
      <c r="A13" s="281"/>
      <c r="B13" s="281" t="e">
        <f t="shared" ca="1" si="9"/>
        <v>#REF!</v>
      </c>
      <c r="C13" s="282" t="e">
        <f t="shared" ca="1" si="10"/>
        <v>#REF!</v>
      </c>
      <c r="D13" s="282" t="e">
        <f t="shared" ca="1" si="11"/>
        <v>#REF!</v>
      </c>
      <c r="E13" s="282" t="e">
        <f t="shared" ca="1" si="12"/>
        <v>#REF!</v>
      </c>
      <c r="F13" s="282" t="e">
        <f t="shared" ca="1" si="13"/>
        <v>#REF!</v>
      </c>
      <c r="G13" s="282" t="e">
        <f t="shared" ca="1" si="14"/>
        <v>#REF!</v>
      </c>
      <c r="H13" s="282" t="e">
        <f t="shared" ca="1" si="15"/>
        <v>#REF!</v>
      </c>
      <c r="I13" s="282" t="e">
        <f t="shared" ca="1" si="16"/>
        <v>#REF!</v>
      </c>
      <c r="J13" s="282" t="e">
        <f t="shared" ca="1" si="17"/>
        <v>#REF!</v>
      </c>
      <c r="K13" s="282" t="e">
        <f t="shared" ca="1" si="18"/>
        <v>#REF!</v>
      </c>
      <c r="L13" s="282" t="e">
        <f t="shared" ca="1" si="19"/>
        <v>#REF!</v>
      </c>
      <c r="M13" s="282" t="e">
        <f t="shared" ca="1" si="20"/>
        <v>#REF!</v>
      </c>
      <c r="N13" s="282" t="e">
        <f t="shared" ca="1" si="21"/>
        <v>#REF!</v>
      </c>
      <c r="O13" s="282" t="e">
        <f t="shared" ca="1" si="22"/>
        <v>#REF!</v>
      </c>
      <c r="P13" s="282" t="e">
        <f t="shared" ca="1" si="23"/>
        <v>#REF!</v>
      </c>
      <c r="Q13" s="282" t="e">
        <f t="shared" ca="1" si="24"/>
        <v>#REF!</v>
      </c>
      <c r="R13" s="282" t="e">
        <f t="shared" ca="1" si="25"/>
        <v>#REF!</v>
      </c>
      <c r="S13" s="282" t="e">
        <f t="shared" ca="1" si="26"/>
        <v>#REF!</v>
      </c>
      <c r="T13" s="283" t="e">
        <f t="shared" ca="1" si="4"/>
        <v>#REF!</v>
      </c>
      <c r="U13" s="282"/>
      <c r="V13" s="282"/>
      <c r="W13" s="282"/>
      <c r="X13" s="282"/>
      <c r="Y13" s="282"/>
      <c r="Z13" s="282"/>
      <c r="AA13" s="282" t="e">
        <f t="shared" ca="1" si="5"/>
        <v>#REF!</v>
      </c>
      <c r="AB13" s="282" t="e">
        <f t="shared" ca="1" si="6"/>
        <v>#REF!</v>
      </c>
      <c r="AC13" s="282" t="e">
        <f t="shared" ca="1" si="7"/>
        <v>#REF!</v>
      </c>
      <c r="AD13" s="282" t="e">
        <f t="shared" ca="1" si="8"/>
        <v>#REF!</v>
      </c>
    </row>
    <row r="14" spans="1:31" x14ac:dyDescent="0.25">
      <c r="A14" s="278"/>
      <c r="B14" s="278" t="e">
        <f t="shared" ca="1" si="9"/>
        <v>#REF!</v>
      </c>
      <c r="C14" s="279" t="e">
        <f t="shared" ca="1" si="10"/>
        <v>#REF!</v>
      </c>
      <c r="D14" s="279" t="e">
        <f t="shared" ca="1" si="11"/>
        <v>#REF!</v>
      </c>
      <c r="E14" s="279" t="e">
        <f t="shared" ca="1" si="12"/>
        <v>#REF!</v>
      </c>
      <c r="F14" s="279" t="e">
        <f t="shared" ca="1" si="13"/>
        <v>#REF!</v>
      </c>
      <c r="G14" s="279" t="e">
        <f t="shared" ca="1" si="14"/>
        <v>#REF!</v>
      </c>
      <c r="H14" s="279" t="e">
        <f t="shared" ca="1" si="15"/>
        <v>#REF!</v>
      </c>
      <c r="I14" s="279" t="e">
        <f t="shared" ca="1" si="16"/>
        <v>#REF!</v>
      </c>
      <c r="J14" s="279" t="e">
        <f t="shared" ca="1" si="17"/>
        <v>#REF!</v>
      </c>
      <c r="K14" s="279" t="e">
        <f t="shared" ca="1" si="18"/>
        <v>#REF!</v>
      </c>
      <c r="L14" s="279" t="e">
        <f t="shared" ca="1" si="19"/>
        <v>#REF!</v>
      </c>
      <c r="M14" s="279" t="e">
        <f t="shared" ca="1" si="20"/>
        <v>#REF!</v>
      </c>
      <c r="N14" s="279" t="e">
        <f t="shared" ca="1" si="21"/>
        <v>#REF!</v>
      </c>
      <c r="O14" s="279" t="e">
        <f t="shared" ca="1" si="22"/>
        <v>#REF!</v>
      </c>
      <c r="P14" s="279" t="e">
        <f t="shared" ca="1" si="23"/>
        <v>#REF!</v>
      </c>
      <c r="Q14" s="279" t="e">
        <f t="shared" ca="1" si="24"/>
        <v>#REF!</v>
      </c>
      <c r="R14" s="279" t="e">
        <f t="shared" ca="1" si="25"/>
        <v>#REF!</v>
      </c>
      <c r="S14" s="279" t="e">
        <f t="shared" ca="1" si="26"/>
        <v>#REF!</v>
      </c>
      <c r="T14" s="280" t="e">
        <f t="shared" ca="1" si="4"/>
        <v>#REF!</v>
      </c>
      <c r="U14" s="279"/>
      <c r="V14" s="279"/>
      <c r="W14" s="279"/>
      <c r="X14" s="279"/>
      <c r="Y14" s="279"/>
      <c r="Z14" s="279"/>
      <c r="AA14" s="279" t="e">
        <f t="shared" ca="1" si="5"/>
        <v>#REF!</v>
      </c>
      <c r="AB14" s="279" t="e">
        <f t="shared" ca="1" si="6"/>
        <v>#REF!</v>
      </c>
      <c r="AC14" s="279" t="e">
        <f t="shared" ca="1" si="7"/>
        <v>#REF!</v>
      </c>
      <c r="AD14" s="279" t="e">
        <f t="shared" ca="1" si="8"/>
        <v>#REF!</v>
      </c>
    </row>
    <row r="15" spans="1:31" x14ac:dyDescent="0.25">
      <c r="A15" s="281"/>
      <c r="B15" s="281" t="e">
        <f t="shared" ca="1" si="9"/>
        <v>#REF!</v>
      </c>
      <c r="C15" s="282" t="e">
        <f t="shared" ca="1" si="10"/>
        <v>#REF!</v>
      </c>
      <c r="D15" s="282" t="e">
        <f t="shared" ca="1" si="11"/>
        <v>#REF!</v>
      </c>
      <c r="E15" s="282" t="e">
        <f t="shared" ca="1" si="12"/>
        <v>#REF!</v>
      </c>
      <c r="F15" s="282" t="e">
        <f t="shared" ca="1" si="13"/>
        <v>#REF!</v>
      </c>
      <c r="G15" s="282" t="e">
        <f t="shared" ca="1" si="14"/>
        <v>#REF!</v>
      </c>
      <c r="H15" s="282" t="e">
        <f t="shared" ca="1" si="15"/>
        <v>#REF!</v>
      </c>
      <c r="I15" s="282" t="e">
        <f t="shared" ca="1" si="16"/>
        <v>#REF!</v>
      </c>
      <c r="J15" s="282" t="e">
        <f t="shared" ca="1" si="17"/>
        <v>#REF!</v>
      </c>
      <c r="K15" s="282" t="e">
        <f t="shared" ca="1" si="18"/>
        <v>#REF!</v>
      </c>
      <c r="L15" s="282" t="e">
        <f t="shared" ca="1" si="19"/>
        <v>#REF!</v>
      </c>
      <c r="M15" s="282" t="e">
        <f t="shared" ca="1" si="20"/>
        <v>#REF!</v>
      </c>
      <c r="N15" s="282" t="e">
        <f t="shared" ca="1" si="21"/>
        <v>#REF!</v>
      </c>
      <c r="O15" s="282" t="e">
        <f t="shared" ca="1" si="22"/>
        <v>#REF!</v>
      </c>
      <c r="P15" s="282" t="e">
        <f t="shared" ca="1" si="23"/>
        <v>#REF!</v>
      </c>
      <c r="Q15" s="282" t="e">
        <f t="shared" ca="1" si="24"/>
        <v>#REF!</v>
      </c>
      <c r="R15" s="282" t="e">
        <f t="shared" ca="1" si="25"/>
        <v>#REF!</v>
      </c>
      <c r="S15" s="282" t="e">
        <f t="shared" ca="1" si="26"/>
        <v>#REF!</v>
      </c>
      <c r="T15" s="283" t="e">
        <f t="shared" ca="1" si="4"/>
        <v>#REF!</v>
      </c>
      <c r="U15" s="282"/>
      <c r="V15" s="282"/>
      <c r="W15" s="282"/>
      <c r="X15" s="282"/>
      <c r="Y15" s="282"/>
      <c r="Z15" s="282"/>
      <c r="AA15" s="282" t="e">
        <f t="shared" ca="1" si="5"/>
        <v>#REF!</v>
      </c>
      <c r="AB15" s="282" t="e">
        <f t="shared" ca="1" si="6"/>
        <v>#REF!</v>
      </c>
      <c r="AC15" s="282" t="e">
        <f t="shared" ca="1" si="7"/>
        <v>#REF!</v>
      </c>
      <c r="AD15" s="282" t="e">
        <f t="shared" ca="1" si="8"/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T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R15"/>
  <sheetViews>
    <sheetView zoomScale="115" zoomScaleNormal="115" workbookViewId="0">
      <selection activeCell="T2" sqref="T2:T4"/>
    </sheetView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9" width="3.7109375" customWidth="1"/>
    <col min="20" max="20" width="5.7109375" customWidth="1"/>
    <col min="21" max="26" width="5.7109375" hidden="1" customWidth="1"/>
    <col min="27" max="27" width="3.7109375" style="51" customWidth="1"/>
    <col min="28" max="30" width="3.7109375" customWidth="1"/>
  </cols>
  <sheetData>
    <row r="1" spans="1:44" ht="15" customHeight="1" x14ac:dyDescent="0.25">
      <c r="A1" s="399" t="str">
        <f>Doku!B42&amp;":"</f>
        <v>Gesamt:</v>
      </c>
      <c r="B1" s="399"/>
      <c r="C1" s="52" t="e">
        <f ca="1">SUM(C7:C11)-MAX(C7:C11)-MIN(C7:C11)</f>
        <v>#REF!</v>
      </c>
      <c r="D1" s="52" t="e">
        <f t="shared" ref="D1:S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3" t="e">
        <f ca="1">IF(SUM(AA7:AA12)&gt;0,SUM(C1:S1)/2,SUM(C1:S1))</f>
        <v>#REF!</v>
      </c>
      <c r="U1" s="248"/>
      <c r="V1" s="248"/>
      <c r="W1" s="248"/>
      <c r="X1" s="248"/>
      <c r="Y1" s="248"/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44" ht="15" customHeight="1" x14ac:dyDescent="0.25">
      <c r="A2" s="400" t="str">
        <f>Doku!B47&amp;":"</f>
        <v>Mittelwert:</v>
      </c>
      <c r="B2" s="400"/>
      <c r="C2" s="54" t="e">
        <f ca="1">AVERAGE(C7:C11)</f>
        <v>#REF!</v>
      </c>
      <c r="D2" s="54" t="e">
        <f t="shared" ref="D2:S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5" t="e">
        <f ca="1">AVERAGE(T7:T11)</f>
        <v>#REF!</v>
      </c>
      <c r="U2" s="113"/>
      <c r="V2" s="113"/>
      <c r="W2" s="113"/>
      <c r="X2" s="113"/>
      <c r="Y2" s="113"/>
      <c r="Z2" s="113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44" ht="15" customHeight="1" x14ac:dyDescent="0.25">
      <c r="A3" s="400" t="str">
        <f>Doku!B48&amp;":"</f>
        <v>Standardabweichung:</v>
      </c>
      <c r="B3" s="400"/>
      <c r="C3" s="56" t="e">
        <f ca="1">_xlfn.STDEV.P(C7:C11)</f>
        <v>#REF!</v>
      </c>
      <c r="D3" s="56" t="e">
        <f t="shared" ref="D3:S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7" t="e">
        <f ca="1">_xlfn.STDEV.P(T7:T11)</f>
        <v>#REF!</v>
      </c>
      <c r="U3" s="115"/>
      <c r="V3" s="115"/>
      <c r="W3" s="115"/>
      <c r="X3" s="115"/>
      <c r="Y3" s="115"/>
      <c r="Z3" s="115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44" ht="15" customHeight="1" x14ac:dyDescent="0.25">
      <c r="A4" s="400" t="str">
        <f>Doku!B49&amp;":"</f>
        <v>Spannweite:</v>
      </c>
      <c r="B4" s="400"/>
      <c r="C4" s="52" t="e">
        <f ca="1">MAX(C7:C11)-MIN(C7:C11)</f>
        <v>#REF!</v>
      </c>
      <c r="D4" s="52" t="e">
        <f t="shared" ref="D4:S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3" t="e">
        <f ca="1">MAX(T7:T11)-MIN(T7:T11)</f>
        <v>#REF!</v>
      </c>
      <c r="U4" s="112"/>
      <c r="V4" s="112"/>
      <c r="W4" s="112"/>
      <c r="X4" s="112"/>
      <c r="Y4" s="112"/>
      <c r="Z4" s="112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44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T5" s="146"/>
      <c r="U5" s="119"/>
      <c r="V5" s="119"/>
      <c r="W5" s="119"/>
      <c r="X5" s="119"/>
      <c r="Y5" s="119"/>
      <c r="Z5" s="119"/>
      <c r="AA5" s="120"/>
      <c r="AB5" s="119"/>
    </row>
    <row r="6" spans="1:44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72</v>
      </c>
      <c r="E6" s="60" t="s">
        <v>73</v>
      </c>
      <c r="F6" s="60" t="s">
        <v>74</v>
      </c>
      <c r="G6" s="60" t="s">
        <v>75</v>
      </c>
      <c r="H6" s="60" t="s">
        <v>76</v>
      </c>
      <c r="I6" s="60" t="s">
        <v>78</v>
      </c>
      <c r="J6" s="60" t="s">
        <v>79</v>
      </c>
      <c r="K6" s="60" t="s">
        <v>80</v>
      </c>
      <c r="L6" s="60" t="s">
        <v>81</v>
      </c>
      <c r="M6" s="60" t="s">
        <v>82</v>
      </c>
      <c r="N6" s="60" t="s">
        <v>84</v>
      </c>
      <c r="O6" s="60" t="s">
        <v>85</v>
      </c>
      <c r="P6" s="60" t="s">
        <v>86</v>
      </c>
      <c r="Q6" s="60" t="s">
        <v>87</v>
      </c>
      <c r="R6" s="60" t="s">
        <v>88</v>
      </c>
      <c r="S6" s="60" t="str">
        <f>Doku!B52</f>
        <v>Abgrüßen</v>
      </c>
      <c r="T6" s="61" t="str">
        <f>Doku!B42</f>
        <v>Gesamt</v>
      </c>
      <c r="U6" s="60"/>
      <c r="V6" s="60"/>
      <c r="W6" s="60"/>
      <c r="X6" s="60"/>
      <c r="Y6" s="60"/>
      <c r="Z6" s="60"/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</row>
    <row r="7" spans="1:44" ht="15" customHeight="1" x14ac:dyDescent="0.25"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55" t="e">
        <f t="shared" ref="T7:T15" ca="1" si="4">INDIRECT("'"&amp;$A7&amp;"'!K36")</f>
        <v>#REF!</v>
      </c>
      <c r="U7" s="54"/>
      <c r="V7" s="54"/>
      <c r="W7" s="54"/>
      <c r="X7" s="54"/>
      <c r="Y7" s="54"/>
      <c r="Z7" s="54"/>
      <c r="AA7" s="54" t="e">
        <f t="shared" ref="AA7:AA15" ca="1" si="5">INDIRECT("'"&amp;$A7&amp;"'!J36")</f>
        <v>#REF!</v>
      </c>
      <c r="AB7" s="54" t="e">
        <f t="shared" ref="AB7:AB15" ca="1" si="6">INDIRECT("'"&amp;$A7&amp;"'!I36")</f>
        <v>#REF!</v>
      </c>
      <c r="AC7" s="54" t="e">
        <f t="shared" ref="AC7:AC15" ca="1" si="7">INDIRECT("'"&amp;$A7&amp;"'!H36")</f>
        <v>#REF!</v>
      </c>
      <c r="AD7" s="54" t="e">
        <f t="shared" ref="AD7:AD15" ca="1" si="8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44" ht="15" customHeight="1" x14ac:dyDescent="0.25">
      <c r="A8" s="118"/>
      <c r="B8" s="63" t="e">
        <f t="shared" ref="B8:B15" ca="1" si="9">INDIRECT("'"&amp;$A8&amp;"'!E5")</f>
        <v>#REF!</v>
      </c>
      <c r="C8" s="64" t="e">
        <f t="shared" ref="C8:C15" ca="1" si="10">INDIRECT("'"&amp;$A8&amp;"'!K13")</f>
        <v>#REF!</v>
      </c>
      <c r="D8" s="64" t="e">
        <f t="shared" ref="D8:D15" ca="1" si="11">INDIRECT("'"&amp;$A8&amp;"'!K14")</f>
        <v>#REF!</v>
      </c>
      <c r="E8" s="64" t="e">
        <f t="shared" ref="E8:E15" ca="1" si="12">INDIRECT("'"&amp;$A8&amp;"'!K15")</f>
        <v>#REF!</v>
      </c>
      <c r="F8" s="64" t="e">
        <f t="shared" ref="F8:F15" ca="1" si="13">INDIRECT("'"&amp;$A8&amp;"'!K16")</f>
        <v>#REF!</v>
      </c>
      <c r="G8" s="64" t="e">
        <f t="shared" ref="G8:G15" ca="1" si="14">INDIRECT("'"&amp;$A8&amp;"'!K17")</f>
        <v>#REF!</v>
      </c>
      <c r="H8" s="64" t="e">
        <f t="shared" ref="H8:H15" ca="1" si="15">INDIRECT("'"&amp;$A8&amp;"'!K18")</f>
        <v>#REF!</v>
      </c>
      <c r="I8" s="64" t="e">
        <f t="shared" ref="I8:I15" ca="1" si="16">INDIRECT("'"&amp;$A8&amp;"'!K19")</f>
        <v>#REF!</v>
      </c>
      <c r="J8" s="64" t="e">
        <f t="shared" ref="J8:J15" ca="1" si="17">INDIRECT("'"&amp;$A8&amp;"'!K20")</f>
        <v>#REF!</v>
      </c>
      <c r="K8" s="64" t="e">
        <f t="shared" ref="K8:K15" ca="1" si="18">INDIRECT("'"&amp;$A8&amp;"'!K21")</f>
        <v>#REF!</v>
      </c>
      <c r="L8" s="64" t="e">
        <f t="shared" ref="L8:L15" ca="1" si="19">INDIRECT("'"&amp;$A8&amp;"'!K22")</f>
        <v>#REF!</v>
      </c>
      <c r="M8" s="64" t="e">
        <f t="shared" ref="M8:M15" ca="1" si="20">INDIRECT("'"&amp;$A8&amp;"'!K23")</f>
        <v>#REF!</v>
      </c>
      <c r="N8" s="64" t="e">
        <f t="shared" ref="N8:N15" ca="1" si="21">INDIRECT("'"&amp;$A8&amp;"'!K24")</f>
        <v>#REF!</v>
      </c>
      <c r="O8" s="64" t="e">
        <f t="shared" ref="O8:O15" ca="1" si="22">INDIRECT("'"&amp;$A8&amp;"'!K25")</f>
        <v>#REF!</v>
      </c>
      <c r="P8" s="64" t="e">
        <f t="shared" ref="P8:P15" ca="1" si="23">INDIRECT("'"&amp;$A8&amp;"'!K26")</f>
        <v>#REF!</v>
      </c>
      <c r="Q8" s="64" t="e">
        <f t="shared" ref="Q8:Q15" ca="1" si="24">INDIRECT("'"&amp;$A8&amp;"'!K27")</f>
        <v>#REF!</v>
      </c>
      <c r="R8" s="64" t="e">
        <f t="shared" ref="R8:R15" ca="1" si="25">INDIRECT("'"&amp;$A8&amp;"'!K28")</f>
        <v>#REF!</v>
      </c>
      <c r="S8" s="64" t="e">
        <f t="shared" ref="S8:S15" ca="1" si="26">INDIRECT("'"&amp;$A8&amp;"'!K29")</f>
        <v>#REF!</v>
      </c>
      <c r="T8" s="65" t="e">
        <f t="shared" ca="1" si="4"/>
        <v>#REF!</v>
      </c>
      <c r="U8" s="64"/>
      <c r="V8" s="64"/>
      <c r="W8" s="64"/>
      <c r="X8" s="64"/>
      <c r="Y8" s="64"/>
      <c r="Z8" s="64"/>
      <c r="AA8" s="64" t="e">
        <f t="shared" ca="1" si="5"/>
        <v>#REF!</v>
      </c>
      <c r="AB8" s="64" t="e">
        <f t="shared" ca="1" si="6"/>
        <v>#REF!</v>
      </c>
      <c r="AC8" s="64" t="e">
        <f t="shared" ca="1" si="7"/>
        <v>#REF!</v>
      </c>
      <c r="AD8" s="64" t="e">
        <f t="shared" ca="1" si="8"/>
        <v>#REF!</v>
      </c>
    </row>
    <row r="9" spans="1:44" ht="15" customHeight="1" x14ac:dyDescent="0.25">
      <c r="B9" s="58" t="e">
        <f t="shared" ca="1" si="9"/>
        <v>#REF!</v>
      </c>
      <c r="C9" s="54" t="e">
        <f t="shared" ca="1" si="10"/>
        <v>#REF!</v>
      </c>
      <c r="D9" s="54" t="e">
        <f t="shared" ca="1" si="11"/>
        <v>#REF!</v>
      </c>
      <c r="E9" s="54" t="e">
        <f t="shared" ca="1" si="12"/>
        <v>#REF!</v>
      </c>
      <c r="F9" s="54" t="e">
        <f t="shared" ca="1" si="13"/>
        <v>#REF!</v>
      </c>
      <c r="G9" s="54" t="e">
        <f t="shared" ca="1" si="14"/>
        <v>#REF!</v>
      </c>
      <c r="H9" s="54" t="e">
        <f t="shared" ca="1" si="15"/>
        <v>#REF!</v>
      </c>
      <c r="I9" s="54" t="e">
        <f t="shared" ca="1" si="16"/>
        <v>#REF!</v>
      </c>
      <c r="J9" s="54" t="e">
        <f t="shared" ca="1" si="17"/>
        <v>#REF!</v>
      </c>
      <c r="K9" s="54" t="e">
        <f t="shared" ca="1" si="18"/>
        <v>#REF!</v>
      </c>
      <c r="L9" s="54" t="e">
        <f t="shared" ca="1" si="19"/>
        <v>#REF!</v>
      </c>
      <c r="M9" s="54" t="e">
        <f t="shared" ca="1" si="20"/>
        <v>#REF!</v>
      </c>
      <c r="N9" s="54" t="e">
        <f t="shared" ca="1" si="21"/>
        <v>#REF!</v>
      </c>
      <c r="O9" s="54" t="e">
        <f t="shared" ca="1" si="22"/>
        <v>#REF!</v>
      </c>
      <c r="P9" s="54" t="e">
        <f t="shared" ca="1" si="23"/>
        <v>#REF!</v>
      </c>
      <c r="Q9" s="54" t="e">
        <f t="shared" ca="1" si="24"/>
        <v>#REF!</v>
      </c>
      <c r="R9" s="54" t="e">
        <f t="shared" ca="1" si="25"/>
        <v>#REF!</v>
      </c>
      <c r="S9" s="54" t="e">
        <f t="shared" ca="1" si="26"/>
        <v>#REF!</v>
      </c>
      <c r="T9" s="55" t="e">
        <f t="shared" ca="1" si="4"/>
        <v>#REF!</v>
      </c>
      <c r="U9" s="54"/>
      <c r="V9" s="54"/>
      <c r="W9" s="54"/>
      <c r="X9" s="54"/>
      <c r="Y9" s="54"/>
      <c r="Z9" s="54"/>
      <c r="AA9" s="54" t="e">
        <f t="shared" ca="1" si="5"/>
        <v>#REF!</v>
      </c>
      <c r="AB9" s="54" t="e">
        <f t="shared" ca="1" si="6"/>
        <v>#REF!</v>
      </c>
      <c r="AC9" s="54" t="e">
        <f t="shared" ca="1" si="7"/>
        <v>#REF!</v>
      </c>
      <c r="AD9" s="54" t="e">
        <f t="shared" ca="1" si="8"/>
        <v>#REF!</v>
      </c>
    </row>
    <row r="10" spans="1:44" ht="15" customHeight="1" x14ac:dyDescent="0.25">
      <c r="A10" s="118"/>
      <c r="B10" s="63" t="e">
        <f t="shared" ca="1" si="9"/>
        <v>#REF!</v>
      </c>
      <c r="C10" s="64" t="e">
        <f t="shared" ca="1" si="10"/>
        <v>#REF!</v>
      </c>
      <c r="D10" s="64" t="e">
        <f t="shared" ca="1" si="11"/>
        <v>#REF!</v>
      </c>
      <c r="E10" s="64" t="e">
        <f t="shared" ca="1" si="12"/>
        <v>#REF!</v>
      </c>
      <c r="F10" s="64" t="e">
        <f t="shared" ca="1" si="13"/>
        <v>#REF!</v>
      </c>
      <c r="G10" s="64" t="e">
        <f t="shared" ca="1" si="14"/>
        <v>#REF!</v>
      </c>
      <c r="H10" s="64" t="e">
        <f t="shared" ca="1" si="15"/>
        <v>#REF!</v>
      </c>
      <c r="I10" s="64" t="e">
        <f t="shared" ca="1" si="16"/>
        <v>#REF!</v>
      </c>
      <c r="J10" s="64" t="e">
        <f t="shared" ca="1" si="17"/>
        <v>#REF!</v>
      </c>
      <c r="K10" s="64" t="e">
        <f t="shared" ca="1" si="18"/>
        <v>#REF!</v>
      </c>
      <c r="L10" s="64" t="e">
        <f t="shared" ca="1" si="19"/>
        <v>#REF!</v>
      </c>
      <c r="M10" s="64" t="e">
        <f t="shared" ca="1" si="20"/>
        <v>#REF!</v>
      </c>
      <c r="N10" s="64" t="e">
        <f t="shared" ca="1" si="21"/>
        <v>#REF!</v>
      </c>
      <c r="O10" s="64" t="e">
        <f t="shared" ca="1" si="22"/>
        <v>#REF!</v>
      </c>
      <c r="P10" s="64" t="e">
        <f t="shared" ca="1" si="23"/>
        <v>#REF!</v>
      </c>
      <c r="Q10" s="64" t="e">
        <f t="shared" ca="1" si="24"/>
        <v>#REF!</v>
      </c>
      <c r="R10" s="64" t="e">
        <f t="shared" ca="1" si="25"/>
        <v>#REF!</v>
      </c>
      <c r="S10" s="64" t="e">
        <f t="shared" ca="1" si="26"/>
        <v>#REF!</v>
      </c>
      <c r="T10" s="65" t="e">
        <f t="shared" ca="1" si="4"/>
        <v>#REF!</v>
      </c>
      <c r="U10" s="64"/>
      <c r="V10" s="64"/>
      <c r="W10" s="64"/>
      <c r="X10" s="64"/>
      <c r="Y10" s="64"/>
      <c r="Z10" s="64"/>
      <c r="AA10" s="64" t="e">
        <f t="shared" ca="1" si="5"/>
        <v>#REF!</v>
      </c>
      <c r="AB10" s="64" t="e">
        <f t="shared" ca="1" si="6"/>
        <v>#REF!</v>
      </c>
      <c r="AC10" s="64" t="e">
        <f t="shared" ca="1" si="7"/>
        <v>#REF!</v>
      </c>
      <c r="AD10" s="64" t="e">
        <f t="shared" ca="1" si="8"/>
        <v>#REF!</v>
      </c>
    </row>
    <row r="11" spans="1:44" ht="15" customHeight="1" thickBot="1" x14ac:dyDescent="0.3">
      <c r="A11" s="277"/>
      <c r="B11" s="274" t="e">
        <f t="shared" ca="1" si="9"/>
        <v>#REF!</v>
      </c>
      <c r="C11" s="275" t="e">
        <f t="shared" ca="1" si="10"/>
        <v>#REF!</v>
      </c>
      <c r="D11" s="275" t="e">
        <f t="shared" ca="1" si="11"/>
        <v>#REF!</v>
      </c>
      <c r="E11" s="275" t="e">
        <f t="shared" ca="1" si="12"/>
        <v>#REF!</v>
      </c>
      <c r="F11" s="275" t="e">
        <f t="shared" ca="1" si="13"/>
        <v>#REF!</v>
      </c>
      <c r="G11" s="275" t="e">
        <f t="shared" ca="1" si="14"/>
        <v>#REF!</v>
      </c>
      <c r="H11" s="275" t="e">
        <f t="shared" ca="1" si="15"/>
        <v>#REF!</v>
      </c>
      <c r="I11" s="275" t="e">
        <f t="shared" ca="1" si="16"/>
        <v>#REF!</v>
      </c>
      <c r="J11" s="275" t="e">
        <f t="shared" ca="1" si="17"/>
        <v>#REF!</v>
      </c>
      <c r="K11" s="275" t="e">
        <f t="shared" ca="1" si="18"/>
        <v>#REF!</v>
      </c>
      <c r="L11" s="275" t="e">
        <f t="shared" ca="1" si="19"/>
        <v>#REF!</v>
      </c>
      <c r="M11" s="275" t="e">
        <f t="shared" ca="1" si="20"/>
        <v>#REF!</v>
      </c>
      <c r="N11" s="275" t="e">
        <f t="shared" ca="1" si="21"/>
        <v>#REF!</v>
      </c>
      <c r="O11" s="275" t="e">
        <f t="shared" ca="1" si="22"/>
        <v>#REF!</v>
      </c>
      <c r="P11" s="275" t="e">
        <f t="shared" ca="1" si="23"/>
        <v>#REF!</v>
      </c>
      <c r="Q11" s="275" t="e">
        <f t="shared" ca="1" si="24"/>
        <v>#REF!</v>
      </c>
      <c r="R11" s="275" t="e">
        <f t="shared" ca="1" si="25"/>
        <v>#REF!</v>
      </c>
      <c r="S11" s="275" t="e">
        <f t="shared" ca="1" si="26"/>
        <v>#REF!</v>
      </c>
      <c r="T11" s="276" t="e">
        <f t="shared" ca="1" si="4"/>
        <v>#REF!</v>
      </c>
      <c r="U11" s="275"/>
      <c r="V11" s="275"/>
      <c r="W11" s="275"/>
      <c r="X11" s="275"/>
      <c r="Y11" s="275"/>
      <c r="Z11" s="275"/>
      <c r="AA11" s="275" t="e">
        <f t="shared" ca="1" si="5"/>
        <v>#REF!</v>
      </c>
      <c r="AB11" s="275" t="e">
        <f t="shared" ca="1" si="6"/>
        <v>#REF!</v>
      </c>
      <c r="AC11" s="275" t="e">
        <f t="shared" ca="1" si="7"/>
        <v>#REF!</v>
      </c>
      <c r="AD11" s="275" t="e">
        <f t="shared" ca="1" si="8"/>
        <v>#REF!</v>
      </c>
    </row>
    <row r="12" spans="1:44" ht="15" customHeight="1" x14ac:dyDescent="0.25">
      <c r="A12" s="278"/>
      <c r="B12" s="278" t="e">
        <f t="shared" ca="1" si="9"/>
        <v>#REF!</v>
      </c>
      <c r="C12" s="279" t="e">
        <f t="shared" ca="1" si="10"/>
        <v>#REF!</v>
      </c>
      <c r="D12" s="279" t="e">
        <f t="shared" ca="1" si="11"/>
        <v>#REF!</v>
      </c>
      <c r="E12" s="279" t="e">
        <f t="shared" ca="1" si="12"/>
        <v>#REF!</v>
      </c>
      <c r="F12" s="279" t="e">
        <f t="shared" ca="1" si="13"/>
        <v>#REF!</v>
      </c>
      <c r="G12" s="279" t="e">
        <f t="shared" ca="1" si="14"/>
        <v>#REF!</v>
      </c>
      <c r="H12" s="279" t="e">
        <f t="shared" ca="1" si="15"/>
        <v>#REF!</v>
      </c>
      <c r="I12" s="279" t="e">
        <f t="shared" ca="1" si="16"/>
        <v>#REF!</v>
      </c>
      <c r="J12" s="279" t="e">
        <f t="shared" ca="1" si="17"/>
        <v>#REF!</v>
      </c>
      <c r="K12" s="279" t="e">
        <f t="shared" ca="1" si="18"/>
        <v>#REF!</v>
      </c>
      <c r="L12" s="279" t="e">
        <f t="shared" ca="1" si="19"/>
        <v>#REF!</v>
      </c>
      <c r="M12" s="279" t="e">
        <f t="shared" ca="1" si="20"/>
        <v>#REF!</v>
      </c>
      <c r="N12" s="279" t="e">
        <f t="shared" ca="1" si="21"/>
        <v>#REF!</v>
      </c>
      <c r="O12" s="279" t="e">
        <f t="shared" ca="1" si="22"/>
        <v>#REF!</v>
      </c>
      <c r="P12" s="279" t="e">
        <f t="shared" ca="1" si="23"/>
        <v>#REF!</v>
      </c>
      <c r="Q12" s="279" t="e">
        <f t="shared" ca="1" si="24"/>
        <v>#REF!</v>
      </c>
      <c r="R12" s="279" t="e">
        <f t="shared" ca="1" si="25"/>
        <v>#REF!</v>
      </c>
      <c r="S12" s="279" t="e">
        <f t="shared" ca="1" si="26"/>
        <v>#REF!</v>
      </c>
      <c r="T12" s="280" t="e">
        <f t="shared" ca="1" si="4"/>
        <v>#REF!</v>
      </c>
      <c r="U12" s="279"/>
      <c r="V12" s="279"/>
      <c r="W12" s="279"/>
      <c r="X12" s="279"/>
      <c r="Y12" s="279"/>
      <c r="Z12" s="279"/>
      <c r="AA12" s="279" t="e">
        <f t="shared" ca="1" si="5"/>
        <v>#REF!</v>
      </c>
      <c r="AB12" s="279" t="e">
        <f t="shared" ca="1" si="6"/>
        <v>#REF!</v>
      </c>
      <c r="AC12" s="279" t="e">
        <f t="shared" ca="1" si="7"/>
        <v>#REF!</v>
      </c>
      <c r="AD12" s="279" t="e">
        <f t="shared" ca="1" si="8"/>
        <v>#REF!</v>
      </c>
    </row>
    <row r="13" spans="1:44" ht="15" customHeight="1" x14ac:dyDescent="0.25">
      <c r="A13" s="281"/>
      <c r="B13" s="281" t="e">
        <f t="shared" ca="1" si="9"/>
        <v>#REF!</v>
      </c>
      <c r="C13" s="282" t="e">
        <f t="shared" ca="1" si="10"/>
        <v>#REF!</v>
      </c>
      <c r="D13" s="282" t="e">
        <f t="shared" ca="1" si="11"/>
        <v>#REF!</v>
      </c>
      <c r="E13" s="282" t="e">
        <f t="shared" ca="1" si="12"/>
        <v>#REF!</v>
      </c>
      <c r="F13" s="282" t="e">
        <f t="shared" ca="1" si="13"/>
        <v>#REF!</v>
      </c>
      <c r="G13" s="282" t="e">
        <f t="shared" ca="1" si="14"/>
        <v>#REF!</v>
      </c>
      <c r="H13" s="282" t="e">
        <f t="shared" ca="1" si="15"/>
        <v>#REF!</v>
      </c>
      <c r="I13" s="282" t="e">
        <f t="shared" ca="1" si="16"/>
        <v>#REF!</v>
      </c>
      <c r="J13" s="282" t="e">
        <f t="shared" ca="1" si="17"/>
        <v>#REF!</v>
      </c>
      <c r="K13" s="282" t="e">
        <f t="shared" ca="1" si="18"/>
        <v>#REF!</v>
      </c>
      <c r="L13" s="282" t="e">
        <f t="shared" ca="1" si="19"/>
        <v>#REF!</v>
      </c>
      <c r="M13" s="282" t="e">
        <f t="shared" ca="1" si="20"/>
        <v>#REF!</v>
      </c>
      <c r="N13" s="282" t="e">
        <f t="shared" ca="1" si="21"/>
        <v>#REF!</v>
      </c>
      <c r="O13" s="282" t="e">
        <f t="shared" ca="1" si="22"/>
        <v>#REF!</v>
      </c>
      <c r="P13" s="282" t="e">
        <f t="shared" ca="1" si="23"/>
        <v>#REF!</v>
      </c>
      <c r="Q13" s="282" t="e">
        <f t="shared" ca="1" si="24"/>
        <v>#REF!</v>
      </c>
      <c r="R13" s="282" t="e">
        <f t="shared" ca="1" si="25"/>
        <v>#REF!</v>
      </c>
      <c r="S13" s="282" t="e">
        <f t="shared" ca="1" si="26"/>
        <v>#REF!</v>
      </c>
      <c r="T13" s="283" t="e">
        <f t="shared" ca="1" si="4"/>
        <v>#REF!</v>
      </c>
      <c r="U13" s="282"/>
      <c r="V13" s="282"/>
      <c r="W13" s="282"/>
      <c r="X13" s="282"/>
      <c r="Y13" s="282"/>
      <c r="Z13" s="282"/>
      <c r="AA13" s="282" t="e">
        <f t="shared" ca="1" si="5"/>
        <v>#REF!</v>
      </c>
      <c r="AB13" s="282" t="e">
        <f t="shared" ca="1" si="6"/>
        <v>#REF!</v>
      </c>
      <c r="AC13" s="282" t="e">
        <f t="shared" ca="1" si="7"/>
        <v>#REF!</v>
      </c>
      <c r="AD13" s="282" t="e">
        <f t="shared" ca="1" si="8"/>
        <v>#REF!</v>
      </c>
    </row>
    <row r="14" spans="1:44" ht="15" customHeight="1" x14ac:dyDescent="0.25">
      <c r="A14" s="278"/>
      <c r="B14" s="278" t="e">
        <f t="shared" ca="1" si="9"/>
        <v>#REF!</v>
      </c>
      <c r="C14" s="279" t="e">
        <f t="shared" ca="1" si="10"/>
        <v>#REF!</v>
      </c>
      <c r="D14" s="279" t="e">
        <f t="shared" ca="1" si="11"/>
        <v>#REF!</v>
      </c>
      <c r="E14" s="279" t="e">
        <f t="shared" ca="1" si="12"/>
        <v>#REF!</v>
      </c>
      <c r="F14" s="279" t="e">
        <f t="shared" ca="1" si="13"/>
        <v>#REF!</v>
      </c>
      <c r="G14" s="279" t="e">
        <f t="shared" ca="1" si="14"/>
        <v>#REF!</v>
      </c>
      <c r="H14" s="279" t="e">
        <f t="shared" ca="1" si="15"/>
        <v>#REF!</v>
      </c>
      <c r="I14" s="279" t="e">
        <f t="shared" ca="1" si="16"/>
        <v>#REF!</v>
      </c>
      <c r="J14" s="279" t="e">
        <f t="shared" ca="1" si="17"/>
        <v>#REF!</v>
      </c>
      <c r="K14" s="279" t="e">
        <f t="shared" ca="1" si="18"/>
        <v>#REF!</v>
      </c>
      <c r="L14" s="279" t="e">
        <f t="shared" ca="1" si="19"/>
        <v>#REF!</v>
      </c>
      <c r="M14" s="279" t="e">
        <f t="shared" ca="1" si="20"/>
        <v>#REF!</v>
      </c>
      <c r="N14" s="279" t="e">
        <f t="shared" ca="1" si="21"/>
        <v>#REF!</v>
      </c>
      <c r="O14" s="279" t="e">
        <f t="shared" ca="1" si="22"/>
        <v>#REF!</v>
      </c>
      <c r="P14" s="279" t="e">
        <f t="shared" ca="1" si="23"/>
        <v>#REF!</v>
      </c>
      <c r="Q14" s="279" t="e">
        <f t="shared" ca="1" si="24"/>
        <v>#REF!</v>
      </c>
      <c r="R14" s="279" t="e">
        <f t="shared" ca="1" si="25"/>
        <v>#REF!</v>
      </c>
      <c r="S14" s="279" t="e">
        <f t="shared" ca="1" si="26"/>
        <v>#REF!</v>
      </c>
      <c r="T14" s="280" t="e">
        <f t="shared" ca="1" si="4"/>
        <v>#REF!</v>
      </c>
      <c r="U14" s="279"/>
      <c r="V14" s="279"/>
      <c r="W14" s="279"/>
      <c r="X14" s="279"/>
      <c r="Y14" s="279"/>
      <c r="Z14" s="279"/>
      <c r="AA14" s="279" t="e">
        <f t="shared" ca="1" si="5"/>
        <v>#REF!</v>
      </c>
      <c r="AB14" s="279" t="e">
        <f t="shared" ca="1" si="6"/>
        <v>#REF!</v>
      </c>
      <c r="AC14" s="279" t="e">
        <f t="shared" ca="1" si="7"/>
        <v>#REF!</v>
      </c>
      <c r="AD14" s="279" t="e">
        <f t="shared" ca="1" si="8"/>
        <v>#REF!</v>
      </c>
    </row>
    <row r="15" spans="1:44" ht="15" customHeight="1" x14ac:dyDescent="0.25">
      <c r="A15" s="281"/>
      <c r="B15" s="281" t="e">
        <f t="shared" ca="1" si="9"/>
        <v>#REF!</v>
      </c>
      <c r="C15" s="282" t="e">
        <f t="shared" ca="1" si="10"/>
        <v>#REF!</v>
      </c>
      <c r="D15" s="282" t="e">
        <f t="shared" ca="1" si="11"/>
        <v>#REF!</v>
      </c>
      <c r="E15" s="282" t="e">
        <f t="shared" ca="1" si="12"/>
        <v>#REF!</v>
      </c>
      <c r="F15" s="282" t="e">
        <f t="shared" ca="1" si="13"/>
        <v>#REF!</v>
      </c>
      <c r="G15" s="282" t="e">
        <f t="shared" ca="1" si="14"/>
        <v>#REF!</v>
      </c>
      <c r="H15" s="282" t="e">
        <f t="shared" ca="1" si="15"/>
        <v>#REF!</v>
      </c>
      <c r="I15" s="282" t="e">
        <f t="shared" ca="1" si="16"/>
        <v>#REF!</v>
      </c>
      <c r="J15" s="282" t="e">
        <f t="shared" ca="1" si="17"/>
        <v>#REF!</v>
      </c>
      <c r="K15" s="282" t="e">
        <f t="shared" ca="1" si="18"/>
        <v>#REF!</v>
      </c>
      <c r="L15" s="282" t="e">
        <f t="shared" ca="1" si="19"/>
        <v>#REF!</v>
      </c>
      <c r="M15" s="282" t="e">
        <f t="shared" ca="1" si="20"/>
        <v>#REF!</v>
      </c>
      <c r="N15" s="282" t="e">
        <f t="shared" ca="1" si="21"/>
        <v>#REF!</v>
      </c>
      <c r="O15" s="282" t="e">
        <f t="shared" ca="1" si="22"/>
        <v>#REF!</v>
      </c>
      <c r="P15" s="282" t="e">
        <f t="shared" ca="1" si="23"/>
        <v>#REF!</v>
      </c>
      <c r="Q15" s="282" t="e">
        <f t="shared" ca="1" si="24"/>
        <v>#REF!</v>
      </c>
      <c r="R15" s="282" t="e">
        <f t="shared" ca="1" si="25"/>
        <v>#REF!</v>
      </c>
      <c r="S15" s="282" t="e">
        <f t="shared" ca="1" si="26"/>
        <v>#REF!</v>
      </c>
      <c r="T15" s="283" t="e">
        <f t="shared" ca="1" si="4"/>
        <v>#REF!</v>
      </c>
      <c r="U15" s="282"/>
      <c r="V15" s="282"/>
      <c r="W15" s="282"/>
      <c r="X15" s="282"/>
      <c r="Y15" s="282"/>
      <c r="Z15" s="282"/>
      <c r="AA15" s="282" t="e">
        <f t="shared" ca="1" si="5"/>
        <v>#REF!</v>
      </c>
      <c r="AB15" s="282" t="e">
        <f t="shared" ca="1" si="6"/>
        <v>#REF!</v>
      </c>
      <c r="AC15" s="282" t="e">
        <f t="shared" ca="1" si="7"/>
        <v>#REF!</v>
      </c>
      <c r="AD15" s="282" t="e">
        <f t="shared" ca="1" si="8"/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S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R15"/>
  <sheetViews>
    <sheetView zoomScale="115" zoomScaleNormal="115" workbookViewId="0">
      <selection activeCell="T2" sqref="T2:T4"/>
    </sheetView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9" width="3.7109375" customWidth="1"/>
    <col min="20" max="20" width="5.7109375" customWidth="1"/>
    <col min="21" max="26" width="5.7109375" hidden="1" customWidth="1"/>
    <col min="27" max="27" width="3.7109375" style="51" customWidth="1"/>
    <col min="28" max="30" width="3.7109375" customWidth="1"/>
  </cols>
  <sheetData>
    <row r="1" spans="1:44" ht="15" customHeight="1" x14ac:dyDescent="0.25">
      <c r="A1" s="399" t="str">
        <f>Doku!B42&amp;":"</f>
        <v>Gesamt:</v>
      </c>
      <c r="B1" s="399"/>
      <c r="C1" s="52" t="e">
        <f ca="1">SUM(C7:C11)-MAX(C7:C11)-MIN(C7:C11)</f>
        <v>#REF!</v>
      </c>
      <c r="D1" s="52" t="e">
        <f t="shared" ref="D1:S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3" t="e">
        <f ca="1">IF(SUM(AA7:AA12)&gt;0,SUM(C1:S1)/2,SUM(C1:S1))</f>
        <v>#REF!</v>
      </c>
      <c r="U1" s="248"/>
      <c r="V1" s="248"/>
      <c r="W1" s="248"/>
      <c r="X1" s="248"/>
      <c r="Y1" s="248"/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  <c r="AE1" s="119"/>
    </row>
    <row r="2" spans="1:44" ht="15" customHeight="1" x14ac:dyDescent="0.25">
      <c r="A2" s="400" t="str">
        <f>Doku!B47&amp;":"</f>
        <v>Mittelwert:</v>
      </c>
      <c r="B2" s="400"/>
      <c r="C2" s="54" t="e">
        <f ca="1">AVERAGE(C7:C11)</f>
        <v>#REF!</v>
      </c>
      <c r="D2" s="54" t="e">
        <f t="shared" ref="D2:S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5" t="e">
        <f ca="1">AVERAGE(T7:T11)</f>
        <v>#REF!</v>
      </c>
      <c r="U2" s="114"/>
      <c r="V2" s="114"/>
      <c r="W2" s="114"/>
      <c r="X2" s="114"/>
      <c r="Y2" s="114"/>
      <c r="Z2" s="114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44" ht="15" customHeight="1" x14ac:dyDescent="0.25">
      <c r="A3" s="400" t="str">
        <f>Doku!B48&amp;":"</f>
        <v>Standardabweichung:</v>
      </c>
      <c r="B3" s="400"/>
      <c r="C3" s="56" t="e">
        <f ca="1">_xlfn.STDEV.P(C7:C11)</f>
        <v>#REF!</v>
      </c>
      <c r="D3" s="56" t="e">
        <f t="shared" ref="D3:S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7" t="e">
        <f ca="1">_xlfn.STDEV.P(T7:T11)</f>
        <v>#REF!</v>
      </c>
      <c r="U3" s="116"/>
      <c r="V3" s="116"/>
      <c r="W3" s="116"/>
      <c r="X3" s="116"/>
      <c r="Y3" s="116"/>
      <c r="Z3" s="116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44" ht="15" customHeight="1" x14ac:dyDescent="0.25">
      <c r="A4" s="400" t="str">
        <f>Doku!B49&amp;":"</f>
        <v>Spannweite:</v>
      </c>
      <c r="B4" s="400"/>
      <c r="C4" s="52" t="e">
        <f ca="1">MAX(C7:C11)-MIN(C7:C11)</f>
        <v>#REF!</v>
      </c>
      <c r="D4" s="52" t="e">
        <f t="shared" ref="D4:S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3" t="e">
        <f ca="1">MAX(T7:T11)-MIN(T7:T11)</f>
        <v>#REF!</v>
      </c>
      <c r="U4" s="112"/>
      <c r="V4" s="112"/>
      <c r="W4" s="112"/>
      <c r="X4" s="112"/>
      <c r="Y4" s="112"/>
      <c r="Z4" s="112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44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T5" s="146"/>
      <c r="U5" s="119"/>
      <c r="V5" s="119"/>
      <c r="W5" s="119"/>
      <c r="X5" s="119"/>
      <c r="Y5" s="119"/>
      <c r="Z5" s="119"/>
      <c r="AA5" s="120"/>
      <c r="AB5" s="119"/>
    </row>
    <row r="6" spans="1:44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94</v>
      </c>
      <c r="E6" s="60" t="s">
        <v>95</v>
      </c>
      <c r="F6" s="60" t="s">
        <v>96</v>
      </c>
      <c r="G6" s="60" t="s">
        <v>97</v>
      </c>
      <c r="H6" s="60" t="s">
        <v>98</v>
      </c>
      <c r="I6" s="60" t="s">
        <v>100</v>
      </c>
      <c r="J6" s="60" t="s">
        <v>101</v>
      </c>
      <c r="K6" s="60" t="s">
        <v>102</v>
      </c>
      <c r="L6" s="60" t="s">
        <v>103</v>
      </c>
      <c r="M6" s="60" t="s">
        <v>104</v>
      </c>
      <c r="N6" s="60" t="s">
        <v>106</v>
      </c>
      <c r="O6" s="60" t="s">
        <v>107</v>
      </c>
      <c r="P6" s="60" t="s">
        <v>108</v>
      </c>
      <c r="Q6" s="60" t="s">
        <v>109</v>
      </c>
      <c r="R6" s="60" t="s">
        <v>110</v>
      </c>
      <c r="S6" s="60" t="str">
        <f>Doku!B52</f>
        <v>Abgrüßen</v>
      </c>
      <c r="T6" s="61" t="str">
        <f>Doku!B42</f>
        <v>Gesamt</v>
      </c>
      <c r="U6" s="62" t="s">
        <v>195</v>
      </c>
      <c r="V6" s="62" t="s">
        <v>5</v>
      </c>
      <c r="W6" s="62" t="s">
        <v>89</v>
      </c>
      <c r="X6" s="62" t="s">
        <v>90</v>
      </c>
      <c r="Y6" s="62" t="s">
        <v>91</v>
      </c>
      <c r="Z6" s="62"/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</row>
    <row r="7" spans="1:44" ht="15" customHeight="1" x14ac:dyDescent="0.25"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55" t="e">
        <f t="shared" ref="T7:T15" ca="1" si="4">INDIRECT("'"&amp;$A7&amp;"'!K36")</f>
        <v>#REF!</v>
      </c>
      <c r="U7" s="54"/>
      <c r="V7" s="54"/>
      <c r="W7" s="54"/>
      <c r="X7" s="54"/>
      <c r="Y7" s="54"/>
      <c r="Z7" s="54"/>
      <c r="AA7" s="54" t="e">
        <f t="shared" ref="AA7:AA15" ca="1" si="5">INDIRECT("'"&amp;$A7&amp;"'!J36")</f>
        <v>#REF!</v>
      </c>
      <c r="AB7" s="54" t="e">
        <f t="shared" ref="AB7:AB15" ca="1" si="6">INDIRECT("'"&amp;$A7&amp;"'!I36")</f>
        <v>#REF!</v>
      </c>
      <c r="AC7" s="54" t="e">
        <f t="shared" ref="AC7:AC15" ca="1" si="7">INDIRECT("'"&amp;$A7&amp;"'!H36")</f>
        <v>#REF!</v>
      </c>
      <c r="AD7" s="54" t="e">
        <f t="shared" ref="AD7:AD15" ca="1" si="8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44" ht="15" customHeight="1" x14ac:dyDescent="0.25">
      <c r="A8" s="118"/>
      <c r="B8" s="63" t="e">
        <f t="shared" ref="B8:B15" ca="1" si="9">INDIRECT("'"&amp;$A8&amp;"'!E5")</f>
        <v>#REF!</v>
      </c>
      <c r="C8" s="64" t="e">
        <f t="shared" ref="C8:C15" ca="1" si="10">INDIRECT("'"&amp;$A8&amp;"'!K13")</f>
        <v>#REF!</v>
      </c>
      <c r="D8" s="64" t="e">
        <f t="shared" ref="D8:D15" ca="1" si="11">INDIRECT("'"&amp;$A8&amp;"'!K14")</f>
        <v>#REF!</v>
      </c>
      <c r="E8" s="64" t="e">
        <f t="shared" ref="E8:E15" ca="1" si="12">INDIRECT("'"&amp;$A8&amp;"'!K15")</f>
        <v>#REF!</v>
      </c>
      <c r="F8" s="64" t="e">
        <f t="shared" ref="F8:F15" ca="1" si="13">INDIRECT("'"&amp;$A8&amp;"'!K16")</f>
        <v>#REF!</v>
      </c>
      <c r="G8" s="64" t="e">
        <f t="shared" ref="G8:G15" ca="1" si="14">INDIRECT("'"&amp;$A8&amp;"'!K17")</f>
        <v>#REF!</v>
      </c>
      <c r="H8" s="64" t="e">
        <f t="shared" ref="H8:H15" ca="1" si="15">INDIRECT("'"&amp;$A8&amp;"'!K18")</f>
        <v>#REF!</v>
      </c>
      <c r="I8" s="64" t="e">
        <f t="shared" ref="I8:I15" ca="1" si="16">INDIRECT("'"&amp;$A8&amp;"'!K19")</f>
        <v>#REF!</v>
      </c>
      <c r="J8" s="64" t="e">
        <f t="shared" ref="J8:J15" ca="1" si="17">INDIRECT("'"&amp;$A8&amp;"'!K20")</f>
        <v>#REF!</v>
      </c>
      <c r="K8" s="64" t="e">
        <f t="shared" ref="K8:K15" ca="1" si="18">INDIRECT("'"&amp;$A8&amp;"'!K21")</f>
        <v>#REF!</v>
      </c>
      <c r="L8" s="64" t="e">
        <f t="shared" ref="L8:L15" ca="1" si="19">INDIRECT("'"&amp;$A8&amp;"'!K22")</f>
        <v>#REF!</v>
      </c>
      <c r="M8" s="64" t="e">
        <f t="shared" ref="M8:M15" ca="1" si="20">INDIRECT("'"&amp;$A8&amp;"'!K23")</f>
        <v>#REF!</v>
      </c>
      <c r="N8" s="64" t="e">
        <f t="shared" ref="N8:N15" ca="1" si="21">INDIRECT("'"&amp;$A8&amp;"'!K24")</f>
        <v>#REF!</v>
      </c>
      <c r="O8" s="64" t="e">
        <f t="shared" ref="O8:O15" ca="1" si="22">INDIRECT("'"&amp;$A8&amp;"'!K25")</f>
        <v>#REF!</v>
      </c>
      <c r="P8" s="64" t="e">
        <f t="shared" ref="P8:P15" ca="1" si="23">INDIRECT("'"&amp;$A8&amp;"'!K26")</f>
        <v>#REF!</v>
      </c>
      <c r="Q8" s="64" t="e">
        <f t="shared" ref="Q8:Q15" ca="1" si="24">INDIRECT("'"&amp;$A8&amp;"'!K27")</f>
        <v>#REF!</v>
      </c>
      <c r="R8" s="64" t="e">
        <f t="shared" ref="R8:R15" ca="1" si="25">INDIRECT("'"&amp;$A8&amp;"'!K28")</f>
        <v>#REF!</v>
      </c>
      <c r="S8" s="64" t="e">
        <f t="shared" ref="S8:S15" ca="1" si="26">INDIRECT("'"&amp;$A8&amp;"'!K29")</f>
        <v>#REF!</v>
      </c>
      <c r="T8" s="65" t="e">
        <f t="shared" ca="1" si="4"/>
        <v>#REF!</v>
      </c>
      <c r="U8" s="64"/>
      <c r="V8" s="64"/>
      <c r="W8" s="64"/>
      <c r="X8" s="64"/>
      <c r="Y8" s="64"/>
      <c r="Z8" s="64"/>
      <c r="AA8" s="64" t="e">
        <f t="shared" ca="1" si="5"/>
        <v>#REF!</v>
      </c>
      <c r="AB8" s="64" t="e">
        <f t="shared" ca="1" si="6"/>
        <v>#REF!</v>
      </c>
      <c r="AC8" s="64" t="e">
        <f t="shared" ca="1" si="7"/>
        <v>#REF!</v>
      </c>
      <c r="AD8" s="64" t="e">
        <f t="shared" ca="1" si="8"/>
        <v>#REF!</v>
      </c>
    </row>
    <row r="9" spans="1:44" ht="15" customHeight="1" x14ac:dyDescent="0.25">
      <c r="B9" s="58" t="e">
        <f t="shared" ca="1" si="9"/>
        <v>#REF!</v>
      </c>
      <c r="C9" s="54" t="e">
        <f t="shared" ca="1" si="10"/>
        <v>#REF!</v>
      </c>
      <c r="D9" s="54" t="e">
        <f t="shared" ca="1" si="11"/>
        <v>#REF!</v>
      </c>
      <c r="E9" s="54" t="e">
        <f t="shared" ca="1" si="12"/>
        <v>#REF!</v>
      </c>
      <c r="F9" s="54" t="e">
        <f t="shared" ca="1" si="13"/>
        <v>#REF!</v>
      </c>
      <c r="G9" s="54" t="e">
        <f t="shared" ca="1" si="14"/>
        <v>#REF!</v>
      </c>
      <c r="H9" s="54" t="e">
        <f t="shared" ca="1" si="15"/>
        <v>#REF!</v>
      </c>
      <c r="I9" s="54" t="e">
        <f t="shared" ca="1" si="16"/>
        <v>#REF!</v>
      </c>
      <c r="J9" s="54" t="e">
        <f t="shared" ca="1" si="17"/>
        <v>#REF!</v>
      </c>
      <c r="K9" s="54" t="e">
        <f t="shared" ca="1" si="18"/>
        <v>#REF!</v>
      </c>
      <c r="L9" s="54" t="e">
        <f t="shared" ca="1" si="19"/>
        <v>#REF!</v>
      </c>
      <c r="M9" s="54" t="e">
        <f t="shared" ca="1" si="20"/>
        <v>#REF!</v>
      </c>
      <c r="N9" s="54" t="e">
        <f t="shared" ca="1" si="21"/>
        <v>#REF!</v>
      </c>
      <c r="O9" s="54" t="e">
        <f t="shared" ca="1" si="22"/>
        <v>#REF!</v>
      </c>
      <c r="P9" s="54" t="e">
        <f t="shared" ca="1" si="23"/>
        <v>#REF!</v>
      </c>
      <c r="Q9" s="54" t="e">
        <f t="shared" ca="1" si="24"/>
        <v>#REF!</v>
      </c>
      <c r="R9" s="54" t="e">
        <f t="shared" ca="1" si="25"/>
        <v>#REF!</v>
      </c>
      <c r="S9" s="54" t="e">
        <f t="shared" ca="1" si="26"/>
        <v>#REF!</v>
      </c>
      <c r="T9" s="55" t="e">
        <f t="shared" ca="1" si="4"/>
        <v>#REF!</v>
      </c>
      <c r="U9" s="54"/>
      <c r="V9" s="54"/>
      <c r="W9" s="54"/>
      <c r="X9" s="54"/>
      <c r="Y9" s="54"/>
      <c r="Z9" s="54"/>
      <c r="AA9" s="54" t="e">
        <f t="shared" ca="1" si="5"/>
        <v>#REF!</v>
      </c>
      <c r="AB9" s="54" t="e">
        <f t="shared" ca="1" si="6"/>
        <v>#REF!</v>
      </c>
      <c r="AC9" s="54" t="e">
        <f t="shared" ca="1" si="7"/>
        <v>#REF!</v>
      </c>
      <c r="AD9" s="54" t="e">
        <f t="shared" ca="1" si="8"/>
        <v>#REF!</v>
      </c>
    </row>
    <row r="10" spans="1:44" ht="15" customHeight="1" x14ac:dyDescent="0.25">
      <c r="A10" s="118"/>
      <c r="B10" s="63" t="e">
        <f t="shared" ca="1" si="9"/>
        <v>#REF!</v>
      </c>
      <c r="C10" s="64" t="e">
        <f t="shared" ca="1" si="10"/>
        <v>#REF!</v>
      </c>
      <c r="D10" s="64" t="e">
        <f t="shared" ca="1" si="11"/>
        <v>#REF!</v>
      </c>
      <c r="E10" s="64" t="e">
        <f t="shared" ca="1" si="12"/>
        <v>#REF!</v>
      </c>
      <c r="F10" s="64" t="e">
        <f t="shared" ca="1" si="13"/>
        <v>#REF!</v>
      </c>
      <c r="G10" s="64" t="e">
        <f t="shared" ca="1" si="14"/>
        <v>#REF!</v>
      </c>
      <c r="H10" s="64" t="e">
        <f t="shared" ca="1" si="15"/>
        <v>#REF!</v>
      </c>
      <c r="I10" s="64" t="e">
        <f t="shared" ca="1" si="16"/>
        <v>#REF!</v>
      </c>
      <c r="J10" s="64" t="e">
        <f t="shared" ca="1" si="17"/>
        <v>#REF!</v>
      </c>
      <c r="K10" s="64" t="e">
        <f t="shared" ca="1" si="18"/>
        <v>#REF!</v>
      </c>
      <c r="L10" s="64" t="e">
        <f t="shared" ca="1" si="19"/>
        <v>#REF!</v>
      </c>
      <c r="M10" s="64" t="e">
        <f t="shared" ca="1" si="20"/>
        <v>#REF!</v>
      </c>
      <c r="N10" s="64" t="e">
        <f t="shared" ca="1" si="21"/>
        <v>#REF!</v>
      </c>
      <c r="O10" s="64" t="e">
        <f t="shared" ca="1" si="22"/>
        <v>#REF!</v>
      </c>
      <c r="P10" s="64" t="e">
        <f t="shared" ca="1" si="23"/>
        <v>#REF!</v>
      </c>
      <c r="Q10" s="64" t="e">
        <f t="shared" ca="1" si="24"/>
        <v>#REF!</v>
      </c>
      <c r="R10" s="64" t="e">
        <f t="shared" ca="1" si="25"/>
        <v>#REF!</v>
      </c>
      <c r="S10" s="64" t="e">
        <f t="shared" ca="1" si="26"/>
        <v>#REF!</v>
      </c>
      <c r="T10" s="65" t="e">
        <f t="shared" ca="1" si="4"/>
        <v>#REF!</v>
      </c>
      <c r="U10" s="64"/>
      <c r="V10" s="64"/>
      <c r="W10" s="64"/>
      <c r="X10" s="64"/>
      <c r="Y10" s="64"/>
      <c r="Z10" s="64"/>
      <c r="AA10" s="64" t="e">
        <f t="shared" ca="1" si="5"/>
        <v>#REF!</v>
      </c>
      <c r="AB10" s="64" t="e">
        <f t="shared" ca="1" si="6"/>
        <v>#REF!</v>
      </c>
      <c r="AC10" s="64" t="e">
        <f t="shared" ca="1" si="7"/>
        <v>#REF!</v>
      </c>
      <c r="AD10" s="64" t="e">
        <f t="shared" ca="1" si="8"/>
        <v>#REF!</v>
      </c>
    </row>
    <row r="11" spans="1:44" ht="15" customHeight="1" thickBot="1" x14ac:dyDescent="0.3">
      <c r="A11" s="277"/>
      <c r="B11" s="274" t="e">
        <f t="shared" ca="1" si="9"/>
        <v>#REF!</v>
      </c>
      <c r="C11" s="275" t="e">
        <f t="shared" ca="1" si="10"/>
        <v>#REF!</v>
      </c>
      <c r="D11" s="275" t="e">
        <f t="shared" ca="1" si="11"/>
        <v>#REF!</v>
      </c>
      <c r="E11" s="275" t="e">
        <f t="shared" ca="1" si="12"/>
        <v>#REF!</v>
      </c>
      <c r="F11" s="275" t="e">
        <f t="shared" ca="1" si="13"/>
        <v>#REF!</v>
      </c>
      <c r="G11" s="275" t="e">
        <f t="shared" ca="1" si="14"/>
        <v>#REF!</v>
      </c>
      <c r="H11" s="275" t="e">
        <f t="shared" ca="1" si="15"/>
        <v>#REF!</v>
      </c>
      <c r="I11" s="275" t="e">
        <f t="shared" ca="1" si="16"/>
        <v>#REF!</v>
      </c>
      <c r="J11" s="275" t="e">
        <f t="shared" ca="1" si="17"/>
        <v>#REF!</v>
      </c>
      <c r="K11" s="275" t="e">
        <f t="shared" ca="1" si="18"/>
        <v>#REF!</v>
      </c>
      <c r="L11" s="275" t="e">
        <f t="shared" ca="1" si="19"/>
        <v>#REF!</v>
      </c>
      <c r="M11" s="275" t="e">
        <f t="shared" ca="1" si="20"/>
        <v>#REF!</v>
      </c>
      <c r="N11" s="275" t="e">
        <f t="shared" ca="1" si="21"/>
        <v>#REF!</v>
      </c>
      <c r="O11" s="275" t="e">
        <f t="shared" ca="1" si="22"/>
        <v>#REF!</v>
      </c>
      <c r="P11" s="275" t="e">
        <f t="shared" ca="1" si="23"/>
        <v>#REF!</v>
      </c>
      <c r="Q11" s="275" t="e">
        <f t="shared" ca="1" si="24"/>
        <v>#REF!</v>
      </c>
      <c r="R11" s="275" t="e">
        <f t="shared" ca="1" si="25"/>
        <v>#REF!</v>
      </c>
      <c r="S11" s="275" t="e">
        <f t="shared" ca="1" si="26"/>
        <v>#REF!</v>
      </c>
      <c r="T11" s="276" t="e">
        <f t="shared" ca="1" si="4"/>
        <v>#REF!</v>
      </c>
      <c r="U11" s="275"/>
      <c r="V11" s="275"/>
      <c r="W11" s="275"/>
      <c r="X11" s="275"/>
      <c r="Y11" s="275"/>
      <c r="Z11" s="275"/>
      <c r="AA11" s="275" t="e">
        <f t="shared" ca="1" si="5"/>
        <v>#REF!</v>
      </c>
      <c r="AB11" s="275" t="e">
        <f t="shared" ca="1" si="6"/>
        <v>#REF!</v>
      </c>
      <c r="AC11" s="275" t="e">
        <f t="shared" ca="1" si="7"/>
        <v>#REF!</v>
      </c>
      <c r="AD11" s="275" t="e">
        <f t="shared" ca="1" si="8"/>
        <v>#REF!</v>
      </c>
    </row>
    <row r="12" spans="1:44" ht="15" customHeight="1" x14ac:dyDescent="0.25">
      <c r="A12" s="278"/>
      <c r="B12" s="278" t="e">
        <f t="shared" ca="1" si="9"/>
        <v>#REF!</v>
      </c>
      <c r="C12" s="279" t="e">
        <f t="shared" ca="1" si="10"/>
        <v>#REF!</v>
      </c>
      <c r="D12" s="279" t="e">
        <f t="shared" ca="1" si="11"/>
        <v>#REF!</v>
      </c>
      <c r="E12" s="279" t="e">
        <f t="shared" ca="1" si="12"/>
        <v>#REF!</v>
      </c>
      <c r="F12" s="279" t="e">
        <f t="shared" ca="1" si="13"/>
        <v>#REF!</v>
      </c>
      <c r="G12" s="279" t="e">
        <f t="shared" ca="1" si="14"/>
        <v>#REF!</v>
      </c>
      <c r="H12" s="279" t="e">
        <f t="shared" ca="1" si="15"/>
        <v>#REF!</v>
      </c>
      <c r="I12" s="279" t="e">
        <f t="shared" ca="1" si="16"/>
        <v>#REF!</v>
      </c>
      <c r="J12" s="279" t="e">
        <f t="shared" ca="1" si="17"/>
        <v>#REF!</v>
      </c>
      <c r="K12" s="279" t="e">
        <f t="shared" ca="1" si="18"/>
        <v>#REF!</v>
      </c>
      <c r="L12" s="279" t="e">
        <f t="shared" ca="1" si="19"/>
        <v>#REF!</v>
      </c>
      <c r="M12" s="279" t="e">
        <f t="shared" ca="1" si="20"/>
        <v>#REF!</v>
      </c>
      <c r="N12" s="279" t="e">
        <f t="shared" ca="1" si="21"/>
        <v>#REF!</v>
      </c>
      <c r="O12" s="279" t="e">
        <f t="shared" ca="1" si="22"/>
        <v>#REF!</v>
      </c>
      <c r="P12" s="279" t="e">
        <f t="shared" ca="1" si="23"/>
        <v>#REF!</v>
      </c>
      <c r="Q12" s="279" t="e">
        <f t="shared" ca="1" si="24"/>
        <v>#REF!</v>
      </c>
      <c r="R12" s="279" t="e">
        <f t="shared" ca="1" si="25"/>
        <v>#REF!</v>
      </c>
      <c r="S12" s="279" t="e">
        <f t="shared" ca="1" si="26"/>
        <v>#REF!</v>
      </c>
      <c r="T12" s="280" t="e">
        <f t="shared" ca="1" si="4"/>
        <v>#REF!</v>
      </c>
      <c r="U12" s="279"/>
      <c r="V12" s="279"/>
      <c r="W12" s="279"/>
      <c r="X12" s="279"/>
      <c r="Y12" s="279"/>
      <c r="Z12" s="279"/>
      <c r="AA12" s="279" t="e">
        <f t="shared" ca="1" si="5"/>
        <v>#REF!</v>
      </c>
      <c r="AB12" s="279" t="e">
        <f t="shared" ca="1" si="6"/>
        <v>#REF!</v>
      </c>
      <c r="AC12" s="279" t="e">
        <f t="shared" ca="1" si="7"/>
        <v>#REF!</v>
      </c>
      <c r="AD12" s="279" t="e">
        <f t="shared" ca="1" si="8"/>
        <v>#REF!</v>
      </c>
    </row>
    <row r="13" spans="1:44" ht="15" customHeight="1" x14ac:dyDescent="0.25">
      <c r="A13" s="281"/>
      <c r="B13" s="281" t="e">
        <f t="shared" ca="1" si="9"/>
        <v>#REF!</v>
      </c>
      <c r="C13" s="282" t="e">
        <f t="shared" ca="1" si="10"/>
        <v>#REF!</v>
      </c>
      <c r="D13" s="282" t="e">
        <f t="shared" ca="1" si="11"/>
        <v>#REF!</v>
      </c>
      <c r="E13" s="282" t="e">
        <f t="shared" ca="1" si="12"/>
        <v>#REF!</v>
      </c>
      <c r="F13" s="282" t="e">
        <f t="shared" ca="1" si="13"/>
        <v>#REF!</v>
      </c>
      <c r="G13" s="282" t="e">
        <f t="shared" ca="1" si="14"/>
        <v>#REF!</v>
      </c>
      <c r="H13" s="282" t="e">
        <f t="shared" ca="1" si="15"/>
        <v>#REF!</v>
      </c>
      <c r="I13" s="282" t="e">
        <f t="shared" ca="1" si="16"/>
        <v>#REF!</v>
      </c>
      <c r="J13" s="282" t="e">
        <f t="shared" ca="1" si="17"/>
        <v>#REF!</v>
      </c>
      <c r="K13" s="282" t="e">
        <f t="shared" ca="1" si="18"/>
        <v>#REF!</v>
      </c>
      <c r="L13" s="282" t="e">
        <f t="shared" ca="1" si="19"/>
        <v>#REF!</v>
      </c>
      <c r="M13" s="282" t="e">
        <f t="shared" ca="1" si="20"/>
        <v>#REF!</v>
      </c>
      <c r="N13" s="282" t="e">
        <f t="shared" ca="1" si="21"/>
        <v>#REF!</v>
      </c>
      <c r="O13" s="282" t="e">
        <f t="shared" ca="1" si="22"/>
        <v>#REF!</v>
      </c>
      <c r="P13" s="282" t="e">
        <f t="shared" ca="1" si="23"/>
        <v>#REF!</v>
      </c>
      <c r="Q13" s="282" t="e">
        <f t="shared" ca="1" si="24"/>
        <v>#REF!</v>
      </c>
      <c r="R13" s="282" t="e">
        <f t="shared" ca="1" si="25"/>
        <v>#REF!</v>
      </c>
      <c r="S13" s="282" t="e">
        <f t="shared" ca="1" si="26"/>
        <v>#REF!</v>
      </c>
      <c r="T13" s="283" t="e">
        <f t="shared" ca="1" si="4"/>
        <v>#REF!</v>
      </c>
      <c r="U13" s="282"/>
      <c r="V13" s="282"/>
      <c r="W13" s="282"/>
      <c r="X13" s="282"/>
      <c r="Y13" s="282"/>
      <c r="Z13" s="282"/>
      <c r="AA13" s="282" t="e">
        <f t="shared" ca="1" si="5"/>
        <v>#REF!</v>
      </c>
      <c r="AB13" s="282" t="e">
        <f t="shared" ca="1" si="6"/>
        <v>#REF!</v>
      </c>
      <c r="AC13" s="282" t="e">
        <f t="shared" ca="1" si="7"/>
        <v>#REF!</v>
      </c>
      <c r="AD13" s="282" t="e">
        <f t="shared" ca="1" si="8"/>
        <v>#REF!</v>
      </c>
    </row>
    <row r="14" spans="1:44" ht="15" customHeight="1" x14ac:dyDescent="0.25">
      <c r="A14" s="278"/>
      <c r="B14" s="278" t="e">
        <f t="shared" ca="1" si="9"/>
        <v>#REF!</v>
      </c>
      <c r="C14" s="279" t="e">
        <f t="shared" ca="1" si="10"/>
        <v>#REF!</v>
      </c>
      <c r="D14" s="279" t="e">
        <f t="shared" ca="1" si="11"/>
        <v>#REF!</v>
      </c>
      <c r="E14" s="279" t="e">
        <f t="shared" ca="1" si="12"/>
        <v>#REF!</v>
      </c>
      <c r="F14" s="279" t="e">
        <f t="shared" ca="1" si="13"/>
        <v>#REF!</v>
      </c>
      <c r="G14" s="279" t="e">
        <f t="shared" ca="1" si="14"/>
        <v>#REF!</v>
      </c>
      <c r="H14" s="279" t="e">
        <f t="shared" ca="1" si="15"/>
        <v>#REF!</v>
      </c>
      <c r="I14" s="279" t="e">
        <f t="shared" ca="1" si="16"/>
        <v>#REF!</v>
      </c>
      <c r="J14" s="279" t="e">
        <f t="shared" ca="1" si="17"/>
        <v>#REF!</v>
      </c>
      <c r="K14" s="279" t="e">
        <f t="shared" ca="1" si="18"/>
        <v>#REF!</v>
      </c>
      <c r="L14" s="279" t="e">
        <f t="shared" ca="1" si="19"/>
        <v>#REF!</v>
      </c>
      <c r="M14" s="279" t="e">
        <f t="shared" ca="1" si="20"/>
        <v>#REF!</v>
      </c>
      <c r="N14" s="279" t="e">
        <f t="shared" ca="1" si="21"/>
        <v>#REF!</v>
      </c>
      <c r="O14" s="279" t="e">
        <f t="shared" ca="1" si="22"/>
        <v>#REF!</v>
      </c>
      <c r="P14" s="279" t="e">
        <f t="shared" ca="1" si="23"/>
        <v>#REF!</v>
      </c>
      <c r="Q14" s="279" t="e">
        <f t="shared" ca="1" si="24"/>
        <v>#REF!</v>
      </c>
      <c r="R14" s="279" t="e">
        <f t="shared" ca="1" si="25"/>
        <v>#REF!</v>
      </c>
      <c r="S14" s="279" t="e">
        <f t="shared" ca="1" si="26"/>
        <v>#REF!</v>
      </c>
      <c r="T14" s="280" t="e">
        <f t="shared" ca="1" si="4"/>
        <v>#REF!</v>
      </c>
      <c r="U14" s="279"/>
      <c r="V14" s="279"/>
      <c r="W14" s="279"/>
      <c r="X14" s="279"/>
      <c r="Y14" s="279"/>
      <c r="Z14" s="279"/>
      <c r="AA14" s="279" t="e">
        <f t="shared" ca="1" si="5"/>
        <v>#REF!</v>
      </c>
      <c r="AB14" s="279" t="e">
        <f t="shared" ca="1" si="6"/>
        <v>#REF!</v>
      </c>
      <c r="AC14" s="279" t="e">
        <f t="shared" ca="1" si="7"/>
        <v>#REF!</v>
      </c>
      <c r="AD14" s="279" t="e">
        <f t="shared" ca="1" si="8"/>
        <v>#REF!</v>
      </c>
    </row>
    <row r="15" spans="1:44" ht="15" customHeight="1" x14ac:dyDescent="0.25">
      <c r="A15" s="281"/>
      <c r="B15" s="281" t="e">
        <f t="shared" ca="1" si="9"/>
        <v>#REF!</v>
      </c>
      <c r="C15" s="282" t="e">
        <f t="shared" ca="1" si="10"/>
        <v>#REF!</v>
      </c>
      <c r="D15" s="282" t="e">
        <f t="shared" ca="1" si="11"/>
        <v>#REF!</v>
      </c>
      <c r="E15" s="282" t="e">
        <f t="shared" ca="1" si="12"/>
        <v>#REF!</v>
      </c>
      <c r="F15" s="282" t="e">
        <f t="shared" ca="1" si="13"/>
        <v>#REF!</v>
      </c>
      <c r="G15" s="282" t="e">
        <f t="shared" ca="1" si="14"/>
        <v>#REF!</v>
      </c>
      <c r="H15" s="282" t="e">
        <f t="shared" ca="1" si="15"/>
        <v>#REF!</v>
      </c>
      <c r="I15" s="282" t="e">
        <f t="shared" ca="1" si="16"/>
        <v>#REF!</v>
      </c>
      <c r="J15" s="282" t="e">
        <f t="shared" ca="1" si="17"/>
        <v>#REF!</v>
      </c>
      <c r="K15" s="282" t="e">
        <f t="shared" ca="1" si="18"/>
        <v>#REF!</v>
      </c>
      <c r="L15" s="282" t="e">
        <f t="shared" ca="1" si="19"/>
        <v>#REF!</v>
      </c>
      <c r="M15" s="282" t="e">
        <f t="shared" ca="1" si="20"/>
        <v>#REF!</v>
      </c>
      <c r="N15" s="282" t="e">
        <f t="shared" ca="1" si="21"/>
        <v>#REF!</v>
      </c>
      <c r="O15" s="282" t="e">
        <f t="shared" ca="1" si="22"/>
        <v>#REF!</v>
      </c>
      <c r="P15" s="282" t="e">
        <f t="shared" ca="1" si="23"/>
        <v>#REF!</v>
      </c>
      <c r="Q15" s="282" t="e">
        <f t="shared" ca="1" si="24"/>
        <v>#REF!</v>
      </c>
      <c r="R15" s="282" t="e">
        <f t="shared" ca="1" si="25"/>
        <v>#REF!</v>
      </c>
      <c r="S15" s="282" t="e">
        <f t="shared" ca="1" si="26"/>
        <v>#REF!</v>
      </c>
      <c r="T15" s="283" t="e">
        <f t="shared" ca="1" si="4"/>
        <v>#REF!</v>
      </c>
      <c r="U15" s="282"/>
      <c r="V15" s="282"/>
      <c r="W15" s="282"/>
      <c r="X15" s="282"/>
      <c r="Y15" s="282"/>
      <c r="Z15" s="282"/>
      <c r="AA15" s="282" t="e">
        <f t="shared" ca="1" si="5"/>
        <v>#REF!</v>
      </c>
      <c r="AB15" s="282" t="e">
        <f t="shared" ca="1" si="6"/>
        <v>#REF!</v>
      </c>
      <c r="AC15" s="282" t="e">
        <f t="shared" ca="1" si="7"/>
        <v>#REF!</v>
      </c>
      <c r="AD15" s="282" t="e">
        <f t="shared" ca="1" si="8"/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S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D24"/>
  <sheetViews>
    <sheetView zoomScale="115" zoomScaleNormal="115" workbookViewId="0">
      <selection activeCell="Y2" sqref="Y2:Y4"/>
    </sheetView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4" width="3.7109375" customWidth="1"/>
    <col min="25" max="25" width="5.7109375" customWidth="1"/>
    <col min="26" max="26" width="5.7109375" hidden="1" customWidth="1"/>
    <col min="27" max="27" width="3.7109375" style="51" customWidth="1"/>
    <col min="28" max="30" width="3.7109375" customWidth="1"/>
  </cols>
  <sheetData>
    <row r="1" spans="1:30" ht="15" customHeight="1" x14ac:dyDescent="0.25">
      <c r="A1" s="399" t="str">
        <f>Doku!B42&amp;":"</f>
        <v>Gesamt:</v>
      </c>
      <c r="B1" s="399"/>
      <c r="C1" s="52" t="e">
        <f ca="1">SUM(C7:C11)-MAX(C7:C11)-MIN(C7:C11)</f>
        <v>#REF!</v>
      </c>
      <c r="D1" s="52" t="e">
        <f t="shared" ref="D1:X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2" t="e">
        <f t="shared" ca="1" si="0"/>
        <v>#REF!</v>
      </c>
      <c r="U1" s="52" t="e">
        <f t="shared" ca="1" si="0"/>
        <v>#REF!</v>
      </c>
      <c r="V1" s="52" t="e">
        <f t="shared" ca="1" si="0"/>
        <v>#REF!</v>
      </c>
      <c r="W1" s="52" t="e">
        <f t="shared" ca="1" si="0"/>
        <v>#REF!</v>
      </c>
      <c r="X1" s="52" t="e">
        <f t="shared" ca="1" si="0"/>
        <v>#REF!</v>
      </c>
      <c r="Y1" s="53" t="e">
        <f ca="1">IF(SUM(AA7:AA12)&gt;0,SUM(H1:X1)/2,SUM(H1:X1))</f>
        <v>#REF!</v>
      </c>
      <c r="Z1" s="248"/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0" ht="15" customHeight="1" x14ac:dyDescent="0.25">
      <c r="A2" s="400" t="str">
        <f>Doku!B47&amp;":"</f>
        <v>Mittelwert:</v>
      </c>
      <c r="B2" s="400"/>
      <c r="C2" s="54" t="e">
        <f ca="1">AVERAGE(C7:C11)</f>
        <v>#REF!</v>
      </c>
      <c r="D2" s="54" t="e">
        <f t="shared" ref="D2:X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4" t="e">
        <f t="shared" ca="1" si="1"/>
        <v>#REF!</v>
      </c>
      <c r="U2" s="54" t="e">
        <f t="shared" ca="1" si="1"/>
        <v>#REF!</v>
      </c>
      <c r="V2" s="54" t="e">
        <f t="shared" ca="1" si="1"/>
        <v>#REF!</v>
      </c>
      <c r="W2" s="54" t="e">
        <f t="shared" ca="1" si="1"/>
        <v>#REF!</v>
      </c>
      <c r="X2" s="54" t="e">
        <f t="shared" ca="1" si="1"/>
        <v>#REF!</v>
      </c>
      <c r="Y2" s="55" t="e">
        <f ca="1">AVERAGE(Y7:Y11)</f>
        <v>#REF!</v>
      </c>
      <c r="Z2" s="114"/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0" ht="15" customHeight="1" x14ac:dyDescent="0.25">
      <c r="A3" s="400" t="str">
        <f>Doku!B48&amp;":"</f>
        <v>Standardabweichung:</v>
      </c>
      <c r="B3" s="400"/>
      <c r="C3" s="56" t="e">
        <f ca="1">_xlfn.STDEV.P(C7:C11)</f>
        <v>#REF!</v>
      </c>
      <c r="D3" s="56" t="e">
        <f t="shared" ref="D3:X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6" t="e">
        <f t="shared" ca="1" si="2"/>
        <v>#REF!</v>
      </c>
      <c r="U3" s="56" t="e">
        <f t="shared" ca="1" si="2"/>
        <v>#REF!</v>
      </c>
      <c r="V3" s="56" t="e">
        <f t="shared" ca="1" si="2"/>
        <v>#REF!</v>
      </c>
      <c r="W3" s="56" t="e">
        <f t="shared" ca="1" si="2"/>
        <v>#REF!</v>
      </c>
      <c r="X3" s="56" t="e">
        <f t="shared" ca="1" si="2"/>
        <v>#REF!</v>
      </c>
      <c r="Y3" s="57" t="e">
        <f ca="1">_xlfn.STDEV.P(Y7:Y11)</f>
        <v>#REF!</v>
      </c>
      <c r="Z3" s="116"/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0" ht="15" customHeight="1" x14ac:dyDescent="0.25">
      <c r="A4" s="400" t="str">
        <f>Doku!B49&amp;":"</f>
        <v>Spannweite:</v>
      </c>
      <c r="B4" s="400"/>
      <c r="C4" s="52" t="e">
        <f ca="1">MAX(C7:C11)-MIN(C7:C11)</f>
        <v>#REF!</v>
      </c>
      <c r="D4" s="52" t="e">
        <f t="shared" ref="D4:X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2" t="e">
        <f t="shared" ca="1" si="3"/>
        <v>#REF!</v>
      </c>
      <c r="U4" s="52" t="e">
        <f t="shared" ca="1" si="3"/>
        <v>#REF!</v>
      </c>
      <c r="V4" s="52" t="e">
        <f t="shared" ca="1" si="3"/>
        <v>#REF!</v>
      </c>
      <c r="W4" s="52" t="e">
        <f t="shared" ca="1" si="3"/>
        <v>#REF!</v>
      </c>
      <c r="X4" s="52" t="e">
        <f t="shared" ca="1" si="3"/>
        <v>#REF!</v>
      </c>
      <c r="Y4" s="53" t="e">
        <f ca="1">MAX(Y7:Y11)-MIN(Y7:Y11)</f>
        <v>#REF!</v>
      </c>
      <c r="Z4" s="112"/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0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Y5" s="146"/>
      <c r="Z5" s="119"/>
      <c r="AA5" s="120"/>
      <c r="AB5" s="187"/>
      <c r="AC5" s="187"/>
      <c r="AD5" s="187"/>
    </row>
    <row r="6" spans="1:30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114</v>
      </c>
      <c r="E6" s="60" t="s">
        <v>115</v>
      </c>
      <c r="F6" s="60" t="s">
        <v>116</v>
      </c>
      <c r="G6" s="60" t="s">
        <v>117</v>
      </c>
      <c r="H6" s="60" t="s">
        <v>118</v>
      </c>
      <c r="I6" s="60" t="s">
        <v>120</v>
      </c>
      <c r="J6" s="60" t="s">
        <v>121</v>
      </c>
      <c r="K6" s="60" t="s">
        <v>122</v>
      </c>
      <c r="L6" s="60" t="s">
        <v>114</v>
      </c>
      <c r="M6" s="60" t="s">
        <v>124</v>
      </c>
      <c r="N6" s="60" t="s">
        <v>115</v>
      </c>
      <c r="O6" s="60" t="s">
        <v>108</v>
      </c>
      <c r="P6" s="60" t="s">
        <v>116</v>
      </c>
      <c r="Q6" s="60" t="s">
        <v>117</v>
      </c>
      <c r="R6" s="60" t="s">
        <v>125</v>
      </c>
      <c r="S6" s="60" t="s">
        <v>118</v>
      </c>
      <c r="T6" s="60" t="s">
        <v>120</v>
      </c>
      <c r="U6" s="60" t="s">
        <v>121</v>
      </c>
      <c r="V6" s="60" t="s">
        <v>127</v>
      </c>
      <c r="W6" s="60" t="s">
        <v>100</v>
      </c>
      <c r="X6" s="60" t="str">
        <f>Doku!B52</f>
        <v>Abgrüßen</v>
      </c>
      <c r="Y6" s="61" t="str">
        <f>Doku!B42</f>
        <v>Gesamt</v>
      </c>
      <c r="Z6" s="117" t="str">
        <f>Doku!A41</f>
        <v>omit</v>
      </c>
      <c r="AA6" s="62" t="str">
        <f>Doku!B41</f>
        <v>Technik vergessen</v>
      </c>
      <c r="AB6" s="60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0" ht="15" customHeight="1" x14ac:dyDescent="0.25">
      <c r="A7" s="58"/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188" t="e">
        <f ca="1">INDIRECT("'"&amp;$A7&amp;"'!K30")</f>
        <v>#REF!</v>
      </c>
      <c r="U7" s="188" t="e">
        <f ca="1">INDIRECT("'"&amp;$A7&amp;"'!K31")</f>
        <v>#REF!</v>
      </c>
      <c r="V7" s="188" t="e">
        <f ca="1">INDIRECT("'"&amp;$A7&amp;"'!K32")</f>
        <v>#REF!</v>
      </c>
      <c r="W7" s="188" t="e">
        <f ca="1">INDIRECT("'"&amp;$A7&amp;"'!K33")</f>
        <v>#REF!</v>
      </c>
      <c r="X7" s="188" t="e">
        <f ca="1">INDIRECT("'"&amp;$A7&amp;"'!K34")</f>
        <v>#REF!</v>
      </c>
      <c r="Y7" s="55" t="e">
        <f ca="1">INDIRECT("'"&amp;$A7&amp;"'!K35")</f>
        <v>#REF!</v>
      </c>
      <c r="Z7" s="188"/>
      <c r="AA7" s="54" t="e">
        <f t="shared" ref="AA7:AA15" ca="1" si="4">INDIRECT("'"&amp;$A7&amp;"'!J36")</f>
        <v>#REF!</v>
      </c>
      <c r="AB7" s="54" t="e">
        <f t="shared" ref="AB7:AB15" ca="1" si="5">INDIRECT("'"&amp;$A7&amp;"'!I36")</f>
        <v>#REF!</v>
      </c>
      <c r="AC7" s="54" t="e">
        <f t="shared" ref="AC7:AC15" ca="1" si="6">INDIRECT("'"&amp;$A7&amp;"'!H36")</f>
        <v>#REF!</v>
      </c>
      <c r="AD7" s="54" t="e">
        <f t="shared" ref="AD7:AD15" ca="1" si="7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25">
      <c r="A8" s="63"/>
      <c r="B8" s="63" t="e">
        <f t="shared" ref="B8:B15" ca="1" si="8">INDIRECT("'"&amp;$A8&amp;"'!E5")</f>
        <v>#REF!</v>
      </c>
      <c r="C8" s="64" t="e">
        <f t="shared" ref="C8:C15" ca="1" si="9">INDIRECT("'"&amp;$A8&amp;"'!K13")</f>
        <v>#REF!</v>
      </c>
      <c r="D8" s="64" t="e">
        <f t="shared" ref="D8:D15" ca="1" si="10">INDIRECT("'"&amp;$A8&amp;"'!K14")</f>
        <v>#REF!</v>
      </c>
      <c r="E8" s="64" t="e">
        <f t="shared" ref="E8:E15" ca="1" si="11">INDIRECT("'"&amp;$A8&amp;"'!K15")</f>
        <v>#REF!</v>
      </c>
      <c r="F8" s="64" t="e">
        <f t="shared" ref="F8:F15" ca="1" si="12">INDIRECT("'"&amp;$A8&amp;"'!K16")</f>
        <v>#REF!</v>
      </c>
      <c r="G8" s="64" t="e">
        <f t="shared" ref="G8:G15" ca="1" si="13">INDIRECT("'"&amp;$A8&amp;"'!K17")</f>
        <v>#REF!</v>
      </c>
      <c r="H8" s="64" t="e">
        <f t="shared" ref="H8:H15" ca="1" si="14">INDIRECT("'"&amp;$A8&amp;"'!K18")</f>
        <v>#REF!</v>
      </c>
      <c r="I8" s="64" t="e">
        <f t="shared" ref="I8:I15" ca="1" si="15">INDIRECT("'"&amp;$A8&amp;"'!K19")</f>
        <v>#REF!</v>
      </c>
      <c r="J8" s="64" t="e">
        <f t="shared" ref="J8:J15" ca="1" si="16">INDIRECT("'"&amp;$A8&amp;"'!K20")</f>
        <v>#REF!</v>
      </c>
      <c r="K8" s="64" t="e">
        <f t="shared" ref="K8:K15" ca="1" si="17">INDIRECT("'"&amp;$A8&amp;"'!K21")</f>
        <v>#REF!</v>
      </c>
      <c r="L8" s="64" t="e">
        <f t="shared" ref="L8:L15" ca="1" si="18">INDIRECT("'"&amp;$A8&amp;"'!K22")</f>
        <v>#REF!</v>
      </c>
      <c r="M8" s="64" t="e">
        <f t="shared" ref="M8:M15" ca="1" si="19">INDIRECT("'"&amp;$A8&amp;"'!K23")</f>
        <v>#REF!</v>
      </c>
      <c r="N8" s="64" t="e">
        <f t="shared" ref="N8:N15" ca="1" si="20">INDIRECT("'"&amp;$A8&amp;"'!K24")</f>
        <v>#REF!</v>
      </c>
      <c r="O8" s="64" t="e">
        <f t="shared" ref="O8:O15" ca="1" si="21">INDIRECT("'"&amp;$A8&amp;"'!K25")</f>
        <v>#REF!</v>
      </c>
      <c r="P8" s="64" t="e">
        <f t="shared" ref="P8:P15" ca="1" si="22">INDIRECT("'"&amp;$A8&amp;"'!K26")</f>
        <v>#REF!</v>
      </c>
      <c r="Q8" s="64" t="e">
        <f t="shared" ref="Q8:Q15" ca="1" si="23">INDIRECT("'"&amp;$A8&amp;"'!K27")</f>
        <v>#REF!</v>
      </c>
      <c r="R8" s="64" t="e">
        <f t="shared" ref="R8:R15" ca="1" si="24">INDIRECT("'"&amp;$A8&amp;"'!K28")</f>
        <v>#REF!</v>
      </c>
      <c r="S8" s="64" t="e">
        <f t="shared" ref="S8:S15" ca="1" si="25">INDIRECT("'"&amp;$A8&amp;"'!K29")</f>
        <v>#REF!</v>
      </c>
      <c r="T8" s="189" t="e">
        <f t="shared" ref="T8:T15" ca="1" si="26">INDIRECT("'"&amp;$A8&amp;"'!K30")</f>
        <v>#REF!</v>
      </c>
      <c r="U8" s="189" t="e">
        <f t="shared" ref="U8:U15" ca="1" si="27">INDIRECT("'"&amp;$A8&amp;"'!K31")</f>
        <v>#REF!</v>
      </c>
      <c r="V8" s="189" t="e">
        <f t="shared" ref="V8:V15" ca="1" si="28">INDIRECT("'"&amp;$A8&amp;"'!K32")</f>
        <v>#REF!</v>
      </c>
      <c r="W8" s="189" t="e">
        <f t="shared" ref="W8:W15" ca="1" si="29">INDIRECT("'"&amp;$A8&amp;"'!K33")</f>
        <v>#REF!</v>
      </c>
      <c r="X8" s="189" t="e">
        <f t="shared" ref="X8:X15" ca="1" si="30">INDIRECT("'"&amp;$A8&amp;"'!K34")</f>
        <v>#REF!</v>
      </c>
      <c r="Y8" s="65" t="e">
        <f t="shared" ref="Y8:Y15" ca="1" si="31">INDIRECT("'"&amp;$A8&amp;"'!K35")</f>
        <v>#REF!</v>
      </c>
      <c r="Z8" s="189"/>
      <c r="AA8" s="64" t="e">
        <f t="shared" ca="1" si="4"/>
        <v>#REF!</v>
      </c>
      <c r="AB8" s="64" t="e">
        <f t="shared" ca="1" si="5"/>
        <v>#REF!</v>
      </c>
      <c r="AC8" s="64" t="e">
        <f t="shared" ca="1" si="6"/>
        <v>#REF!</v>
      </c>
      <c r="AD8" s="64" t="e">
        <f t="shared" ca="1" si="7"/>
        <v>#REF!</v>
      </c>
    </row>
    <row r="9" spans="1:30" ht="15" customHeight="1" x14ac:dyDescent="0.25">
      <c r="A9" s="58"/>
      <c r="B9" s="58" t="e">
        <f t="shared" ca="1" si="8"/>
        <v>#REF!</v>
      </c>
      <c r="C9" s="54" t="e">
        <f t="shared" ca="1" si="9"/>
        <v>#REF!</v>
      </c>
      <c r="D9" s="54" t="e">
        <f t="shared" ca="1" si="10"/>
        <v>#REF!</v>
      </c>
      <c r="E9" s="54" t="e">
        <f t="shared" ca="1" si="11"/>
        <v>#REF!</v>
      </c>
      <c r="F9" s="54" t="e">
        <f t="shared" ca="1" si="12"/>
        <v>#REF!</v>
      </c>
      <c r="G9" s="54" t="e">
        <f t="shared" ca="1" si="13"/>
        <v>#REF!</v>
      </c>
      <c r="H9" s="54" t="e">
        <f t="shared" ca="1" si="14"/>
        <v>#REF!</v>
      </c>
      <c r="I9" s="54" t="e">
        <f t="shared" ca="1" si="15"/>
        <v>#REF!</v>
      </c>
      <c r="J9" s="54" t="e">
        <f t="shared" ca="1" si="16"/>
        <v>#REF!</v>
      </c>
      <c r="K9" s="54" t="e">
        <f t="shared" ca="1" si="17"/>
        <v>#REF!</v>
      </c>
      <c r="L9" s="54" t="e">
        <f t="shared" ca="1" si="18"/>
        <v>#REF!</v>
      </c>
      <c r="M9" s="54" t="e">
        <f t="shared" ca="1" si="19"/>
        <v>#REF!</v>
      </c>
      <c r="N9" s="54" t="e">
        <f t="shared" ca="1" si="20"/>
        <v>#REF!</v>
      </c>
      <c r="O9" s="54" t="e">
        <f t="shared" ca="1" si="21"/>
        <v>#REF!</v>
      </c>
      <c r="P9" s="54" t="e">
        <f t="shared" ca="1" si="22"/>
        <v>#REF!</v>
      </c>
      <c r="Q9" s="54" t="e">
        <f t="shared" ca="1" si="23"/>
        <v>#REF!</v>
      </c>
      <c r="R9" s="54" t="e">
        <f t="shared" ca="1" si="24"/>
        <v>#REF!</v>
      </c>
      <c r="S9" s="54" t="e">
        <f t="shared" ca="1" si="25"/>
        <v>#REF!</v>
      </c>
      <c r="T9" s="188" t="e">
        <f t="shared" ca="1" si="26"/>
        <v>#REF!</v>
      </c>
      <c r="U9" s="188" t="e">
        <f t="shared" ca="1" si="27"/>
        <v>#REF!</v>
      </c>
      <c r="V9" s="188" t="e">
        <f t="shared" ca="1" si="28"/>
        <v>#REF!</v>
      </c>
      <c r="W9" s="188" t="e">
        <f t="shared" ca="1" si="29"/>
        <v>#REF!</v>
      </c>
      <c r="X9" s="188" t="e">
        <f t="shared" ca="1" si="30"/>
        <v>#REF!</v>
      </c>
      <c r="Y9" s="55" t="e">
        <f t="shared" ca="1" si="31"/>
        <v>#REF!</v>
      </c>
      <c r="Z9" s="188"/>
      <c r="AA9" s="54" t="e">
        <f t="shared" ca="1" si="4"/>
        <v>#REF!</v>
      </c>
      <c r="AB9" s="54" t="e">
        <f t="shared" ca="1" si="5"/>
        <v>#REF!</v>
      </c>
      <c r="AC9" s="54" t="e">
        <f t="shared" ca="1" si="6"/>
        <v>#REF!</v>
      </c>
      <c r="AD9" s="54" t="e">
        <f t="shared" ca="1" si="7"/>
        <v>#REF!</v>
      </c>
    </row>
    <row r="10" spans="1:30" ht="15" customHeight="1" x14ac:dyDescent="0.25">
      <c r="A10" s="63"/>
      <c r="B10" s="63" t="e">
        <f t="shared" ca="1" si="8"/>
        <v>#REF!</v>
      </c>
      <c r="C10" s="64" t="e">
        <f t="shared" ca="1" si="9"/>
        <v>#REF!</v>
      </c>
      <c r="D10" s="64" t="e">
        <f t="shared" ca="1" si="10"/>
        <v>#REF!</v>
      </c>
      <c r="E10" s="64" t="e">
        <f t="shared" ca="1" si="11"/>
        <v>#REF!</v>
      </c>
      <c r="F10" s="64" t="e">
        <f t="shared" ca="1" si="12"/>
        <v>#REF!</v>
      </c>
      <c r="G10" s="64" t="e">
        <f t="shared" ca="1" si="13"/>
        <v>#REF!</v>
      </c>
      <c r="H10" s="64" t="e">
        <f t="shared" ca="1" si="14"/>
        <v>#REF!</v>
      </c>
      <c r="I10" s="64" t="e">
        <f t="shared" ca="1" si="15"/>
        <v>#REF!</v>
      </c>
      <c r="J10" s="64" t="e">
        <f t="shared" ca="1" si="16"/>
        <v>#REF!</v>
      </c>
      <c r="K10" s="64" t="e">
        <f t="shared" ca="1" si="17"/>
        <v>#REF!</v>
      </c>
      <c r="L10" s="64" t="e">
        <f t="shared" ca="1" si="18"/>
        <v>#REF!</v>
      </c>
      <c r="M10" s="64" t="e">
        <f t="shared" ca="1" si="19"/>
        <v>#REF!</v>
      </c>
      <c r="N10" s="64" t="e">
        <f t="shared" ca="1" si="20"/>
        <v>#REF!</v>
      </c>
      <c r="O10" s="64" t="e">
        <f t="shared" ca="1" si="21"/>
        <v>#REF!</v>
      </c>
      <c r="P10" s="64" t="e">
        <f t="shared" ca="1" si="22"/>
        <v>#REF!</v>
      </c>
      <c r="Q10" s="64" t="e">
        <f t="shared" ca="1" si="23"/>
        <v>#REF!</v>
      </c>
      <c r="R10" s="64" t="e">
        <f t="shared" ca="1" si="24"/>
        <v>#REF!</v>
      </c>
      <c r="S10" s="64" t="e">
        <f t="shared" ca="1" si="25"/>
        <v>#REF!</v>
      </c>
      <c r="T10" s="189" t="e">
        <f t="shared" ca="1" si="26"/>
        <v>#REF!</v>
      </c>
      <c r="U10" s="189" t="e">
        <f t="shared" ca="1" si="27"/>
        <v>#REF!</v>
      </c>
      <c r="V10" s="189" t="e">
        <f t="shared" ca="1" si="28"/>
        <v>#REF!</v>
      </c>
      <c r="W10" s="189" t="e">
        <f t="shared" ca="1" si="29"/>
        <v>#REF!</v>
      </c>
      <c r="X10" s="189" t="e">
        <f t="shared" ca="1" si="30"/>
        <v>#REF!</v>
      </c>
      <c r="Y10" s="65" t="e">
        <f t="shared" ca="1" si="31"/>
        <v>#REF!</v>
      </c>
      <c r="Z10" s="189"/>
      <c r="AA10" s="64" t="e">
        <f t="shared" ca="1" si="4"/>
        <v>#REF!</v>
      </c>
      <c r="AB10" s="64" t="e">
        <f t="shared" ca="1" si="5"/>
        <v>#REF!</v>
      </c>
      <c r="AC10" s="64" t="e">
        <f t="shared" ca="1" si="6"/>
        <v>#REF!</v>
      </c>
      <c r="AD10" s="64" t="e">
        <f t="shared" ca="1" si="7"/>
        <v>#REF!</v>
      </c>
    </row>
    <row r="11" spans="1:30" ht="15" customHeight="1" thickBot="1" x14ac:dyDescent="0.3">
      <c r="A11" s="274"/>
      <c r="B11" s="274" t="e">
        <f t="shared" ca="1" si="8"/>
        <v>#REF!</v>
      </c>
      <c r="C11" s="275" t="e">
        <f t="shared" ca="1" si="9"/>
        <v>#REF!</v>
      </c>
      <c r="D11" s="275" t="e">
        <f t="shared" ca="1" si="10"/>
        <v>#REF!</v>
      </c>
      <c r="E11" s="275" t="e">
        <f t="shared" ca="1" si="11"/>
        <v>#REF!</v>
      </c>
      <c r="F11" s="275" t="e">
        <f t="shared" ca="1" si="12"/>
        <v>#REF!</v>
      </c>
      <c r="G11" s="275" t="e">
        <f t="shared" ca="1" si="13"/>
        <v>#REF!</v>
      </c>
      <c r="H11" s="275" t="e">
        <f t="shared" ca="1" si="14"/>
        <v>#REF!</v>
      </c>
      <c r="I11" s="275" t="e">
        <f t="shared" ca="1" si="15"/>
        <v>#REF!</v>
      </c>
      <c r="J11" s="275" t="e">
        <f t="shared" ca="1" si="16"/>
        <v>#REF!</v>
      </c>
      <c r="K11" s="275" t="e">
        <f t="shared" ca="1" si="17"/>
        <v>#REF!</v>
      </c>
      <c r="L11" s="275" t="e">
        <f t="shared" ca="1" si="18"/>
        <v>#REF!</v>
      </c>
      <c r="M11" s="275" t="e">
        <f t="shared" ca="1" si="19"/>
        <v>#REF!</v>
      </c>
      <c r="N11" s="275" t="e">
        <f t="shared" ca="1" si="20"/>
        <v>#REF!</v>
      </c>
      <c r="O11" s="275" t="e">
        <f t="shared" ca="1" si="21"/>
        <v>#REF!</v>
      </c>
      <c r="P11" s="275" t="e">
        <f t="shared" ca="1" si="22"/>
        <v>#REF!</v>
      </c>
      <c r="Q11" s="275" t="e">
        <f t="shared" ca="1" si="23"/>
        <v>#REF!</v>
      </c>
      <c r="R11" s="275" t="e">
        <f t="shared" ca="1" si="24"/>
        <v>#REF!</v>
      </c>
      <c r="S11" s="275" t="e">
        <f t="shared" ca="1" si="25"/>
        <v>#REF!</v>
      </c>
      <c r="T11" s="275" t="e">
        <f t="shared" ca="1" si="26"/>
        <v>#REF!</v>
      </c>
      <c r="U11" s="275" t="e">
        <f t="shared" ca="1" si="27"/>
        <v>#REF!</v>
      </c>
      <c r="V11" s="275" t="e">
        <f t="shared" ca="1" si="28"/>
        <v>#REF!</v>
      </c>
      <c r="W11" s="275" t="e">
        <f t="shared" ca="1" si="29"/>
        <v>#REF!</v>
      </c>
      <c r="X11" s="275" t="e">
        <f t="shared" ca="1" si="30"/>
        <v>#REF!</v>
      </c>
      <c r="Y11" s="276" t="e">
        <f t="shared" ca="1" si="31"/>
        <v>#REF!</v>
      </c>
      <c r="Z11" s="275"/>
      <c r="AA11" s="275" t="e">
        <f t="shared" ca="1" si="4"/>
        <v>#REF!</v>
      </c>
      <c r="AB11" s="275" t="e">
        <f t="shared" ca="1" si="5"/>
        <v>#REF!</v>
      </c>
      <c r="AC11" s="275" t="e">
        <f t="shared" ca="1" si="6"/>
        <v>#REF!</v>
      </c>
      <c r="AD11" s="275" t="e">
        <f t="shared" ca="1" si="7"/>
        <v>#REF!</v>
      </c>
    </row>
    <row r="12" spans="1:30" ht="15" customHeight="1" x14ac:dyDescent="0.25">
      <c r="A12" s="278"/>
      <c r="B12" s="278" t="e">
        <f t="shared" ca="1" si="8"/>
        <v>#REF!</v>
      </c>
      <c r="C12" s="279" t="e">
        <f t="shared" ca="1" si="9"/>
        <v>#REF!</v>
      </c>
      <c r="D12" s="279" t="e">
        <f t="shared" ca="1" si="10"/>
        <v>#REF!</v>
      </c>
      <c r="E12" s="279" t="e">
        <f t="shared" ca="1" si="11"/>
        <v>#REF!</v>
      </c>
      <c r="F12" s="279" t="e">
        <f t="shared" ca="1" si="12"/>
        <v>#REF!</v>
      </c>
      <c r="G12" s="279" t="e">
        <f t="shared" ca="1" si="13"/>
        <v>#REF!</v>
      </c>
      <c r="H12" s="279" t="e">
        <f t="shared" ca="1" si="14"/>
        <v>#REF!</v>
      </c>
      <c r="I12" s="279" t="e">
        <f t="shared" ca="1" si="15"/>
        <v>#REF!</v>
      </c>
      <c r="J12" s="279" t="e">
        <f t="shared" ca="1" si="16"/>
        <v>#REF!</v>
      </c>
      <c r="K12" s="279" t="e">
        <f t="shared" ca="1" si="17"/>
        <v>#REF!</v>
      </c>
      <c r="L12" s="279" t="e">
        <f t="shared" ca="1" si="18"/>
        <v>#REF!</v>
      </c>
      <c r="M12" s="279" t="e">
        <f t="shared" ca="1" si="19"/>
        <v>#REF!</v>
      </c>
      <c r="N12" s="279" t="e">
        <f t="shared" ca="1" si="20"/>
        <v>#REF!</v>
      </c>
      <c r="O12" s="279" t="e">
        <f t="shared" ca="1" si="21"/>
        <v>#REF!</v>
      </c>
      <c r="P12" s="279" t="e">
        <f t="shared" ca="1" si="22"/>
        <v>#REF!</v>
      </c>
      <c r="Q12" s="279" t="e">
        <f t="shared" ca="1" si="23"/>
        <v>#REF!</v>
      </c>
      <c r="R12" s="279" t="e">
        <f t="shared" ca="1" si="24"/>
        <v>#REF!</v>
      </c>
      <c r="S12" s="279" t="e">
        <f t="shared" ca="1" si="25"/>
        <v>#REF!</v>
      </c>
      <c r="T12" s="284" t="e">
        <f t="shared" ca="1" si="26"/>
        <v>#REF!</v>
      </c>
      <c r="U12" s="284" t="e">
        <f t="shared" ca="1" si="27"/>
        <v>#REF!</v>
      </c>
      <c r="V12" s="279" t="e">
        <f t="shared" ca="1" si="28"/>
        <v>#REF!</v>
      </c>
      <c r="W12" s="279" t="e">
        <f t="shared" ca="1" si="29"/>
        <v>#REF!</v>
      </c>
      <c r="X12" s="279" t="e">
        <f t="shared" ca="1" si="30"/>
        <v>#REF!</v>
      </c>
      <c r="Y12" s="286" t="e">
        <f t="shared" ca="1" si="31"/>
        <v>#REF!</v>
      </c>
      <c r="Z12" s="279"/>
      <c r="AA12" s="279" t="e">
        <f t="shared" ca="1" si="4"/>
        <v>#REF!</v>
      </c>
      <c r="AB12" s="279" t="e">
        <f t="shared" ca="1" si="5"/>
        <v>#REF!</v>
      </c>
      <c r="AC12" s="279" t="e">
        <f t="shared" ca="1" si="6"/>
        <v>#REF!</v>
      </c>
      <c r="AD12" s="279" t="e">
        <f t="shared" ca="1" si="7"/>
        <v>#REF!</v>
      </c>
    </row>
    <row r="13" spans="1:30" ht="15" customHeight="1" x14ac:dyDescent="0.25">
      <c r="A13" s="281"/>
      <c r="B13" s="281" t="e">
        <f t="shared" ca="1" si="8"/>
        <v>#REF!</v>
      </c>
      <c r="C13" s="282" t="e">
        <f t="shared" ca="1" si="9"/>
        <v>#REF!</v>
      </c>
      <c r="D13" s="282" t="e">
        <f t="shared" ca="1" si="10"/>
        <v>#REF!</v>
      </c>
      <c r="E13" s="282" t="e">
        <f t="shared" ca="1" si="11"/>
        <v>#REF!</v>
      </c>
      <c r="F13" s="282" t="e">
        <f t="shared" ca="1" si="12"/>
        <v>#REF!</v>
      </c>
      <c r="G13" s="282" t="e">
        <f t="shared" ca="1" si="13"/>
        <v>#REF!</v>
      </c>
      <c r="H13" s="282" t="e">
        <f t="shared" ca="1" si="14"/>
        <v>#REF!</v>
      </c>
      <c r="I13" s="282" t="e">
        <f t="shared" ca="1" si="15"/>
        <v>#REF!</v>
      </c>
      <c r="J13" s="282" t="e">
        <f t="shared" ca="1" si="16"/>
        <v>#REF!</v>
      </c>
      <c r="K13" s="282" t="e">
        <f t="shared" ca="1" si="17"/>
        <v>#REF!</v>
      </c>
      <c r="L13" s="282" t="e">
        <f t="shared" ca="1" si="18"/>
        <v>#REF!</v>
      </c>
      <c r="M13" s="282" t="e">
        <f t="shared" ca="1" si="19"/>
        <v>#REF!</v>
      </c>
      <c r="N13" s="282" t="e">
        <f t="shared" ca="1" si="20"/>
        <v>#REF!</v>
      </c>
      <c r="O13" s="282" t="e">
        <f t="shared" ca="1" si="21"/>
        <v>#REF!</v>
      </c>
      <c r="P13" s="282" t="e">
        <f t="shared" ca="1" si="22"/>
        <v>#REF!</v>
      </c>
      <c r="Q13" s="282" t="e">
        <f t="shared" ca="1" si="23"/>
        <v>#REF!</v>
      </c>
      <c r="R13" s="282" t="e">
        <f t="shared" ca="1" si="24"/>
        <v>#REF!</v>
      </c>
      <c r="S13" s="282" t="e">
        <f t="shared" ca="1" si="25"/>
        <v>#REF!</v>
      </c>
      <c r="T13" s="285" t="e">
        <f t="shared" ca="1" si="26"/>
        <v>#REF!</v>
      </c>
      <c r="U13" s="285" t="e">
        <f t="shared" ca="1" si="27"/>
        <v>#REF!</v>
      </c>
      <c r="V13" s="282" t="e">
        <f t="shared" ca="1" si="28"/>
        <v>#REF!</v>
      </c>
      <c r="W13" s="282" t="e">
        <f t="shared" ca="1" si="29"/>
        <v>#REF!</v>
      </c>
      <c r="X13" s="282" t="e">
        <f t="shared" ca="1" si="30"/>
        <v>#REF!</v>
      </c>
      <c r="Y13" s="283" t="e">
        <f t="shared" ca="1" si="31"/>
        <v>#REF!</v>
      </c>
      <c r="Z13" s="282"/>
      <c r="AA13" s="282" t="e">
        <f t="shared" ca="1" si="4"/>
        <v>#REF!</v>
      </c>
      <c r="AB13" s="282" t="e">
        <f t="shared" ca="1" si="5"/>
        <v>#REF!</v>
      </c>
      <c r="AC13" s="282" t="e">
        <f t="shared" ca="1" si="6"/>
        <v>#REF!</v>
      </c>
      <c r="AD13" s="282" t="e">
        <f t="shared" ca="1" si="7"/>
        <v>#REF!</v>
      </c>
    </row>
    <row r="14" spans="1:30" ht="15" customHeight="1" x14ac:dyDescent="0.25">
      <c r="A14" s="278"/>
      <c r="B14" s="278" t="e">
        <f t="shared" ca="1" si="8"/>
        <v>#REF!</v>
      </c>
      <c r="C14" s="279" t="e">
        <f t="shared" ca="1" si="9"/>
        <v>#REF!</v>
      </c>
      <c r="D14" s="279" t="e">
        <f t="shared" ca="1" si="10"/>
        <v>#REF!</v>
      </c>
      <c r="E14" s="279" t="e">
        <f t="shared" ca="1" si="11"/>
        <v>#REF!</v>
      </c>
      <c r="F14" s="279" t="e">
        <f t="shared" ca="1" si="12"/>
        <v>#REF!</v>
      </c>
      <c r="G14" s="279" t="e">
        <f t="shared" ca="1" si="13"/>
        <v>#REF!</v>
      </c>
      <c r="H14" s="279" t="e">
        <f t="shared" ca="1" si="14"/>
        <v>#REF!</v>
      </c>
      <c r="I14" s="279" t="e">
        <f t="shared" ca="1" si="15"/>
        <v>#REF!</v>
      </c>
      <c r="J14" s="279" t="e">
        <f t="shared" ca="1" si="16"/>
        <v>#REF!</v>
      </c>
      <c r="K14" s="279" t="e">
        <f t="shared" ca="1" si="17"/>
        <v>#REF!</v>
      </c>
      <c r="L14" s="279" t="e">
        <f t="shared" ca="1" si="18"/>
        <v>#REF!</v>
      </c>
      <c r="M14" s="279" t="e">
        <f t="shared" ca="1" si="19"/>
        <v>#REF!</v>
      </c>
      <c r="N14" s="279" t="e">
        <f t="shared" ca="1" si="20"/>
        <v>#REF!</v>
      </c>
      <c r="O14" s="279" t="e">
        <f t="shared" ca="1" si="21"/>
        <v>#REF!</v>
      </c>
      <c r="P14" s="279" t="e">
        <f t="shared" ca="1" si="22"/>
        <v>#REF!</v>
      </c>
      <c r="Q14" s="279" t="e">
        <f t="shared" ca="1" si="23"/>
        <v>#REF!</v>
      </c>
      <c r="R14" s="279" t="e">
        <f t="shared" ca="1" si="24"/>
        <v>#REF!</v>
      </c>
      <c r="S14" s="279" t="e">
        <f t="shared" ca="1" si="25"/>
        <v>#REF!</v>
      </c>
      <c r="T14" s="284" t="e">
        <f t="shared" ca="1" si="26"/>
        <v>#REF!</v>
      </c>
      <c r="U14" s="284" t="e">
        <f t="shared" ca="1" si="27"/>
        <v>#REF!</v>
      </c>
      <c r="V14" s="279" t="e">
        <f t="shared" ca="1" si="28"/>
        <v>#REF!</v>
      </c>
      <c r="W14" s="279" t="e">
        <f t="shared" ca="1" si="29"/>
        <v>#REF!</v>
      </c>
      <c r="X14" s="279" t="e">
        <f t="shared" ca="1" si="30"/>
        <v>#REF!</v>
      </c>
      <c r="Y14" s="280" t="e">
        <f t="shared" ca="1" si="31"/>
        <v>#REF!</v>
      </c>
      <c r="Z14" s="279"/>
      <c r="AA14" s="279" t="e">
        <f t="shared" ca="1" si="4"/>
        <v>#REF!</v>
      </c>
      <c r="AB14" s="279" t="e">
        <f t="shared" ca="1" si="5"/>
        <v>#REF!</v>
      </c>
      <c r="AC14" s="279" t="e">
        <f t="shared" ca="1" si="6"/>
        <v>#REF!</v>
      </c>
      <c r="AD14" s="279" t="e">
        <f t="shared" ca="1" si="7"/>
        <v>#REF!</v>
      </c>
    </row>
    <row r="15" spans="1:30" ht="15" customHeight="1" x14ac:dyDescent="0.25">
      <c r="A15" s="281"/>
      <c r="B15" s="281" t="e">
        <f t="shared" ca="1" si="8"/>
        <v>#REF!</v>
      </c>
      <c r="C15" s="282" t="e">
        <f t="shared" ca="1" si="9"/>
        <v>#REF!</v>
      </c>
      <c r="D15" s="282" t="e">
        <f t="shared" ca="1" si="10"/>
        <v>#REF!</v>
      </c>
      <c r="E15" s="282" t="e">
        <f t="shared" ca="1" si="11"/>
        <v>#REF!</v>
      </c>
      <c r="F15" s="282" t="e">
        <f t="shared" ca="1" si="12"/>
        <v>#REF!</v>
      </c>
      <c r="G15" s="282" t="e">
        <f t="shared" ca="1" si="13"/>
        <v>#REF!</v>
      </c>
      <c r="H15" s="282" t="e">
        <f t="shared" ca="1" si="14"/>
        <v>#REF!</v>
      </c>
      <c r="I15" s="282" t="e">
        <f t="shared" ca="1" si="15"/>
        <v>#REF!</v>
      </c>
      <c r="J15" s="282" t="e">
        <f t="shared" ca="1" si="16"/>
        <v>#REF!</v>
      </c>
      <c r="K15" s="282" t="e">
        <f t="shared" ca="1" si="17"/>
        <v>#REF!</v>
      </c>
      <c r="L15" s="282" t="e">
        <f t="shared" ca="1" si="18"/>
        <v>#REF!</v>
      </c>
      <c r="M15" s="282" t="e">
        <f t="shared" ca="1" si="19"/>
        <v>#REF!</v>
      </c>
      <c r="N15" s="282" t="e">
        <f t="shared" ca="1" si="20"/>
        <v>#REF!</v>
      </c>
      <c r="O15" s="282" t="e">
        <f t="shared" ca="1" si="21"/>
        <v>#REF!</v>
      </c>
      <c r="P15" s="282" t="e">
        <f t="shared" ca="1" si="22"/>
        <v>#REF!</v>
      </c>
      <c r="Q15" s="282" t="e">
        <f t="shared" ca="1" si="23"/>
        <v>#REF!</v>
      </c>
      <c r="R15" s="282" t="e">
        <f t="shared" ca="1" si="24"/>
        <v>#REF!</v>
      </c>
      <c r="S15" s="282" t="e">
        <f t="shared" ca="1" si="25"/>
        <v>#REF!</v>
      </c>
      <c r="T15" s="285" t="e">
        <f t="shared" ca="1" si="26"/>
        <v>#REF!</v>
      </c>
      <c r="U15" s="285" t="e">
        <f t="shared" ca="1" si="27"/>
        <v>#REF!</v>
      </c>
      <c r="V15" s="282" t="e">
        <f t="shared" ca="1" si="28"/>
        <v>#REF!</v>
      </c>
      <c r="W15" s="282" t="e">
        <f t="shared" ca="1" si="29"/>
        <v>#REF!</v>
      </c>
      <c r="X15" s="282" t="e">
        <f t="shared" ca="1" si="30"/>
        <v>#REF!</v>
      </c>
      <c r="Y15" s="283" t="e">
        <f t="shared" ca="1" si="31"/>
        <v>#REF!</v>
      </c>
      <c r="Z15" s="282"/>
      <c r="AA15" s="282" t="e">
        <f t="shared" ca="1" si="4"/>
        <v>#REF!</v>
      </c>
      <c r="AB15" s="282" t="e">
        <f t="shared" ca="1" si="5"/>
        <v>#REF!</v>
      </c>
      <c r="AC15" s="282" t="e">
        <f t="shared" ca="1" si="6"/>
        <v>#REF!</v>
      </c>
      <c r="AD15" s="282" t="e">
        <f t="shared" ca="1" si="7"/>
        <v>#REF!</v>
      </c>
    </row>
    <row r="16" spans="1:30" ht="15" customHeight="1" x14ac:dyDescent="0.25"/>
    <row r="24" spans="28:28" x14ac:dyDescent="0.25">
      <c r="AB24" s="190"/>
    </row>
  </sheetData>
  <sheetProtection selectLockedCells="1" selectUnlockedCells="1"/>
  <mergeCells count="4">
    <mergeCell ref="A1:B1"/>
    <mergeCell ref="A2:B2"/>
    <mergeCell ref="A3:B3"/>
    <mergeCell ref="A4:B4"/>
  </mergeCells>
  <conditionalFormatting sqref="C4:X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D16"/>
  <sheetViews>
    <sheetView zoomScale="115" zoomScaleNormal="115" workbookViewId="0">
      <selection activeCell="Z2" sqref="Z2:Z4"/>
    </sheetView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3.7109375" customWidth="1"/>
    <col min="26" max="26" width="5.7109375" customWidth="1"/>
    <col min="27" max="27" width="3.7109375" style="51" customWidth="1"/>
    <col min="28" max="30" width="3.7109375" customWidth="1"/>
  </cols>
  <sheetData>
    <row r="1" spans="1:30" ht="15" customHeight="1" x14ac:dyDescent="0.25">
      <c r="A1" s="399" t="str">
        <f>Doku!B42&amp;":"</f>
        <v>Gesamt:</v>
      </c>
      <c r="B1" s="399"/>
      <c r="C1" s="52" t="e">
        <f ca="1">SUM(C7:C11)-MAX(C7:C11)-MIN(C7:C11)</f>
        <v>#REF!</v>
      </c>
      <c r="D1" s="52" t="e">
        <f t="shared" ref="D1:Y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2" t="e">
        <f t="shared" ca="1" si="0"/>
        <v>#REF!</v>
      </c>
      <c r="U1" s="52" t="e">
        <f t="shared" ca="1" si="0"/>
        <v>#REF!</v>
      </c>
      <c r="V1" s="52" t="e">
        <f t="shared" ca="1" si="0"/>
        <v>#REF!</v>
      </c>
      <c r="W1" s="52" t="e">
        <f t="shared" ca="1" si="0"/>
        <v>#REF!</v>
      </c>
      <c r="X1" s="52" t="e">
        <f t="shared" ca="1" si="0"/>
        <v>#REF!</v>
      </c>
      <c r="Y1" s="52" t="e">
        <f t="shared" ca="1" si="0"/>
        <v>#REF!</v>
      </c>
      <c r="Z1" s="53" t="e">
        <f ca="1">IF(SUM(AA7:AA12)&gt;0,SUM(I1:Y1)/2,SUM(I1:Y1))</f>
        <v>#REF!</v>
      </c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0" ht="15" customHeight="1" x14ac:dyDescent="0.25">
      <c r="A2" s="400" t="str">
        <f>Doku!B47&amp;":"</f>
        <v>Mittelwert:</v>
      </c>
      <c r="B2" s="400"/>
      <c r="C2" s="54" t="e">
        <f ca="1">AVERAGE(C7:C11)</f>
        <v>#REF!</v>
      </c>
      <c r="D2" s="54" t="e">
        <f t="shared" ref="D2:Y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4" t="e">
        <f t="shared" ca="1" si="1"/>
        <v>#REF!</v>
      </c>
      <c r="U2" s="54" t="e">
        <f t="shared" ca="1" si="1"/>
        <v>#REF!</v>
      </c>
      <c r="V2" s="54" t="e">
        <f t="shared" ca="1" si="1"/>
        <v>#REF!</v>
      </c>
      <c r="W2" s="54" t="e">
        <f t="shared" ca="1" si="1"/>
        <v>#REF!</v>
      </c>
      <c r="X2" s="54" t="e">
        <f t="shared" ca="1" si="1"/>
        <v>#REF!</v>
      </c>
      <c r="Y2" s="54" t="e">
        <f t="shared" ca="1" si="1"/>
        <v>#REF!</v>
      </c>
      <c r="Z2" s="55" t="e">
        <f ca="1">AVERAGE(Z7:Z11)</f>
        <v>#REF!</v>
      </c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0" ht="15" customHeight="1" x14ac:dyDescent="0.25">
      <c r="A3" s="400" t="str">
        <f>Doku!B48&amp;":"</f>
        <v>Standardabweichung:</v>
      </c>
      <c r="B3" s="400"/>
      <c r="C3" s="56" t="e">
        <f ca="1">_xlfn.STDEV.P(C7:C11)</f>
        <v>#REF!</v>
      </c>
      <c r="D3" s="56" t="e">
        <f t="shared" ref="D3:Y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6" t="e">
        <f t="shared" ca="1" si="2"/>
        <v>#REF!</v>
      </c>
      <c r="U3" s="56" t="e">
        <f t="shared" ca="1" si="2"/>
        <v>#REF!</v>
      </c>
      <c r="V3" s="56" t="e">
        <f t="shared" ca="1" si="2"/>
        <v>#REF!</v>
      </c>
      <c r="W3" s="56" t="e">
        <f t="shared" ca="1" si="2"/>
        <v>#REF!</v>
      </c>
      <c r="X3" s="56" t="e">
        <f t="shared" ca="1" si="2"/>
        <v>#REF!</v>
      </c>
      <c r="Y3" s="56" t="e">
        <f t="shared" ca="1" si="2"/>
        <v>#REF!</v>
      </c>
      <c r="Z3" s="57" t="e">
        <f ca="1">_xlfn.STDEV.P(Z7:Z11)</f>
        <v>#REF!</v>
      </c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0" ht="15" customHeight="1" x14ac:dyDescent="0.25">
      <c r="A4" s="400" t="str">
        <f>Doku!B49&amp;":"</f>
        <v>Spannweite:</v>
      </c>
      <c r="B4" s="400"/>
      <c r="C4" s="52" t="e">
        <f ca="1">MAX(C7:C11)-MIN(C7:C11)</f>
        <v>#REF!</v>
      </c>
      <c r="D4" s="52" t="e">
        <f t="shared" ref="D4:Y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2" t="e">
        <f t="shared" ca="1" si="3"/>
        <v>#REF!</v>
      </c>
      <c r="U4" s="52" t="e">
        <f t="shared" ca="1" si="3"/>
        <v>#REF!</v>
      </c>
      <c r="V4" s="52" t="e">
        <f t="shared" ca="1" si="3"/>
        <v>#REF!</v>
      </c>
      <c r="W4" s="52" t="e">
        <f t="shared" ca="1" si="3"/>
        <v>#REF!</v>
      </c>
      <c r="X4" s="52" t="e">
        <f t="shared" ca="1" si="3"/>
        <v>#REF!</v>
      </c>
      <c r="Y4" s="52" t="e">
        <f t="shared" ca="1" si="3"/>
        <v>#REF!</v>
      </c>
      <c r="Z4" s="53" t="e">
        <f ca="1">MAX(Z7:Z11)-MIN(Z7:Z11)</f>
        <v>#REF!</v>
      </c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0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Z5" s="146"/>
      <c r="AA5" s="120"/>
      <c r="AB5" s="58"/>
      <c r="AC5" s="58"/>
      <c r="AD5" s="58"/>
    </row>
    <row r="6" spans="1:30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114</v>
      </c>
      <c r="E6" s="60" t="s">
        <v>130</v>
      </c>
      <c r="F6" s="60" t="s">
        <v>131</v>
      </c>
      <c r="G6" s="60" t="s">
        <v>132</v>
      </c>
      <c r="H6" s="60" t="s">
        <v>133</v>
      </c>
      <c r="I6" s="60" t="s">
        <v>134</v>
      </c>
      <c r="J6" s="60" t="s">
        <v>135</v>
      </c>
      <c r="K6" s="60" t="s">
        <v>102</v>
      </c>
      <c r="L6" s="60" t="s">
        <v>137</v>
      </c>
      <c r="M6" s="60" t="s">
        <v>138</v>
      </c>
      <c r="N6" s="60" t="s">
        <v>139</v>
      </c>
      <c r="O6" s="60" t="s">
        <v>140</v>
      </c>
      <c r="P6" s="60" t="s">
        <v>115</v>
      </c>
      <c r="Q6" s="60" t="s">
        <v>141</v>
      </c>
      <c r="R6" s="60" t="s">
        <v>142</v>
      </c>
      <c r="S6" s="60" t="s">
        <v>144</v>
      </c>
      <c r="T6" s="60" t="s">
        <v>145</v>
      </c>
      <c r="U6" s="60" t="s">
        <v>146</v>
      </c>
      <c r="V6" s="60" t="s">
        <v>148</v>
      </c>
      <c r="W6" s="60" t="s">
        <v>149</v>
      </c>
      <c r="X6" s="60" t="s">
        <v>150</v>
      </c>
      <c r="Y6" s="60" t="str">
        <f>Doku!B52</f>
        <v>Abgrüßen</v>
      </c>
      <c r="Z6" s="61" t="str">
        <f>Doku!B42</f>
        <v>Gesamt</v>
      </c>
      <c r="AA6" s="117" t="str">
        <f>Doku!B41</f>
        <v>Technik vergessen</v>
      </c>
      <c r="AB6" s="62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0" ht="15" customHeight="1" x14ac:dyDescent="0.25">
      <c r="A7" s="58"/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188" t="e">
        <f ca="1">INDIRECT("'"&amp;$A7&amp;"'!K30")</f>
        <v>#REF!</v>
      </c>
      <c r="U7" s="188" t="e">
        <f ca="1">INDIRECT("'"&amp;$A7&amp;"'!K31")</f>
        <v>#REF!</v>
      </c>
      <c r="V7" s="188" t="e">
        <f ca="1">INDIRECT("'"&amp;$A7&amp;"'!K32")</f>
        <v>#REF!</v>
      </c>
      <c r="W7" s="188" t="e">
        <f ca="1">INDIRECT("'"&amp;$A7&amp;"'!K33")</f>
        <v>#REF!</v>
      </c>
      <c r="X7" s="188" t="e">
        <f ca="1">INDIRECT("'"&amp;$A7&amp;"'!K34")</f>
        <v>#REF!</v>
      </c>
      <c r="Y7" s="188" t="e">
        <f ca="1">INDIRECT("'"&amp;$A7&amp;"'!K35")</f>
        <v>#REF!</v>
      </c>
      <c r="Z7" s="55" t="e">
        <f ca="1">INDIRECT("'"&amp;$A7&amp;"'!K36")</f>
        <v>#REF!</v>
      </c>
      <c r="AA7" s="54" t="e">
        <f t="shared" ref="AA7:AA15" ca="1" si="4">INDIRECT("'"&amp;$A7&amp;"'!J36")</f>
        <v>#REF!</v>
      </c>
      <c r="AB7" s="54" t="e">
        <f t="shared" ref="AB7:AB15" ca="1" si="5">INDIRECT("'"&amp;$A7&amp;"'!I36")</f>
        <v>#REF!</v>
      </c>
      <c r="AC7" s="54" t="e">
        <f t="shared" ref="AC7:AC15" ca="1" si="6">INDIRECT("'"&amp;$A7&amp;"'!H36")</f>
        <v>#REF!</v>
      </c>
      <c r="AD7" s="54" t="e">
        <f t="shared" ref="AD7:AD15" ca="1" si="7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25">
      <c r="A8" s="63"/>
      <c r="B8" s="63" t="e">
        <f t="shared" ref="B8:B15" ca="1" si="8">INDIRECT("'"&amp;$A8&amp;"'!E5")</f>
        <v>#REF!</v>
      </c>
      <c r="C8" s="64" t="e">
        <f t="shared" ref="C8:C15" ca="1" si="9">INDIRECT("'"&amp;$A8&amp;"'!K13")</f>
        <v>#REF!</v>
      </c>
      <c r="D8" s="64" t="e">
        <f t="shared" ref="D8:D15" ca="1" si="10">INDIRECT("'"&amp;$A8&amp;"'!K14")</f>
        <v>#REF!</v>
      </c>
      <c r="E8" s="64" t="e">
        <f t="shared" ref="E8:E15" ca="1" si="11">INDIRECT("'"&amp;$A8&amp;"'!K15")</f>
        <v>#REF!</v>
      </c>
      <c r="F8" s="64" t="e">
        <f t="shared" ref="F8:F15" ca="1" si="12">INDIRECT("'"&amp;$A8&amp;"'!K16")</f>
        <v>#REF!</v>
      </c>
      <c r="G8" s="64" t="e">
        <f t="shared" ref="G8:G15" ca="1" si="13">INDIRECT("'"&amp;$A8&amp;"'!K17")</f>
        <v>#REF!</v>
      </c>
      <c r="H8" s="64" t="e">
        <f t="shared" ref="H8:H15" ca="1" si="14">INDIRECT("'"&amp;$A8&amp;"'!K18")</f>
        <v>#REF!</v>
      </c>
      <c r="I8" s="64" t="e">
        <f t="shared" ref="I8:I15" ca="1" si="15">INDIRECT("'"&amp;$A8&amp;"'!K19")</f>
        <v>#REF!</v>
      </c>
      <c r="J8" s="64" t="e">
        <f t="shared" ref="J8:J15" ca="1" si="16">INDIRECT("'"&amp;$A8&amp;"'!K20")</f>
        <v>#REF!</v>
      </c>
      <c r="K8" s="64" t="e">
        <f t="shared" ref="K8:K15" ca="1" si="17">INDIRECT("'"&amp;$A8&amp;"'!K21")</f>
        <v>#REF!</v>
      </c>
      <c r="L8" s="64" t="e">
        <f t="shared" ref="L8:L15" ca="1" si="18">INDIRECT("'"&amp;$A8&amp;"'!K22")</f>
        <v>#REF!</v>
      </c>
      <c r="M8" s="64" t="e">
        <f t="shared" ref="M8:M15" ca="1" si="19">INDIRECT("'"&amp;$A8&amp;"'!K23")</f>
        <v>#REF!</v>
      </c>
      <c r="N8" s="64" t="e">
        <f t="shared" ref="N8:N15" ca="1" si="20">INDIRECT("'"&amp;$A8&amp;"'!K24")</f>
        <v>#REF!</v>
      </c>
      <c r="O8" s="64" t="e">
        <f t="shared" ref="O8:O15" ca="1" si="21">INDIRECT("'"&amp;$A8&amp;"'!K25")</f>
        <v>#REF!</v>
      </c>
      <c r="P8" s="64" t="e">
        <f t="shared" ref="P8:P15" ca="1" si="22">INDIRECT("'"&amp;$A8&amp;"'!K26")</f>
        <v>#REF!</v>
      </c>
      <c r="Q8" s="64" t="e">
        <f t="shared" ref="Q8:Q15" ca="1" si="23">INDIRECT("'"&amp;$A8&amp;"'!K27")</f>
        <v>#REF!</v>
      </c>
      <c r="R8" s="64" t="e">
        <f t="shared" ref="R8:R15" ca="1" si="24">INDIRECT("'"&amp;$A8&amp;"'!K28")</f>
        <v>#REF!</v>
      </c>
      <c r="S8" s="64" t="e">
        <f t="shared" ref="S8:S15" ca="1" si="25">INDIRECT("'"&amp;$A8&amp;"'!K29")</f>
        <v>#REF!</v>
      </c>
      <c r="T8" s="189" t="e">
        <f t="shared" ref="T8:T15" ca="1" si="26">INDIRECT("'"&amp;$A8&amp;"'!K30")</f>
        <v>#REF!</v>
      </c>
      <c r="U8" s="189" t="e">
        <f t="shared" ref="U8:U15" ca="1" si="27">INDIRECT("'"&amp;$A8&amp;"'!K31")</f>
        <v>#REF!</v>
      </c>
      <c r="V8" s="189" t="e">
        <f t="shared" ref="V8:V15" ca="1" si="28">INDIRECT("'"&amp;$A8&amp;"'!K32")</f>
        <v>#REF!</v>
      </c>
      <c r="W8" s="189" t="e">
        <f t="shared" ref="W8:W15" ca="1" si="29">INDIRECT("'"&amp;$A8&amp;"'!K33")</f>
        <v>#REF!</v>
      </c>
      <c r="X8" s="189" t="e">
        <f t="shared" ref="X8:X15" ca="1" si="30">INDIRECT("'"&amp;$A8&amp;"'!K34")</f>
        <v>#REF!</v>
      </c>
      <c r="Y8" s="189" t="e">
        <f t="shared" ref="Y8:Y15" ca="1" si="31">INDIRECT("'"&amp;$A8&amp;"'!K35")</f>
        <v>#REF!</v>
      </c>
      <c r="Z8" s="65" t="e">
        <f t="shared" ref="Z8:Z15" ca="1" si="32">INDIRECT("'"&amp;$A8&amp;"'!K36")</f>
        <v>#REF!</v>
      </c>
      <c r="AA8" s="64" t="e">
        <f t="shared" ca="1" si="4"/>
        <v>#REF!</v>
      </c>
      <c r="AB8" s="64" t="e">
        <f t="shared" ca="1" si="5"/>
        <v>#REF!</v>
      </c>
      <c r="AC8" s="64" t="e">
        <f t="shared" ca="1" si="6"/>
        <v>#REF!</v>
      </c>
      <c r="AD8" s="64" t="e">
        <f t="shared" ca="1" si="7"/>
        <v>#REF!</v>
      </c>
    </row>
    <row r="9" spans="1:30" ht="15" customHeight="1" x14ac:dyDescent="0.25">
      <c r="A9" s="58"/>
      <c r="B9" s="58" t="e">
        <f t="shared" ca="1" si="8"/>
        <v>#REF!</v>
      </c>
      <c r="C9" s="54" t="e">
        <f t="shared" ca="1" si="9"/>
        <v>#REF!</v>
      </c>
      <c r="D9" s="54" t="e">
        <f t="shared" ca="1" si="10"/>
        <v>#REF!</v>
      </c>
      <c r="E9" s="54" t="e">
        <f t="shared" ca="1" si="11"/>
        <v>#REF!</v>
      </c>
      <c r="F9" s="54" t="e">
        <f t="shared" ca="1" si="12"/>
        <v>#REF!</v>
      </c>
      <c r="G9" s="54" t="e">
        <f t="shared" ca="1" si="13"/>
        <v>#REF!</v>
      </c>
      <c r="H9" s="54" t="e">
        <f t="shared" ca="1" si="14"/>
        <v>#REF!</v>
      </c>
      <c r="I9" s="54" t="e">
        <f t="shared" ca="1" si="15"/>
        <v>#REF!</v>
      </c>
      <c r="J9" s="54" t="e">
        <f t="shared" ca="1" si="16"/>
        <v>#REF!</v>
      </c>
      <c r="K9" s="54" t="e">
        <f t="shared" ca="1" si="17"/>
        <v>#REF!</v>
      </c>
      <c r="L9" s="54" t="e">
        <f t="shared" ca="1" si="18"/>
        <v>#REF!</v>
      </c>
      <c r="M9" s="54" t="e">
        <f t="shared" ca="1" si="19"/>
        <v>#REF!</v>
      </c>
      <c r="N9" s="54" t="e">
        <f t="shared" ca="1" si="20"/>
        <v>#REF!</v>
      </c>
      <c r="O9" s="54" t="e">
        <f t="shared" ca="1" si="21"/>
        <v>#REF!</v>
      </c>
      <c r="P9" s="54" t="e">
        <f t="shared" ca="1" si="22"/>
        <v>#REF!</v>
      </c>
      <c r="Q9" s="54" t="e">
        <f t="shared" ca="1" si="23"/>
        <v>#REF!</v>
      </c>
      <c r="R9" s="54" t="e">
        <f t="shared" ca="1" si="24"/>
        <v>#REF!</v>
      </c>
      <c r="S9" s="54" t="e">
        <f t="shared" ca="1" si="25"/>
        <v>#REF!</v>
      </c>
      <c r="T9" s="188" t="e">
        <f t="shared" ca="1" si="26"/>
        <v>#REF!</v>
      </c>
      <c r="U9" s="188" t="e">
        <f t="shared" ca="1" si="27"/>
        <v>#REF!</v>
      </c>
      <c r="V9" s="188" t="e">
        <f t="shared" ca="1" si="28"/>
        <v>#REF!</v>
      </c>
      <c r="W9" s="188" t="e">
        <f t="shared" ca="1" si="29"/>
        <v>#REF!</v>
      </c>
      <c r="X9" s="188" t="e">
        <f t="shared" ca="1" si="30"/>
        <v>#REF!</v>
      </c>
      <c r="Y9" s="188" t="e">
        <f t="shared" ca="1" si="31"/>
        <v>#REF!</v>
      </c>
      <c r="Z9" s="55" t="e">
        <f t="shared" ca="1" si="32"/>
        <v>#REF!</v>
      </c>
      <c r="AA9" s="54" t="e">
        <f t="shared" ca="1" si="4"/>
        <v>#REF!</v>
      </c>
      <c r="AB9" s="54" t="e">
        <f t="shared" ca="1" si="5"/>
        <v>#REF!</v>
      </c>
      <c r="AC9" s="54" t="e">
        <f t="shared" ca="1" si="6"/>
        <v>#REF!</v>
      </c>
      <c r="AD9" s="54" t="e">
        <f t="shared" ca="1" si="7"/>
        <v>#REF!</v>
      </c>
    </row>
    <row r="10" spans="1:30" ht="15" customHeight="1" x14ac:dyDescent="0.25">
      <c r="A10" s="63"/>
      <c r="B10" s="63" t="e">
        <f t="shared" ca="1" si="8"/>
        <v>#REF!</v>
      </c>
      <c r="C10" s="64" t="e">
        <f t="shared" ca="1" si="9"/>
        <v>#REF!</v>
      </c>
      <c r="D10" s="64" t="e">
        <f t="shared" ca="1" si="10"/>
        <v>#REF!</v>
      </c>
      <c r="E10" s="64" t="e">
        <f t="shared" ca="1" si="11"/>
        <v>#REF!</v>
      </c>
      <c r="F10" s="64" t="e">
        <f t="shared" ca="1" si="12"/>
        <v>#REF!</v>
      </c>
      <c r="G10" s="64" t="e">
        <f t="shared" ca="1" si="13"/>
        <v>#REF!</v>
      </c>
      <c r="H10" s="64" t="e">
        <f t="shared" ca="1" si="14"/>
        <v>#REF!</v>
      </c>
      <c r="I10" s="64" t="e">
        <f t="shared" ca="1" si="15"/>
        <v>#REF!</v>
      </c>
      <c r="J10" s="64" t="e">
        <f t="shared" ca="1" si="16"/>
        <v>#REF!</v>
      </c>
      <c r="K10" s="64" t="e">
        <f t="shared" ca="1" si="17"/>
        <v>#REF!</v>
      </c>
      <c r="L10" s="64" t="e">
        <f t="shared" ca="1" si="18"/>
        <v>#REF!</v>
      </c>
      <c r="M10" s="64" t="e">
        <f t="shared" ca="1" si="19"/>
        <v>#REF!</v>
      </c>
      <c r="N10" s="64" t="e">
        <f t="shared" ca="1" si="20"/>
        <v>#REF!</v>
      </c>
      <c r="O10" s="64" t="e">
        <f t="shared" ca="1" si="21"/>
        <v>#REF!</v>
      </c>
      <c r="P10" s="64" t="e">
        <f t="shared" ca="1" si="22"/>
        <v>#REF!</v>
      </c>
      <c r="Q10" s="64" t="e">
        <f t="shared" ca="1" si="23"/>
        <v>#REF!</v>
      </c>
      <c r="R10" s="64" t="e">
        <f t="shared" ca="1" si="24"/>
        <v>#REF!</v>
      </c>
      <c r="S10" s="64" t="e">
        <f t="shared" ca="1" si="25"/>
        <v>#REF!</v>
      </c>
      <c r="T10" s="189" t="e">
        <f t="shared" ca="1" si="26"/>
        <v>#REF!</v>
      </c>
      <c r="U10" s="189" t="e">
        <f t="shared" ca="1" si="27"/>
        <v>#REF!</v>
      </c>
      <c r="V10" s="189" t="e">
        <f t="shared" ca="1" si="28"/>
        <v>#REF!</v>
      </c>
      <c r="W10" s="189" t="e">
        <f t="shared" ca="1" si="29"/>
        <v>#REF!</v>
      </c>
      <c r="X10" s="189" t="e">
        <f t="shared" ca="1" si="30"/>
        <v>#REF!</v>
      </c>
      <c r="Y10" s="189" t="e">
        <f t="shared" ca="1" si="31"/>
        <v>#REF!</v>
      </c>
      <c r="Z10" s="65" t="e">
        <f t="shared" ca="1" si="32"/>
        <v>#REF!</v>
      </c>
      <c r="AA10" s="64" t="e">
        <f t="shared" ca="1" si="4"/>
        <v>#REF!</v>
      </c>
      <c r="AB10" s="64" t="e">
        <f t="shared" ca="1" si="5"/>
        <v>#REF!</v>
      </c>
      <c r="AC10" s="64" t="e">
        <f t="shared" ca="1" si="6"/>
        <v>#REF!</v>
      </c>
      <c r="AD10" s="64" t="e">
        <f t="shared" ca="1" si="7"/>
        <v>#REF!</v>
      </c>
    </row>
    <row r="11" spans="1:30" ht="15" customHeight="1" thickBot="1" x14ac:dyDescent="0.3">
      <c r="A11" s="274"/>
      <c r="B11" s="274" t="e">
        <f t="shared" ca="1" si="8"/>
        <v>#REF!</v>
      </c>
      <c r="C11" s="275" t="e">
        <f t="shared" ca="1" si="9"/>
        <v>#REF!</v>
      </c>
      <c r="D11" s="275" t="e">
        <f t="shared" ca="1" si="10"/>
        <v>#REF!</v>
      </c>
      <c r="E11" s="275" t="e">
        <f t="shared" ca="1" si="11"/>
        <v>#REF!</v>
      </c>
      <c r="F11" s="275" t="e">
        <f t="shared" ca="1" si="12"/>
        <v>#REF!</v>
      </c>
      <c r="G11" s="275" t="e">
        <f t="shared" ca="1" si="13"/>
        <v>#REF!</v>
      </c>
      <c r="H11" s="275" t="e">
        <f t="shared" ca="1" si="14"/>
        <v>#REF!</v>
      </c>
      <c r="I11" s="275" t="e">
        <f t="shared" ca="1" si="15"/>
        <v>#REF!</v>
      </c>
      <c r="J11" s="275" t="e">
        <f t="shared" ca="1" si="16"/>
        <v>#REF!</v>
      </c>
      <c r="K11" s="275" t="e">
        <f t="shared" ca="1" si="17"/>
        <v>#REF!</v>
      </c>
      <c r="L11" s="275" t="e">
        <f t="shared" ca="1" si="18"/>
        <v>#REF!</v>
      </c>
      <c r="M11" s="275" t="e">
        <f t="shared" ca="1" si="19"/>
        <v>#REF!</v>
      </c>
      <c r="N11" s="275" t="e">
        <f t="shared" ca="1" si="20"/>
        <v>#REF!</v>
      </c>
      <c r="O11" s="275" t="e">
        <f t="shared" ca="1" si="21"/>
        <v>#REF!</v>
      </c>
      <c r="P11" s="275" t="e">
        <f t="shared" ca="1" si="22"/>
        <v>#REF!</v>
      </c>
      <c r="Q11" s="275" t="e">
        <f t="shared" ca="1" si="23"/>
        <v>#REF!</v>
      </c>
      <c r="R11" s="275" t="e">
        <f t="shared" ca="1" si="24"/>
        <v>#REF!</v>
      </c>
      <c r="S11" s="275" t="e">
        <f t="shared" ca="1" si="25"/>
        <v>#REF!</v>
      </c>
      <c r="T11" s="275" t="e">
        <f t="shared" ca="1" si="26"/>
        <v>#REF!</v>
      </c>
      <c r="U11" s="275" t="e">
        <f t="shared" ca="1" si="27"/>
        <v>#REF!</v>
      </c>
      <c r="V11" s="275" t="e">
        <f t="shared" ca="1" si="28"/>
        <v>#REF!</v>
      </c>
      <c r="W11" s="275" t="e">
        <f t="shared" ca="1" si="29"/>
        <v>#REF!</v>
      </c>
      <c r="X11" s="275" t="e">
        <f t="shared" ca="1" si="30"/>
        <v>#REF!</v>
      </c>
      <c r="Y11" s="275" t="e">
        <f t="shared" ca="1" si="31"/>
        <v>#REF!</v>
      </c>
      <c r="Z11" s="276" t="e">
        <f t="shared" ca="1" si="32"/>
        <v>#REF!</v>
      </c>
      <c r="AA11" s="275" t="e">
        <f t="shared" ca="1" si="4"/>
        <v>#REF!</v>
      </c>
      <c r="AB11" s="275" t="e">
        <f t="shared" ca="1" si="5"/>
        <v>#REF!</v>
      </c>
      <c r="AC11" s="275" t="e">
        <f t="shared" ca="1" si="6"/>
        <v>#REF!</v>
      </c>
      <c r="AD11" s="275" t="e">
        <f t="shared" ca="1" si="7"/>
        <v>#REF!</v>
      </c>
    </row>
    <row r="12" spans="1:30" ht="15" customHeight="1" x14ac:dyDescent="0.25">
      <c r="A12" s="278"/>
      <c r="B12" s="278" t="e">
        <f t="shared" ca="1" si="8"/>
        <v>#REF!</v>
      </c>
      <c r="C12" s="279" t="e">
        <f t="shared" ca="1" si="9"/>
        <v>#REF!</v>
      </c>
      <c r="D12" s="279" t="e">
        <f t="shared" ca="1" si="10"/>
        <v>#REF!</v>
      </c>
      <c r="E12" s="279" t="e">
        <f t="shared" ca="1" si="11"/>
        <v>#REF!</v>
      </c>
      <c r="F12" s="279" t="e">
        <f t="shared" ca="1" si="12"/>
        <v>#REF!</v>
      </c>
      <c r="G12" s="279" t="e">
        <f t="shared" ca="1" si="13"/>
        <v>#REF!</v>
      </c>
      <c r="H12" s="279" t="e">
        <f t="shared" ca="1" si="14"/>
        <v>#REF!</v>
      </c>
      <c r="I12" s="279" t="e">
        <f t="shared" ca="1" si="15"/>
        <v>#REF!</v>
      </c>
      <c r="J12" s="279" t="e">
        <f t="shared" ca="1" si="16"/>
        <v>#REF!</v>
      </c>
      <c r="K12" s="279" t="e">
        <f t="shared" ca="1" si="17"/>
        <v>#REF!</v>
      </c>
      <c r="L12" s="279" t="e">
        <f t="shared" ca="1" si="18"/>
        <v>#REF!</v>
      </c>
      <c r="M12" s="279" t="e">
        <f t="shared" ca="1" si="19"/>
        <v>#REF!</v>
      </c>
      <c r="N12" s="279" t="e">
        <f t="shared" ca="1" si="20"/>
        <v>#REF!</v>
      </c>
      <c r="O12" s="279" t="e">
        <f t="shared" ca="1" si="21"/>
        <v>#REF!</v>
      </c>
      <c r="P12" s="279" t="e">
        <f t="shared" ca="1" si="22"/>
        <v>#REF!</v>
      </c>
      <c r="Q12" s="279" t="e">
        <f t="shared" ca="1" si="23"/>
        <v>#REF!</v>
      </c>
      <c r="R12" s="279" t="e">
        <f t="shared" ca="1" si="24"/>
        <v>#REF!</v>
      </c>
      <c r="S12" s="279" t="e">
        <f t="shared" ca="1" si="25"/>
        <v>#REF!</v>
      </c>
      <c r="T12" s="284" t="e">
        <f t="shared" ca="1" si="26"/>
        <v>#REF!</v>
      </c>
      <c r="U12" s="284" t="e">
        <f t="shared" ca="1" si="27"/>
        <v>#REF!</v>
      </c>
      <c r="V12" s="279" t="e">
        <f t="shared" ca="1" si="28"/>
        <v>#REF!</v>
      </c>
      <c r="W12" s="279" t="e">
        <f t="shared" ca="1" si="29"/>
        <v>#REF!</v>
      </c>
      <c r="X12" s="279" t="e">
        <f t="shared" ca="1" si="30"/>
        <v>#REF!</v>
      </c>
      <c r="Y12" s="279" t="e">
        <f t="shared" ca="1" si="31"/>
        <v>#REF!</v>
      </c>
      <c r="Z12" s="286" t="e">
        <f t="shared" ca="1" si="32"/>
        <v>#REF!</v>
      </c>
      <c r="AA12" s="279" t="e">
        <f t="shared" ca="1" si="4"/>
        <v>#REF!</v>
      </c>
      <c r="AB12" s="279" t="e">
        <f t="shared" ca="1" si="5"/>
        <v>#REF!</v>
      </c>
      <c r="AC12" s="279" t="e">
        <f t="shared" ca="1" si="6"/>
        <v>#REF!</v>
      </c>
      <c r="AD12" s="279" t="e">
        <f t="shared" ca="1" si="7"/>
        <v>#REF!</v>
      </c>
    </row>
    <row r="13" spans="1:30" ht="15" customHeight="1" x14ac:dyDescent="0.25">
      <c r="A13" s="281"/>
      <c r="B13" s="281" t="e">
        <f t="shared" ca="1" si="8"/>
        <v>#REF!</v>
      </c>
      <c r="C13" s="282" t="e">
        <f t="shared" ca="1" si="9"/>
        <v>#REF!</v>
      </c>
      <c r="D13" s="282" t="e">
        <f t="shared" ca="1" si="10"/>
        <v>#REF!</v>
      </c>
      <c r="E13" s="282" t="e">
        <f t="shared" ca="1" si="11"/>
        <v>#REF!</v>
      </c>
      <c r="F13" s="282" t="e">
        <f t="shared" ca="1" si="12"/>
        <v>#REF!</v>
      </c>
      <c r="G13" s="282" t="e">
        <f t="shared" ca="1" si="13"/>
        <v>#REF!</v>
      </c>
      <c r="H13" s="282" t="e">
        <f t="shared" ca="1" si="14"/>
        <v>#REF!</v>
      </c>
      <c r="I13" s="282" t="e">
        <f t="shared" ca="1" si="15"/>
        <v>#REF!</v>
      </c>
      <c r="J13" s="282" t="e">
        <f t="shared" ca="1" si="16"/>
        <v>#REF!</v>
      </c>
      <c r="K13" s="282" t="e">
        <f t="shared" ca="1" si="17"/>
        <v>#REF!</v>
      </c>
      <c r="L13" s="282" t="e">
        <f t="shared" ca="1" si="18"/>
        <v>#REF!</v>
      </c>
      <c r="M13" s="282" t="e">
        <f t="shared" ca="1" si="19"/>
        <v>#REF!</v>
      </c>
      <c r="N13" s="282" t="e">
        <f t="shared" ca="1" si="20"/>
        <v>#REF!</v>
      </c>
      <c r="O13" s="282" t="e">
        <f t="shared" ca="1" si="21"/>
        <v>#REF!</v>
      </c>
      <c r="P13" s="282" t="e">
        <f t="shared" ca="1" si="22"/>
        <v>#REF!</v>
      </c>
      <c r="Q13" s="282" t="e">
        <f t="shared" ca="1" si="23"/>
        <v>#REF!</v>
      </c>
      <c r="R13" s="282" t="e">
        <f t="shared" ca="1" si="24"/>
        <v>#REF!</v>
      </c>
      <c r="S13" s="282" t="e">
        <f t="shared" ca="1" si="25"/>
        <v>#REF!</v>
      </c>
      <c r="T13" s="285" t="e">
        <f t="shared" ca="1" si="26"/>
        <v>#REF!</v>
      </c>
      <c r="U13" s="285" t="e">
        <f t="shared" ca="1" si="27"/>
        <v>#REF!</v>
      </c>
      <c r="V13" s="282" t="e">
        <f t="shared" ca="1" si="28"/>
        <v>#REF!</v>
      </c>
      <c r="W13" s="282" t="e">
        <f t="shared" ca="1" si="29"/>
        <v>#REF!</v>
      </c>
      <c r="X13" s="282" t="e">
        <f t="shared" ca="1" si="30"/>
        <v>#REF!</v>
      </c>
      <c r="Y13" s="282" t="e">
        <f t="shared" ca="1" si="31"/>
        <v>#REF!</v>
      </c>
      <c r="Z13" s="283" t="e">
        <f t="shared" ca="1" si="32"/>
        <v>#REF!</v>
      </c>
      <c r="AA13" s="282" t="e">
        <f t="shared" ca="1" si="4"/>
        <v>#REF!</v>
      </c>
      <c r="AB13" s="282" t="e">
        <f t="shared" ca="1" si="5"/>
        <v>#REF!</v>
      </c>
      <c r="AC13" s="282" t="e">
        <f t="shared" ca="1" si="6"/>
        <v>#REF!</v>
      </c>
      <c r="AD13" s="282" t="e">
        <f t="shared" ca="1" si="7"/>
        <v>#REF!</v>
      </c>
    </row>
    <row r="14" spans="1:30" ht="15" customHeight="1" x14ac:dyDescent="0.25">
      <c r="A14" s="278"/>
      <c r="B14" s="278" t="e">
        <f t="shared" ca="1" si="8"/>
        <v>#REF!</v>
      </c>
      <c r="C14" s="279" t="e">
        <f t="shared" ca="1" si="9"/>
        <v>#REF!</v>
      </c>
      <c r="D14" s="279" t="e">
        <f t="shared" ca="1" si="10"/>
        <v>#REF!</v>
      </c>
      <c r="E14" s="279" t="e">
        <f t="shared" ca="1" si="11"/>
        <v>#REF!</v>
      </c>
      <c r="F14" s="279" t="e">
        <f t="shared" ca="1" si="12"/>
        <v>#REF!</v>
      </c>
      <c r="G14" s="279" t="e">
        <f t="shared" ca="1" si="13"/>
        <v>#REF!</v>
      </c>
      <c r="H14" s="279" t="e">
        <f t="shared" ca="1" si="14"/>
        <v>#REF!</v>
      </c>
      <c r="I14" s="279" t="e">
        <f t="shared" ca="1" si="15"/>
        <v>#REF!</v>
      </c>
      <c r="J14" s="279" t="e">
        <f t="shared" ca="1" si="16"/>
        <v>#REF!</v>
      </c>
      <c r="K14" s="279" t="e">
        <f t="shared" ca="1" si="17"/>
        <v>#REF!</v>
      </c>
      <c r="L14" s="279" t="e">
        <f t="shared" ca="1" si="18"/>
        <v>#REF!</v>
      </c>
      <c r="M14" s="279" t="e">
        <f t="shared" ca="1" si="19"/>
        <v>#REF!</v>
      </c>
      <c r="N14" s="279" t="e">
        <f t="shared" ca="1" si="20"/>
        <v>#REF!</v>
      </c>
      <c r="O14" s="279" t="e">
        <f t="shared" ca="1" si="21"/>
        <v>#REF!</v>
      </c>
      <c r="P14" s="279" t="e">
        <f t="shared" ca="1" si="22"/>
        <v>#REF!</v>
      </c>
      <c r="Q14" s="279" t="e">
        <f t="shared" ca="1" si="23"/>
        <v>#REF!</v>
      </c>
      <c r="R14" s="279" t="e">
        <f t="shared" ca="1" si="24"/>
        <v>#REF!</v>
      </c>
      <c r="S14" s="279" t="e">
        <f t="shared" ca="1" si="25"/>
        <v>#REF!</v>
      </c>
      <c r="T14" s="284" t="e">
        <f t="shared" ca="1" si="26"/>
        <v>#REF!</v>
      </c>
      <c r="U14" s="284" t="e">
        <f t="shared" ca="1" si="27"/>
        <v>#REF!</v>
      </c>
      <c r="V14" s="279" t="e">
        <f t="shared" ca="1" si="28"/>
        <v>#REF!</v>
      </c>
      <c r="W14" s="279" t="e">
        <f t="shared" ca="1" si="29"/>
        <v>#REF!</v>
      </c>
      <c r="X14" s="279" t="e">
        <f t="shared" ca="1" si="30"/>
        <v>#REF!</v>
      </c>
      <c r="Y14" s="279" t="e">
        <f t="shared" ca="1" si="31"/>
        <v>#REF!</v>
      </c>
      <c r="Z14" s="280" t="e">
        <f t="shared" ca="1" si="32"/>
        <v>#REF!</v>
      </c>
      <c r="AA14" s="279" t="e">
        <f t="shared" ca="1" si="4"/>
        <v>#REF!</v>
      </c>
      <c r="AB14" s="279" t="e">
        <f t="shared" ca="1" si="5"/>
        <v>#REF!</v>
      </c>
      <c r="AC14" s="279" t="e">
        <f t="shared" ca="1" si="6"/>
        <v>#REF!</v>
      </c>
      <c r="AD14" s="279" t="e">
        <f t="shared" ca="1" si="7"/>
        <v>#REF!</v>
      </c>
    </row>
    <row r="15" spans="1:30" ht="15" customHeight="1" x14ac:dyDescent="0.25">
      <c r="A15" s="281"/>
      <c r="B15" s="281" t="e">
        <f t="shared" ca="1" si="8"/>
        <v>#REF!</v>
      </c>
      <c r="C15" s="282" t="e">
        <f t="shared" ca="1" si="9"/>
        <v>#REF!</v>
      </c>
      <c r="D15" s="282" t="e">
        <f t="shared" ca="1" si="10"/>
        <v>#REF!</v>
      </c>
      <c r="E15" s="282" t="e">
        <f t="shared" ca="1" si="11"/>
        <v>#REF!</v>
      </c>
      <c r="F15" s="282" t="e">
        <f t="shared" ca="1" si="12"/>
        <v>#REF!</v>
      </c>
      <c r="G15" s="282" t="e">
        <f t="shared" ca="1" si="13"/>
        <v>#REF!</v>
      </c>
      <c r="H15" s="282" t="e">
        <f t="shared" ca="1" si="14"/>
        <v>#REF!</v>
      </c>
      <c r="I15" s="282" t="e">
        <f t="shared" ca="1" si="15"/>
        <v>#REF!</v>
      </c>
      <c r="J15" s="282" t="e">
        <f t="shared" ca="1" si="16"/>
        <v>#REF!</v>
      </c>
      <c r="K15" s="282" t="e">
        <f t="shared" ca="1" si="17"/>
        <v>#REF!</v>
      </c>
      <c r="L15" s="282" t="e">
        <f t="shared" ca="1" si="18"/>
        <v>#REF!</v>
      </c>
      <c r="M15" s="282" t="e">
        <f t="shared" ca="1" si="19"/>
        <v>#REF!</v>
      </c>
      <c r="N15" s="282" t="e">
        <f t="shared" ca="1" si="20"/>
        <v>#REF!</v>
      </c>
      <c r="O15" s="282" t="e">
        <f t="shared" ca="1" si="21"/>
        <v>#REF!</v>
      </c>
      <c r="P15" s="282" t="e">
        <f t="shared" ca="1" si="22"/>
        <v>#REF!</v>
      </c>
      <c r="Q15" s="282" t="e">
        <f t="shared" ca="1" si="23"/>
        <v>#REF!</v>
      </c>
      <c r="R15" s="282" t="e">
        <f t="shared" ca="1" si="24"/>
        <v>#REF!</v>
      </c>
      <c r="S15" s="282" t="e">
        <f t="shared" ca="1" si="25"/>
        <v>#REF!</v>
      </c>
      <c r="T15" s="285" t="e">
        <f t="shared" ca="1" si="26"/>
        <v>#REF!</v>
      </c>
      <c r="U15" s="285" t="e">
        <f t="shared" ca="1" si="27"/>
        <v>#REF!</v>
      </c>
      <c r="V15" s="282" t="e">
        <f t="shared" ca="1" si="28"/>
        <v>#REF!</v>
      </c>
      <c r="W15" s="282" t="e">
        <f t="shared" ca="1" si="29"/>
        <v>#REF!</v>
      </c>
      <c r="X15" s="282" t="e">
        <f t="shared" ca="1" si="30"/>
        <v>#REF!</v>
      </c>
      <c r="Y15" s="282" t="e">
        <f t="shared" ca="1" si="31"/>
        <v>#REF!</v>
      </c>
      <c r="Z15" s="283" t="e">
        <f t="shared" ca="1" si="32"/>
        <v>#REF!</v>
      </c>
      <c r="AA15" s="282" t="e">
        <f t="shared" ca="1" si="4"/>
        <v>#REF!</v>
      </c>
      <c r="AB15" s="282" t="e">
        <f t="shared" ca="1" si="5"/>
        <v>#REF!</v>
      </c>
      <c r="AC15" s="282" t="e">
        <f t="shared" ca="1" si="6"/>
        <v>#REF!</v>
      </c>
      <c r="AD15" s="282" t="e">
        <f t="shared" ca="1" si="7"/>
        <v>#REF!</v>
      </c>
    </row>
    <row r="16" spans="1:30" ht="15" customHeight="1" x14ac:dyDescent="0.25"/>
  </sheetData>
  <sheetProtection selectLockedCells="1" selectUnlockedCells="1"/>
  <mergeCells count="4">
    <mergeCell ref="A1:B1"/>
    <mergeCell ref="A2:B2"/>
    <mergeCell ref="A3:B3"/>
    <mergeCell ref="A4:B4"/>
  </mergeCells>
  <conditionalFormatting sqref="C4:Y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D16"/>
  <sheetViews>
    <sheetView zoomScale="115" zoomScaleNormal="115" workbookViewId="0">
      <selection activeCell="Z2" sqref="Z2:Z4"/>
    </sheetView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3.7109375" customWidth="1"/>
    <col min="26" max="26" width="5.7109375" customWidth="1"/>
    <col min="27" max="27" width="3.7109375" style="51" customWidth="1"/>
    <col min="28" max="30" width="3.7109375" customWidth="1"/>
  </cols>
  <sheetData>
    <row r="1" spans="1:30" ht="15" customHeight="1" x14ac:dyDescent="0.25">
      <c r="A1" s="399" t="str">
        <f>Doku!B42&amp;":"</f>
        <v>Gesamt:</v>
      </c>
      <c r="B1" s="399"/>
      <c r="C1" s="52" t="e">
        <f ca="1">SUM(C7:C11)-MAX(C7:C11)-MIN(C7:C11)</f>
        <v>#REF!</v>
      </c>
      <c r="D1" s="52" t="e">
        <f t="shared" ref="D1:Y1" ca="1" si="0">SUM(D7:D11)-MAX(D7:D11)-MIN(D7:D11)</f>
        <v>#REF!</v>
      </c>
      <c r="E1" s="52" t="e">
        <f t="shared" ca="1" si="0"/>
        <v>#REF!</v>
      </c>
      <c r="F1" s="52" t="e">
        <f t="shared" ca="1" si="0"/>
        <v>#REF!</v>
      </c>
      <c r="G1" s="52" t="e">
        <f t="shared" ca="1" si="0"/>
        <v>#REF!</v>
      </c>
      <c r="H1" s="52" t="e">
        <f t="shared" ca="1" si="0"/>
        <v>#REF!</v>
      </c>
      <c r="I1" s="52" t="e">
        <f t="shared" ca="1" si="0"/>
        <v>#REF!</v>
      </c>
      <c r="J1" s="52" t="e">
        <f t="shared" ca="1" si="0"/>
        <v>#REF!</v>
      </c>
      <c r="K1" s="52" t="e">
        <f t="shared" ca="1" si="0"/>
        <v>#REF!</v>
      </c>
      <c r="L1" s="52" t="e">
        <f t="shared" ca="1" si="0"/>
        <v>#REF!</v>
      </c>
      <c r="M1" s="52" t="e">
        <f t="shared" ca="1" si="0"/>
        <v>#REF!</v>
      </c>
      <c r="N1" s="52" t="e">
        <f t="shared" ca="1" si="0"/>
        <v>#REF!</v>
      </c>
      <c r="O1" s="52" t="e">
        <f t="shared" ca="1" si="0"/>
        <v>#REF!</v>
      </c>
      <c r="P1" s="52" t="e">
        <f t="shared" ca="1" si="0"/>
        <v>#REF!</v>
      </c>
      <c r="Q1" s="52" t="e">
        <f t="shared" ca="1" si="0"/>
        <v>#REF!</v>
      </c>
      <c r="R1" s="52" t="e">
        <f t="shared" ca="1" si="0"/>
        <v>#REF!</v>
      </c>
      <c r="S1" s="52" t="e">
        <f t="shared" ca="1" si="0"/>
        <v>#REF!</v>
      </c>
      <c r="T1" s="52" t="e">
        <f t="shared" ca="1" si="0"/>
        <v>#REF!</v>
      </c>
      <c r="U1" s="52" t="e">
        <f t="shared" ca="1" si="0"/>
        <v>#REF!</v>
      </c>
      <c r="V1" s="52" t="e">
        <f t="shared" ca="1" si="0"/>
        <v>#REF!</v>
      </c>
      <c r="W1" s="52" t="e">
        <f t="shared" ca="1" si="0"/>
        <v>#REF!</v>
      </c>
      <c r="X1" s="52" t="e">
        <f t="shared" ca="1" si="0"/>
        <v>#REF!</v>
      </c>
      <c r="Y1" s="52" t="e">
        <f t="shared" ca="1" si="0"/>
        <v>#REF!</v>
      </c>
      <c r="Z1" s="53" t="e">
        <f ca="1">IF(SUM(AA7:AA12)&gt;0,SUM(I1:Y1)/2,SUM(I1:Y1))</f>
        <v>#REF!</v>
      </c>
      <c r="AA1" s="52" t="e">
        <f ca="1">SUM(AA7:AA11)-MAX(AA7:AA11)-MIN(AA7:AA11)</f>
        <v>#REF!</v>
      </c>
      <c r="AB1" s="52" t="e">
        <f ca="1">SUM(AB7:AB11)-MAX(AB7:AB11)-MIN(AB7:AB11)</f>
        <v>#REF!</v>
      </c>
      <c r="AC1" s="52" t="e">
        <f ca="1">SUM(AC7:AC11)-MAX(AC7:AC11)-MIN(AC7:AC11)</f>
        <v>#REF!</v>
      </c>
      <c r="AD1" s="52" t="e">
        <f ca="1">SUM(AD7:AD11)-MAX(AD7:AD11)-MIN(AD7:AD11)</f>
        <v>#REF!</v>
      </c>
    </row>
    <row r="2" spans="1:30" ht="15" customHeight="1" x14ac:dyDescent="0.25">
      <c r="A2" s="400" t="str">
        <f>Doku!B47&amp;":"</f>
        <v>Mittelwert:</v>
      </c>
      <c r="B2" s="400"/>
      <c r="C2" s="54" t="e">
        <f ca="1">AVERAGE(C7:C11)</f>
        <v>#REF!</v>
      </c>
      <c r="D2" s="54" t="e">
        <f t="shared" ref="D2:Y2" ca="1" si="1">AVERAGE(D7:D11)</f>
        <v>#REF!</v>
      </c>
      <c r="E2" s="54" t="e">
        <f t="shared" ca="1" si="1"/>
        <v>#REF!</v>
      </c>
      <c r="F2" s="54" t="e">
        <f t="shared" ca="1" si="1"/>
        <v>#REF!</v>
      </c>
      <c r="G2" s="54" t="e">
        <f t="shared" ca="1" si="1"/>
        <v>#REF!</v>
      </c>
      <c r="H2" s="54" t="e">
        <f t="shared" ca="1" si="1"/>
        <v>#REF!</v>
      </c>
      <c r="I2" s="54" t="e">
        <f t="shared" ca="1" si="1"/>
        <v>#REF!</v>
      </c>
      <c r="J2" s="54" t="e">
        <f t="shared" ca="1" si="1"/>
        <v>#REF!</v>
      </c>
      <c r="K2" s="54" t="e">
        <f t="shared" ca="1" si="1"/>
        <v>#REF!</v>
      </c>
      <c r="L2" s="54" t="e">
        <f t="shared" ca="1" si="1"/>
        <v>#REF!</v>
      </c>
      <c r="M2" s="54" t="e">
        <f t="shared" ca="1" si="1"/>
        <v>#REF!</v>
      </c>
      <c r="N2" s="54" t="e">
        <f t="shared" ca="1" si="1"/>
        <v>#REF!</v>
      </c>
      <c r="O2" s="54" t="e">
        <f t="shared" ca="1" si="1"/>
        <v>#REF!</v>
      </c>
      <c r="P2" s="54" t="e">
        <f t="shared" ca="1" si="1"/>
        <v>#REF!</v>
      </c>
      <c r="Q2" s="54" t="e">
        <f t="shared" ca="1" si="1"/>
        <v>#REF!</v>
      </c>
      <c r="R2" s="54" t="e">
        <f t="shared" ca="1" si="1"/>
        <v>#REF!</v>
      </c>
      <c r="S2" s="54" t="e">
        <f t="shared" ca="1" si="1"/>
        <v>#REF!</v>
      </c>
      <c r="T2" s="54" t="e">
        <f t="shared" ca="1" si="1"/>
        <v>#REF!</v>
      </c>
      <c r="U2" s="54" t="e">
        <f t="shared" ca="1" si="1"/>
        <v>#REF!</v>
      </c>
      <c r="V2" s="54" t="e">
        <f t="shared" ca="1" si="1"/>
        <v>#REF!</v>
      </c>
      <c r="W2" s="54" t="e">
        <f t="shared" ca="1" si="1"/>
        <v>#REF!</v>
      </c>
      <c r="X2" s="54" t="e">
        <f t="shared" ca="1" si="1"/>
        <v>#REF!</v>
      </c>
      <c r="Y2" s="54" t="e">
        <f t="shared" ca="1" si="1"/>
        <v>#REF!</v>
      </c>
      <c r="Z2" s="55" t="e">
        <f ca="1">AVERAGE(Z7:Z11)</f>
        <v>#REF!</v>
      </c>
      <c r="AA2" s="54" t="e">
        <f ca="1">AVERAGE(AA7:AA11)</f>
        <v>#REF!</v>
      </c>
      <c r="AB2" s="54" t="e">
        <f ca="1">AVERAGE(AB7:AB11)</f>
        <v>#REF!</v>
      </c>
      <c r="AC2" s="54" t="e">
        <f ca="1">AVERAGE(AC7:AC11)</f>
        <v>#REF!</v>
      </c>
      <c r="AD2" s="54" t="e">
        <f ca="1">AVERAGE(AD7:AD11)</f>
        <v>#REF!</v>
      </c>
    </row>
    <row r="3" spans="1:30" ht="15" customHeight="1" x14ac:dyDescent="0.25">
      <c r="A3" s="400" t="str">
        <f>Doku!B48&amp;":"</f>
        <v>Standardabweichung:</v>
      </c>
      <c r="B3" s="400"/>
      <c r="C3" s="56" t="e">
        <f ca="1">_xlfn.STDEV.P(C7:C11)</f>
        <v>#REF!</v>
      </c>
      <c r="D3" s="56" t="e">
        <f t="shared" ref="D3:Y3" ca="1" si="2">_xlfn.STDEV.P(D7:D11)</f>
        <v>#REF!</v>
      </c>
      <c r="E3" s="56" t="e">
        <f t="shared" ca="1" si="2"/>
        <v>#REF!</v>
      </c>
      <c r="F3" s="56" t="e">
        <f t="shared" ca="1" si="2"/>
        <v>#REF!</v>
      </c>
      <c r="G3" s="56" t="e">
        <f t="shared" ca="1" si="2"/>
        <v>#REF!</v>
      </c>
      <c r="H3" s="56" t="e">
        <f t="shared" ca="1" si="2"/>
        <v>#REF!</v>
      </c>
      <c r="I3" s="56" t="e">
        <f t="shared" ca="1" si="2"/>
        <v>#REF!</v>
      </c>
      <c r="J3" s="56" t="e">
        <f t="shared" ca="1" si="2"/>
        <v>#REF!</v>
      </c>
      <c r="K3" s="56" t="e">
        <f t="shared" ca="1" si="2"/>
        <v>#REF!</v>
      </c>
      <c r="L3" s="56" t="e">
        <f t="shared" ca="1" si="2"/>
        <v>#REF!</v>
      </c>
      <c r="M3" s="56" t="e">
        <f t="shared" ca="1" si="2"/>
        <v>#REF!</v>
      </c>
      <c r="N3" s="56" t="e">
        <f t="shared" ca="1" si="2"/>
        <v>#REF!</v>
      </c>
      <c r="O3" s="56" t="e">
        <f t="shared" ca="1" si="2"/>
        <v>#REF!</v>
      </c>
      <c r="P3" s="56" t="e">
        <f t="shared" ca="1" si="2"/>
        <v>#REF!</v>
      </c>
      <c r="Q3" s="56" t="e">
        <f t="shared" ca="1" si="2"/>
        <v>#REF!</v>
      </c>
      <c r="R3" s="56" t="e">
        <f t="shared" ca="1" si="2"/>
        <v>#REF!</v>
      </c>
      <c r="S3" s="56" t="e">
        <f t="shared" ca="1" si="2"/>
        <v>#REF!</v>
      </c>
      <c r="T3" s="56" t="e">
        <f t="shared" ca="1" si="2"/>
        <v>#REF!</v>
      </c>
      <c r="U3" s="56" t="e">
        <f t="shared" ca="1" si="2"/>
        <v>#REF!</v>
      </c>
      <c r="V3" s="56" t="e">
        <f t="shared" ca="1" si="2"/>
        <v>#REF!</v>
      </c>
      <c r="W3" s="56" t="e">
        <f t="shared" ca="1" si="2"/>
        <v>#REF!</v>
      </c>
      <c r="X3" s="56" t="e">
        <f t="shared" ca="1" si="2"/>
        <v>#REF!</v>
      </c>
      <c r="Y3" s="56" t="e">
        <f t="shared" ca="1" si="2"/>
        <v>#REF!</v>
      </c>
      <c r="Z3" s="57" t="e">
        <f ca="1">_xlfn.STDEV.P(Z7:Z11)</f>
        <v>#REF!</v>
      </c>
      <c r="AA3" s="56" t="e">
        <f ca="1">_xlfn.STDEV.P(AA7:AA11)</f>
        <v>#REF!</v>
      </c>
      <c r="AB3" s="56" t="e">
        <f ca="1">_xlfn.STDEV.P(AB7:AB11)</f>
        <v>#REF!</v>
      </c>
      <c r="AC3" s="56" t="e">
        <f ca="1">_xlfn.STDEV.P(AC7:AC11)</f>
        <v>#REF!</v>
      </c>
      <c r="AD3" s="56" t="e">
        <f ca="1">_xlfn.STDEV.P(AD7:AD11)</f>
        <v>#REF!</v>
      </c>
    </row>
    <row r="4" spans="1:30" ht="15" customHeight="1" x14ac:dyDescent="0.25">
      <c r="A4" s="400" t="str">
        <f>Doku!B49&amp;":"</f>
        <v>Spannweite:</v>
      </c>
      <c r="B4" s="400"/>
      <c r="C4" s="52" t="e">
        <f ca="1">MAX(C7:C11)-MIN(C7:C11)</f>
        <v>#REF!</v>
      </c>
      <c r="D4" s="52" t="e">
        <f t="shared" ref="D4:Y4" ca="1" si="3">MAX(D7:D11)-MIN(D7:D11)</f>
        <v>#REF!</v>
      </c>
      <c r="E4" s="52" t="e">
        <f t="shared" ca="1" si="3"/>
        <v>#REF!</v>
      </c>
      <c r="F4" s="52" t="e">
        <f t="shared" ca="1" si="3"/>
        <v>#REF!</v>
      </c>
      <c r="G4" s="52" t="e">
        <f t="shared" ca="1" si="3"/>
        <v>#REF!</v>
      </c>
      <c r="H4" s="52" t="e">
        <f t="shared" ca="1" si="3"/>
        <v>#REF!</v>
      </c>
      <c r="I4" s="52" t="e">
        <f t="shared" ca="1" si="3"/>
        <v>#REF!</v>
      </c>
      <c r="J4" s="52" t="e">
        <f t="shared" ca="1" si="3"/>
        <v>#REF!</v>
      </c>
      <c r="K4" s="52" t="e">
        <f t="shared" ca="1" si="3"/>
        <v>#REF!</v>
      </c>
      <c r="L4" s="52" t="e">
        <f t="shared" ca="1" si="3"/>
        <v>#REF!</v>
      </c>
      <c r="M4" s="52" t="e">
        <f t="shared" ca="1" si="3"/>
        <v>#REF!</v>
      </c>
      <c r="N4" s="52" t="e">
        <f t="shared" ca="1" si="3"/>
        <v>#REF!</v>
      </c>
      <c r="O4" s="52" t="e">
        <f t="shared" ca="1" si="3"/>
        <v>#REF!</v>
      </c>
      <c r="P4" s="52" t="e">
        <f t="shared" ca="1" si="3"/>
        <v>#REF!</v>
      </c>
      <c r="Q4" s="52" t="e">
        <f t="shared" ca="1" si="3"/>
        <v>#REF!</v>
      </c>
      <c r="R4" s="52" t="e">
        <f t="shared" ca="1" si="3"/>
        <v>#REF!</v>
      </c>
      <c r="S4" s="52" t="e">
        <f t="shared" ca="1" si="3"/>
        <v>#REF!</v>
      </c>
      <c r="T4" s="52" t="e">
        <f t="shared" ca="1" si="3"/>
        <v>#REF!</v>
      </c>
      <c r="U4" s="52" t="e">
        <f t="shared" ca="1" si="3"/>
        <v>#REF!</v>
      </c>
      <c r="V4" s="52" t="e">
        <f t="shared" ca="1" si="3"/>
        <v>#REF!</v>
      </c>
      <c r="W4" s="52" t="e">
        <f t="shared" ca="1" si="3"/>
        <v>#REF!</v>
      </c>
      <c r="X4" s="52" t="e">
        <f t="shared" ca="1" si="3"/>
        <v>#REF!</v>
      </c>
      <c r="Y4" s="52" t="e">
        <f t="shared" ca="1" si="3"/>
        <v>#REF!</v>
      </c>
      <c r="Z4" s="53" t="e">
        <f ca="1">MAX(Z7:Z11)-MIN(Z7:Z11)</f>
        <v>#REF!</v>
      </c>
      <c r="AA4" s="52" t="e">
        <f ca="1">MAX(AA7:AA12)-MIN(AA7:AA11)</f>
        <v>#REF!</v>
      </c>
      <c r="AB4" s="52" t="e">
        <f ca="1">MAX(AB7:AB12)-MIN(AB7:AB11)</f>
        <v>#REF!</v>
      </c>
      <c r="AC4" s="52" t="e">
        <f ca="1">MAX(AC7:AC11)-MIN(AC7:AC11)</f>
        <v>#REF!</v>
      </c>
      <c r="AD4" s="52" t="e">
        <f ca="1">MAX(AD7:AD11)-MIN(AD7:AD11)</f>
        <v>#REF!</v>
      </c>
    </row>
    <row r="5" spans="1:30" ht="15" customHeight="1" x14ac:dyDescent="0.25">
      <c r="A5" s="58" t="str">
        <f>Doku!B46&amp;":"</f>
        <v>Paarung:</v>
      </c>
      <c r="B5" s="66" t="e">
        <f ca="1">INDIRECT("'"&amp;$A7&amp;"'!D8") &amp; "-" &amp; INDIRECT("'"&amp;$A7&amp;"'!D9") &amp; " (" &amp; INDIRECT("'"&amp;$A7&amp;"'!K8") &amp;")"</f>
        <v>#REF!</v>
      </c>
      <c r="Z5" s="59"/>
      <c r="AA5" s="120"/>
      <c r="AB5" s="58"/>
      <c r="AC5" s="58"/>
      <c r="AD5" s="58"/>
    </row>
    <row r="6" spans="1:30" ht="128.1" customHeight="1" x14ac:dyDescent="0.25">
      <c r="A6" s="31" t="str">
        <f>Doku!B44</f>
        <v>Position</v>
      </c>
      <c r="B6" s="31" t="str">
        <f>Doku!B50</f>
        <v>Name</v>
      </c>
      <c r="C6" s="60" t="str">
        <f>Doku!B51</f>
        <v>Angrüßen</v>
      </c>
      <c r="D6" s="60" t="s">
        <v>153</v>
      </c>
      <c r="E6" s="60" t="s">
        <v>154</v>
      </c>
      <c r="F6" s="60" t="s">
        <v>155</v>
      </c>
      <c r="G6" s="60" t="s">
        <v>156</v>
      </c>
      <c r="H6" s="60" t="s">
        <v>157</v>
      </c>
      <c r="I6" s="60" t="s">
        <v>158</v>
      </c>
      <c r="J6" s="60" t="s">
        <v>159</v>
      </c>
      <c r="K6" s="60" t="s">
        <v>175</v>
      </c>
      <c r="L6" s="60" t="s">
        <v>161</v>
      </c>
      <c r="M6" s="60" t="s">
        <v>176</v>
      </c>
      <c r="N6" s="60" t="s">
        <v>163</v>
      </c>
      <c r="O6" s="60" t="s">
        <v>177</v>
      </c>
      <c r="P6" s="60" t="s">
        <v>178</v>
      </c>
      <c r="Q6" s="60" t="s">
        <v>166</v>
      </c>
      <c r="R6" s="60" t="s">
        <v>168</v>
      </c>
      <c r="S6" s="60" t="s">
        <v>169</v>
      </c>
      <c r="T6" s="60" t="s">
        <v>170</v>
      </c>
      <c r="U6" s="60" t="s">
        <v>171</v>
      </c>
      <c r="V6" s="60" t="s">
        <v>172</v>
      </c>
      <c r="W6" s="60" t="s">
        <v>173</v>
      </c>
      <c r="X6" s="60" t="s">
        <v>174</v>
      </c>
      <c r="Y6" s="60" t="str">
        <f>Doku!B52</f>
        <v>Abgrüßen</v>
      </c>
      <c r="Z6" s="61" t="str">
        <f>Doku!B42</f>
        <v>Gesamt</v>
      </c>
      <c r="AA6" s="117" t="str">
        <f>Doku!B41</f>
        <v>Technik vergessen</v>
      </c>
      <c r="AB6" s="62" t="str">
        <f>Doku!B40</f>
        <v>Großer Fehler</v>
      </c>
      <c r="AC6" s="60" t="str">
        <f>Doku!B39</f>
        <v>Mittlerer Fehler</v>
      </c>
      <c r="AD6" s="60" t="str">
        <f>Doku!B38</f>
        <v>Kleiner Fehler</v>
      </c>
    </row>
    <row r="7" spans="1:30" ht="15" customHeight="1" x14ac:dyDescent="0.25">
      <c r="B7" s="58" t="e">
        <f ca="1">INDIRECT("'"&amp;$A7&amp;"'!E5")</f>
        <v>#REF!</v>
      </c>
      <c r="C7" s="54" t="e">
        <f ca="1">INDIRECT("'"&amp;$A7&amp;"'!K13")</f>
        <v>#REF!</v>
      </c>
      <c r="D7" s="54" t="e">
        <f ca="1">INDIRECT("'"&amp;$A7&amp;"'!K14")</f>
        <v>#REF!</v>
      </c>
      <c r="E7" s="54" t="e">
        <f ca="1">INDIRECT("'"&amp;$A7&amp;"'!K15")</f>
        <v>#REF!</v>
      </c>
      <c r="F7" s="54" t="e">
        <f ca="1">INDIRECT("'"&amp;$A7&amp;"'!K16")</f>
        <v>#REF!</v>
      </c>
      <c r="G7" s="54" t="e">
        <f ca="1">INDIRECT("'"&amp;$A7&amp;"'!K17")</f>
        <v>#REF!</v>
      </c>
      <c r="H7" s="54" t="e">
        <f ca="1">INDIRECT("'"&amp;$A7&amp;"'!K18")</f>
        <v>#REF!</v>
      </c>
      <c r="I7" s="54" t="e">
        <f ca="1">INDIRECT("'"&amp;$A7&amp;"'!K19")</f>
        <v>#REF!</v>
      </c>
      <c r="J7" s="54" t="e">
        <f ca="1">INDIRECT("'"&amp;$A7&amp;"'!K20")</f>
        <v>#REF!</v>
      </c>
      <c r="K7" s="54" t="e">
        <f ca="1">INDIRECT("'"&amp;$A7&amp;"'!K21")</f>
        <v>#REF!</v>
      </c>
      <c r="L7" s="54" t="e">
        <f ca="1">INDIRECT("'"&amp;$A7&amp;"'!K22")</f>
        <v>#REF!</v>
      </c>
      <c r="M7" s="54" t="e">
        <f ca="1">INDIRECT("'"&amp;$A7&amp;"'!K23")</f>
        <v>#REF!</v>
      </c>
      <c r="N7" s="54" t="e">
        <f ca="1">INDIRECT("'"&amp;$A7&amp;"'!K24")</f>
        <v>#REF!</v>
      </c>
      <c r="O7" s="54" t="e">
        <f ca="1">INDIRECT("'"&amp;$A7&amp;"'!K25")</f>
        <v>#REF!</v>
      </c>
      <c r="P7" s="54" t="e">
        <f ca="1">INDIRECT("'"&amp;$A7&amp;"'!K26")</f>
        <v>#REF!</v>
      </c>
      <c r="Q7" s="54" t="e">
        <f ca="1">INDIRECT("'"&amp;$A7&amp;"'!K27")</f>
        <v>#REF!</v>
      </c>
      <c r="R7" s="54" t="e">
        <f ca="1">INDIRECT("'"&amp;$A7&amp;"'!K28")</f>
        <v>#REF!</v>
      </c>
      <c r="S7" s="54" t="e">
        <f ca="1">INDIRECT("'"&amp;$A7&amp;"'!K29")</f>
        <v>#REF!</v>
      </c>
      <c r="T7" s="188" t="e">
        <f ca="1">INDIRECT("'"&amp;$A7&amp;"'!K30")</f>
        <v>#REF!</v>
      </c>
      <c r="U7" s="188" t="e">
        <f ca="1">INDIRECT("'"&amp;$A7&amp;"'!K31")</f>
        <v>#REF!</v>
      </c>
      <c r="V7" s="188" t="e">
        <f ca="1">INDIRECT("'"&amp;$A7&amp;"'!K32")</f>
        <v>#REF!</v>
      </c>
      <c r="W7" s="188" t="e">
        <f ca="1">INDIRECT("'"&amp;$A7&amp;"'!K33")</f>
        <v>#REF!</v>
      </c>
      <c r="X7" s="188" t="e">
        <f ca="1">INDIRECT("'"&amp;$A7&amp;"'!K34")</f>
        <v>#REF!</v>
      </c>
      <c r="Y7" s="188" t="e">
        <f ca="1">INDIRECT("'"&amp;$A7&amp;"'!K35")</f>
        <v>#REF!</v>
      </c>
      <c r="Z7" s="55" t="e">
        <f ca="1">INDIRECT("'"&amp;$A7&amp;"'!K36")</f>
        <v>#REF!</v>
      </c>
      <c r="AA7" s="54" t="e">
        <f t="shared" ref="AA7:AA15" ca="1" si="4">INDIRECT("'"&amp;$A7&amp;"'!J36")</f>
        <v>#REF!</v>
      </c>
      <c r="AB7" s="54" t="e">
        <f t="shared" ref="AB7:AB15" ca="1" si="5">INDIRECT("'"&amp;$A7&amp;"'!I36")</f>
        <v>#REF!</v>
      </c>
      <c r="AC7" s="54" t="e">
        <f t="shared" ref="AC7:AC15" ca="1" si="6">INDIRECT("'"&amp;$A7&amp;"'!H36")</f>
        <v>#REF!</v>
      </c>
      <c r="AD7" s="54" t="e">
        <f t="shared" ref="AD7:AD15" ca="1" si="7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25">
      <c r="A8" s="118"/>
      <c r="B8" s="63" t="e">
        <f t="shared" ref="B8:B15" ca="1" si="8">INDIRECT("'"&amp;$A8&amp;"'!E5")</f>
        <v>#REF!</v>
      </c>
      <c r="C8" s="64" t="e">
        <f t="shared" ref="C8:C15" ca="1" si="9">INDIRECT("'"&amp;$A8&amp;"'!K13")</f>
        <v>#REF!</v>
      </c>
      <c r="D8" s="64" t="e">
        <f t="shared" ref="D8:D15" ca="1" si="10">INDIRECT("'"&amp;$A8&amp;"'!K14")</f>
        <v>#REF!</v>
      </c>
      <c r="E8" s="64" t="e">
        <f t="shared" ref="E8:E15" ca="1" si="11">INDIRECT("'"&amp;$A8&amp;"'!K15")</f>
        <v>#REF!</v>
      </c>
      <c r="F8" s="64" t="e">
        <f t="shared" ref="F8:F15" ca="1" si="12">INDIRECT("'"&amp;$A8&amp;"'!K16")</f>
        <v>#REF!</v>
      </c>
      <c r="G8" s="64" t="e">
        <f t="shared" ref="G8:G15" ca="1" si="13">INDIRECT("'"&amp;$A8&amp;"'!K17")</f>
        <v>#REF!</v>
      </c>
      <c r="H8" s="64" t="e">
        <f t="shared" ref="H8:H15" ca="1" si="14">INDIRECT("'"&amp;$A8&amp;"'!K18")</f>
        <v>#REF!</v>
      </c>
      <c r="I8" s="64" t="e">
        <f t="shared" ref="I8:I15" ca="1" si="15">INDIRECT("'"&amp;$A8&amp;"'!K19")</f>
        <v>#REF!</v>
      </c>
      <c r="J8" s="64" t="e">
        <f t="shared" ref="J8:J15" ca="1" si="16">INDIRECT("'"&amp;$A8&amp;"'!K20")</f>
        <v>#REF!</v>
      </c>
      <c r="K8" s="64" t="e">
        <f t="shared" ref="K8:K15" ca="1" si="17">INDIRECT("'"&amp;$A8&amp;"'!K21")</f>
        <v>#REF!</v>
      </c>
      <c r="L8" s="64" t="e">
        <f t="shared" ref="L8:L15" ca="1" si="18">INDIRECT("'"&amp;$A8&amp;"'!K22")</f>
        <v>#REF!</v>
      </c>
      <c r="M8" s="64" t="e">
        <f t="shared" ref="M8:M15" ca="1" si="19">INDIRECT("'"&amp;$A8&amp;"'!K23")</f>
        <v>#REF!</v>
      </c>
      <c r="N8" s="64" t="e">
        <f t="shared" ref="N8:N15" ca="1" si="20">INDIRECT("'"&amp;$A8&amp;"'!K24")</f>
        <v>#REF!</v>
      </c>
      <c r="O8" s="64" t="e">
        <f t="shared" ref="O8:O15" ca="1" si="21">INDIRECT("'"&amp;$A8&amp;"'!K25")</f>
        <v>#REF!</v>
      </c>
      <c r="P8" s="64" t="e">
        <f t="shared" ref="P8:P15" ca="1" si="22">INDIRECT("'"&amp;$A8&amp;"'!K26")</f>
        <v>#REF!</v>
      </c>
      <c r="Q8" s="64" t="e">
        <f t="shared" ref="Q8:Q15" ca="1" si="23">INDIRECT("'"&amp;$A8&amp;"'!K27")</f>
        <v>#REF!</v>
      </c>
      <c r="R8" s="64" t="e">
        <f t="shared" ref="R8:R15" ca="1" si="24">INDIRECT("'"&amp;$A8&amp;"'!K28")</f>
        <v>#REF!</v>
      </c>
      <c r="S8" s="64" t="e">
        <f t="shared" ref="S8:S15" ca="1" si="25">INDIRECT("'"&amp;$A8&amp;"'!K29")</f>
        <v>#REF!</v>
      </c>
      <c r="T8" s="189" t="e">
        <f t="shared" ref="T8:T15" ca="1" si="26">INDIRECT("'"&amp;$A8&amp;"'!K30")</f>
        <v>#REF!</v>
      </c>
      <c r="U8" s="189" t="e">
        <f t="shared" ref="U8:U15" ca="1" si="27">INDIRECT("'"&amp;$A8&amp;"'!K31")</f>
        <v>#REF!</v>
      </c>
      <c r="V8" s="189" t="e">
        <f t="shared" ref="V8:V15" ca="1" si="28">INDIRECT("'"&amp;$A8&amp;"'!K32")</f>
        <v>#REF!</v>
      </c>
      <c r="W8" s="189" t="e">
        <f t="shared" ref="W8:W15" ca="1" si="29">INDIRECT("'"&amp;$A8&amp;"'!K33")</f>
        <v>#REF!</v>
      </c>
      <c r="X8" s="189" t="e">
        <f t="shared" ref="X8:X15" ca="1" si="30">INDIRECT("'"&amp;$A8&amp;"'!K34")</f>
        <v>#REF!</v>
      </c>
      <c r="Y8" s="189" t="e">
        <f t="shared" ref="Y8:Y15" ca="1" si="31">INDIRECT("'"&amp;$A8&amp;"'!K35")</f>
        <v>#REF!</v>
      </c>
      <c r="Z8" s="65" t="e">
        <f t="shared" ref="Z8:Z15" ca="1" si="32">INDIRECT("'"&amp;$A8&amp;"'!K36")</f>
        <v>#REF!</v>
      </c>
      <c r="AA8" s="64" t="e">
        <f t="shared" ca="1" si="4"/>
        <v>#REF!</v>
      </c>
      <c r="AB8" s="64" t="e">
        <f t="shared" ca="1" si="5"/>
        <v>#REF!</v>
      </c>
      <c r="AC8" s="64" t="e">
        <f t="shared" ca="1" si="6"/>
        <v>#REF!</v>
      </c>
      <c r="AD8" s="64" t="e">
        <f t="shared" ca="1" si="7"/>
        <v>#REF!</v>
      </c>
    </row>
    <row r="9" spans="1:30" ht="15" customHeight="1" x14ac:dyDescent="0.25">
      <c r="B9" s="58" t="e">
        <f t="shared" ca="1" si="8"/>
        <v>#REF!</v>
      </c>
      <c r="C9" s="54" t="e">
        <f t="shared" ca="1" si="9"/>
        <v>#REF!</v>
      </c>
      <c r="D9" s="54" t="e">
        <f t="shared" ca="1" si="10"/>
        <v>#REF!</v>
      </c>
      <c r="E9" s="54" t="e">
        <f t="shared" ca="1" si="11"/>
        <v>#REF!</v>
      </c>
      <c r="F9" s="54" t="e">
        <f t="shared" ca="1" si="12"/>
        <v>#REF!</v>
      </c>
      <c r="G9" s="54" t="e">
        <f t="shared" ca="1" si="13"/>
        <v>#REF!</v>
      </c>
      <c r="H9" s="54" t="e">
        <f t="shared" ca="1" si="14"/>
        <v>#REF!</v>
      </c>
      <c r="I9" s="54" t="e">
        <f t="shared" ca="1" si="15"/>
        <v>#REF!</v>
      </c>
      <c r="J9" s="54" t="e">
        <f t="shared" ca="1" si="16"/>
        <v>#REF!</v>
      </c>
      <c r="K9" s="54" t="e">
        <f t="shared" ca="1" si="17"/>
        <v>#REF!</v>
      </c>
      <c r="L9" s="54" t="e">
        <f t="shared" ca="1" si="18"/>
        <v>#REF!</v>
      </c>
      <c r="M9" s="54" t="e">
        <f t="shared" ca="1" si="19"/>
        <v>#REF!</v>
      </c>
      <c r="N9" s="54" t="e">
        <f t="shared" ca="1" si="20"/>
        <v>#REF!</v>
      </c>
      <c r="O9" s="54" t="e">
        <f t="shared" ca="1" si="21"/>
        <v>#REF!</v>
      </c>
      <c r="P9" s="54" t="e">
        <f t="shared" ca="1" si="22"/>
        <v>#REF!</v>
      </c>
      <c r="Q9" s="54" t="e">
        <f t="shared" ca="1" si="23"/>
        <v>#REF!</v>
      </c>
      <c r="R9" s="54" t="e">
        <f t="shared" ca="1" si="24"/>
        <v>#REF!</v>
      </c>
      <c r="S9" s="54" t="e">
        <f t="shared" ca="1" si="25"/>
        <v>#REF!</v>
      </c>
      <c r="T9" s="188" t="e">
        <f t="shared" ca="1" si="26"/>
        <v>#REF!</v>
      </c>
      <c r="U9" s="188" t="e">
        <f t="shared" ca="1" si="27"/>
        <v>#REF!</v>
      </c>
      <c r="V9" s="188" t="e">
        <f t="shared" ca="1" si="28"/>
        <v>#REF!</v>
      </c>
      <c r="W9" s="188" t="e">
        <f t="shared" ca="1" si="29"/>
        <v>#REF!</v>
      </c>
      <c r="X9" s="188" t="e">
        <f t="shared" ca="1" si="30"/>
        <v>#REF!</v>
      </c>
      <c r="Y9" s="188" t="e">
        <f t="shared" ca="1" si="31"/>
        <v>#REF!</v>
      </c>
      <c r="Z9" s="55" t="e">
        <f t="shared" ca="1" si="32"/>
        <v>#REF!</v>
      </c>
      <c r="AA9" s="54" t="e">
        <f t="shared" ca="1" si="4"/>
        <v>#REF!</v>
      </c>
      <c r="AB9" s="54" t="e">
        <f t="shared" ca="1" si="5"/>
        <v>#REF!</v>
      </c>
      <c r="AC9" s="54" t="e">
        <f t="shared" ca="1" si="6"/>
        <v>#REF!</v>
      </c>
      <c r="AD9" s="54" t="e">
        <f t="shared" ca="1" si="7"/>
        <v>#REF!</v>
      </c>
    </row>
    <row r="10" spans="1:30" ht="15" customHeight="1" x14ac:dyDescent="0.25">
      <c r="A10" s="118"/>
      <c r="B10" s="63" t="e">
        <f t="shared" ca="1" si="8"/>
        <v>#REF!</v>
      </c>
      <c r="C10" s="64" t="e">
        <f t="shared" ca="1" si="9"/>
        <v>#REF!</v>
      </c>
      <c r="D10" s="64" t="e">
        <f t="shared" ca="1" si="10"/>
        <v>#REF!</v>
      </c>
      <c r="E10" s="64" t="e">
        <f t="shared" ca="1" si="11"/>
        <v>#REF!</v>
      </c>
      <c r="F10" s="64" t="e">
        <f t="shared" ca="1" si="12"/>
        <v>#REF!</v>
      </c>
      <c r="G10" s="64" t="e">
        <f t="shared" ca="1" si="13"/>
        <v>#REF!</v>
      </c>
      <c r="H10" s="64" t="e">
        <f t="shared" ca="1" si="14"/>
        <v>#REF!</v>
      </c>
      <c r="I10" s="64" t="e">
        <f t="shared" ca="1" si="15"/>
        <v>#REF!</v>
      </c>
      <c r="J10" s="64" t="e">
        <f t="shared" ca="1" si="16"/>
        <v>#REF!</v>
      </c>
      <c r="K10" s="64" t="e">
        <f t="shared" ca="1" si="17"/>
        <v>#REF!</v>
      </c>
      <c r="L10" s="64" t="e">
        <f t="shared" ca="1" si="18"/>
        <v>#REF!</v>
      </c>
      <c r="M10" s="64" t="e">
        <f t="shared" ca="1" si="19"/>
        <v>#REF!</v>
      </c>
      <c r="N10" s="64" t="e">
        <f t="shared" ca="1" si="20"/>
        <v>#REF!</v>
      </c>
      <c r="O10" s="64" t="e">
        <f t="shared" ca="1" si="21"/>
        <v>#REF!</v>
      </c>
      <c r="P10" s="64" t="e">
        <f t="shared" ca="1" si="22"/>
        <v>#REF!</v>
      </c>
      <c r="Q10" s="64" t="e">
        <f t="shared" ca="1" si="23"/>
        <v>#REF!</v>
      </c>
      <c r="R10" s="64" t="e">
        <f t="shared" ca="1" si="24"/>
        <v>#REF!</v>
      </c>
      <c r="S10" s="64" t="e">
        <f t="shared" ca="1" si="25"/>
        <v>#REF!</v>
      </c>
      <c r="T10" s="189" t="e">
        <f t="shared" ca="1" si="26"/>
        <v>#REF!</v>
      </c>
      <c r="U10" s="189" t="e">
        <f t="shared" ca="1" si="27"/>
        <v>#REF!</v>
      </c>
      <c r="V10" s="189" t="e">
        <f t="shared" ca="1" si="28"/>
        <v>#REF!</v>
      </c>
      <c r="W10" s="189" t="e">
        <f t="shared" ca="1" si="29"/>
        <v>#REF!</v>
      </c>
      <c r="X10" s="189" t="e">
        <f t="shared" ca="1" si="30"/>
        <v>#REF!</v>
      </c>
      <c r="Y10" s="189" t="e">
        <f t="shared" ca="1" si="31"/>
        <v>#REF!</v>
      </c>
      <c r="Z10" s="65" t="e">
        <f t="shared" ca="1" si="32"/>
        <v>#REF!</v>
      </c>
      <c r="AA10" s="64" t="e">
        <f t="shared" ca="1" si="4"/>
        <v>#REF!</v>
      </c>
      <c r="AB10" s="64" t="e">
        <f t="shared" ca="1" si="5"/>
        <v>#REF!</v>
      </c>
      <c r="AC10" s="64" t="e">
        <f t="shared" ca="1" si="6"/>
        <v>#REF!</v>
      </c>
      <c r="AD10" s="64" t="e">
        <f t="shared" ca="1" si="7"/>
        <v>#REF!</v>
      </c>
    </row>
    <row r="11" spans="1:30" ht="15" customHeight="1" thickBot="1" x14ac:dyDescent="0.3">
      <c r="A11" s="277"/>
      <c r="B11" s="274" t="e">
        <f t="shared" ca="1" si="8"/>
        <v>#REF!</v>
      </c>
      <c r="C11" s="275" t="e">
        <f t="shared" ca="1" si="9"/>
        <v>#REF!</v>
      </c>
      <c r="D11" s="275" t="e">
        <f t="shared" ca="1" si="10"/>
        <v>#REF!</v>
      </c>
      <c r="E11" s="275" t="e">
        <f t="shared" ca="1" si="11"/>
        <v>#REF!</v>
      </c>
      <c r="F11" s="275" t="e">
        <f t="shared" ca="1" si="12"/>
        <v>#REF!</v>
      </c>
      <c r="G11" s="275" t="e">
        <f t="shared" ca="1" si="13"/>
        <v>#REF!</v>
      </c>
      <c r="H11" s="275" t="e">
        <f t="shared" ca="1" si="14"/>
        <v>#REF!</v>
      </c>
      <c r="I11" s="275" t="e">
        <f t="shared" ca="1" si="15"/>
        <v>#REF!</v>
      </c>
      <c r="J11" s="275" t="e">
        <f t="shared" ca="1" si="16"/>
        <v>#REF!</v>
      </c>
      <c r="K11" s="275" t="e">
        <f t="shared" ca="1" si="17"/>
        <v>#REF!</v>
      </c>
      <c r="L11" s="275" t="e">
        <f t="shared" ca="1" si="18"/>
        <v>#REF!</v>
      </c>
      <c r="M11" s="275" t="e">
        <f t="shared" ca="1" si="19"/>
        <v>#REF!</v>
      </c>
      <c r="N11" s="275" t="e">
        <f t="shared" ca="1" si="20"/>
        <v>#REF!</v>
      </c>
      <c r="O11" s="275" t="e">
        <f t="shared" ca="1" si="21"/>
        <v>#REF!</v>
      </c>
      <c r="P11" s="275" t="e">
        <f t="shared" ca="1" si="22"/>
        <v>#REF!</v>
      </c>
      <c r="Q11" s="275" t="e">
        <f t="shared" ca="1" si="23"/>
        <v>#REF!</v>
      </c>
      <c r="R11" s="275" t="e">
        <f t="shared" ca="1" si="24"/>
        <v>#REF!</v>
      </c>
      <c r="S11" s="275" t="e">
        <f t="shared" ca="1" si="25"/>
        <v>#REF!</v>
      </c>
      <c r="T11" s="275" t="e">
        <f t="shared" ca="1" si="26"/>
        <v>#REF!</v>
      </c>
      <c r="U11" s="275" t="e">
        <f t="shared" ca="1" si="27"/>
        <v>#REF!</v>
      </c>
      <c r="V11" s="275" t="e">
        <f t="shared" ca="1" si="28"/>
        <v>#REF!</v>
      </c>
      <c r="W11" s="275" t="e">
        <f t="shared" ca="1" si="29"/>
        <v>#REF!</v>
      </c>
      <c r="X11" s="275" t="e">
        <f t="shared" ca="1" si="30"/>
        <v>#REF!</v>
      </c>
      <c r="Y11" s="275" t="e">
        <f t="shared" ca="1" si="31"/>
        <v>#REF!</v>
      </c>
      <c r="Z11" s="276" t="e">
        <f t="shared" ca="1" si="32"/>
        <v>#REF!</v>
      </c>
      <c r="AA11" s="275" t="e">
        <f t="shared" ca="1" si="4"/>
        <v>#REF!</v>
      </c>
      <c r="AB11" s="275" t="e">
        <f t="shared" ca="1" si="5"/>
        <v>#REF!</v>
      </c>
      <c r="AC11" s="275" t="e">
        <f t="shared" ca="1" si="6"/>
        <v>#REF!</v>
      </c>
      <c r="AD11" s="275" t="e">
        <f t="shared" ca="1" si="7"/>
        <v>#REF!</v>
      </c>
    </row>
    <row r="12" spans="1:30" ht="15" customHeight="1" x14ac:dyDescent="0.25">
      <c r="A12" s="278"/>
      <c r="B12" s="278" t="e">
        <f t="shared" ca="1" si="8"/>
        <v>#REF!</v>
      </c>
      <c r="C12" s="279" t="e">
        <f t="shared" ca="1" si="9"/>
        <v>#REF!</v>
      </c>
      <c r="D12" s="279" t="e">
        <f t="shared" ca="1" si="10"/>
        <v>#REF!</v>
      </c>
      <c r="E12" s="279" t="e">
        <f t="shared" ca="1" si="11"/>
        <v>#REF!</v>
      </c>
      <c r="F12" s="279" t="e">
        <f t="shared" ca="1" si="12"/>
        <v>#REF!</v>
      </c>
      <c r="G12" s="279" t="e">
        <f t="shared" ca="1" si="13"/>
        <v>#REF!</v>
      </c>
      <c r="H12" s="279" t="e">
        <f t="shared" ca="1" si="14"/>
        <v>#REF!</v>
      </c>
      <c r="I12" s="279" t="e">
        <f t="shared" ca="1" si="15"/>
        <v>#REF!</v>
      </c>
      <c r="J12" s="279" t="e">
        <f t="shared" ca="1" si="16"/>
        <v>#REF!</v>
      </c>
      <c r="K12" s="279" t="e">
        <f t="shared" ca="1" si="17"/>
        <v>#REF!</v>
      </c>
      <c r="L12" s="279" t="e">
        <f t="shared" ca="1" si="18"/>
        <v>#REF!</v>
      </c>
      <c r="M12" s="279" t="e">
        <f t="shared" ca="1" si="19"/>
        <v>#REF!</v>
      </c>
      <c r="N12" s="279" t="e">
        <f t="shared" ca="1" si="20"/>
        <v>#REF!</v>
      </c>
      <c r="O12" s="279" t="e">
        <f t="shared" ca="1" si="21"/>
        <v>#REF!</v>
      </c>
      <c r="P12" s="279" t="e">
        <f t="shared" ca="1" si="22"/>
        <v>#REF!</v>
      </c>
      <c r="Q12" s="279" t="e">
        <f t="shared" ca="1" si="23"/>
        <v>#REF!</v>
      </c>
      <c r="R12" s="279" t="e">
        <f t="shared" ca="1" si="24"/>
        <v>#REF!</v>
      </c>
      <c r="S12" s="279" t="e">
        <f t="shared" ca="1" si="25"/>
        <v>#REF!</v>
      </c>
      <c r="T12" s="284" t="e">
        <f t="shared" ca="1" si="26"/>
        <v>#REF!</v>
      </c>
      <c r="U12" s="284" t="e">
        <f t="shared" ca="1" si="27"/>
        <v>#REF!</v>
      </c>
      <c r="V12" s="279" t="e">
        <f t="shared" ca="1" si="28"/>
        <v>#REF!</v>
      </c>
      <c r="W12" s="279" t="e">
        <f t="shared" ca="1" si="29"/>
        <v>#REF!</v>
      </c>
      <c r="X12" s="279" t="e">
        <f t="shared" ca="1" si="30"/>
        <v>#REF!</v>
      </c>
      <c r="Y12" s="279" t="e">
        <f t="shared" ca="1" si="31"/>
        <v>#REF!</v>
      </c>
      <c r="Z12" s="286" t="e">
        <f t="shared" ca="1" si="32"/>
        <v>#REF!</v>
      </c>
      <c r="AA12" s="279" t="e">
        <f t="shared" ca="1" si="4"/>
        <v>#REF!</v>
      </c>
      <c r="AB12" s="279" t="e">
        <f t="shared" ca="1" si="5"/>
        <v>#REF!</v>
      </c>
      <c r="AC12" s="279" t="e">
        <f t="shared" ca="1" si="6"/>
        <v>#REF!</v>
      </c>
      <c r="AD12" s="279" t="e">
        <f t="shared" ca="1" si="7"/>
        <v>#REF!</v>
      </c>
    </row>
    <row r="13" spans="1:30" ht="15" customHeight="1" x14ac:dyDescent="0.25">
      <c r="A13" s="281"/>
      <c r="B13" s="281" t="e">
        <f t="shared" ca="1" si="8"/>
        <v>#REF!</v>
      </c>
      <c r="C13" s="282" t="e">
        <f t="shared" ca="1" si="9"/>
        <v>#REF!</v>
      </c>
      <c r="D13" s="282" t="e">
        <f t="shared" ca="1" si="10"/>
        <v>#REF!</v>
      </c>
      <c r="E13" s="282" t="e">
        <f t="shared" ca="1" si="11"/>
        <v>#REF!</v>
      </c>
      <c r="F13" s="282" t="e">
        <f t="shared" ca="1" si="12"/>
        <v>#REF!</v>
      </c>
      <c r="G13" s="282" t="e">
        <f t="shared" ca="1" si="13"/>
        <v>#REF!</v>
      </c>
      <c r="H13" s="282" t="e">
        <f t="shared" ca="1" si="14"/>
        <v>#REF!</v>
      </c>
      <c r="I13" s="282" t="e">
        <f t="shared" ca="1" si="15"/>
        <v>#REF!</v>
      </c>
      <c r="J13" s="282" t="e">
        <f t="shared" ca="1" si="16"/>
        <v>#REF!</v>
      </c>
      <c r="K13" s="282" t="e">
        <f t="shared" ca="1" si="17"/>
        <v>#REF!</v>
      </c>
      <c r="L13" s="282" t="e">
        <f t="shared" ca="1" si="18"/>
        <v>#REF!</v>
      </c>
      <c r="M13" s="282" t="e">
        <f t="shared" ca="1" si="19"/>
        <v>#REF!</v>
      </c>
      <c r="N13" s="282" t="e">
        <f t="shared" ca="1" si="20"/>
        <v>#REF!</v>
      </c>
      <c r="O13" s="282" t="e">
        <f t="shared" ca="1" si="21"/>
        <v>#REF!</v>
      </c>
      <c r="P13" s="282" t="e">
        <f t="shared" ca="1" si="22"/>
        <v>#REF!</v>
      </c>
      <c r="Q13" s="282" t="e">
        <f t="shared" ca="1" si="23"/>
        <v>#REF!</v>
      </c>
      <c r="R13" s="282" t="e">
        <f t="shared" ca="1" si="24"/>
        <v>#REF!</v>
      </c>
      <c r="S13" s="282" t="e">
        <f t="shared" ca="1" si="25"/>
        <v>#REF!</v>
      </c>
      <c r="T13" s="285" t="e">
        <f t="shared" ca="1" si="26"/>
        <v>#REF!</v>
      </c>
      <c r="U13" s="285" t="e">
        <f t="shared" ca="1" si="27"/>
        <v>#REF!</v>
      </c>
      <c r="V13" s="282" t="e">
        <f t="shared" ca="1" si="28"/>
        <v>#REF!</v>
      </c>
      <c r="W13" s="282" t="e">
        <f t="shared" ca="1" si="29"/>
        <v>#REF!</v>
      </c>
      <c r="X13" s="282" t="e">
        <f t="shared" ca="1" si="30"/>
        <v>#REF!</v>
      </c>
      <c r="Y13" s="282" t="e">
        <f t="shared" ca="1" si="31"/>
        <v>#REF!</v>
      </c>
      <c r="Z13" s="283" t="e">
        <f t="shared" ca="1" si="32"/>
        <v>#REF!</v>
      </c>
      <c r="AA13" s="282" t="e">
        <f t="shared" ca="1" si="4"/>
        <v>#REF!</v>
      </c>
      <c r="AB13" s="282" t="e">
        <f t="shared" ca="1" si="5"/>
        <v>#REF!</v>
      </c>
      <c r="AC13" s="282" t="e">
        <f t="shared" ca="1" si="6"/>
        <v>#REF!</v>
      </c>
      <c r="AD13" s="282" t="e">
        <f t="shared" ca="1" si="7"/>
        <v>#REF!</v>
      </c>
    </row>
    <row r="14" spans="1:30" ht="15" customHeight="1" x14ac:dyDescent="0.25">
      <c r="A14" s="278"/>
      <c r="B14" s="278" t="e">
        <f t="shared" ca="1" si="8"/>
        <v>#REF!</v>
      </c>
      <c r="C14" s="279" t="e">
        <f t="shared" ca="1" si="9"/>
        <v>#REF!</v>
      </c>
      <c r="D14" s="279" t="e">
        <f t="shared" ca="1" si="10"/>
        <v>#REF!</v>
      </c>
      <c r="E14" s="279" t="e">
        <f t="shared" ca="1" si="11"/>
        <v>#REF!</v>
      </c>
      <c r="F14" s="279" t="e">
        <f t="shared" ca="1" si="12"/>
        <v>#REF!</v>
      </c>
      <c r="G14" s="279" t="e">
        <f t="shared" ca="1" si="13"/>
        <v>#REF!</v>
      </c>
      <c r="H14" s="279" t="e">
        <f t="shared" ca="1" si="14"/>
        <v>#REF!</v>
      </c>
      <c r="I14" s="279" t="e">
        <f t="shared" ca="1" si="15"/>
        <v>#REF!</v>
      </c>
      <c r="J14" s="279" t="e">
        <f t="shared" ca="1" si="16"/>
        <v>#REF!</v>
      </c>
      <c r="K14" s="279" t="e">
        <f t="shared" ca="1" si="17"/>
        <v>#REF!</v>
      </c>
      <c r="L14" s="279" t="e">
        <f t="shared" ca="1" si="18"/>
        <v>#REF!</v>
      </c>
      <c r="M14" s="279" t="e">
        <f t="shared" ca="1" si="19"/>
        <v>#REF!</v>
      </c>
      <c r="N14" s="279" t="e">
        <f t="shared" ca="1" si="20"/>
        <v>#REF!</v>
      </c>
      <c r="O14" s="279" t="e">
        <f t="shared" ca="1" si="21"/>
        <v>#REF!</v>
      </c>
      <c r="P14" s="279" t="e">
        <f t="shared" ca="1" si="22"/>
        <v>#REF!</v>
      </c>
      <c r="Q14" s="279" t="e">
        <f t="shared" ca="1" si="23"/>
        <v>#REF!</v>
      </c>
      <c r="R14" s="279" t="e">
        <f t="shared" ca="1" si="24"/>
        <v>#REF!</v>
      </c>
      <c r="S14" s="279" t="e">
        <f t="shared" ca="1" si="25"/>
        <v>#REF!</v>
      </c>
      <c r="T14" s="284" t="e">
        <f t="shared" ca="1" si="26"/>
        <v>#REF!</v>
      </c>
      <c r="U14" s="284" t="e">
        <f t="shared" ca="1" si="27"/>
        <v>#REF!</v>
      </c>
      <c r="V14" s="279" t="e">
        <f t="shared" ca="1" si="28"/>
        <v>#REF!</v>
      </c>
      <c r="W14" s="279" t="e">
        <f t="shared" ca="1" si="29"/>
        <v>#REF!</v>
      </c>
      <c r="X14" s="279" t="e">
        <f t="shared" ca="1" si="30"/>
        <v>#REF!</v>
      </c>
      <c r="Y14" s="279" t="e">
        <f t="shared" ca="1" si="31"/>
        <v>#REF!</v>
      </c>
      <c r="Z14" s="280" t="e">
        <f t="shared" ca="1" si="32"/>
        <v>#REF!</v>
      </c>
      <c r="AA14" s="279" t="e">
        <f t="shared" ca="1" si="4"/>
        <v>#REF!</v>
      </c>
      <c r="AB14" s="279" t="e">
        <f t="shared" ca="1" si="5"/>
        <v>#REF!</v>
      </c>
      <c r="AC14" s="279" t="e">
        <f t="shared" ca="1" si="6"/>
        <v>#REF!</v>
      </c>
      <c r="AD14" s="279" t="e">
        <f t="shared" ca="1" si="7"/>
        <v>#REF!</v>
      </c>
    </row>
    <row r="15" spans="1:30" ht="15" customHeight="1" x14ac:dyDescent="0.25">
      <c r="A15" s="281"/>
      <c r="B15" s="281" t="e">
        <f t="shared" ca="1" si="8"/>
        <v>#REF!</v>
      </c>
      <c r="C15" s="282" t="e">
        <f t="shared" ca="1" si="9"/>
        <v>#REF!</v>
      </c>
      <c r="D15" s="282" t="e">
        <f t="shared" ca="1" si="10"/>
        <v>#REF!</v>
      </c>
      <c r="E15" s="282" t="e">
        <f t="shared" ca="1" si="11"/>
        <v>#REF!</v>
      </c>
      <c r="F15" s="282" t="e">
        <f t="shared" ca="1" si="12"/>
        <v>#REF!</v>
      </c>
      <c r="G15" s="282" t="e">
        <f t="shared" ca="1" si="13"/>
        <v>#REF!</v>
      </c>
      <c r="H15" s="282" t="e">
        <f t="shared" ca="1" si="14"/>
        <v>#REF!</v>
      </c>
      <c r="I15" s="282" t="e">
        <f t="shared" ca="1" si="15"/>
        <v>#REF!</v>
      </c>
      <c r="J15" s="282" t="e">
        <f t="shared" ca="1" si="16"/>
        <v>#REF!</v>
      </c>
      <c r="K15" s="282" t="e">
        <f t="shared" ca="1" si="17"/>
        <v>#REF!</v>
      </c>
      <c r="L15" s="282" t="e">
        <f t="shared" ca="1" si="18"/>
        <v>#REF!</v>
      </c>
      <c r="M15" s="282" t="e">
        <f t="shared" ca="1" si="19"/>
        <v>#REF!</v>
      </c>
      <c r="N15" s="282" t="e">
        <f t="shared" ca="1" si="20"/>
        <v>#REF!</v>
      </c>
      <c r="O15" s="282" t="e">
        <f t="shared" ca="1" si="21"/>
        <v>#REF!</v>
      </c>
      <c r="P15" s="282" t="e">
        <f t="shared" ca="1" si="22"/>
        <v>#REF!</v>
      </c>
      <c r="Q15" s="282" t="e">
        <f t="shared" ca="1" si="23"/>
        <v>#REF!</v>
      </c>
      <c r="R15" s="282" t="e">
        <f t="shared" ca="1" si="24"/>
        <v>#REF!</v>
      </c>
      <c r="S15" s="282" t="e">
        <f t="shared" ca="1" si="25"/>
        <v>#REF!</v>
      </c>
      <c r="T15" s="285" t="e">
        <f t="shared" ca="1" si="26"/>
        <v>#REF!</v>
      </c>
      <c r="U15" s="285" t="e">
        <f t="shared" ca="1" si="27"/>
        <v>#REF!</v>
      </c>
      <c r="V15" s="282" t="e">
        <f t="shared" ca="1" si="28"/>
        <v>#REF!</v>
      </c>
      <c r="W15" s="282" t="e">
        <f t="shared" ca="1" si="29"/>
        <v>#REF!</v>
      </c>
      <c r="X15" s="282" t="e">
        <f t="shared" ca="1" si="30"/>
        <v>#REF!</v>
      </c>
      <c r="Y15" s="282" t="e">
        <f t="shared" ca="1" si="31"/>
        <v>#REF!</v>
      </c>
      <c r="Z15" s="283" t="e">
        <f t="shared" ca="1" si="32"/>
        <v>#REF!</v>
      </c>
      <c r="AA15" s="282" t="e">
        <f t="shared" ca="1" si="4"/>
        <v>#REF!</v>
      </c>
      <c r="AB15" s="282" t="e">
        <f t="shared" ca="1" si="5"/>
        <v>#REF!</v>
      </c>
      <c r="AC15" s="282" t="e">
        <f t="shared" ca="1" si="6"/>
        <v>#REF!</v>
      </c>
      <c r="AD15" s="282" t="e">
        <f t="shared" ca="1" si="7"/>
        <v>#REF!</v>
      </c>
    </row>
    <row r="16" spans="1:30" ht="15" customHeight="1" x14ac:dyDescent="0.25"/>
  </sheetData>
  <sheetProtection selectLockedCells="1" selectUnlockedCells="1"/>
  <mergeCells count="4">
    <mergeCell ref="A1:B1"/>
    <mergeCell ref="A2:B2"/>
    <mergeCell ref="A3:B3"/>
    <mergeCell ref="A4:B4"/>
  </mergeCells>
  <conditionalFormatting sqref="C4:Y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H52"/>
  <sheetViews>
    <sheetView zoomScale="85" zoomScaleNormal="85" workbookViewId="0"/>
  </sheetViews>
  <sheetFormatPr baseColWidth="10" defaultColWidth="11.5703125" defaultRowHeight="15" x14ac:dyDescent="0.25"/>
  <cols>
    <col min="1" max="16384" width="11.5703125" style="273"/>
  </cols>
  <sheetData>
    <row r="1" spans="1:3" x14ac:dyDescent="0.25">
      <c r="A1" s="273" t="s">
        <v>33</v>
      </c>
      <c r="B1" s="273" t="s">
        <v>34</v>
      </c>
    </row>
    <row r="2" spans="1:3" x14ac:dyDescent="0.25">
      <c r="A2" s="273" t="s">
        <v>35</v>
      </c>
      <c r="B2" s="273" t="s">
        <v>36</v>
      </c>
    </row>
    <row r="3" spans="1:3" x14ac:dyDescent="0.25">
      <c r="A3" s="273" t="s">
        <v>37</v>
      </c>
    </row>
    <row r="5" spans="1:3" x14ac:dyDescent="0.25">
      <c r="A5" s="273" t="s">
        <v>38</v>
      </c>
      <c r="B5" s="273" t="s">
        <v>39</v>
      </c>
    </row>
    <row r="6" spans="1:3" x14ac:dyDescent="0.25">
      <c r="B6" s="273" t="s">
        <v>45</v>
      </c>
      <c r="C6" s="273" t="s">
        <v>40</v>
      </c>
    </row>
    <row r="7" spans="1:3" x14ac:dyDescent="0.25">
      <c r="B7" s="273" t="s">
        <v>43</v>
      </c>
      <c r="C7" s="273" t="s">
        <v>41</v>
      </c>
    </row>
    <row r="8" spans="1:3" x14ac:dyDescent="0.25">
      <c r="B8" s="273" t="s">
        <v>44</v>
      </c>
      <c r="C8" s="273" t="s">
        <v>42</v>
      </c>
    </row>
    <row r="9" spans="1:3" x14ac:dyDescent="0.25">
      <c r="B9" s="273" t="s">
        <v>46</v>
      </c>
      <c r="C9" s="273" t="s">
        <v>50</v>
      </c>
    </row>
    <row r="10" spans="1:3" x14ac:dyDescent="0.25">
      <c r="B10" s="273" t="s">
        <v>47</v>
      </c>
      <c r="C10" s="273" t="s">
        <v>51</v>
      </c>
    </row>
    <row r="11" spans="1:3" x14ac:dyDescent="0.25">
      <c r="B11" s="273" t="s">
        <v>48</v>
      </c>
      <c r="C11" s="273" t="s">
        <v>52</v>
      </c>
    </row>
    <row r="12" spans="1:3" x14ac:dyDescent="0.25">
      <c r="B12" s="273" t="s">
        <v>49</v>
      </c>
      <c r="C12" s="273" t="s">
        <v>53</v>
      </c>
    </row>
    <row r="13" spans="1:3" x14ac:dyDescent="0.25">
      <c r="B13" s="273" t="s">
        <v>54</v>
      </c>
      <c r="C13" s="273" t="s">
        <v>58</v>
      </c>
    </row>
    <row r="14" spans="1:3" x14ac:dyDescent="0.25">
      <c r="B14" s="273" t="s">
        <v>55</v>
      </c>
      <c r="C14" s="273" t="s">
        <v>59</v>
      </c>
    </row>
    <row r="15" spans="1:3" x14ac:dyDescent="0.25">
      <c r="B15" s="273" t="s">
        <v>56</v>
      </c>
      <c r="C15" s="273" t="s">
        <v>60</v>
      </c>
    </row>
    <row r="16" spans="1:3" x14ac:dyDescent="0.25">
      <c r="B16" s="273" t="s">
        <v>57</v>
      </c>
      <c r="C16" s="273" t="s">
        <v>61</v>
      </c>
    </row>
    <row r="17" spans="1:3" x14ac:dyDescent="0.25">
      <c r="B17" s="273" t="s">
        <v>62</v>
      </c>
      <c r="C17" s="273" t="s">
        <v>63</v>
      </c>
    </row>
    <row r="19" spans="1:3" x14ac:dyDescent="0.25">
      <c r="A19" s="273" t="s">
        <v>67</v>
      </c>
    </row>
    <row r="20" spans="1:3" x14ac:dyDescent="0.25">
      <c r="B20" s="273" t="s">
        <v>68</v>
      </c>
    </row>
    <row r="21" spans="1:3" x14ac:dyDescent="0.25">
      <c r="B21" s="273" t="s">
        <v>69</v>
      </c>
    </row>
    <row r="26" spans="1:3" ht="15" customHeight="1" x14ac:dyDescent="0.25">
      <c r="A26" s="273" t="s">
        <v>185</v>
      </c>
    </row>
    <row r="27" spans="1:3" ht="15" customHeight="1" x14ac:dyDescent="0.25"/>
    <row r="28" spans="1:3" ht="15" customHeight="1" x14ac:dyDescent="0.25">
      <c r="A28" s="273" t="s">
        <v>180</v>
      </c>
      <c r="B28" s="273" t="s">
        <v>29</v>
      </c>
    </row>
    <row r="29" spans="1:3" ht="15" customHeight="1" x14ac:dyDescent="0.25">
      <c r="A29" s="273" t="s">
        <v>179</v>
      </c>
      <c r="B29" s="273" t="s">
        <v>30</v>
      </c>
    </row>
    <row r="30" spans="1:3" ht="15" customHeight="1" x14ac:dyDescent="0.25">
      <c r="A30" s="273" t="s">
        <v>183</v>
      </c>
      <c r="B30" s="273" t="s">
        <v>184</v>
      </c>
    </row>
    <row r="31" spans="1:3" ht="15" customHeight="1" x14ac:dyDescent="0.25">
      <c r="A31" s="273" t="s">
        <v>181</v>
      </c>
      <c r="B31" s="273" t="s">
        <v>182</v>
      </c>
    </row>
    <row r="32" spans="1:3" ht="15" customHeight="1" x14ac:dyDescent="0.25">
      <c r="A32" s="273" t="s">
        <v>186</v>
      </c>
      <c r="B32" s="273" t="s">
        <v>213</v>
      </c>
    </row>
    <row r="33" spans="1:2" ht="15" customHeight="1" x14ac:dyDescent="0.25">
      <c r="A33" s="273" t="s">
        <v>187</v>
      </c>
      <c r="B33" s="273" t="s">
        <v>1</v>
      </c>
    </row>
    <row r="34" spans="1:2" ht="15" customHeight="1" x14ac:dyDescent="0.25">
      <c r="A34" s="273" t="s">
        <v>188</v>
      </c>
      <c r="B34" s="273" t="s">
        <v>2</v>
      </c>
    </row>
    <row r="35" spans="1:2" ht="15" customHeight="1" x14ac:dyDescent="0.25">
      <c r="A35" s="273" t="s">
        <v>189</v>
      </c>
      <c r="B35" s="273" t="s">
        <v>3</v>
      </c>
    </row>
    <row r="36" spans="1:2" ht="15" customHeight="1" x14ac:dyDescent="0.25">
      <c r="A36" s="273" t="s">
        <v>190</v>
      </c>
      <c r="B36" s="273" t="s">
        <v>4</v>
      </c>
    </row>
    <row r="37" spans="1:2" ht="15" customHeight="1" x14ac:dyDescent="0.25">
      <c r="A37" s="273" t="s">
        <v>191</v>
      </c>
      <c r="B37" s="273" t="s">
        <v>6</v>
      </c>
    </row>
    <row r="38" spans="1:2" ht="15" customHeight="1" x14ac:dyDescent="0.25">
      <c r="A38" s="273" t="s">
        <v>192</v>
      </c>
      <c r="B38" s="273" t="s">
        <v>91</v>
      </c>
    </row>
    <row r="39" spans="1:2" ht="15" customHeight="1" x14ac:dyDescent="0.25">
      <c r="A39" s="273" t="s">
        <v>193</v>
      </c>
      <c r="B39" s="273" t="s">
        <v>90</v>
      </c>
    </row>
    <row r="40" spans="1:2" ht="15" customHeight="1" x14ac:dyDescent="0.25">
      <c r="A40" s="273" t="s">
        <v>194</v>
      </c>
      <c r="B40" s="273" t="s">
        <v>89</v>
      </c>
    </row>
    <row r="41" spans="1:2" ht="15" customHeight="1" x14ac:dyDescent="0.25">
      <c r="A41" s="273" t="s">
        <v>195</v>
      </c>
      <c r="B41" s="273" t="s">
        <v>5</v>
      </c>
    </row>
    <row r="42" spans="1:2" ht="15" customHeight="1" x14ac:dyDescent="0.25">
      <c r="A42" s="273" t="s">
        <v>196</v>
      </c>
      <c r="B42" s="273" t="s">
        <v>64</v>
      </c>
    </row>
    <row r="43" spans="1:2" ht="15" customHeight="1" x14ac:dyDescent="0.25">
      <c r="A43" s="273" t="s">
        <v>197</v>
      </c>
      <c r="B43" s="273" t="s">
        <v>198</v>
      </c>
    </row>
    <row r="44" spans="1:2" ht="15" customHeight="1" x14ac:dyDescent="0.25">
      <c r="A44" s="273" t="s">
        <v>199</v>
      </c>
      <c r="B44" s="273" t="s">
        <v>65</v>
      </c>
    </row>
    <row r="45" spans="1:2" ht="15" customHeight="1" x14ac:dyDescent="0.25">
      <c r="A45" s="273" t="s">
        <v>200</v>
      </c>
      <c r="B45" s="273" t="s">
        <v>201</v>
      </c>
    </row>
    <row r="46" spans="1:2" ht="15" customHeight="1" x14ac:dyDescent="0.25">
      <c r="A46" s="273" t="s">
        <v>202</v>
      </c>
      <c r="B46" s="273" t="s">
        <v>203</v>
      </c>
    </row>
    <row r="47" spans="1:2" ht="15" customHeight="1" x14ac:dyDescent="0.25">
      <c r="A47" s="273" t="s">
        <v>204</v>
      </c>
      <c r="B47" s="273" t="s">
        <v>205</v>
      </c>
    </row>
    <row r="48" spans="1:2" ht="15" customHeight="1" x14ac:dyDescent="0.25">
      <c r="A48" s="273" t="s">
        <v>206</v>
      </c>
      <c r="B48" s="273" t="s">
        <v>207</v>
      </c>
    </row>
    <row r="49" spans="1:8" x14ac:dyDescent="0.25">
      <c r="A49" s="273" t="s">
        <v>208</v>
      </c>
      <c r="B49" s="273" t="s">
        <v>209</v>
      </c>
    </row>
    <row r="50" spans="1:8" x14ac:dyDescent="0.25">
      <c r="A50" s="273" t="s">
        <v>210</v>
      </c>
      <c r="B50" s="273" t="s">
        <v>66</v>
      </c>
    </row>
    <row r="51" spans="1:8" x14ac:dyDescent="0.25">
      <c r="A51" s="273" t="s">
        <v>211</v>
      </c>
      <c r="B51" s="273" t="s">
        <v>7</v>
      </c>
      <c r="F51" s="58"/>
      <c r="G51" s="66"/>
      <c r="H51"/>
    </row>
    <row r="52" spans="1:8" x14ac:dyDescent="0.25">
      <c r="A52" s="273" t="s">
        <v>212</v>
      </c>
      <c r="B52" s="273" t="s">
        <v>28</v>
      </c>
      <c r="F52" s="31"/>
      <c r="G52" s="31"/>
      <c r="H52" s="60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12</vt:i4>
      </vt:variant>
    </vt:vector>
  </HeadingPairs>
  <TitlesOfParts>
    <vt:vector size="25" baseType="lpstr">
      <vt:lpstr>1 Nage</vt:lpstr>
      <vt:lpstr>2 Katame</vt:lpstr>
      <vt:lpstr>3 Ju</vt:lpstr>
      <vt:lpstr>4 Kime</vt:lpstr>
      <vt:lpstr>5 Goshin</vt:lpstr>
      <vt:lpstr>6 Koshiki</vt:lpstr>
      <vt:lpstr>1 Nage A</vt:lpstr>
      <vt:lpstr>2 Katame A</vt:lpstr>
      <vt:lpstr>3 Ju A</vt:lpstr>
      <vt:lpstr>4 Kime A</vt:lpstr>
      <vt:lpstr>5 Goshin A</vt:lpstr>
      <vt:lpstr>6 Koshiki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2017-05-14T13:36:31Z</cp:lastPrinted>
  <dcterms:created xsi:type="dcterms:W3CDTF">2016-05-27T20:14:04Z</dcterms:created>
  <dcterms:modified xsi:type="dcterms:W3CDTF">2017-05-14T22:58:18Z</dcterms:modified>
</cp:coreProperties>
</file>