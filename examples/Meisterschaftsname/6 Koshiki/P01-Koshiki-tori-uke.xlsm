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6 Koshiki\"/>
    </mc:Choice>
  </mc:AlternateContent>
  <xr:revisionPtr revIDLastSave="0" documentId="13_ncr:1_{2C783EED-2141-4512-A6B1-8C22A5A7CEFF}" xr6:coauthVersionLast="41" xr6:coauthVersionMax="41" xr10:uidLastSave="{00000000-0000-0000-0000-000000000000}"/>
  <bookViews>
    <workbookView xWindow="24768" yWindow="-11100" windowWidth="38508" windowHeight="222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3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81029"/>
</workbook>
</file>

<file path=xl/calcChain.xml><?xml version="1.0" encoding="utf-8"?>
<calcChain xmlns="http://schemas.openxmlformats.org/spreadsheetml/2006/main">
  <c r="K36" i="30" l="1"/>
  <c r="J36" i="30"/>
  <c r="I36" i="30"/>
  <c r="H36" i="30"/>
  <c r="G36" i="30"/>
  <c r="F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36" i="30" s="1"/>
  <c r="K36" i="29"/>
  <c r="L36" i="29" s="1"/>
  <c r="J36" i="29"/>
  <c r="I36" i="29"/>
  <c r="H36" i="29"/>
  <c r="G36" i="29"/>
  <c r="F36" i="29"/>
  <c r="L35" i="29"/>
  <c r="L34" i="29"/>
  <c r="L33" i="29"/>
  <c r="L32" i="29"/>
  <c r="L31" i="29"/>
  <c r="L30" i="29"/>
  <c r="L29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L36" i="28" s="1"/>
  <c r="J36" i="28"/>
  <c r="I36" i="28"/>
  <c r="H36" i="28"/>
  <c r="G36" i="28"/>
  <c r="F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L36" i="27" s="1"/>
  <c r="J36" i="27"/>
  <c r="I36" i="27"/>
  <c r="H36" i="27"/>
  <c r="G36" i="27"/>
  <c r="F36" i="27"/>
  <c r="L35" i="27"/>
  <c r="L34" i="27"/>
  <c r="L33" i="27"/>
  <c r="L32" i="27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L36" i="26" s="1"/>
  <c r="J36" i="26"/>
  <c r="I36" i="26"/>
  <c r="H36" i="26"/>
  <c r="G36" i="26"/>
  <c r="F36" i="26"/>
  <c r="L35" i="26"/>
  <c r="L34" i="26"/>
  <c r="L33" i="26"/>
  <c r="L32" i="26"/>
  <c r="L31" i="26"/>
  <c r="L30" i="26"/>
  <c r="L29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L36" i="25" s="1"/>
  <c r="J36" i="25"/>
  <c r="I36" i="25"/>
  <c r="H36" i="25"/>
  <c r="G36" i="25"/>
  <c r="F36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L36" i="24" s="1"/>
  <c r="J36" i="24"/>
  <c r="I36" i="24"/>
  <c r="H36" i="24"/>
  <c r="G36" i="24"/>
  <c r="F36" i="24"/>
  <c r="L35" i="24"/>
  <c r="L34" i="24"/>
  <c r="L33" i="24"/>
  <c r="L32" i="24"/>
  <c r="L31" i="24"/>
  <c r="L30" i="24"/>
  <c r="L29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AF16" i="13" l="1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V13" i="13"/>
  <c r="X13" i="13"/>
  <c r="N13" i="13"/>
  <c r="D12" i="13"/>
  <c r="K12" i="13"/>
  <c r="X11" i="13"/>
  <c r="Q11" i="13"/>
  <c r="AD11" i="13"/>
  <c r="R10" i="13"/>
  <c r="M10" i="13"/>
  <c r="Z9" i="13"/>
  <c r="D9" i="13"/>
  <c r="S9" i="13"/>
  <c r="M8" i="13"/>
  <c r="AC8" i="13"/>
  <c r="AB7" i="13"/>
  <c r="J13" i="13"/>
  <c r="AC13" i="13"/>
  <c r="B13" i="13"/>
  <c r="O12" i="13"/>
  <c r="H12" i="13"/>
  <c r="L11" i="13"/>
  <c r="AB11" i="13"/>
  <c r="AC11" i="13"/>
  <c r="F10" i="13"/>
  <c r="X10" i="13"/>
  <c r="N9" i="13"/>
  <c r="W9" i="13"/>
  <c r="AD9" i="13"/>
  <c r="AE8" i="13"/>
  <c r="X8" i="13"/>
  <c r="P7" i="13"/>
  <c r="R7" i="13"/>
  <c r="AF13" i="13"/>
  <c r="Q13" i="13"/>
  <c r="W13" i="13"/>
  <c r="C12" i="13"/>
  <c r="V12" i="13"/>
  <c r="T11" i="13"/>
  <c r="C11" i="13"/>
  <c r="O11" i="13"/>
  <c r="L10" i="13"/>
  <c r="J10" i="13"/>
  <c r="B9" i="13"/>
  <c r="K9" i="13"/>
  <c r="R9" i="13"/>
  <c r="S8" i="13"/>
  <c r="AB8" i="13"/>
  <c r="D7" i="13"/>
  <c r="V7" i="13"/>
  <c r="E7" i="13"/>
  <c r="W7" i="13"/>
  <c r="D10" i="13"/>
  <c r="AF12" i="13"/>
  <c r="Q9" i="13"/>
  <c r="AD7" i="13"/>
  <c r="H13" i="13"/>
  <c r="E13" i="13"/>
  <c r="K13" i="13"/>
  <c r="AE12" i="13"/>
  <c r="J12" i="13"/>
  <c r="R11" i="13"/>
  <c r="V11" i="13"/>
  <c r="N11" i="13"/>
  <c r="V10" i="13"/>
  <c r="I10" i="13"/>
  <c r="AC9" i="13"/>
  <c r="AE9" i="13"/>
  <c r="F9" i="13"/>
  <c r="G8" i="13"/>
  <c r="P8" i="13"/>
  <c r="X7" i="13"/>
  <c r="J7" i="13"/>
  <c r="O7" i="13"/>
  <c r="P10" i="13"/>
  <c r="G13" i="13"/>
  <c r="Z11" i="13"/>
  <c r="V8" i="13"/>
  <c r="C10" i="13"/>
  <c r="S13" i="13"/>
  <c r="Y13" i="13"/>
  <c r="AD13" i="13"/>
  <c r="Z12" i="13"/>
  <c r="U12" i="13"/>
  <c r="E11" i="13"/>
  <c r="J11" i="13"/>
  <c r="Y11" i="13"/>
  <c r="AC10" i="13"/>
  <c r="N10" i="13"/>
  <c r="P9" i="13"/>
  <c r="AB9" i="13"/>
  <c r="O9" i="13"/>
  <c r="E8" i="13"/>
  <c r="O8" i="13"/>
  <c r="Z7" i="13"/>
  <c r="U7" i="13"/>
  <c r="C7" i="13"/>
  <c r="L8" i="13"/>
  <c r="N7" i="13"/>
  <c r="AF7" i="13"/>
  <c r="X12" i="13"/>
  <c r="O10" i="13"/>
  <c r="AF8" i="13"/>
  <c r="AE11" i="13"/>
  <c r="T8" i="13"/>
  <c r="F13" i="13"/>
  <c r="F11" i="13"/>
  <c r="H8" i="13"/>
  <c r="Q7" i="13"/>
  <c r="R13" i="13"/>
  <c r="AB13" i="13"/>
  <c r="M13" i="13"/>
  <c r="N12" i="13"/>
  <c r="I12" i="13"/>
  <c r="D11" i="13"/>
  <c r="AF11" i="13"/>
  <c r="M11" i="13"/>
  <c r="Q10" i="13"/>
  <c r="K10" i="13"/>
  <c r="Y9" i="13"/>
  <c r="V9" i="13"/>
  <c r="C9" i="13"/>
  <c r="C8" i="13"/>
  <c r="L7" i="13"/>
  <c r="R12" i="13"/>
  <c r="L13" i="13"/>
  <c r="T10" i="13"/>
  <c r="P12" i="13"/>
  <c r="H10" i="13"/>
  <c r="U13" i="13"/>
  <c r="P13" i="13"/>
  <c r="AC12" i="13"/>
  <c r="B12" i="13"/>
  <c r="T12" i="13"/>
  <c r="B11" i="13"/>
  <c r="U11" i="13"/>
  <c r="AE10" i="13"/>
  <c r="E10" i="13"/>
  <c r="Y10" i="13"/>
  <c r="M9" i="13"/>
  <c r="G9" i="13"/>
  <c r="U8" i="13"/>
  <c r="AD8" i="13"/>
  <c r="K8" i="13"/>
  <c r="B7" i="13"/>
  <c r="F7" i="13"/>
  <c r="O13" i="13"/>
  <c r="P11" i="13"/>
  <c r="AF9" i="13"/>
  <c r="S7" i="13"/>
  <c r="AB12" i="13"/>
  <c r="Z10" i="13"/>
  <c r="D8" i="13"/>
  <c r="Z13" i="13"/>
  <c r="AD10" i="13"/>
  <c r="J8" i="13"/>
  <c r="AC7" i="13"/>
  <c r="I13" i="13"/>
  <c r="D13" i="13"/>
  <c r="Q12" i="13"/>
  <c r="Y12" i="13"/>
  <c r="S12" i="13"/>
  <c r="W11" i="13"/>
  <c r="I11" i="13"/>
  <c r="S10" i="13"/>
  <c r="B10" i="13"/>
  <c r="W10" i="13"/>
  <c r="J9" i="13"/>
  <c r="E9" i="13"/>
  <c r="I8" i="13"/>
  <c r="R8" i="13"/>
  <c r="Z8" i="13"/>
  <c r="Y7" i="13"/>
  <c r="H7" i="13"/>
  <c r="AE13" i="13"/>
  <c r="H11" i="13"/>
  <c r="L9" i="13"/>
  <c r="Q8" i="13"/>
  <c r="L12" i="13"/>
  <c r="I9" i="13"/>
  <c r="K7" i="13"/>
  <c r="S11" i="13"/>
  <c r="Y8" i="13"/>
  <c r="T7" i="13"/>
  <c r="T13" i="13"/>
  <c r="C13" i="13"/>
  <c r="E12" i="13"/>
  <c r="M12" i="13"/>
  <c r="AD12" i="13"/>
  <c r="K11" i="13"/>
  <c r="G11" i="13"/>
  <c r="G10" i="13"/>
  <c r="AB10" i="13"/>
  <c r="U10" i="13"/>
  <c r="X9" i="13"/>
  <c r="U9" i="13"/>
  <c r="W8" i="13"/>
  <c r="F8" i="13"/>
  <c r="N8" i="13"/>
  <c r="M7" i="13"/>
  <c r="AE7" i="13"/>
  <c r="G12" i="13"/>
  <c r="AF10" i="13"/>
  <c r="B8" i="13"/>
  <c r="F12" i="13"/>
  <c r="T9" i="13"/>
  <c r="G7" i="13"/>
  <c r="W12" i="13"/>
  <c r="H9" i="13"/>
  <c r="I7" i="13"/>
  <c r="AA7" i="13" l="1"/>
  <c r="AD4" i="13"/>
  <c r="D3" i="13"/>
  <c r="D27" i="13" s="1"/>
  <c r="L3" i="13"/>
  <c r="L27" i="13" s="1"/>
  <c r="T3" i="13"/>
  <c r="T27" i="13" s="1"/>
  <c r="AB3" i="13"/>
  <c r="AB5" i="13" s="1"/>
  <c r="E4" i="13"/>
  <c r="U4" i="13"/>
  <c r="AC3" i="13"/>
  <c r="AC5" i="13" s="1"/>
  <c r="AE4" i="13"/>
  <c r="H4" i="13"/>
  <c r="P4" i="13"/>
  <c r="X4" i="13"/>
  <c r="C3" i="13"/>
  <c r="C27" i="13" s="1"/>
  <c r="K3" i="13"/>
  <c r="K27" i="13" s="1"/>
  <c r="J3" i="13"/>
  <c r="J27" i="13" s="1"/>
  <c r="R3" i="13"/>
  <c r="R27" i="13" s="1"/>
  <c r="Z4" i="13"/>
  <c r="F4" i="13"/>
  <c r="N4" i="13"/>
  <c r="V4" i="13"/>
  <c r="M4" i="13"/>
  <c r="C4" i="13"/>
  <c r="K4" i="13"/>
  <c r="S4" i="13"/>
  <c r="D4" i="13"/>
  <c r="L4" i="13"/>
  <c r="T4" i="13"/>
  <c r="AB4" i="13"/>
  <c r="F3" i="13"/>
  <c r="F27" i="13" s="1"/>
  <c r="N3" i="13"/>
  <c r="N27" i="13" s="1"/>
  <c r="V3" i="13"/>
  <c r="V27" i="13" s="1"/>
  <c r="AE3" i="13"/>
  <c r="AE5" i="13" s="1"/>
  <c r="E3" i="13"/>
  <c r="E27" i="13" s="1"/>
  <c r="M3" i="13"/>
  <c r="M27" i="13" s="1"/>
  <c r="U3" i="13"/>
  <c r="U27" i="13" s="1"/>
  <c r="AC4" i="13"/>
  <c r="AD3" i="13"/>
  <c r="AD5" i="13" s="1"/>
  <c r="G3" i="13"/>
  <c r="G27" i="13" s="1"/>
  <c r="O3" i="13"/>
  <c r="O27" i="13" s="1"/>
  <c r="W3" i="13"/>
  <c r="W27" i="13" s="1"/>
  <c r="H3" i="13"/>
  <c r="H27" i="13" s="1"/>
  <c r="P3" i="13"/>
  <c r="P27" i="13" s="1"/>
  <c r="X3" i="13"/>
  <c r="X27" i="13" s="1"/>
  <c r="AF3" i="13"/>
  <c r="AF5" i="13" s="1"/>
  <c r="I3" i="13"/>
  <c r="I27" i="13" s="1"/>
  <c r="Q3" i="13"/>
  <c r="Q27" i="13" s="1"/>
  <c r="Y3" i="13"/>
  <c r="Y27" i="13" s="1"/>
  <c r="S3" i="13"/>
  <c r="S27" i="13" s="1"/>
  <c r="I4" i="13"/>
  <c r="Q4" i="13"/>
  <c r="Y4" i="13"/>
  <c r="G4" i="13"/>
  <c r="O4" i="13"/>
  <c r="W4" i="13"/>
  <c r="AF4" i="13"/>
  <c r="J4" i="13"/>
  <c r="R4" i="13"/>
  <c r="AA13" i="13" l="1"/>
  <c r="U25" i="13"/>
  <c r="U26" i="13"/>
  <c r="Q25" i="13"/>
  <c r="Q26" i="13"/>
  <c r="M25" i="13"/>
  <c r="M26" i="13"/>
  <c r="Y25" i="13"/>
  <c r="Y26" i="13"/>
  <c r="E25" i="13"/>
  <c r="E26" i="13"/>
  <c r="X25" i="13"/>
  <c r="X26" i="13"/>
  <c r="V25" i="13"/>
  <c r="V26" i="13"/>
  <c r="N25" i="13"/>
  <c r="N26" i="13"/>
  <c r="P25" i="13"/>
  <c r="P26" i="13"/>
  <c r="F25" i="13"/>
  <c r="F26" i="13"/>
  <c r="W25" i="13"/>
  <c r="W26" i="13"/>
  <c r="R25" i="13"/>
  <c r="R26" i="13"/>
  <c r="O25" i="13"/>
  <c r="O26" i="13"/>
  <c r="J25" i="13"/>
  <c r="J26" i="13"/>
  <c r="D25" i="13"/>
  <c r="D26" i="13"/>
  <c r="C25" i="13"/>
  <c r="C26" i="13"/>
  <c r="I25" i="13"/>
  <c r="I26" i="13"/>
  <c r="H25" i="13"/>
  <c r="H26" i="13"/>
  <c r="T25" i="13"/>
  <c r="T26" i="13"/>
  <c r="L25" i="13"/>
  <c r="L26" i="13"/>
  <c r="G25" i="13"/>
  <c r="G26" i="13"/>
  <c r="K25" i="13"/>
  <c r="K26" i="13"/>
  <c r="S25" i="13"/>
  <c r="S26" i="13"/>
  <c r="Y23" i="13"/>
  <c r="Y24" i="13"/>
  <c r="N23" i="13"/>
  <c r="N24" i="13"/>
  <c r="E23" i="13"/>
  <c r="E24" i="13"/>
  <c r="U23" i="13"/>
  <c r="U24" i="13"/>
  <c r="I23" i="13"/>
  <c r="I24" i="13"/>
  <c r="V23" i="13"/>
  <c r="V24" i="13"/>
  <c r="T23" i="13"/>
  <c r="T24" i="13"/>
  <c r="Q23" i="13"/>
  <c r="Q24" i="13"/>
  <c r="X23" i="13"/>
  <c r="X24" i="13"/>
  <c r="R23" i="13"/>
  <c r="R24" i="13"/>
  <c r="O23" i="13"/>
  <c r="O24" i="13"/>
  <c r="J23" i="13"/>
  <c r="J24" i="13"/>
  <c r="L23" i="13"/>
  <c r="L24" i="13"/>
  <c r="M23" i="13"/>
  <c r="M24" i="13"/>
  <c r="H23" i="13"/>
  <c r="H24" i="13"/>
  <c r="W23" i="13"/>
  <c r="W24" i="13"/>
  <c r="G23" i="13"/>
  <c r="G24" i="13"/>
  <c r="K23" i="13"/>
  <c r="K24" i="13"/>
  <c r="D23" i="13"/>
  <c r="D24" i="13"/>
  <c r="F23" i="13"/>
  <c r="F24" i="13"/>
  <c r="C23" i="13"/>
  <c r="C24" i="13"/>
  <c r="P23" i="13"/>
  <c r="P24" i="13"/>
  <c r="S23" i="13"/>
  <c r="S24" i="13"/>
  <c r="S5" i="13"/>
  <c r="S22" i="13"/>
  <c r="Y5" i="13"/>
  <c r="Y22" i="13"/>
  <c r="U5" i="13"/>
  <c r="U22" i="13"/>
  <c r="Q5" i="13"/>
  <c r="Q22" i="13"/>
  <c r="N5" i="13"/>
  <c r="N22" i="13"/>
  <c r="V5" i="13"/>
  <c r="V22" i="13"/>
  <c r="F5" i="13"/>
  <c r="F22" i="13"/>
  <c r="T5" i="13"/>
  <c r="T22" i="13"/>
  <c r="M5" i="13"/>
  <c r="M22" i="13"/>
  <c r="E5" i="13"/>
  <c r="E22" i="13"/>
  <c r="X5" i="13"/>
  <c r="X22" i="13"/>
  <c r="W5" i="13"/>
  <c r="W22" i="13"/>
  <c r="R5" i="13"/>
  <c r="R22" i="13"/>
  <c r="O5" i="13"/>
  <c r="O22" i="13"/>
  <c r="J5" i="13"/>
  <c r="J22" i="13"/>
  <c r="L5" i="13"/>
  <c r="L22" i="13"/>
  <c r="I5" i="13"/>
  <c r="I22" i="13"/>
  <c r="P5" i="13"/>
  <c r="P22" i="13"/>
  <c r="G5" i="13"/>
  <c r="G22" i="13"/>
  <c r="K5" i="13"/>
  <c r="K22" i="13"/>
  <c r="D5" i="13"/>
  <c r="D22" i="13"/>
  <c r="H5" i="13"/>
  <c r="H22" i="13"/>
  <c r="C5" i="13"/>
  <c r="C22" i="13"/>
  <c r="Z3" i="13"/>
  <c r="Z5" i="13" s="1"/>
  <c r="B1" i="13"/>
  <c r="AA11" i="13" l="1"/>
  <c r="AA12" i="13"/>
  <c r="AA9" i="13"/>
  <c r="AA10" i="13"/>
  <c r="AA8" i="13"/>
  <c r="A30" i="13"/>
  <c r="A29" i="13"/>
  <c r="A27" i="13"/>
  <c r="A26" i="13"/>
  <c r="A25" i="13"/>
  <c r="A24" i="13"/>
  <c r="A23" i="13"/>
  <c r="A22" i="13"/>
  <c r="B25" i="13" l="1"/>
  <c r="B22" i="13"/>
  <c r="B23" i="13"/>
  <c r="B30" i="13"/>
  <c r="B27" i="13"/>
  <c r="B24" i="13"/>
  <c r="B29" i="13"/>
  <c r="B26" i="13"/>
</calcChain>
</file>

<file path=xl/sharedStrings.xml><?xml version="1.0" encoding="utf-8"?>
<sst xmlns="http://schemas.openxmlformats.org/spreadsheetml/2006/main" count="836" uniqueCount="86">
  <si>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</si>
  <si>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</si>
  <si>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</si>
  <si>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</si>
  <si>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</si>
  <si>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</si>
  <si>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</si>
  <si>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</si>
  <si>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</si>
  <si>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</si>
  <si>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</si>
  <si>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</si>
  <si>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</si>
  <si>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</si>
  <si>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</si>
  <si>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</si>
  <si>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</si>
  <si>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</si>
  <si>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</si>
  <si>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</si>
  <si>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</si>
  <si>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</si>
  <si>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</si>
  <si>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</si>
  <si>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</si>
  <si>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</si>
  <si>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</si>
  <si>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</si>
  <si>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</si>
  <si>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</si>
  <si>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</si>
  <si>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</si>
  <si>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</si>
  <si>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</si>
  <si>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</si>
  <si>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</si>
  <si>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</si>
  <si>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</si>
  <si>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</si>
  <si>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</si>
  <si>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</si>
  <si>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</si>
  <si>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</si>
  <si>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</si>
  <si>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</si>
  <si>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</si>
  <si>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</si>
  <si>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</si>
  <si>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</si>
  <si>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</si>
  <si>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</si>
  <si>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</si>
  <si>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</si>
  <si>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</si>
  <si>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</si>
  <si>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</si>
  <si>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</si>
  <si>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</si>
  <si>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</si>
  <si>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</si>
  <si>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</si>
  <si>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</si>
  <si>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</si>
  <si>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</si>
  <si>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</si>
  <si>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</si>
  <si>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01</t>
  </si>
  <si>
    <t>tori</t>
  </si>
  <si>
    <t>koshiki</t>
  </si>
  <si>
    <t>club</t>
  </si>
  <si>
    <t>uke</t>
  </si>
  <si>
    <t>C1</t>
  </si>
  <si>
    <t>one(CA)</t>
  </si>
  <si>
    <t>Wertung 1</t>
  </si>
  <si>
    <t>two(CB)</t>
  </si>
  <si>
    <t>Wertung 2</t>
  </si>
  <si>
    <t>head(CC)</t>
  </si>
  <si>
    <t>Wertung 3 (H)</t>
  </si>
  <si>
    <t>four-out(C3)</t>
  </si>
  <si>
    <t>Wertung 4</t>
  </si>
  <si>
    <t>five(CE)</t>
  </si>
  <si>
    <t>Wertung 5</t>
  </si>
  <si>
    <t>springer(CF)</t>
  </si>
  <si>
    <t>Springer</t>
  </si>
  <si>
    <t>super(CG)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</si>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</sst>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6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8" fillId="0" borderId="0"/>
    <xf numFmtId="9" fontId="22" fillId="0" borderId="0" applyFont="0" applyFill="0" applyBorder="0" applyAlignment="0" applyProtection="0"/>
  </cellStyleXfs>
  <cellXfs count="171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2" fillId="0" borderId="0" xfId="0" applyFont="1"/>
    <xf numFmtId="0" fontId="11" fillId="0" borderId="0" xfId="0" applyFont="1"/>
    <xf numFmtId="0" fontId="17" fillId="0" borderId="0" xfId="0" applyFont="1"/>
    <xf numFmtId="0" fontId="7" fillId="2" borderId="45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49" xfId="0" applyFont="1" applyFill="1" applyBorder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4" borderId="28" xfId="0" applyFont="1" applyFill="1" applyBorder="1" applyAlignment="1" applyProtection="1">
      <alignment horizontal="center" vertical="center"/>
      <protection hidden="1"/>
    </xf>
    <xf numFmtId="0" fontId="7" fillId="4" borderId="30" xfId="0" applyFont="1" applyFill="1" applyBorder="1" applyAlignment="1" applyProtection="1">
      <alignment vertical="center"/>
      <protection hidden="1"/>
    </xf>
    <xf numFmtId="0" fontId="19" fillId="0" borderId="0" xfId="0" applyFont="1"/>
    <xf numFmtId="0" fontId="7" fillId="2" borderId="25" xfId="0" applyFont="1" applyFill="1" applyBorder="1" applyAlignment="1" applyProtection="1">
      <alignment horizontal="center" vertical="center"/>
      <protection hidden="1"/>
    </xf>
    <xf numFmtId="0" fontId="14" fillId="2" borderId="58" xfId="0" applyFont="1" applyFill="1" applyBorder="1" applyAlignment="1" applyProtection="1">
      <alignment horizontal="center" vertical="center" wrapText="1"/>
      <protection hidden="1"/>
    </xf>
    <xf numFmtId="0" fontId="9" fillId="2" borderId="25" xfId="0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164" fontId="23" fillId="0" borderId="31" xfId="0" applyNumberFormat="1" applyFont="1" applyBorder="1" applyAlignment="1" applyProtection="1">
      <alignment horizontal="center" vertical="center"/>
      <protection hidden="1"/>
    </xf>
    <xf numFmtId="164" fontId="23" fillId="0" borderId="24" xfId="0" applyNumberFormat="1" applyFont="1" applyBorder="1" applyAlignment="1" applyProtection="1">
      <alignment horizontal="center" vertical="center"/>
      <protection hidden="1"/>
    </xf>
    <xf numFmtId="164" fontId="23" fillId="3" borderId="35" xfId="0" applyNumberFormat="1" applyFont="1" applyFill="1" applyBorder="1" applyAlignment="1" applyProtection="1">
      <alignment horizontal="center" vertical="center"/>
      <protection hidden="1"/>
    </xf>
    <xf numFmtId="164" fontId="23" fillId="0" borderId="37" xfId="0" applyNumberFormat="1" applyFont="1" applyBorder="1" applyAlignment="1" applyProtection="1">
      <alignment horizontal="center" vertical="center"/>
      <protection hidden="1"/>
    </xf>
    <xf numFmtId="164" fontId="23" fillId="3" borderId="37" xfId="0" applyNumberFormat="1" applyFont="1" applyFill="1" applyBorder="1" applyAlignment="1" applyProtection="1">
      <alignment horizontal="center" vertical="center"/>
      <protection hidden="1"/>
    </xf>
    <xf numFmtId="164" fontId="23" fillId="0" borderId="48" xfId="0" applyNumberFormat="1" applyFont="1" applyBorder="1" applyAlignment="1" applyProtection="1">
      <alignment horizontal="center" vertical="center"/>
      <protection hidden="1"/>
    </xf>
    <xf numFmtId="164" fontId="23" fillId="3" borderId="48" xfId="0" applyNumberFormat="1" applyFont="1" applyFill="1" applyBorder="1" applyAlignment="1" applyProtection="1">
      <alignment horizontal="center" vertical="center"/>
      <protection hidden="1"/>
    </xf>
    <xf numFmtId="164" fontId="23" fillId="0" borderId="54" xfId="0" applyNumberFormat="1" applyFont="1" applyBorder="1" applyAlignment="1" applyProtection="1">
      <alignment horizontal="center" vertical="center"/>
      <protection hidden="1"/>
    </xf>
    <xf numFmtId="0" fontId="23" fillId="3" borderId="38" xfId="0" applyFont="1" applyFill="1" applyBorder="1" applyAlignment="1" applyProtection="1">
      <alignment horizontal="center" vertical="center"/>
      <protection locked="0" hidden="1"/>
    </xf>
    <xf numFmtId="0" fontId="23" fillId="3" borderId="36" xfId="0" applyFont="1" applyFill="1" applyBorder="1" applyAlignment="1" applyProtection="1">
      <alignment horizontal="center" vertical="center"/>
      <protection locked="0" hidden="1"/>
    </xf>
    <xf numFmtId="0" fontId="23" fillId="3" borderId="52" xfId="0" applyFont="1" applyFill="1" applyBorder="1" applyAlignment="1" applyProtection="1">
      <alignment horizontal="center" vertical="center"/>
      <protection locked="0" hidden="1"/>
    </xf>
    <xf numFmtId="0" fontId="23" fillId="3" borderId="37" xfId="0" applyFont="1" applyFill="1" applyBorder="1" applyAlignment="1" applyProtection="1">
      <alignment horizontal="center" vertical="center"/>
      <protection locked="0" hidden="1"/>
    </xf>
    <xf numFmtId="0" fontId="23" fillId="3" borderId="39" xfId="0" applyFont="1" applyFill="1" applyBorder="1" applyAlignment="1" applyProtection="1">
      <alignment horizontal="center" vertical="center"/>
      <protection locked="0" hidden="1"/>
    </xf>
    <xf numFmtId="0" fontId="23" fillId="3" borderId="47" xfId="0" applyFont="1" applyFill="1" applyBorder="1" applyAlignment="1" applyProtection="1">
      <alignment horizontal="center" vertical="center"/>
      <protection locked="0" hidden="1"/>
    </xf>
    <xf numFmtId="0" fontId="23" fillId="3" borderId="22" xfId="0" applyFont="1" applyFill="1" applyBorder="1" applyAlignment="1" applyProtection="1">
      <alignment horizontal="center" vertical="center"/>
      <protection locked="0" hidden="1"/>
    </xf>
    <xf numFmtId="0" fontId="23" fillId="3" borderId="48" xfId="0" applyFont="1" applyFill="1" applyBorder="1" applyAlignment="1" applyProtection="1">
      <alignment horizontal="center" vertical="center"/>
      <protection locked="0" hidden="1"/>
    </xf>
    <xf numFmtId="0" fontId="35" fillId="0" borderId="32" xfId="0" applyFont="1" applyBorder="1" applyAlignment="1" applyProtection="1">
      <alignment horizontal="center" vertical="center"/>
      <protection hidden="1"/>
    </xf>
    <xf numFmtId="0" fontId="35" fillId="0" borderId="31" xfId="0" applyFont="1" applyBorder="1" applyAlignment="1" applyProtection="1">
      <alignment horizontal="center" vertical="center"/>
      <protection hidden="1"/>
    </xf>
    <xf numFmtId="164" fontId="35" fillId="0" borderId="32" xfId="0" applyNumberFormat="1" applyFont="1" applyBorder="1" applyAlignment="1" applyProtection="1">
      <alignment horizontal="center" vertical="center"/>
      <protection hidden="1"/>
    </xf>
    <xf numFmtId="0" fontId="23" fillId="0" borderId="38" xfId="0" applyFont="1" applyBorder="1" applyAlignment="1" applyProtection="1">
      <alignment horizontal="center" vertical="center"/>
      <protection locked="0" hidden="1"/>
    </xf>
    <xf numFmtId="0" fontId="23" fillId="0" borderId="36" xfId="0" applyFont="1" applyBorder="1" applyAlignment="1" applyProtection="1">
      <alignment horizontal="center" vertical="center"/>
      <protection locked="0" hidden="1"/>
    </xf>
    <xf numFmtId="0" fontId="23" fillId="0" borderId="52" xfId="0" applyFont="1" applyBorder="1" applyAlignment="1" applyProtection="1">
      <alignment horizontal="center" vertical="center"/>
      <protection locked="0" hidden="1"/>
    </xf>
    <xf numFmtId="0" fontId="23" fillId="0" borderId="37" xfId="0" applyFont="1" applyBorder="1" applyAlignment="1" applyProtection="1">
      <alignment horizontal="center" vertical="center"/>
      <protection locked="0" hidden="1"/>
    </xf>
    <xf numFmtId="0" fontId="23" fillId="0" borderId="44" xfId="0" applyFont="1" applyBorder="1" applyAlignment="1" applyProtection="1">
      <alignment horizontal="center" vertical="center"/>
      <protection locked="0" hidden="1"/>
    </xf>
    <xf numFmtId="0" fontId="23" fillId="0" borderId="59" xfId="0" applyFont="1" applyBorder="1" applyAlignment="1" applyProtection="1">
      <alignment horizontal="center" vertical="center"/>
      <protection locked="0" hidden="1"/>
    </xf>
    <xf numFmtId="0" fontId="23" fillId="0" borderId="23" xfId="0" applyFont="1" applyBorder="1" applyAlignment="1" applyProtection="1">
      <alignment horizontal="center" vertical="center"/>
      <protection locked="0" hidden="1"/>
    </xf>
    <xf numFmtId="0" fontId="23" fillId="0" borderId="24" xfId="0" applyFont="1" applyBorder="1" applyAlignment="1" applyProtection="1">
      <alignment horizontal="center" vertical="center"/>
      <protection locked="0" hidden="1"/>
    </xf>
    <xf numFmtId="0" fontId="23" fillId="3" borderId="27" xfId="0" applyFont="1" applyFill="1" applyBorder="1" applyAlignment="1" applyProtection="1">
      <alignment horizontal="center" vertical="center"/>
      <protection locked="0" hidden="1"/>
    </xf>
    <xf numFmtId="0" fontId="23" fillId="3" borderId="34" xfId="0" applyFont="1" applyFill="1" applyBorder="1" applyAlignment="1" applyProtection="1">
      <alignment horizontal="center" vertical="center"/>
      <protection locked="0" hidden="1"/>
    </xf>
    <xf numFmtId="0" fontId="23" fillId="3" borderId="49" xfId="0" applyFont="1" applyFill="1" applyBorder="1" applyAlignment="1" applyProtection="1">
      <alignment horizontal="center" vertical="center"/>
      <protection locked="0" hidden="1"/>
    </xf>
    <xf numFmtId="0" fontId="23" fillId="0" borderId="39" xfId="0" applyFont="1" applyBorder="1" applyAlignment="1" applyProtection="1">
      <alignment horizontal="center" vertical="center"/>
      <protection locked="0" hidden="1"/>
    </xf>
    <xf numFmtId="0" fontId="23" fillId="0" borderId="47" xfId="0" applyFont="1" applyBorder="1" applyAlignment="1" applyProtection="1">
      <alignment horizontal="center" vertical="center"/>
      <protection locked="0" hidden="1"/>
    </xf>
    <xf numFmtId="0" fontId="23" fillId="0" borderId="22" xfId="0" applyFont="1" applyBorder="1" applyAlignment="1" applyProtection="1">
      <alignment horizontal="center" vertical="center"/>
      <protection locked="0" hidden="1"/>
    </xf>
    <xf numFmtId="0" fontId="23" fillId="0" borderId="48" xfId="0" applyFont="1" applyBorder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vertical="center" shrinkToFit="1"/>
      <protection hidden="1"/>
    </xf>
    <xf numFmtId="49" fontId="9" fillId="0" borderId="0" xfId="0" applyNumberFormat="1" applyFont="1" applyAlignment="1" applyProtection="1">
      <alignment horizontal="left" vertical="center"/>
      <protection hidden="1"/>
    </xf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0" fontId="15" fillId="0" borderId="0" xfId="0" applyFont="1"/>
    <xf numFmtId="0" fontId="16" fillId="0" borderId="0" xfId="0" applyFont="1"/>
    <xf numFmtId="0" fontId="23" fillId="3" borderId="35" xfId="0" applyFont="1" applyFill="1" applyBorder="1" applyAlignment="1" applyProtection="1">
      <alignment horizontal="center" vertical="center"/>
      <protection locked="0" hidden="1"/>
    </xf>
    <xf numFmtId="0" fontId="23" fillId="0" borderId="55" xfId="0" applyFont="1" applyBorder="1" applyAlignment="1" applyProtection="1">
      <alignment horizontal="center" vertical="center"/>
      <protection locked="0" hidden="1"/>
    </xf>
    <xf numFmtId="0" fontId="23" fillId="0" borderId="60" xfId="0" applyFont="1" applyBorder="1" applyAlignment="1" applyProtection="1">
      <alignment horizontal="center" vertical="center"/>
      <protection locked="0" hidden="1"/>
    </xf>
    <xf numFmtId="0" fontId="23" fillId="0" borderId="46" xfId="0" applyFont="1" applyBorder="1" applyAlignment="1" applyProtection="1">
      <alignment horizontal="center" vertical="center"/>
      <protection locked="0" hidden="1"/>
    </xf>
    <xf numFmtId="0" fontId="23" fillId="0" borderId="54" xfId="0" applyFont="1" applyBorder="1" applyAlignment="1" applyProtection="1">
      <alignment horizontal="center" vertical="center"/>
      <protection locked="0" hidden="1"/>
    </xf>
    <xf numFmtId="0" fontId="23" fillId="4" borderId="32" xfId="0" applyFont="1" applyFill="1" applyBorder="1" applyAlignment="1" applyProtection="1">
      <alignment horizontal="center" vertical="center"/>
      <protection locked="0" hidden="1"/>
    </xf>
    <xf numFmtId="0" fontId="17" fillId="0" borderId="0" xfId="0" applyFont="1" applyAlignment="1">
      <alignment horizontal="left"/>
    </xf>
    <xf numFmtId="0" fontId="17" fillId="0" borderId="43" xfId="0" applyFont="1" applyBorder="1"/>
    <xf numFmtId="0" fontId="27" fillId="0" borderId="0" xfId="0" applyFont="1"/>
    <xf numFmtId="0" fontId="24" fillId="0" borderId="0" xfId="0" applyFont="1"/>
    <xf numFmtId="0" fontId="24" fillId="0" borderId="0" xfId="0" applyFont="1" applyAlignment="1">
      <alignment textRotation="90"/>
    </xf>
    <xf numFmtId="0" fontId="24" fillId="0" borderId="43" xfId="0" applyFont="1" applyBorder="1" applyAlignment="1">
      <alignment textRotation="90"/>
    </xf>
    <xf numFmtId="164" fontId="31" fillId="0" borderId="0" xfId="0" applyNumberFormat="1" applyFont="1" applyAlignment="1">
      <alignment horizontal="right"/>
    </xf>
    <xf numFmtId="1" fontId="31" fillId="0" borderId="0" xfId="0" applyNumberFormat="1" applyFont="1" applyAlignment="1">
      <alignment horizontal="right"/>
    </xf>
    <xf numFmtId="1" fontId="31" fillId="0" borderId="62" xfId="0" applyNumberFormat="1" applyFont="1" applyBorder="1" applyAlignment="1">
      <alignment horizontal="right"/>
    </xf>
    <xf numFmtId="164" fontId="30" fillId="0" borderId="0" xfId="0" applyNumberFormat="1" applyFont="1" applyAlignment="1">
      <alignment horizontal="right"/>
    </xf>
    <xf numFmtId="1" fontId="30" fillId="0" borderId="0" xfId="0" applyNumberFormat="1" applyFont="1" applyAlignment="1">
      <alignment horizontal="right"/>
    </xf>
    <xf numFmtId="164" fontId="30" fillId="0" borderId="62" xfId="0" applyNumberFormat="1" applyFont="1" applyBorder="1" applyAlignment="1">
      <alignment horizontal="right"/>
    </xf>
    <xf numFmtId="1" fontId="30" fillId="0" borderId="62" xfId="0" applyNumberFormat="1" applyFont="1" applyBorder="1" applyAlignment="1">
      <alignment horizontal="right"/>
    </xf>
    <xf numFmtId="0" fontId="30" fillId="0" borderId="0" xfId="0" applyFont="1" applyAlignment="1">
      <alignment horizontal="right"/>
    </xf>
    <xf numFmtId="0" fontId="30" fillId="0" borderId="62" xfId="0" applyFont="1" applyBorder="1" applyAlignment="1">
      <alignment horizontal="right"/>
    </xf>
    <xf numFmtId="0" fontId="28" fillId="0" borderId="8" xfId="0" applyFont="1" applyBorder="1"/>
    <xf numFmtId="164" fontId="32" fillId="0" borderId="8" xfId="0" applyNumberFormat="1" applyFont="1" applyBorder="1" applyAlignment="1">
      <alignment horizontal="right"/>
    </xf>
    <xf numFmtId="1" fontId="32" fillId="0" borderId="8" xfId="0" applyNumberFormat="1" applyFont="1" applyBorder="1" applyAlignment="1">
      <alignment horizontal="right"/>
    </xf>
    <xf numFmtId="1" fontId="32" fillId="0" borderId="6" xfId="0" applyNumberFormat="1" applyFont="1" applyBorder="1" applyAlignment="1">
      <alignment horizontal="right"/>
    </xf>
    <xf numFmtId="9" fontId="30" fillId="0" borderId="61" xfId="2" applyFont="1" applyBorder="1" applyAlignment="1">
      <alignment horizontal="right"/>
    </xf>
    <xf numFmtId="9" fontId="30" fillId="0" borderId="62" xfId="2" applyFont="1" applyBorder="1" applyAlignment="1">
      <alignment horizontal="right"/>
    </xf>
    <xf numFmtId="0" fontId="17" fillId="0" borderId="56" xfId="0" applyFont="1" applyBorder="1"/>
    <xf numFmtId="164" fontId="30" fillId="0" borderId="56" xfId="0" applyNumberFormat="1" applyFont="1" applyBorder="1" applyAlignment="1">
      <alignment horizontal="right"/>
    </xf>
    <xf numFmtId="1" fontId="30" fillId="0" borderId="56" xfId="0" applyNumberFormat="1" applyFont="1" applyBorder="1" applyAlignment="1">
      <alignment horizontal="right"/>
    </xf>
    <xf numFmtId="0" fontId="29" fillId="0" borderId="33" xfId="0" applyFont="1" applyBorder="1"/>
    <xf numFmtId="164" fontId="33" fillId="0" borderId="33" xfId="0" applyNumberFormat="1" applyFont="1" applyBorder="1" applyAlignment="1">
      <alignment horizontal="right"/>
    </xf>
    <xf numFmtId="1" fontId="33" fillId="0" borderId="33" xfId="0" applyNumberFormat="1" applyFont="1" applyBorder="1" applyAlignment="1">
      <alignment horizontal="right"/>
    </xf>
    <xf numFmtId="9" fontId="33" fillId="0" borderId="63" xfId="2" applyFont="1" applyBorder="1" applyAlignment="1">
      <alignment horizontal="right"/>
    </xf>
    <xf numFmtId="0" fontId="29" fillId="0" borderId="0" xfId="0" applyFont="1"/>
    <xf numFmtId="164" fontId="33" fillId="0" borderId="0" xfId="0" applyNumberFormat="1" applyFont="1" applyAlignment="1">
      <alignment horizontal="right"/>
    </xf>
    <xf numFmtId="0" fontId="34" fillId="0" borderId="0" xfId="0" applyFont="1"/>
    <xf numFmtId="0" fontId="34" fillId="0" borderId="62" xfId="0" applyFont="1" applyBorder="1"/>
    <xf numFmtId="1" fontId="33" fillId="0" borderId="0" xfId="0" applyNumberFormat="1" applyFont="1" applyAlignment="1">
      <alignment horizontal="right"/>
    </xf>
    <xf numFmtId="9" fontId="33" fillId="0" borderId="62" xfId="2" applyFont="1" applyBorder="1" applyAlignment="1">
      <alignment horizontal="right"/>
    </xf>
    <xf numFmtId="0" fontId="26" fillId="0" borderId="0" xfId="0" applyFont="1" applyAlignment="1">
      <alignment horizontal="right"/>
    </xf>
    <xf numFmtId="1" fontId="25" fillId="0" borderId="0" xfId="0" applyNumberFormat="1" applyFont="1" applyAlignment="1">
      <alignment horizontal="right"/>
    </xf>
    <xf numFmtId="0" fontId="7" fillId="0" borderId="53" xfId="0" applyFont="1" applyBorder="1" applyAlignment="1" applyProtection="1">
      <alignment horizontal="right" vertical="center" indent="1"/>
      <protection hidden="1"/>
    </xf>
    <xf numFmtId="0" fontId="7" fillId="0" borderId="54" xfId="0" applyFont="1" applyBorder="1" applyAlignment="1" applyProtection="1">
      <alignment horizontal="right" vertical="center" indent="1"/>
      <protection hidden="1"/>
    </xf>
    <xf numFmtId="0" fontId="8" fillId="0" borderId="29" xfId="0" applyFont="1" applyBorder="1" applyAlignment="1" applyProtection="1">
      <alignment horizontal="center" vertical="center" wrapText="1"/>
      <protection hidden="1"/>
    </xf>
    <xf numFmtId="0" fontId="8" fillId="0" borderId="30" xfId="0" applyFont="1" applyBorder="1" applyAlignment="1" applyProtection="1">
      <alignment horizontal="center" vertical="center" wrapText="1"/>
      <protection hidden="1"/>
    </xf>
    <xf numFmtId="0" fontId="8" fillId="0" borderId="31" xfId="0" applyFont="1" applyBorder="1" applyAlignment="1" applyProtection="1">
      <alignment horizontal="center" vertical="center" wrapText="1"/>
      <protection hidden="1"/>
    </xf>
    <xf numFmtId="0" fontId="35" fillId="0" borderId="29" xfId="0" applyFont="1" applyBorder="1" applyAlignment="1" applyProtection="1">
      <alignment horizontal="center" vertical="center"/>
      <protection hidden="1"/>
    </xf>
    <xf numFmtId="0" fontId="35" fillId="0" borderId="30" xfId="0" applyFont="1" applyBorder="1" applyAlignment="1" applyProtection="1">
      <alignment horizontal="center" vertical="center"/>
      <protection hidden="1"/>
    </xf>
    <xf numFmtId="0" fontId="7" fillId="4" borderId="29" xfId="0" applyFont="1" applyFill="1" applyBorder="1" applyAlignment="1" applyProtection="1">
      <alignment horizontal="center" vertical="center"/>
      <protection hidden="1"/>
    </xf>
    <xf numFmtId="0" fontId="7" fillId="4" borderId="30" xfId="0" applyFont="1" applyFill="1" applyBorder="1" applyAlignment="1" applyProtection="1">
      <alignment horizontal="center" vertical="center"/>
      <protection hidden="1"/>
    </xf>
    <xf numFmtId="0" fontId="7" fillId="4" borderId="29" xfId="0" applyFont="1" applyFill="1" applyBorder="1" applyAlignment="1" applyProtection="1">
      <alignment horizontal="right" vertical="center" indent="1"/>
      <protection hidden="1"/>
    </xf>
    <xf numFmtId="0" fontId="7" fillId="4" borderId="30" xfId="0" applyFont="1" applyFill="1" applyBorder="1" applyAlignment="1" applyProtection="1">
      <alignment horizontal="right" vertical="center" indent="1"/>
      <protection hidden="1"/>
    </xf>
    <xf numFmtId="0" fontId="7" fillId="4" borderId="31" xfId="0" applyFont="1" applyFill="1" applyBorder="1" applyAlignment="1" applyProtection="1">
      <alignment horizontal="right" vertical="center" inden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3" borderId="26" xfId="0" applyFont="1" applyFill="1" applyBorder="1" applyAlignment="1" applyProtection="1">
      <alignment horizontal="right" vertical="center" indent="1"/>
      <protection hidden="1"/>
    </xf>
    <xf numFmtId="0" fontId="7" fillId="3" borderId="35" xfId="0" applyFont="1" applyFill="1" applyBorder="1" applyAlignment="1" applyProtection="1">
      <alignment horizontal="right" vertical="center" indent="1"/>
      <protection hidden="1"/>
    </xf>
    <xf numFmtId="0" fontId="7" fillId="0" borderId="50" xfId="0" applyFont="1" applyBorder="1" applyAlignment="1" applyProtection="1">
      <alignment horizontal="right" vertical="center" indent="1"/>
      <protection hidden="1"/>
    </xf>
    <xf numFmtId="0" fontId="7" fillId="0" borderId="37" xfId="0" applyFont="1" applyBorder="1" applyAlignment="1" applyProtection="1">
      <alignment horizontal="right" vertical="center" indent="1"/>
      <protection hidden="1"/>
    </xf>
    <xf numFmtId="0" fontId="7" fillId="3" borderId="50" xfId="0" applyFont="1" applyFill="1" applyBorder="1" applyAlignment="1" applyProtection="1">
      <alignment horizontal="right" vertical="center" indent="1"/>
      <protection hidden="1"/>
    </xf>
    <xf numFmtId="0" fontId="7" fillId="3" borderId="37" xfId="0" applyFont="1" applyFill="1" applyBorder="1" applyAlignment="1" applyProtection="1">
      <alignment horizontal="right" vertical="center" indent="1"/>
      <protection hidden="1"/>
    </xf>
    <xf numFmtId="0" fontId="7" fillId="3" borderId="51" xfId="0" applyFont="1" applyFill="1" applyBorder="1" applyAlignment="1" applyProtection="1">
      <alignment horizontal="right" vertical="center" indent="1"/>
      <protection hidden="1"/>
    </xf>
    <xf numFmtId="0" fontId="7" fillId="3" borderId="48" xfId="0" applyFont="1" applyFill="1" applyBorder="1" applyAlignment="1" applyProtection="1">
      <alignment horizontal="right" vertical="center" indent="1"/>
      <protection hidden="1"/>
    </xf>
    <xf numFmtId="0" fontId="7" fillId="0" borderId="51" xfId="0" applyFont="1" applyBorder="1" applyAlignment="1" applyProtection="1">
      <alignment horizontal="right" vertical="center" indent="1"/>
      <protection hidden="1"/>
    </xf>
    <xf numFmtId="0" fontId="7" fillId="0" borderId="48" xfId="0" applyFont="1" applyBorder="1" applyAlignment="1" applyProtection="1">
      <alignment horizontal="right" vertical="center" indent="1"/>
      <protection hidden="1"/>
    </xf>
    <xf numFmtId="0" fontId="7" fillId="0" borderId="33" xfId="0" applyFont="1" applyBorder="1" applyAlignment="1" applyProtection="1">
      <alignment horizontal="right" vertical="center" indent="1"/>
      <protection hidden="1"/>
    </xf>
    <xf numFmtId="0" fontId="7" fillId="0" borderId="24" xfId="0" applyFont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4" fillId="0" borderId="42" xfId="0" applyFont="1" applyBorder="1" applyAlignment="1" applyProtection="1">
      <alignment horizontal="left" vertical="center" indent="1" shrinkToFit="1"/>
      <protection hidden="1"/>
    </xf>
    <xf numFmtId="0" fontId="4" fillId="0" borderId="14" xfId="0" applyFont="1" applyBorder="1" applyAlignment="1" applyProtection="1">
      <alignment horizontal="left" vertical="center" indent="1" shrinkToFit="1"/>
      <protection hidden="1"/>
    </xf>
    <xf numFmtId="0" fontId="4" fillId="0" borderId="12" xfId="0" applyFont="1" applyBorder="1" applyAlignment="1" applyProtection="1">
      <alignment horizontal="left" vertical="center" indent="1" shrinkToFit="1"/>
      <protection hidden="1"/>
    </xf>
    <xf numFmtId="0" fontId="4" fillId="0" borderId="13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57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33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2" borderId="40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41" xfId="0" applyFont="1" applyBorder="1" applyAlignment="1" applyProtection="1">
      <alignment horizontal="left" vertical="center" indent="1" shrinkToFit="1"/>
      <protection hidden="1"/>
    </xf>
    <xf numFmtId="0" fontId="4" fillId="0" borderId="9" xfId="0" applyFont="1" applyBorder="1" applyAlignment="1" applyProtection="1">
      <alignment horizontal="left" vertical="center" indent="1" shrinkToFit="1"/>
      <protection hidden="1"/>
    </xf>
    <xf numFmtId="0" fontId="4" fillId="0" borderId="7" xfId="0" applyFont="1" applyBorder="1" applyAlignment="1" applyProtection="1">
      <alignment horizontal="left" vertical="center" indent="1" shrinkToFit="1"/>
      <protection hidden="1"/>
    </xf>
    <xf numFmtId="0" fontId="4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/>
      <protection hidden="1"/>
    </xf>
    <xf numFmtId="2" fontId="3" fillId="0" borderId="0" xfId="0" applyNumberFormat="1" applyFont="1" applyAlignment="1" applyProtection="1">
      <alignment horizontal="center" vertical="center" shrinkToFit="1"/>
      <protection hidden="1"/>
    </xf>
    <xf numFmtId="2" fontId="20" fillId="0" borderId="0" xfId="0" applyNumberFormat="1" applyFont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 shrinkToFit="1"/>
      <protection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17" fillId="0" borderId="0" xfId="0" applyFont="1" applyAlignment="1">
      <alignment horizontal="right" indent="1"/>
    </xf>
    <xf numFmtId="0" fontId="24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9BF1972-A4C9-4D7A-B920-F9E08BF10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30D5F159-62D7-4B47-B967-17D952DBC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22D066D-6A9F-488E-A63F-297444C9E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AA278E68-94A4-4CFC-9AA0-994EA199D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50A1AF3-EB99-417D-B1BB-7E77098F6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48CF41AD-83DE-4EB5-A93B-C62D21B3C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8C977B1-8F65-4996-BFF1-E92831528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3F061D70-CBB1-4184-B000-C922DA9C9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7F6E416-D535-4997-AB7C-0214E6460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EAA63B9F-A922-47B7-BBA6-89E876FE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FB2D5D7-B4FA-4D9F-9FA1-8A49C4AF0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A65C5D81-E7EA-4584-964D-E123BA16B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B46B1B7-B7F4-4E9B-BFB0-D18161EDB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6BD2FB8-FBF3-428A-9838-5907A4792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C8277-BFCF-4D22-A955-2E4391CF756C}">
  <sheetPr codeName="Tabelle14"/>
  <dimension ref="A1:P38"/>
  <sheetViews>
    <sheetView tabSelected="1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72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73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eyhUMcNlAxz7oGZLNtEzXcWLZ6X2Oll0E/d2myqwg7LU815pOZsY+Mdc8OERx13AKfxJvcZabbNqeGJn3IImsQ==" saltValue="+Jwzu+rEpofsPal3tZsWTg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77A3DE2E-D4DF-4502-8648-5D5D1A88ADFB}">
      <formula1>$P$14:$P$15</formula1>
    </dataValidation>
    <dataValidation type="list" allowBlank="1" showDropDown="1" showInputMessage="1" showErrorMessage="1" sqref="F13:I35 K13:K35" xr:uid="{E96CEB25-A8CC-45E4-9D1E-DCBD828639B3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72A5F-8824-4017-9F86-ACA8EEE0116C}">
  <sheetPr codeName="Tabelle15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74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75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e2a6SkfNrPfiR3gqxlUU1P2aI3U/7Le1y0lJL+J7EzR/+t4jmOwqqE3QzQe9K4oATq4LH0CBAFTFEP8DUBBNGg==" saltValue="LwEE5Kq6qXi8jYE0dumIYQ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DE543BBF-FCBC-45BF-B7C4-D7DE810C2791}">
      <formula1>$P$14:$P$15</formula1>
    </dataValidation>
    <dataValidation type="list" allowBlank="1" showDropDown="1" showInputMessage="1" showErrorMessage="1" sqref="F13:I35 K13:K35" xr:uid="{46478749-DEB7-4602-94B6-5410C45658D8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92AEC-D9DF-4555-B88C-F6C5BA88FE91}">
  <sheetPr codeName="Tabelle16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76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77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bm7TaqSsZ1E3384qbpGuNjL3phG9ytJUgEiDHG4JLxOnkF9w/Gvov6H36EXqHt6Jf2yz0scjERGHazm7K3bt0g==" saltValue="LQm3ssB45rp3BoULQJbxZA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659D3704-1E44-48B0-9817-E2A3CC53BDBE}">
      <formula1>$P$14:$P$15</formula1>
    </dataValidation>
    <dataValidation type="list" allowBlank="1" showDropDown="1" showInputMessage="1" showErrorMessage="1" sqref="F13:I35 K13:K35" xr:uid="{6214C0E8-B491-457D-847F-252CAB5CDB82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897F2-E116-4B47-91A3-F6CC42C315B5}">
  <sheetPr codeName="Tabelle17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78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79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i6x96GQI8zcprxpRbPALNDPb8ARD7ZWg0Nir4o8OW0xW1FCE8FexjT5o3WaN3WAPPIVY398QuAwf0UWjzGeXpA==" saltValue="seb9Mjs70mXNDh+GuiCT1w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A87CDCBA-6946-4634-8032-4A9EC3B2881E}">
      <formula1>$P$14:$P$15</formula1>
    </dataValidation>
    <dataValidation type="list" allowBlank="1" showDropDown="1" showInputMessage="1" showErrorMessage="1" sqref="F13:I35 K13:K35" xr:uid="{63A6B5F4-AFD7-46CA-8F6C-339A545CF48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95475-C04C-4228-B55E-47D26BDEDD8D}">
  <sheetPr codeName="Tabelle18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80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81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++s3J3XchB3Xn3td6xBqQQ1zfqix9zVVxIrYjIoSP51yThRLYL7EG/n3zcyjisr2GlaLrpVznje0bHxVfaRNfA==" saltValue="VaVpR9UiL+75VFo/0eixeQ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F3DBD8E6-4555-475B-8FD2-66C7EEC87B00}">
      <formula1>$P$14:$P$15</formula1>
    </dataValidation>
    <dataValidation type="list" allowBlank="1" showDropDown="1" showInputMessage="1" showErrorMessage="1" sqref="F13:I35 K13:K35" xr:uid="{507F6C91-1E27-469A-828C-D938D5E6BB1C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C7569-3ED6-4E2F-A28B-B1D7B6D5C4D6}">
  <sheetPr codeName="Tabelle19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82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83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VdSGfFrKBPcPtJ1t1uXMSbUlrniI7drnXf9bV5cB2iQN21rkSKPk5MDVVXdSgCu1bSAttOjivh7SHEzZvHNRHQ==" saltValue="T5bDiQe3CANJJejdDq+t2Q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92A3389C-9977-4312-9297-FD8A7798D5EF}">
      <formula1>$P$14:$P$15</formula1>
    </dataValidation>
    <dataValidation type="list" allowBlank="1" showDropDown="1" showInputMessage="1" showErrorMessage="1" sqref="F13:I35 K13:K35" xr:uid="{50F8070A-B809-4A48-90A9-B9E922DFDBCC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060C7-8001-49D1-8F75-698AD0AA7D54}">
  <sheetPr codeName="Tabelle20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84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85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eEQ6WEWb9njEjdBu9mMxo8jxXXaukj85+u1jCYMgKONfCiI6e0VBx7aXouGLpv5dCTWlJQm3jeDHmPaV+NFNFg==" saltValue="fbefdETaV9h41JJwd0i5Qw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5E9496ED-A9C1-405B-AB6D-BE3E49AA899A}">
      <formula1>$P$14:$P$15</formula1>
    </dataValidation>
    <dataValidation type="list" allowBlank="1" showDropDown="1" showInputMessage="1" showErrorMessage="1" sqref="F13:I35 K13:K35" xr:uid="{A34A2A7E-7424-4AC4-AF43-31054689A736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14" customWidth="1"/>
    <col min="2" max="2" width="14.85546875" style="14" customWidth="1"/>
    <col min="3" max="25" width="5.7109375" style="14" customWidth="1"/>
    <col min="26" max="27" width="6.7109375" style="14" customWidth="1"/>
    <col min="28" max="32" width="5.7109375" style="14" customWidth="1"/>
    <col min="33" max="16384" width="11.5703125" style="14"/>
  </cols>
  <sheetData>
    <row r="1" spans="1:32" ht="15" customHeight="1" x14ac:dyDescent="0.2">
      <c r="A1" s="14" t="s">
        <v>59</v>
      </c>
      <c r="B1" s="73" t="str">
        <f ca="1">INDIRECT("'"&amp;$A8&amp;"'!D8") &amp; "-" &amp; INDIRECT("'"&amp;$A8&amp;"'!D9") &amp; " (" &amp; INDIRECT("'"&amp;$A8&amp;"'!K6") &amp;")"</f>
        <v>tori-uke ()</v>
      </c>
      <c r="Z1" s="74"/>
      <c r="AA1" s="74"/>
      <c r="AF1" s="75"/>
    </row>
    <row r="2" spans="1:32" ht="128.1" customHeight="1" x14ac:dyDescent="0.2">
      <c r="A2" s="76" t="s">
        <v>58</v>
      </c>
      <c r="B2" s="76" t="s">
        <v>10</v>
      </c>
      <c r="C2" s="77" t="s">
        <v>5</v>
      </c>
      <c r="D2" s="77" t="s">
        <v>16</v>
      </c>
      <c r="E2" s="77" t="s">
        <v>17</v>
      </c>
      <c r="F2" s="77" t="s">
        <v>18</v>
      </c>
      <c r="G2" s="77" t="s">
        <v>19</v>
      </c>
      <c r="H2" s="77" t="s">
        <v>20</v>
      </c>
      <c r="I2" s="77" t="s">
        <v>21</v>
      </c>
      <c r="J2" s="77" t="s">
        <v>22</v>
      </c>
      <c r="K2" s="77" t="s">
        <v>38</v>
      </c>
      <c r="L2" s="77" t="s">
        <v>24</v>
      </c>
      <c r="M2" s="77" t="s">
        <v>39</v>
      </c>
      <c r="N2" s="77" t="s">
        <v>26</v>
      </c>
      <c r="O2" s="77" t="s">
        <v>40</v>
      </c>
      <c r="P2" s="77" t="s">
        <v>41</v>
      </c>
      <c r="Q2" s="77" t="s">
        <v>29</v>
      </c>
      <c r="R2" s="77" t="s">
        <v>31</v>
      </c>
      <c r="S2" s="77" t="s">
        <v>32</v>
      </c>
      <c r="T2" s="77" t="s">
        <v>33</v>
      </c>
      <c r="U2" s="77" t="s">
        <v>34</v>
      </c>
      <c r="V2" s="77" t="s">
        <v>35</v>
      </c>
      <c r="W2" s="77" t="s">
        <v>36</v>
      </c>
      <c r="X2" s="77" t="s">
        <v>37</v>
      </c>
      <c r="Y2" s="77" t="s">
        <v>6</v>
      </c>
      <c r="Z2" s="78" t="s">
        <v>9</v>
      </c>
      <c r="AA2" s="78" t="s">
        <v>60</v>
      </c>
      <c r="AB2" s="77" t="s">
        <v>13</v>
      </c>
      <c r="AC2" s="77" t="s">
        <v>12</v>
      </c>
      <c r="AD2" s="77" t="s">
        <v>11</v>
      </c>
      <c r="AE2" s="77" t="s">
        <v>46</v>
      </c>
      <c r="AF2" s="77" t="s">
        <v>3</v>
      </c>
    </row>
    <row r="3" spans="1:32" ht="15" customHeight="1" x14ac:dyDescent="0.2">
      <c r="A3" s="170" t="s">
        <v>53</v>
      </c>
      <c r="B3" s="170"/>
      <c r="C3" s="79">
        <f ca="1">IF(COUNTIF(C8:C12,"")&gt;0,SUM(C8:C12),SUM(C8:C12)-MAX(C8:C12)-MIN(C8:C12))</f>
        <v>27</v>
      </c>
      <c r="D3" s="79">
        <f t="shared" ref="D3:Y3" ca="1" si="0">IF(COUNTIF(D8:D12,"")&gt;0,SUM(D8:D12),SUM(D8:D12)-MAX(D8:D12)-MIN(D8:D12))</f>
        <v>24</v>
      </c>
      <c r="E3" s="79">
        <f t="shared" ca="1" si="0"/>
        <v>21</v>
      </c>
      <c r="F3" s="79">
        <f t="shared" ca="1" si="0"/>
        <v>18</v>
      </c>
      <c r="G3" s="79">
        <f t="shared" ca="1" si="0"/>
        <v>15</v>
      </c>
      <c r="H3" s="79">
        <f t="shared" ca="1" si="0"/>
        <v>15</v>
      </c>
      <c r="I3" s="79">
        <f t="shared" ca="1" si="0"/>
        <v>12</v>
      </c>
      <c r="J3" s="79">
        <f t="shared" ca="1" si="0"/>
        <v>9</v>
      </c>
      <c r="K3" s="79">
        <f t="shared" ca="1" si="0"/>
        <v>6</v>
      </c>
      <c r="L3" s="79">
        <f t="shared" ca="1" si="0"/>
        <v>3</v>
      </c>
      <c r="M3" s="79">
        <f t="shared" ca="1" si="0"/>
        <v>3</v>
      </c>
      <c r="N3" s="79">
        <f t="shared" ca="1" si="0"/>
        <v>30</v>
      </c>
      <c r="O3" s="79">
        <f t="shared" ca="1" si="0"/>
        <v>3</v>
      </c>
      <c r="P3" s="79">
        <f t="shared" ca="1" si="0"/>
        <v>25.5</v>
      </c>
      <c r="Q3" s="79">
        <f t="shared" ca="1" si="0"/>
        <v>22.5</v>
      </c>
      <c r="R3" s="79">
        <f t="shared" ca="1" si="0"/>
        <v>21</v>
      </c>
      <c r="S3" s="79">
        <f t="shared" ca="1" si="0"/>
        <v>27</v>
      </c>
      <c r="T3" s="79">
        <f t="shared" ca="1" si="0"/>
        <v>24</v>
      </c>
      <c r="U3" s="79">
        <f t="shared" ca="1" si="0"/>
        <v>21</v>
      </c>
      <c r="V3" s="79">
        <f t="shared" ca="1" si="0"/>
        <v>18</v>
      </c>
      <c r="W3" s="79">
        <f t="shared" ca="1" si="0"/>
        <v>15</v>
      </c>
      <c r="X3" s="79">
        <f t="shared" ca="1" si="0"/>
        <v>15</v>
      </c>
      <c r="Y3" s="79">
        <f t="shared" ca="1" si="0"/>
        <v>30</v>
      </c>
      <c r="Z3" s="80">
        <f ca="1">IF(SUM(AF8:AF12)&gt;0,SUM(C3:Y3)/2,SUM(C3:Y3))</f>
        <v>405</v>
      </c>
      <c r="AA3" s="81"/>
      <c r="AB3" s="80">
        <f t="shared" ref="AB3:AF3" ca="1" si="1">IF(COUNTIF(AB8:AB12,"")&gt;0,SUM(AB8:AB12),SUM(AB8:AB12)-MAX(AB8:AB12)-MIN(AB8:AB12))</f>
        <v>72</v>
      </c>
      <c r="AC3" s="80">
        <f t="shared" ca="1" si="1"/>
        <v>33</v>
      </c>
      <c r="AD3" s="80">
        <f t="shared" ca="1" si="1"/>
        <v>24</v>
      </c>
      <c r="AE3" s="79">
        <f t="shared" ca="1" si="1"/>
        <v>0</v>
      </c>
      <c r="AF3" s="80">
        <f t="shared" ca="1" si="1"/>
        <v>0</v>
      </c>
    </row>
    <row r="4" spans="1:32" ht="15" customHeight="1" x14ac:dyDescent="0.2">
      <c r="A4" s="169" t="s">
        <v>61</v>
      </c>
      <c r="B4" s="169"/>
      <c r="C4" s="82">
        <f t="shared" ref="C4:X4" ca="1" si="2">MAX(C8:C12)-MIN(C8:C12)</f>
        <v>0</v>
      </c>
      <c r="D4" s="82">
        <f t="shared" ca="1" si="2"/>
        <v>0</v>
      </c>
      <c r="E4" s="82">
        <f t="shared" ca="1" si="2"/>
        <v>0</v>
      </c>
      <c r="F4" s="82">
        <f t="shared" ca="1" si="2"/>
        <v>0</v>
      </c>
      <c r="G4" s="82">
        <f t="shared" ca="1" si="2"/>
        <v>0</v>
      </c>
      <c r="H4" s="82">
        <f t="shared" ca="1" si="2"/>
        <v>0</v>
      </c>
      <c r="I4" s="82">
        <f t="shared" ca="1" si="2"/>
        <v>0</v>
      </c>
      <c r="J4" s="82">
        <f t="shared" ca="1" si="2"/>
        <v>0</v>
      </c>
      <c r="K4" s="82">
        <f t="shared" ca="1" si="2"/>
        <v>0</v>
      </c>
      <c r="L4" s="82">
        <f t="shared" ca="1" si="2"/>
        <v>0</v>
      </c>
      <c r="M4" s="82">
        <f t="shared" ca="1" si="2"/>
        <v>0</v>
      </c>
      <c r="N4" s="82">
        <f t="shared" ca="1" si="2"/>
        <v>0</v>
      </c>
      <c r="O4" s="82">
        <f t="shared" ca="1" si="2"/>
        <v>0</v>
      </c>
      <c r="P4" s="82">
        <f t="shared" ca="1" si="2"/>
        <v>0</v>
      </c>
      <c r="Q4" s="82">
        <f t="shared" ca="1" si="2"/>
        <v>0</v>
      </c>
      <c r="R4" s="82">
        <f t="shared" ca="1" si="2"/>
        <v>0</v>
      </c>
      <c r="S4" s="82">
        <f t="shared" ca="1" si="2"/>
        <v>0</v>
      </c>
      <c r="T4" s="82">
        <f t="shared" ca="1" si="2"/>
        <v>0</v>
      </c>
      <c r="U4" s="82">
        <f t="shared" ca="1" si="2"/>
        <v>0</v>
      </c>
      <c r="V4" s="82">
        <f t="shared" ca="1" si="2"/>
        <v>0</v>
      </c>
      <c r="W4" s="82">
        <f t="shared" ca="1" si="2"/>
        <v>0</v>
      </c>
      <c r="X4" s="82">
        <f t="shared" ca="1" si="2"/>
        <v>0</v>
      </c>
      <c r="Y4" s="82">
        <f ca="1">MAX(Y8:Y12)-MIN(Y8:Y12)</f>
        <v>0</v>
      </c>
      <c r="Z4" s="83">
        <f ca="1">MAX(Z8:Z12)-MIN(Z8:Z12)</f>
        <v>0</v>
      </c>
      <c r="AA4" s="84"/>
      <c r="AB4" s="83">
        <f ca="1">MAX(AB8:AB12)-MIN(AB8:AB12)</f>
        <v>0</v>
      </c>
      <c r="AC4" s="83">
        <f ca="1">MAX(AC8:AC12)-MIN(AC8:AC12)</f>
        <v>0</v>
      </c>
      <c r="AD4" s="83">
        <f ca="1">MAX(AD8:AD12)-MIN(AD8:AD12)</f>
        <v>0</v>
      </c>
      <c r="AE4" s="82">
        <f ca="1">MAX(AE8:AE12)-MIN(AE8:AE12)</f>
        <v>0</v>
      </c>
      <c r="AF4" s="83">
        <f ca="1">MAX(AF8:AF12)-MIN(AF8:AF12)</f>
        <v>0</v>
      </c>
    </row>
    <row r="5" spans="1:32" ht="15" customHeight="1" x14ac:dyDescent="0.2">
      <c r="A5" s="169" t="s">
        <v>62</v>
      </c>
      <c r="B5" s="169"/>
      <c r="C5" s="82">
        <f ca="1">C3/3</f>
        <v>9</v>
      </c>
      <c r="D5" s="82">
        <f t="shared" ref="D5:AF5" ca="1" si="3">D3/3</f>
        <v>8</v>
      </c>
      <c r="E5" s="82">
        <f t="shared" ca="1" si="3"/>
        <v>7</v>
      </c>
      <c r="F5" s="82">
        <f t="shared" ca="1" si="3"/>
        <v>6</v>
      </c>
      <c r="G5" s="82">
        <f t="shared" ca="1" si="3"/>
        <v>5</v>
      </c>
      <c r="H5" s="82">
        <f t="shared" ca="1" si="3"/>
        <v>5</v>
      </c>
      <c r="I5" s="82">
        <f t="shared" ca="1" si="3"/>
        <v>4</v>
      </c>
      <c r="J5" s="82">
        <f t="shared" ca="1" si="3"/>
        <v>3</v>
      </c>
      <c r="K5" s="82">
        <f t="shared" ca="1" si="3"/>
        <v>2</v>
      </c>
      <c r="L5" s="82">
        <f t="shared" ca="1" si="3"/>
        <v>1</v>
      </c>
      <c r="M5" s="82">
        <f t="shared" ca="1" si="3"/>
        <v>1</v>
      </c>
      <c r="N5" s="82">
        <f t="shared" ca="1" si="3"/>
        <v>10</v>
      </c>
      <c r="O5" s="82">
        <f t="shared" ca="1" si="3"/>
        <v>1</v>
      </c>
      <c r="P5" s="82">
        <f t="shared" ca="1" si="3"/>
        <v>8.5</v>
      </c>
      <c r="Q5" s="82">
        <f t="shared" ca="1" si="3"/>
        <v>7.5</v>
      </c>
      <c r="R5" s="82">
        <f t="shared" ca="1" si="3"/>
        <v>7</v>
      </c>
      <c r="S5" s="82">
        <f t="shared" ca="1" si="3"/>
        <v>9</v>
      </c>
      <c r="T5" s="82">
        <f t="shared" ca="1" si="3"/>
        <v>8</v>
      </c>
      <c r="U5" s="82">
        <f t="shared" ca="1" si="3"/>
        <v>7</v>
      </c>
      <c r="V5" s="82">
        <f t="shared" ca="1" si="3"/>
        <v>6</v>
      </c>
      <c r="W5" s="82">
        <f t="shared" ca="1" si="3"/>
        <v>5</v>
      </c>
      <c r="X5" s="82">
        <f t="shared" ca="1" si="3"/>
        <v>5</v>
      </c>
      <c r="Y5" s="82">
        <f t="shared" ca="1" si="3"/>
        <v>10</v>
      </c>
      <c r="Z5" s="83">
        <f t="shared" ca="1" si="3"/>
        <v>135</v>
      </c>
      <c r="AA5" s="85"/>
      <c r="AB5" s="83">
        <f t="shared" ca="1" si="3"/>
        <v>24</v>
      </c>
      <c r="AC5" s="83">
        <f t="shared" ca="1" si="3"/>
        <v>11</v>
      </c>
      <c r="AD5" s="83">
        <f t="shared" ca="1" si="3"/>
        <v>8</v>
      </c>
      <c r="AE5" s="82">
        <f t="shared" ca="1" si="3"/>
        <v>0</v>
      </c>
      <c r="AF5" s="83">
        <f t="shared" ca="1" si="3"/>
        <v>0</v>
      </c>
    </row>
    <row r="6" spans="1:32" ht="15" hidden="1" customHeight="1" x14ac:dyDescent="0.2">
      <c r="A6" s="169" t="s">
        <v>63</v>
      </c>
      <c r="B6" s="169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6"/>
      <c r="AA6" s="87"/>
      <c r="AB6" s="86"/>
      <c r="AC6" s="86"/>
      <c r="AD6" s="86"/>
      <c r="AE6" s="82"/>
      <c r="AF6" s="86"/>
    </row>
    <row r="7" spans="1:32" ht="15" customHeight="1" x14ac:dyDescent="0.2">
      <c r="A7" s="88" t="s">
        <v>85</v>
      </c>
      <c r="B7" s="88" t="str">
        <f ca="1">IF(A7&lt;&gt;"",INDIRECT("'"&amp;$A7&amp;"'!E5"),"")</f>
        <v>super(CG)</v>
      </c>
      <c r="C7" s="89">
        <f ca="1">IF($A7&lt;&gt;"",INDIRECT("'"&amp;$A7&amp;"'!L13"),"")</f>
        <v>9</v>
      </c>
      <c r="D7" s="89">
        <f ca="1">IF($A7&lt;&gt;"",INDIRECT("'"&amp;$A7&amp;"'!L14"),"")</f>
        <v>8</v>
      </c>
      <c r="E7" s="89">
        <f ca="1">IF($A7&lt;&gt;"",INDIRECT("'"&amp;$A7&amp;"'!L15"),"")</f>
        <v>7</v>
      </c>
      <c r="F7" s="89">
        <f ca="1">IF($A7&lt;&gt;"",INDIRECT("'"&amp;$A7&amp;"'!L16"),"")</f>
        <v>6</v>
      </c>
      <c r="G7" s="89">
        <f ca="1">IF($A7&lt;&gt;"",INDIRECT("'"&amp;$A7&amp;"'!L17"),"")</f>
        <v>5</v>
      </c>
      <c r="H7" s="89">
        <f ca="1">IF($A7&lt;&gt;"",INDIRECT("'"&amp;$A7&amp;"'!L18"),"")</f>
        <v>5</v>
      </c>
      <c r="I7" s="89">
        <f ca="1">IF($A7&lt;&gt;"",INDIRECT("'"&amp;$A7&amp;"'!L19"),"")</f>
        <v>4</v>
      </c>
      <c r="J7" s="89">
        <f ca="1">IF($A7&lt;&gt;"",INDIRECT("'"&amp;$A7&amp;"'!L20"),"")</f>
        <v>3</v>
      </c>
      <c r="K7" s="89">
        <f ca="1">IF($A7&lt;&gt;"",INDIRECT("'"&amp;$A7&amp;"'!L21"),"")</f>
        <v>2</v>
      </c>
      <c r="L7" s="89">
        <f ca="1">IF($A7&lt;&gt;"",INDIRECT("'"&amp;$A7&amp;"'!L22"),"")</f>
        <v>1</v>
      </c>
      <c r="M7" s="89">
        <f ca="1">IF($A7&lt;&gt;"",INDIRECT("'"&amp;$A7&amp;"'!L23"),"")</f>
        <v>1</v>
      </c>
      <c r="N7" s="89">
        <f ca="1">IF($A7&lt;&gt;"",INDIRECT("'"&amp;$A7&amp;"'!L24"),"")</f>
        <v>10</v>
      </c>
      <c r="O7" s="89">
        <f ca="1">IF($A7&lt;&gt;"",INDIRECT("'"&amp;$A7&amp;"'!L25"),"")</f>
        <v>1</v>
      </c>
      <c r="P7" s="89">
        <f ca="1">IF($A7&lt;&gt;"",INDIRECT("'"&amp;$A7&amp;"'!L26"),"")</f>
        <v>8.5</v>
      </c>
      <c r="Q7" s="89">
        <f ca="1">IF($A7&lt;&gt;"",INDIRECT("'"&amp;$A7&amp;"'!L27"),"")</f>
        <v>7.5</v>
      </c>
      <c r="R7" s="89">
        <f ca="1">IF($A7&lt;&gt;"",INDIRECT("'"&amp;$A7&amp;"'!L28"),"")</f>
        <v>7</v>
      </c>
      <c r="S7" s="89">
        <f ca="1">IF($A7&lt;&gt;"",INDIRECT("'"&amp;$A7&amp;"'!L29"),"")</f>
        <v>9</v>
      </c>
      <c r="T7" s="89">
        <f ca="1">IF($A7&lt;&gt;"",INDIRECT("'"&amp;$A7&amp;"'!L30"),"")</f>
        <v>8</v>
      </c>
      <c r="U7" s="89">
        <f ca="1">IF($A7&lt;&gt;"",INDIRECT("'"&amp;$A7&amp;"'!L31"),"")</f>
        <v>7</v>
      </c>
      <c r="V7" s="89">
        <f ca="1">IF($A7&lt;&gt;"",INDIRECT("'"&amp;$A7&amp;"'!L32"),"")</f>
        <v>6</v>
      </c>
      <c r="W7" s="89">
        <f ca="1">IF($A7&lt;&gt;"",INDIRECT("'"&amp;$A7&amp;"'!L33"),"")</f>
        <v>5</v>
      </c>
      <c r="X7" s="89">
        <f ca="1">IF($A7&lt;&gt;"",INDIRECT("'"&amp;$A7&amp;"'!L34"),"")</f>
        <v>5</v>
      </c>
      <c r="Y7" s="89">
        <f ca="1">IF($A7&lt;&gt;"",INDIRECT("'"&amp;$A7&amp;"'!L35"),"")</f>
        <v>10</v>
      </c>
      <c r="Z7" s="90">
        <f ca="1">IF($A7&lt;&gt;"",INDIRECT("'"&amp;$A7&amp;"'!L36"),"")</f>
        <v>135</v>
      </c>
      <c r="AA7" s="91">
        <f t="shared" ref="AA7:AA13" ca="1" si="4">IF($A7&lt;&gt;"",SUM(C21:Y21)/COUNT(C7:Y7),"")</f>
        <v>0</v>
      </c>
      <c r="AB7" s="90">
        <f ca="1">IF($A7&lt;&gt;"",INDIRECT("'"&amp;$A7&amp;"'!F36"),"")</f>
        <v>24</v>
      </c>
      <c r="AC7" s="90">
        <f ca="1">IF($A7&lt;&gt;"",INDIRECT("'"&amp;$A7&amp;"'!H36"),"")</f>
        <v>11</v>
      </c>
      <c r="AD7" s="90">
        <f ca="1">IF($A7&lt;&gt;"",INDIRECT("'"&amp;$A7&amp;"'!I36"),"")</f>
        <v>8</v>
      </c>
      <c r="AE7" s="89">
        <f ca="1">IF($A7&lt;&gt;"",INDIRECT("'"&amp;$A7&amp;"'!J36"),"")</f>
        <v>0</v>
      </c>
      <c r="AF7" s="90">
        <f ca="1">IF($A7&lt;&gt;"",INDIRECT("'"&amp;$A7&amp;"'!K36"),"")</f>
        <v>0</v>
      </c>
    </row>
    <row r="8" spans="1:32" ht="15" customHeight="1" x14ac:dyDescent="0.2">
      <c r="A8" s="14" t="s">
        <v>73</v>
      </c>
      <c r="B8" s="14" t="str">
        <f t="shared" ref="B8:B13" ca="1" si="5">IF(A8&lt;&gt;"",INDIRECT("'"&amp;$A8&amp;"'!E5"),"")</f>
        <v>one(CA)</v>
      </c>
      <c r="C8" s="82">
        <f t="shared" ref="C8:C13" ca="1" si="6">IF($A8&lt;&gt;"",INDIRECT("'"&amp;$A8&amp;"'!L13"),"")</f>
        <v>9</v>
      </c>
      <c r="D8" s="82">
        <f t="shared" ref="D8:D13" ca="1" si="7">IF($A8&lt;&gt;"",INDIRECT("'"&amp;$A8&amp;"'!L14"),"")</f>
        <v>8</v>
      </c>
      <c r="E8" s="82">
        <f t="shared" ref="E8:E13" ca="1" si="8">IF($A8&lt;&gt;"",INDIRECT("'"&amp;$A8&amp;"'!L15"),"")</f>
        <v>7</v>
      </c>
      <c r="F8" s="82">
        <f t="shared" ref="F8:F13" ca="1" si="9">IF($A8&lt;&gt;"",INDIRECT("'"&amp;$A8&amp;"'!L16"),"")</f>
        <v>6</v>
      </c>
      <c r="G8" s="82">
        <f t="shared" ref="G8:G13" ca="1" si="10">IF($A8&lt;&gt;"",INDIRECT("'"&amp;$A8&amp;"'!L17"),"")</f>
        <v>5</v>
      </c>
      <c r="H8" s="82">
        <f t="shared" ref="H8:H13" ca="1" si="11">IF($A8&lt;&gt;"",INDIRECT("'"&amp;$A8&amp;"'!L18"),"")</f>
        <v>5</v>
      </c>
      <c r="I8" s="82">
        <f t="shared" ref="I8:I13" ca="1" si="12">IF($A8&lt;&gt;"",INDIRECT("'"&amp;$A8&amp;"'!L19"),"")</f>
        <v>4</v>
      </c>
      <c r="J8" s="82">
        <f t="shared" ref="J8:J13" ca="1" si="13">IF($A8&lt;&gt;"",INDIRECT("'"&amp;$A8&amp;"'!L20"),"")</f>
        <v>3</v>
      </c>
      <c r="K8" s="82">
        <f t="shared" ref="K8:K13" ca="1" si="14">IF($A8&lt;&gt;"",INDIRECT("'"&amp;$A8&amp;"'!L21"),"")</f>
        <v>2</v>
      </c>
      <c r="L8" s="82">
        <f t="shared" ref="L8:L13" ca="1" si="15">IF($A8&lt;&gt;"",INDIRECT("'"&amp;$A8&amp;"'!L22"),"")</f>
        <v>1</v>
      </c>
      <c r="M8" s="82">
        <f t="shared" ref="M8:M13" ca="1" si="16">IF($A8&lt;&gt;"",INDIRECT("'"&amp;$A8&amp;"'!L23"),"")</f>
        <v>1</v>
      </c>
      <c r="N8" s="82">
        <f t="shared" ref="N8:N13" ca="1" si="17">IF($A8&lt;&gt;"",INDIRECT("'"&amp;$A8&amp;"'!L24"),"")</f>
        <v>10</v>
      </c>
      <c r="O8" s="82">
        <f t="shared" ref="O8:O13" ca="1" si="18">IF($A8&lt;&gt;"",INDIRECT("'"&amp;$A8&amp;"'!L25"),"")</f>
        <v>1</v>
      </c>
      <c r="P8" s="82">
        <f t="shared" ref="P8:P13" ca="1" si="19">IF($A8&lt;&gt;"",INDIRECT("'"&amp;$A8&amp;"'!L26"),"")</f>
        <v>8.5</v>
      </c>
      <c r="Q8" s="82">
        <f t="shared" ref="Q8:Q13" ca="1" si="20">IF($A8&lt;&gt;"",INDIRECT("'"&amp;$A8&amp;"'!L27"),"")</f>
        <v>7.5</v>
      </c>
      <c r="R8" s="82">
        <f t="shared" ref="R8:R13" ca="1" si="21">IF($A8&lt;&gt;"",INDIRECT("'"&amp;$A8&amp;"'!L28"),"")</f>
        <v>7</v>
      </c>
      <c r="S8" s="82">
        <f t="shared" ref="S8:S13" ca="1" si="22">IF($A8&lt;&gt;"",INDIRECT("'"&amp;$A8&amp;"'!L29"),"")</f>
        <v>9</v>
      </c>
      <c r="T8" s="82">
        <f t="shared" ref="T8:T13" ca="1" si="23">IF($A8&lt;&gt;"",INDIRECT("'"&amp;$A8&amp;"'!L30"),"")</f>
        <v>8</v>
      </c>
      <c r="U8" s="82">
        <f t="shared" ref="U8:U13" ca="1" si="24">IF($A8&lt;&gt;"",INDIRECT("'"&amp;$A8&amp;"'!L31"),"")</f>
        <v>7</v>
      </c>
      <c r="V8" s="82">
        <f t="shared" ref="V8:V13" ca="1" si="25">IF($A8&lt;&gt;"",INDIRECT("'"&amp;$A8&amp;"'!L32"),"")</f>
        <v>6</v>
      </c>
      <c r="W8" s="82">
        <f t="shared" ref="W8:W13" ca="1" si="26">IF($A8&lt;&gt;"",INDIRECT("'"&amp;$A8&amp;"'!L33"),"")</f>
        <v>5</v>
      </c>
      <c r="X8" s="82">
        <f t="shared" ref="X8:X13" ca="1" si="27">IF($A8&lt;&gt;"",INDIRECT("'"&amp;$A8&amp;"'!L34"),"")</f>
        <v>5</v>
      </c>
      <c r="Y8" s="82">
        <f t="shared" ref="Y8:Y13" ca="1" si="28">IF($A8&lt;&gt;"",INDIRECT("'"&amp;$A8&amp;"'!L35"),"")</f>
        <v>10</v>
      </c>
      <c r="Z8" s="83">
        <f t="shared" ref="Z8:Z13" ca="1" si="29">IF($A8&lt;&gt;"",INDIRECT("'"&amp;$A8&amp;"'!L36"),"")</f>
        <v>135</v>
      </c>
      <c r="AA8" s="92">
        <f t="shared" ca="1" si="4"/>
        <v>1</v>
      </c>
      <c r="AB8" s="83">
        <f t="shared" ref="AB8:AB13" ca="1" si="30">IF($A8&lt;&gt;"",INDIRECT("'"&amp;$A8&amp;"'!F36"),"")</f>
        <v>24</v>
      </c>
      <c r="AC8" s="83">
        <f t="shared" ref="AC8:AC13" ca="1" si="31">IF($A8&lt;&gt;"",INDIRECT("'"&amp;$A8&amp;"'!H36"),"")</f>
        <v>11</v>
      </c>
      <c r="AD8" s="83">
        <f t="shared" ref="AD8:AD13" ca="1" si="32">IF($A8&lt;&gt;"",INDIRECT("'"&amp;$A8&amp;"'!I36"),"")</f>
        <v>8</v>
      </c>
      <c r="AE8" s="82">
        <f t="shared" ref="AE8:AE13" ca="1" si="33">IF($A8&lt;&gt;"",INDIRECT("'"&amp;$A8&amp;"'!J36"),"")</f>
        <v>0</v>
      </c>
      <c r="AF8" s="83">
        <f t="shared" ref="AF8:AF13" ca="1" si="34">IF($A8&lt;&gt;"",INDIRECT("'"&amp;$A8&amp;"'!K36"),"")</f>
        <v>0</v>
      </c>
    </row>
    <row r="9" spans="1:32" ht="15" customHeight="1" x14ac:dyDescent="0.2">
      <c r="A9" s="14" t="s">
        <v>75</v>
      </c>
      <c r="B9" s="14" t="str">
        <f t="shared" ca="1" si="5"/>
        <v>two(CB)</v>
      </c>
      <c r="C9" s="82">
        <f t="shared" ca="1" si="6"/>
        <v>9</v>
      </c>
      <c r="D9" s="82">
        <f t="shared" ca="1" si="7"/>
        <v>8</v>
      </c>
      <c r="E9" s="82">
        <f t="shared" ca="1" si="8"/>
        <v>7</v>
      </c>
      <c r="F9" s="82">
        <f t="shared" ca="1" si="9"/>
        <v>6</v>
      </c>
      <c r="G9" s="82">
        <f t="shared" ca="1" si="10"/>
        <v>5</v>
      </c>
      <c r="H9" s="82">
        <f t="shared" ca="1" si="11"/>
        <v>5</v>
      </c>
      <c r="I9" s="82">
        <f t="shared" ca="1" si="12"/>
        <v>4</v>
      </c>
      <c r="J9" s="82">
        <f t="shared" ca="1" si="13"/>
        <v>3</v>
      </c>
      <c r="K9" s="82">
        <f t="shared" ca="1" si="14"/>
        <v>2</v>
      </c>
      <c r="L9" s="82">
        <f t="shared" ca="1" si="15"/>
        <v>1</v>
      </c>
      <c r="M9" s="82">
        <f t="shared" ca="1" si="16"/>
        <v>1</v>
      </c>
      <c r="N9" s="82">
        <f t="shared" ca="1" si="17"/>
        <v>10</v>
      </c>
      <c r="O9" s="82">
        <f t="shared" ca="1" si="18"/>
        <v>1</v>
      </c>
      <c r="P9" s="82">
        <f t="shared" ca="1" si="19"/>
        <v>8.5</v>
      </c>
      <c r="Q9" s="82">
        <f t="shared" ca="1" si="20"/>
        <v>7.5</v>
      </c>
      <c r="R9" s="82">
        <f t="shared" ca="1" si="21"/>
        <v>7</v>
      </c>
      <c r="S9" s="82">
        <f t="shared" ca="1" si="22"/>
        <v>9</v>
      </c>
      <c r="T9" s="82">
        <f t="shared" ca="1" si="23"/>
        <v>8</v>
      </c>
      <c r="U9" s="82">
        <f t="shared" ca="1" si="24"/>
        <v>7</v>
      </c>
      <c r="V9" s="82">
        <f t="shared" ca="1" si="25"/>
        <v>6</v>
      </c>
      <c r="W9" s="82">
        <f t="shared" ca="1" si="26"/>
        <v>5</v>
      </c>
      <c r="X9" s="82">
        <f t="shared" ca="1" si="27"/>
        <v>5</v>
      </c>
      <c r="Y9" s="82">
        <f t="shared" ca="1" si="28"/>
        <v>10</v>
      </c>
      <c r="Z9" s="83">
        <f t="shared" ca="1" si="29"/>
        <v>135</v>
      </c>
      <c r="AA9" s="93">
        <f t="shared" ca="1" si="4"/>
        <v>1</v>
      </c>
      <c r="AB9" s="83">
        <f t="shared" ca="1" si="30"/>
        <v>24</v>
      </c>
      <c r="AC9" s="83">
        <f t="shared" ca="1" si="31"/>
        <v>11</v>
      </c>
      <c r="AD9" s="83">
        <f t="shared" ca="1" si="32"/>
        <v>8</v>
      </c>
      <c r="AE9" s="82">
        <f t="shared" ca="1" si="33"/>
        <v>0</v>
      </c>
      <c r="AF9" s="83">
        <f t="shared" ca="1" si="34"/>
        <v>0</v>
      </c>
    </row>
    <row r="10" spans="1:32" ht="15" customHeight="1" x14ac:dyDescent="0.2">
      <c r="A10" s="14" t="s">
        <v>77</v>
      </c>
      <c r="B10" s="14" t="str">
        <f t="shared" ca="1" si="5"/>
        <v>head(CC)</v>
      </c>
      <c r="C10" s="82">
        <f t="shared" ca="1" si="6"/>
        <v>9</v>
      </c>
      <c r="D10" s="82">
        <f t="shared" ca="1" si="7"/>
        <v>8</v>
      </c>
      <c r="E10" s="82">
        <f t="shared" ca="1" si="8"/>
        <v>7</v>
      </c>
      <c r="F10" s="82">
        <f t="shared" ca="1" si="9"/>
        <v>6</v>
      </c>
      <c r="G10" s="82">
        <f t="shared" ca="1" si="10"/>
        <v>5</v>
      </c>
      <c r="H10" s="82">
        <f t="shared" ca="1" si="11"/>
        <v>5</v>
      </c>
      <c r="I10" s="82">
        <f t="shared" ca="1" si="12"/>
        <v>4</v>
      </c>
      <c r="J10" s="82">
        <f t="shared" ca="1" si="13"/>
        <v>3</v>
      </c>
      <c r="K10" s="82">
        <f t="shared" ca="1" si="14"/>
        <v>2</v>
      </c>
      <c r="L10" s="82">
        <f t="shared" ca="1" si="15"/>
        <v>1</v>
      </c>
      <c r="M10" s="82">
        <f t="shared" ca="1" si="16"/>
        <v>1</v>
      </c>
      <c r="N10" s="82">
        <f t="shared" ca="1" si="17"/>
        <v>10</v>
      </c>
      <c r="O10" s="82">
        <f t="shared" ca="1" si="18"/>
        <v>1</v>
      </c>
      <c r="P10" s="82">
        <f t="shared" ca="1" si="19"/>
        <v>8.5</v>
      </c>
      <c r="Q10" s="82">
        <f t="shared" ca="1" si="20"/>
        <v>7.5</v>
      </c>
      <c r="R10" s="82">
        <f t="shared" ca="1" si="21"/>
        <v>7</v>
      </c>
      <c r="S10" s="82">
        <f t="shared" ca="1" si="22"/>
        <v>9</v>
      </c>
      <c r="T10" s="82">
        <f t="shared" ca="1" si="23"/>
        <v>8</v>
      </c>
      <c r="U10" s="82">
        <f t="shared" ca="1" si="24"/>
        <v>7</v>
      </c>
      <c r="V10" s="82">
        <f t="shared" ca="1" si="25"/>
        <v>6</v>
      </c>
      <c r="W10" s="82">
        <f t="shared" ca="1" si="26"/>
        <v>5</v>
      </c>
      <c r="X10" s="82">
        <f t="shared" ca="1" si="27"/>
        <v>5</v>
      </c>
      <c r="Y10" s="82">
        <f t="shared" ca="1" si="28"/>
        <v>10</v>
      </c>
      <c r="Z10" s="83">
        <f t="shared" ca="1" si="29"/>
        <v>135</v>
      </c>
      <c r="AA10" s="93">
        <f t="shared" ca="1" si="4"/>
        <v>1</v>
      </c>
      <c r="AB10" s="83">
        <f t="shared" ca="1" si="30"/>
        <v>24</v>
      </c>
      <c r="AC10" s="83">
        <f t="shared" ca="1" si="31"/>
        <v>11</v>
      </c>
      <c r="AD10" s="83">
        <f t="shared" ca="1" si="32"/>
        <v>8</v>
      </c>
      <c r="AE10" s="82">
        <f t="shared" ca="1" si="33"/>
        <v>0</v>
      </c>
      <c r="AF10" s="83">
        <f t="shared" ca="1" si="34"/>
        <v>0</v>
      </c>
    </row>
    <row r="11" spans="1:32" ht="15" customHeight="1" x14ac:dyDescent="0.2">
      <c r="A11" s="14" t="s">
        <v>79</v>
      </c>
      <c r="B11" s="14" t="str">
        <f t="shared" ca="1" si="5"/>
        <v>four-out(C3)</v>
      </c>
      <c r="C11" s="82">
        <f t="shared" ca="1" si="6"/>
        <v>9</v>
      </c>
      <c r="D11" s="82">
        <f t="shared" ca="1" si="7"/>
        <v>8</v>
      </c>
      <c r="E11" s="82">
        <f t="shared" ca="1" si="8"/>
        <v>7</v>
      </c>
      <c r="F11" s="82">
        <f t="shared" ca="1" si="9"/>
        <v>6</v>
      </c>
      <c r="G11" s="82">
        <f t="shared" ca="1" si="10"/>
        <v>5</v>
      </c>
      <c r="H11" s="82">
        <f t="shared" ca="1" si="11"/>
        <v>5</v>
      </c>
      <c r="I11" s="82">
        <f t="shared" ca="1" si="12"/>
        <v>4</v>
      </c>
      <c r="J11" s="82">
        <f t="shared" ca="1" si="13"/>
        <v>3</v>
      </c>
      <c r="K11" s="82">
        <f t="shared" ca="1" si="14"/>
        <v>2</v>
      </c>
      <c r="L11" s="82">
        <f t="shared" ca="1" si="15"/>
        <v>1</v>
      </c>
      <c r="M11" s="82">
        <f t="shared" ca="1" si="16"/>
        <v>1</v>
      </c>
      <c r="N11" s="82">
        <f t="shared" ca="1" si="17"/>
        <v>10</v>
      </c>
      <c r="O11" s="82">
        <f t="shared" ca="1" si="18"/>
        <v>1</v>
      </c>
      <c r="P11" s="82">
        <f t="shared" ca="1" si="19"/>
        <v>8.5</v>
      </c>
      <c r="Q11" s="82">
        <f t="shared" ca="1" si="20"/>
        <v>7.5</v>
      </c>
      <c r="R11" s="82">
        <f t="shared" ca="1" si="21"/>
        <v>7</v>
      </c>
      <c r="S11" s="82">
        <f t="shared" ca="1" si="22"/>
        <v>9</v>
      </c>
      <c r="T11" s="82">
        <f t="shared" ca="1" si="23"/>
        <v>8</v>
      </c>
      <c r="U11" s="82">
        <f t="shared" ca="1" si="24"/>
        <v>7</v>
      </c>
      <c r="V11" s="82">
        <f t="shared" ca="1" si="25"/>
        <v>6</v>
      </c>
      <c r="W11" s="82">
        <f t="shared" ca="1" si="26"/>
        <v>5</v>
      </c>
      <c r="X11" s="82">
        <f t="shared" ca="1" si="27"/>
        <v>5</v>
      </c>
      <c r="Y11" s="82">
        <f t="shared" ca="1" si="28"/>
        <v>10</v>
      </c>
      <c r="Z11" s="83">
        <f t="shared" ca="1" si="29"/>
        <v>135</v>
      </c>
      <c r="AA11" s="93">
        <f t="shared" ca="1" si="4"/>
        <v>1</v>
      </c>
      <c r="AB11" s="83">
        <f t="shared" ca="1" si="30"/>
        <v>24</v>
      </c>
      <c r="AC11" s="83">
        <f t="shared" ca="1" si="31"/>
        <v>11</v>
      </c>
      <c r="AD11" s="83">
        <f t="shared" ca="1" si="32"/>
        <v>8</v>
      </c>
      <c r="AE11" s="82">
        <f t="shared" ca="1" si="33"/>
        <v>0</v>
      </c>
      <c r="AF11" s="83">
        <f t="shared" ca="1" si="34"/>
        <v>0</v>
      </c>
    </row>
    <row r="12" spans="1:32" ht="15" customHeight="1" thickBot="1" x14ac:dyDescent="0.25">
      <c r="A12" s="14" t="s">
        <v>81</v>
      </c>
      <c r="B12" s="94" t="str">
        <f t="shared" ca="1" si="5"/>
        <v>five(CE)</v>
      </c>
      <c r="C12" s="95">
        <f t="shared" ca="1" si="6"/>
        <v>9</v>
      </c>
      <c r="D12" s="95">
        <f t="shared" ca="1" si="7"/>
        <v>8</v>
      </c>
      <c r="E12" s="95">
        <f t="shared" ca="1" si="8"/>
        <v>7</v>
      </c>
      <c r="F12" s="95">
        <f t="shared" ca="1" si="9"/>
        <v>6</v>
      </c>
      <c r="G12" s="95">
        <f t="shared" ca="1" si="10"/>
        <v>5</v>
      </c>
      <c r="H12" s="95">
        <f t="shared" ca="1" si="11"/>
        <v>5</v>
      </c>
      <c r="I12" s="95">
        <f t="shared" ca="1" si="12"/>
        <v>4</v>
      </c>
      <c r="J12" s="95">
        <f t="shared" ca="1" si="13"/>
        <v>3</v>
      </c>
      <c r="K12" s="95">
        <f t="shared" ca="1" si="14"/>
        <v>2</v>
      </c>
      <c r="L12" s="95">
        <f t="shared" ca="1" si="15"/>
        <v>1</v>
      </c>
      <c r="M12" s="95">
        <f t="shared" ca="1" si="16"/>
        <v>1</v>
      </c>
      <c r="N12" s="95">
        <f t="shared" ca="1" si="17"/>
        <v>10</v>
      </c>
      <c r="O12" s="95">
        <f t="shared" ca="1" si="18"/>
        <v>1</v>
      </c>
      <c r="P12" s="95">
        <f t="shared" ca="1" si="19"/>
        <v>8.5</v>
      </c>
      <c r="Q12" s="95">
        <f t="shared" ca="1" si="20"/>
        <v>7.5</v>
      </c>
      <c r="R12" s="95">
        <f t="shared" ca="1" si="21"/>
        <v>7</v>
      </c>
      <c r="S12" s="95">
        <f t="shared" ca="1" si="22"/>
        <v>9</v>
      </c>
      <c r="T12" s="95">
        <f t="shared" ca="1" si="23"/>
        <v>8</v>
      </c>
      <c r="U12" s="95">
        <f t="shared" ca="1" si="24"/>
        <v>7</v>
      </c>
      <c r="V12" s="95">
        <f t="shared" ca="1" si="25"/>
        <v>6</v>
      </c>
      <c r="W12" s="95">
        <f t="shared" ca="1" si="26"/>
        <v>5</v>
      </c>
      <c r="X12" s="95">
        <f t="shared" ca="1" si="27"/>
        <v>5</v>
      </c>
      <c r="Y12" s="95">
        <f t="shared" ca="1" si="28"/>
        <v>10</v>
      </c>
      <c r="Z12" s="96">
        <f t="shared" ca="1" si="29"/>
        <v>135</v>
      </c>
      <c r="AA12" s="93">
        <f t="shared" ca="1" si="4"/>
        <v>1</v>
      </c>
      <c r="AB12" s="96">
        <f t="shared" ca="1" si="30"/>
        <v>24</v>
      </c>
      <c r="AC12" s="96">
        <f t="shared" ca="1" si="31"/>
        <v>11</v>
      </c>
      <c r="AD12" s="96">
        <f t="shared" ca="1" si="32"/>
        <v>8</v>
      </c>
      <c r="AE12" s="95">
        <f t="shared" ca="1" si="33"/>
        <v>0</v>
      </c>
      <c r="AF12" s="96">
        <f t="shared" ca="1" si="34"/>
        <v>0</v>
      </c>
    </row>
    <row r="13" spans="1:32" ht="13.5" thickBot="1" x14ac:dyDescent="0.25">
      <c r="A13" s="97" t="s">
        <v>83</v>
      </c>
      <c r="B13" s="97" t="str">
        <f t="shared" ca="1" si="5"/>
        <v>springer(CF)</v>
      </c>
      <c r="C13" s="98">
        <f t="shared" ca="1" si="6"/>
        <v>9</v>
      </c>
      <c r="D13" s="98">
        <f t="shared" ca="1" si="7"/>
        <v>8</v>
      </c>
      <c r="E13" s="98">
        <f t="shared" ca="1" si="8"/>
        <v>7</v>
      </c>
      <c r="F13" s="98">
        <f t="shared" ca="1" si="9"/>
        <v>6</v>
      </c>
      <c r="G13" s="98">
        <f t="shared" ca="1" si="10"/>
        <v>5</v>
      </c>
      <c r="H13" s="98">
        <f t="shared" ca="1" si="11"/>
        <v>5</v>
      </c>
      <c r="I13" s="98">
        <f t="shared" ca="1" si="12"/>
        <v>4</v>
      </c>
      <c r="J13" s="98">
        <f t="shared" ca="1" si="13"/>
        <v>3</v>
      </c>
      <c r="K13" s="98">
        <f t="shared" ca="1" si="14"/>
        <v>2</v>
      </c>
      <c r="L13" s="98">
        <f t="shared" ca="1" si="15"/>
        <v>1</v>
      </c>
      <c r="M13" s="98">
        <f t="shared" ca="1" si="16"/>
        <v>1</v>
      </c>
      <c r="N13" s="98">
        <f t="shared" ca="1" si="17"/>
        <v>10</v>
      </c>
      <c r="O13" s="98">
        <f t="shared" ca="1" si="18"/>
        <v>1</v>
      </c>
      <c r="P13" s="98">
        <f t="shared" ca="1" si="19"/>
        <v>8.5</v>
      </c>
      <c r="Q13" s="98">
        <f t="shared" ca="1" si="20"/>
        <v>7.5</v>
      </c>
      <c r="R13" s="98">
        <f t="shared" ca="1" si="21"/>
        <v>7</v>
      </c>
      <c r="S13" s="98">
        <f t="shared" ca="1" si="22"/>
        <v>9</v>
      </c>
      <c r="T13" s="98">
        <f t="shared" ca="1" si="23"/>
        <v>8</v>
      </c>
      <c r="U13" s="98">
        <f t="shared" ca="1" si="24"/>
        <v>7</v>
      </c>
      <c r="V13" s="98">
        <f t="shared" ca="1" si="25"/>
        <v>6</v>
      </c>
      <c r="W13" s="98">
        <f t="shared" ca="1" si="26"/>
        <v>5</v>
      </c>
      <c r="X13" s="98">
        <f t="shared" ca="1" si="27"/>
        <v>5</v>
      </c>
      <c r="Y13" s="98">
        <f t="shared" ca="1" si="28"/>
        <v>10</v>
      </c>
      <c r="Z13" s="99">
        <f t="shared" ca="1" si="29"/>
        <v>135</v>
      </c>
      <c r="AA13" s="100">
        <f t="shared" ca="1" si="4"/>
        <v>1</v>
      </c>
      <c r="AB13" s="99">
        <f t="shared" ca="1" si="30"/>
        <v>24</v>
      </c>
      <c r="AC13" s="99">
        <f t="shared" ca="1" si="31"/>
        <v>11</v>
      </c>
      <c r="AD13" s="99">
        <f t="shared" ca="1" si="32"/>
        <v>8</v>
      </c>
      <c r="AE13" s="98">
        <f t="shared" ca="1" si="33"/>
        <v>0</v>
      </c>
      <c r="AF13" s="99">
        <f t="shared" ca="1" si="34"/>
        <v>0</v>
      </c>
    </row>
    <row r="14" spans="1:32" ht="15" customHeight="1" x14ac:dyDescent="0.2">
      <c r="A14" s="101"/>
      <c r="B14" s="101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3"/>
      <c r="AA14" s="104"/>
      <c r="AB14" s="105"/>
      <c r="AC14" s="105"/>
      <c r="AD14" s="105"/>
      <c r="AE14" s="102"/>
      <c r="AF14" s="105"/>
    </row>
    <row r="15" spans="1:32" x14ac:dyDescent="0.2">
      <c r="A15" s="101"/>
      <c r="B15" s="101" t="str">
        <f t="shared" ref="B15:B16" ca="1" si="35">IF(A15&lt;&gt;"",INDIRECT("'"&amp;$A15&amp;"'!E5"),"")</f>
        <v/>
      </c>
      <c r="C15" s="102" t="str">
        <f t="shared" ref="C15:C16" ca="1" si="36">IF($A15&lt;&gt;"",INDIRECT("'"&amp;$A15&amp;"'!L13"),"")</f>
        <v/>
      </c>
      <c r="D15" s="102" t="str">
        <f t="shared" ref="D15:D16" ca="1" si="37">IF($A15&lt;&gt;"",INDIRECT("'"&amp;$A15&amp;"'!L14"),"")</f>
        <v/>
      </c>
      <c r="E15" s="102" t="str">
        <f t="shared" ref="E15:E16" ca="1" si="38">IF($A15&lt;&gt;"",INDIRECT("'"&amp;$A15&amp;"'!L15"),"")</f>
        <v/>
      </c>
      <c r="F15" s="102" t="str">
        <f t="shared" ref="F15:F16" ca="1" si="39">IF($A15&lt;&gt;"",INDIRECT("'"&amp;$A15&amp;"'!L16"),"")</f>
        <v/>
      </c>
      <c r="G15" s="102" t="str">
        <f t="shared" ref="G15:G16" ca="1" si="40">IF($A15&lt;&gt;"",INDIRECT("'"&amp;$A15&amp;"'!L17"),"")</f>
        <v/>
      </c>
      <c r="H15" s="102" t="str">
        <f t="shared" ref="H15:H16" ca="1" si="41">IF($A15&lt;&gt;"",INDIRECT("'"&amp;$A15&amp;"'!L18"),"")</f>
        <v/>
      </c>
      <c r="I15" s="102" t="str">
        <f t="shared" ref="I15:I16" ca="1" si="42">IF($A15&lt;&gt;"",INDIRECT("'"&amp;$A15&amp;"'!L19"),"")</f>
        <v/>
      </c>
      <c r="J15" s="102" t="str">
        <f t="shared" ref="J15:J16" ca="1" si="43">IF($A15&lt;&gt;"",INDIRECT("'"&amp;$A15&amp;"'!L20"),"")</f>
        <v/>
      </c>
      <c r="K15" s="102" t="str">
        <f t="shared" ref="K15:K16" ca="1" si="44">IF($A15&lt;&gt;"",INDIRECT("'"&amp;$A15&amp;"'!L21"),"")</f>
        <v/>
      </c>
      <c r="L15" s="102" t="str">
        <f t="shared" ref="L15:L16" ca="1" si="45">IF($A15&lt;&gt;"",INDIRECT("'"&amp;$A15&amp;"'!L22"),"")</f>
        <v/>
      </c>
      <c r="M15" s="102" t="str">
        <f t="shared" ref="M15:M16" ca="1" si="46">IF($A15&lt;&gt;"",INDIRECT("'"&amp;$A15&amp;"'!L23"),"")</f>
        <v/>
      </c>
      <c r="N15" s="102" t="str">
        <f t="shared" ref="N15:N16" ca="1" si="47">IF($A15&lt;&gt;"",INDIRECT("'"&amp;$A15&amp;"'!L24"),"")</f>
        <v/>
      </c>
      <c r="O15" s="102" t="str">
        <f t="shared" ref="O15:O16" ca="1" si="48">IF($A15&lt;&gt;"",INDIRECT("'"&amp;$A15&amp;"'!L25"),"")</f>
        <v/>
      </c>
      <c r="P15" s="102" t="str">
        <f t="shared" ref="P15:P16" ca="1" si="49">IF($A15&lt;&gt;"",INDIRECT("'"&amp;$A15&amp;"'!L26"),"")</f>
        <v/>
      </c>
      <c r="Q15" s="102" t="str">
        <f t="shared" ref="Q15:Q16" ca="1" si="50">IF($A15&lt;&gt;"",INDIRECT("'"&amp;$A15&amp;"'!L27"),"")</f>
        <v/>
      </c>
      <c r="R15" s="102" t="str">
        <f t="shared" ref="R15:R16" ca="1" si="51">IF($A15&lt;&gt;"",INDIRECT("'"&amp;$A15&amp;"'!L28"),"")</f>
        <v/>
      </c>
      <c r="S15" s="102" t="str">
        <f t="shared" ref="S15:S16" ca="1" si="52">IF($A15&lt;&gt;"",INDIRECT("'"&amp;$A15&amp;"'!L29"),"")</f>
        <v/>
      </c>
      <c r="T15" s="102" t="str">
        <f t="shared" ref="T15:T16" ca="1" si="53">IF($A15&lt;&gt;"",INDIRECT("'"&amp;$A15&amp;"'!L30"),"")</f>
        <v/>
      </c>
      <c r="U15" s="102" t="str">
        <f t="shared" ref="U15:U16" ca="1" si="54">IF($A15&lt;&gt;"",INDIRECT("'"&amp;$A15&amp;"'!L31"),"")</f>
        <v/>
      </c>
      <c r="V15" s="102" t="str">
        <f t="shared" ref="V15:V16" ca="1" si="55">IF($A15&lt;&gt;"",INDIRECT("'"&amp;$A15&amp;"'!L32"),"")</f>
        <v/>
      </c>
      <c r="W15" s="102" t="str">
        <f t="shared" ref="W15:W16" ca="1" si="56">IF($A15&lt;&gt;"",INDIRECT("'"&amp;$A15&amp;"'!L33"),"")</f>
        <v/>
      </c>
      <c r="X15" s="102" t="str">
        <f t="shared" ref="X15:X16" ca="1" si="57">IF($A15&lt;&gt;"",INDIRECT("'"&amp;$A15&amp;"'!L34"),"")</f>
        <v/>
      </c>
      <c r="Y15" s="102" t="str">
        <f t="shared" ref="Y15:Y16" ca="1" si="58">IF($A15&lt;&gt;"",INDIRECT("'"&amp;$A15&amp;"'!L35"),"")</f>
        <v/>
      </c>
      <c r="Z15" s="105" t="str">
        <f t="shared" ref="Z15:Z16" ca="1" si="59">IF($A15&lt;&gt;"",INDIRECT("'"&amp;$A15&amp;"'!L36"),"")</f>
        <v/>
      </c>
      <c r="AA15" s="106" t="str">
        <f t="shared" ref="AA15:AA16" si="60">IF($A15&lt;&gt;"",SUM(C29:Y29)/COUNT(C15:Y15),"")</f>
        <v/>
      </c>
      <c r="AB15" s="105" t="str">
        <f t="shared" ref="AB15:AB16" ca="1" si="61">IF($A15&lt;&gt;"",INDIRECT("'"&amp;$A15&amp;"'!F36"),"")</f>
        <v/>
      </c>
      <c r="AC15" s="105" t="str">
        <f t="shared" ref="AC15:AC16" ca="1" si="62">IF($A15&lt;&gt;"",INDIRECT("'"&amp;$A15&amp;"'!H36"),"")</f>
        <v/>
      </c>
      <c r="AD15" s="105" t="str">
        <f t="shared" ref="AD15:AD16" ca="1" si="63">IF($A15&lt;&gt;"",INDIRECT("'"&amp;$A15&amp;"'!I36"),"")</f>
        <v/>
      </c>
      <c r="AE15" s="102" t="str">
        <f t="shared" ref="AE15:AE16" ca="1" si="64">IF($A15&lt;&gt;"",INDIRECT("'"&amp;$A15&amp;"'!J36"),"")</f>
        <v/>
      </c>
      <c r="AF15" s="105" t="str">
        <f t="shared" ref="AF15:AF16" ca="1" si="65">IF($A15&lt;&gt;"",INDIRECT("'"&amp;$A15&amp;"'!K36"),"")</f>
        <v/>
      </c>
    </row>
    <row r="16" spans="1:32" x14ac:dyDescent="0.2">
      <c r="A16" s="101"/>
      <c r="B16" s="101" t="str">
        <f t="shared" ca="1" si="35"/>
        <v/>
      </c>
      <c r="C16" s="102" t="str">
        <f t="shared" ca="1" si="36"/>
        <v/>
      </c>
      <c r="D16" s="102" t="str">
        <f t="shared" ca="1" si="37"/>
        <v/>
      </c>
      <c r="E16" s="102" t="str">
        <f t="shared" ca="1" si="38"/>
        <v/>
      </c>
      <c r="F16" s="102" t="str">
        <f t="shared" ca="1" si="39"/>
        <v/>
      </c>
      <c r="G16" s="102" t="str">
        <f t="shared" ca="1" si="40"/>
        <v/>
      </c>
      <c r="H16" s="102" t="str">
        <f t="shared" ca="1" si="41"/>
        <v/>
      </c>
      <c r="I16" s="102" t="str">
        <f t="shared" ca="1" si="42"/>
        <v/>
      </c>
      <c r="J16" s="102" t="str">
        <f t="shared" ca="1" si="43"/>
        <v/>
      </c>
      <c r="K16" s="102" t="str">
        <f t="shared" ca="1" si="44"/>
        <v/>
      </c>
      <c r="L16" s="102" t="str">
        <f t="shared" ca="1" si="45"/>
        <v/>
      </c>
      <c r="M16" s="102" t="str">
        <f t="shared" ca="1" si="46"/>
        <v/>
      </c>
      <c r="N16" s="102" t="str">
        <f t="shared" ca="1" si="47"/>
        <v/>
      </c>
      <c r="O16" s="102" t="str">
        <f t="shared" ca="1" si="48"/>
        <v/>
      </c>
      <c r="P16" s="102" t="str">
        <f t="shared" ca="1" si="49"/>
        <v/>
      </c>
      <c r="Q16" s="102" t="str">
        <f t="shared" ca="1" si="50"/>
        <v/>
      </c>
      <c r="R16" s="102" t="str">
        <f t="shared" ca="1" si="51"/>
        <v/>
      </c>
      <c r="S16" s="102" t="str">
        <f t="shared" ca="1" si="52"/>
        <v/>
      </c>
      <c r="T16" s="102" t="str">
        <f t="shared" ca="1" si="53"/>
        <v/>
      </c>
      <c r="U16" s="102" t="str">
        <f t="shared" ca="1" si="54"/>
        <v/>
      </c>
      <c r="V16" s="102" t="str">
        <f t="shared" ca="1" si="55"/>
        <v/>
      </c>
      <c r="W16" s="102" t="str">
        <f t="shared" ca="1" si="56"/>
        <v/>
      </c>
      <c r="X16" s="102" t="str">
        <f t="shared" ca="1" si="57"/>
        <v/>
      </c>
      <c r="Y16" s="102" t="str">
        <f t="shared" ca="1" si="58"/>
        <v/>
      </c>
      <c r="Z16" s="105" t="str">
        <f t="shared" ca="1" si="59"/>
        <v/>
      </c>
      <c r="AA16" s="106" t="str">
        <f t="shared" si="60"/>
        <v/>
      </c>
      <c r="AB16" s="105" t="str">
        <f t="shared" ca="1" si="61"/>
        <v/>
      </c>
      <c r="AC16" s="105" t="str">
        <f t="shared" ca="1" si="62"/>
        <v/>
      </c>
      <c r="AD16" s="105" t="str">
        <f t="shared" ca="1" si="63"/>
        <v/>
      </c>
      <c r="AE16" s="102" t="str">
        <f t="shared" ca="1" si="64"/>
        <v/>
      </c>
      <c r="AF16" s="105" t="str">
        <f t="shared" ca="1" si="65"/>
        <v/>
      </c>
    </row>
    <row r="17" spans="1:32" x14ac:dyDescent="0.2">
      <c r="AF17" s="107"/>
    </row>
    <row r="18" spans="1:32" x14ac:dyDescent="0.2">
      <c r="AF18" s="108"/>
    </row>
    <row r="21" spans="1:32" hidden="1" x14ac:dyDescent="0.2">
      <c r="A21" s="14" t="s">
        <v>44</v>
      </c>
    </row>
    <row r="22" spans="1:32" hidden="1" x14ac:dyDescent="0.2">
      <c r="A22" s="14" t="str">
        <f>A8</f>
        <v>Wertung 1</v>
      </c>
      <c r="B22" s="14" t="str">
        <f ca="1">B8</f>
        <v>one(CA)</v>
      </c>
      <c r="C22" s="14">
        <f t="shared" ref="C22:Y30" ca="1" si="66">IF($A8&lt;&gt;"",IF(ABS(C$3/3-C8)&lt;=0.75,1,0),"")</f>
        <v>1</v>
      </c>
      <c r="D22" s="14">
        <f t="shared" ca="1" si="66"/>
        <v>1</v>
      </c>
      <c r="E22" s="14">
        <f t="shared" ca="1" si="66"/>
        <v>1</v>
      </c>
      <c r="F22" s="14">
        <f t="shared" ca="1" si="66"/>
        <v>1</v>
      </c>
      <c r="G22" s="14">
        <f t="shared" ca="1" si="66"/>
        <v>1</v>
      </c>
      <c r="H22" s="14">
        <f t="shared" ca="1" si="66"/>
        <v>1</v>
      </c>
      <c r="I22" s="14">
        <f t="shared" ca="1" si="66"/>
        <v>1</v>
      </c>
      <c r="J22" s="14">
        <f t="shared" ca="1" si="66"/>
        <v>1</v>
      </c>
      <c r="K22" s="14">
        <f t="shared" ca="1" si="66"/>
        <v>1</v>
      </c>
      <c r="L22" s="14">
        <f t="shared" ca="1" si="66"/>
        <v>1</v>
      </c>
      <c r="M22" s="14">
        <f t="shared" ca="1" si="66"/>
        <v>1</v>
      </c>
      <c r="N22" s="14">
        <f t="shared" ca="1" si="66"/>
        <v>1</v>
      </c>
      <c r="O22" s="14">
        <f t="shared" ca="1" si="66"/>
        <v>1</v>
      </c>
      <c r="P22" s="14">
        <f t="shared" ca="1" si="66"/>
        <v>1</v>
      </c>
      <c r="Q22" s="14">
        <f t="shared" ca="1" si="66"/>
        <v>1</v>
      </c>
      <c r="R22" s="14">
        <f t="shared" ca="1" si="66"/>
        <v>1</v>
      </c>
      <c r="S22" s="14">
        <f t="shared" ca="1" si="66"/>
        <v>1</v>
      </c>
      <c r="T22" s="14">
        <f t="shared" ca="1" si="66"/>
        <v>1</v>
      </c>
      <c r="U22" s="14">
        <f t="shared" ca="1" si="66"/>
        <v>1</v>
      </c>
      <c r="V22" s="14">
        <f t="shared" ca="1" si="66"/>
        <v>1</v>
      </c>
      <c r="W22" s="14">
        <f t="shared" ca="1" si="66"/>
        <v>1</v>
      </c>
      <c r="X22" s="14">
        <f t="shared" ca="1" si="66"/>
        <v>1</v>
      </c>
      <c r="Y22" s="14">
        <f t="shared" ca="1" si="66"/>
        <v>1</v>
      </c>
    </row>
    <row r="23" spans="1:32" hidden="1" x14ac:dyDescent="0.2">
      <c r="A23" s="14" t="str">
        <f>A9</f>
        <v>Wertung 2</v>
      </c>
      <c r="B23" s="14" t="str">
        <f ca="1">B9</f>
        <v>two(CB)</v>
      </c>
      <c r="C23" s="14">
        <f t="shared" ca="1" si="66"/>
        <v>1</v>
      </c>
      <c r="D23" s="14">
        <f t="shared" ca="1" si="66"/>
        <v>1</v>
      </c>
      <c r="E23" s="14">
        <f t="shared" ca="1" si="66"/>
        <v>1</v>
      </c>
      <c r="F23" s="14">
        <f t="shared" ca="1" si="66"/>
        <v>1</v>
      </c>
      <c r="G23" s="14">
        <f t="shared" ca="1" si="66"/>
        <v>1</v>
      </c>
      <c r="H23" s="14">
        <f t="shared" ca="1" si="66"/>
        <v>1</v>
      </c>
      <c r="I23" s="14">
        <f t="shared" ca="1" si="66"/>
        <v>1</v>
      </c>
      <c r="J23" s="14">
        <f t="shared" ca="1" si="66"/>
        <v>1</v>
      </c>
      <c r="K23" s="14">
        <f t="shared" ca="1" si="66"/>
        <v>1</v>
      </c>
      <c r="L23" s="14">
        <f t="shared" ca="1" si="66"/>
        <v>1</v>
      </c>
      <c r="M23" s="14">
        <f t="shared" ca="1" si="66"/>
        <v>1</v>
      </c>
      <c r="N23" s="14">
        <f t="shared" ca="1" si="66"/>
        <v>1</v>
      </c>
      <c r="O23" s="14">
        <f t="shared" ca="1" si="66"/>
        <v>1</v>
      </c>
      <c r="P23" s="14">
        <f t="shared" ca="1" si="66"/>
        <v>1</v>
      </c>
      <c r="Q23" s="14">
        <f t="shared" ca="1" si="66"/>
        <v>1</v>
      </c>
      <c r="R23" s="14">
        <f t="shared" ca="1" si="66"/>
        <v>1</v>
      </c>
      <c r="S23" s="14">
        <f t="shared" ca="1" si="66"/>
        <v>1</v>
      </c>
      <c r="T23" s="14">
        <f t="shared" ca="1" si="66"/>
        <v>1</v>
      </c>
      <c r="U23" s="14">
        <f t="shared" ca="1" si="66"/>
        <v>1</v>
      </c>
      <c r="V23" s="14">
        <f t="shared" ca="1" si="66"/>
        <v>1</v>
      </c>
      <c r="W23" s="14">
        <f t="shared" ca="1" si="66"/>
        <v>1</v>
      </c>
      <c r="X23" s="14">
        <f t="shared" ca="1" si="66"/>
        <v>1</v>
      </c>
      <c r="Y23" s="14">
        <f t="shared" ca="1" si="66"/>
        <v>1</v>
      </c>
    </row>
    <row r="24" spans="1:32" hidden="1" x14ac:dyDescent="0.2">
      <c r="A24" s="14" t="str">
        <f>A10</f>
        <v>Wertung 3 (H)</v>
      </c>
      <c r="B24" s="14" t="str">
        <f t="shared" ref="B24:B30" ca="1" si="67">B10</f>
        <v>head(CC)</v>
      </c>
      <c r="C24" s="14">
        <f t="shared" ca="1" si="66"/>
        <v>1</v>
      </c>
      <c r="D24" s="14">
        <f t="shared" ca="1" si="66"/>
        <v>1</v>
      </c>
      <c r="E24" s="14">
        <f t="shared" ca="1" si="66"/>
        <v>1</v>
      </c>
      <c r="F24" s="14">
        <f t="shared" ca="1" si="66"/>
        <v>1</v>
      </c>
      <c r="G24" s="14">
        <f t="shared" ca="1" si="66"/>
        <v>1</v>
      </c>
      <c r="H24" s="14">
        <f t="shared" ca="1" si="66"/>
        <v>1</v>
      </c>
      <c r="I24" s="14">
        <f t="shared" ca="1" si="66"/>
        <v>1</v>
      </c>
      <c r="J24" s="14">
        <f t="shared" ca="1" si="66"/>
        <v>1</v>
      </c>
      <c r="K24" s="14">
        <f t="shared" ca="1" si="66"/>
        <v>1</v>
      </c>
      <c r="L24" s="14">
        <f t="shared" ca="1" si="66"/>
        <v>1</v>
      </c>
      <c r="M24" s="14">
        <f t="shared" ca="1" si="66"/>
        <v>1</v>
      </c>
      <c r="N24" s="14">
        <f t="shared" ca="1" si="66"/>
        <v>1</v>
      </c>
      <c r="O24" s="14">
        <f t="shared" ca="1" si="66"/>
        <v>1</v>
      </c>
      <c r="P24" s="14">
        <f t="shared" ca="1" si="66"/>
        <v>1</v>
      </c>
      <c r="Q24" s="14">
        <f t="shared" ca="1" si="66"/>
        <v>1</v>
      </c>
      <c r="R24" s="14">
        <f t="shared" ca="1" si="66"/>
        <v>1</v>
      </c>
      <c r="S24" s="14">
        <f t="shared" ca="1" si="66"/>
        <v>1</v>
      </c>
      <c r="T24" s="14">
        <f t="shared" ca="1" si="66"/>
        <v>1</v>
      </c>
      <c r="U24" s="14">
        <f t="shared" ca="1" si="66"/>
        <v>1</v>
      </c>
      <c r="V24" s="14">
        <f t="shared" ca="1" si="66"/>
        <v>1</v>
      </c>
      <c r="W24" s="14">
        <f t="shared" ca="1" si="66"/>
        <v>1</v>
      </c>
      <c r="X24" s="14">
        <f t="shared" ca="1" si="66"/>
        <v>1</v>
      </c>
      <c r="Y24" s="14">
        <f t="shared" ca="1" si="66"/>
        <v>1</v>
      </c>
    </row>
    <row r="25" spans="1:32" hidden="1" x14ac:dyDescent="0.2">
      <c r="A25" s="14" t="str">
        <f>A11</f>
        <v>Wertung 4</v>
      </c>
      <c r="B25" s="14" t="str">
        <f t="shared" ca="1" si="67"/>
        <v>four-out(C3)</v>
      </c>
      <c r="C25" s="14">
        <f t="shared" ca="1" si="66"/>
        <v>1</v>
      </c>
      <c r="D25" s="14">
        <f t="shared" ca="1" si="66"/>
        <v>1</v>
      </c>
      <c r="E25" s="14">
        <f t="shared" ca="1" si="66"/>
        <v>1</v>
      </c>
      <c r="F25" s="14">
        <f t="shared" ca="1" si="66"/>
        <v>1</v>
      </c>
      <c r="G25" s="14">
        <f t="shared" ca="1" si="66"/>
        <v>1</v>
      </c>
      <c r="H25" s="14">
        <f t="shared" ca="1" si="66"/>
        <v>1</v>
      </c>
      <c r="I25" s="14">
        <f t="shared" ca="1" si="66"/>
        <v>1</v>
      </c>
      <c r="J25" s="14">
        <f t="shared" ca="1" si="66"/>
        <v>1</v>
      </c>
      <c r="K25" s="14">
        <f t="shared" ca="1" si="66"/>
        <v>1</v>
      </c>
      <c r="L25" s="14">
        <f t="shared" ca="1" si="66"/>
        <v>1</v>
      </c>
      <c r="M25" s="14">
        <f t="shared" ca="1" si="66"/>
        <v>1</v>
      </c>
      <c r="N25" s="14">
        <f t="shared" ca="1" si="66"/>
        <v>1</v>
      </c>
      <c r="O25" s="14">
        <f t="shared" ca="1" si="66"/>
        <v>1</v>
      </c>
      <c r="P25" s="14">
        <f t="shared" ca="1" si="66"/>
        <v>1</v>
      </c>
      <c r="Q25" s="14">
        <f t="shared" ca="1" si="66"/>
        <v>1</v>
      </c>
      <c r="R25" s="14">
        <f t="shared" ca="1" si="66"/>
        <v>1</v>
      </c>
      <c r="S25" s="14">
        <f t="shared" ca="1" si="66"/>
        <v>1</v>
      </c>
      <c r="T25" s="14">
        <f t="shared" ca="1" si="66"/>
        <v>1</v>
      </c>
      <c r="U25" s="14">
        <f t="shared" ca="1" si="66"/>
        <v>1</v>
      </c>
      <c r="V25" s="14">
        <f t="shared" ca="1" si="66"/>
        <v>1</v>
      </c>
      <c r="W25" s="14">
        <f t="shared" ca="1" si="66"/>
        <v>1</v>
      </c>
      <c r="X25" s="14">
        <f t="shared" ca="1" si="66"/>
        <v>1</v>
      </c>
      <c r="Y25" s="14">
        <f t="shared" ca="1" si="66"/>
        <v>1</v>
      </c>
    </row>
    <row r="26" spans="1:32" hidden="1" x14ac:dyDescent="0.2">
      <c r="A26" s="14" t="str">
        <f>A12</f>
        <v>Wertung 5</v>
      </c>
      <c r="B26" s="14" t="str">
        <f t="shared" ca="1" si="67"/>
        <v>five(CE)</v>
      </c>
      <c r="C26" s="14">
        <f t="shared" ca="1" si="66"/>
        <v>1</v>
      </c>
      <c r="D26" s="14">
        <f t="shared" ca="1" si="66"/>
        <v>1</v>
      </c>
      <c r="E26" s="14">
        <f t="shared" ca="1" si="66"/>
        <v>1</v>
      </c>
      <c r="F26" s="14">
        <f t="shared" ca="1" si="66"/>
        <v>1</v>
      </c>
      <c r="G26" s="14">
        <f t="shared" ca="1" si="66"/>
        <v>1</v>
      </c>
      <c r="H26" s="14">
        <f t="shared" ca="1" si="66"/>
        <v>1</v>
      </c>
      <c r="I26" s="14">
        <f t="shared" ca="1" si="66"/>
        <v>1</v>
      </c>
      <c r="J26" s="14">
        <f t="shared" ca="1" si="66"/>
        <v>1</v>
      </c>
      <c r="K26" s="14">
        <f t="shared" ca="1" si="66"/>
        <v>1</v>
      </c>
      <c r="L26" s="14">
        <f t="shared" ca="1" si="66"/>
        <v>1</v>
      </c>
      <c r="M26" s="14">
        <f t="shared" ca="1" si="66"/>
        <v>1</v>
      </c>
      <c r="N26" s="14">
        <f t="shared" ca="1" si="66"/>
        <v>1</v>
      </c>
      <c r="O26" s="14">
        <f t="shared" ca="1" si="66"/>
        <v>1</v>
      </c>
      <c r="P26" s="14">
        <f t="shared" ca="1" si="66"/>
        <v>1</v>
      </c>
      <c r="Q26" s="14">
        <f t="shared" ca="1" si="66"/>
        <v>1</v>
      </c>
      <c r="R26" s="14">
        <f t="shared" ca="1" si="66"/>
        <v>1</v>
      </c>
      <c r="S26" s="14">
        <f t="shared" ca="1" si="66"/>
        <v>1</v>
      </c>
      <c r="T26" s="14">
        <f t="shared" ca="1" si="66"/>
        <v>1</v>
      </c>
      <c r="U26" s="14">
        <f t="shared" ca="1" si="66"/>
        <v>1</v>
      </c>
      <c r="V26" s="14">
        <f t="shared" ca="1" si="66"/>
        <v>1</v>
      </c>
      <c r="W26" s="14">
        <f t="shared" ca="1" si="66"/>
        <v>1</v>
      </c>
      <c r="X26" s="14">
        <f t="shared" ca="1" si="66"/>
        <v>1</v>
      </c>
      <c r="Y26" s="14">
        <f t="shared" ca="1" si="66"/>
        <v>1</v>
      </c>
    </row>
    <row r="27" spans="1:32" hidden="1" x14ac:dyDescent="0.2">
      <c r="A27" s="14" t="str">
        <f>A13</f>
        <v>Springer</v>
      </c>
      <c r="B27" s="14" t="str">
        <f t="shared" ca="1" si="67"/>
        <v>springer(CF)</v>
      </c>
      <c r="C27" s="14">
        <f t="shared" ca="1" si="66"/>
        <v>1</v>
      </c>
      <c r="D27" s="14">
        <f t="shared" ca="1" si="66"/>
        <v>1</v>
      </c>
      <c r="E27" s="14">
        <f t="shared" ca="1" si="66"/>
        <v>1</v>
      </c>
      <c r="F27" s="14">
        <f t="shared" ca="1" si="66"/>
        <v>1</v>
      </c>
      <c r="G27" s="14">
        <f t="shared" ca="1" si="66"/>
        <v>1</v>
      </c>
      <c r="H27" s="14">
        <f t="shared" ca="1" si="66"/>
        <v>1</v>
      </c>
      <c r="I27" s="14">
        <f t="shared" ca="1" si="66"/>
        <v>1</v>
      </c>
      <c r="J27" s="14">
        <f t="shared" ca="1" si="66"/>
        <v>1</v>
      </c>
      <c r="K27" s="14">
        <f t="shared" ca="1" si="66"/>
        <v>1</v>
      </c>
      <c r="L27" s="14">
        <f t="shared" ca="1" si="66"/>
        <v>1</v>
      </c>
      <c r="M27" s="14">
        <f t="shared" ca="1" si="66"/>
        <v>1</v>
      </c>
      <c r="N27" s="14">
        <f t="shared" ca="1" si="66"/>
        <v>1</v>
      </c>
      <c r="O27" s="14">
        <f t="shared" ca="1" si="66"/>
        <v>1</v>
      </c>
      <c r="P27" s="14">
        <f t="shared" ca="1" si="66"/>
        <v>1</v>
      </c>
      <c r="Q27" s="14">
        <f t="shared" ca="1" si="66"/>
        <v>1</v>
      </c>
      <c r="R27" s="14">
        <f t="shared" ca="1" si="66"/>
        <v>1</v>
      </c>
      <c r="S27" s="14">
        <f t="shared" ca="1" si="66"/>
        <v>1</v>
      </c>
      <c r="T27" s="14">
        <f t="shared" ca="1" si="66"/>
        <v>1</v>
      </c>
      <c r="U27" s="14">
        <f t="shared" ca="1" si="66"/>
        <v>1</v>
      </c>
      <c r="V27" s="14">
        <f t="shared" ca="1" si="66"/>
        <v>1</v>
      </c>
      <c r="W27" s="14">
        <f t="shared" ca="1" si="66"/>
        <v>1</v>
      </c>
      <c r="X27" s="14">
        <f t="shared" ca="1" si="66"/>
        <v>1</v>
      </c>
      <c r="Y27" s="14">
        <f t="shared" ca="1" si="66"/>
        <v>1</v>
      </c>
    </row>
    <row r="28" spans="1:32" hidden="1" x14ac:dyDescent="0.2"/>
    <row r="29" spans="1:32" hidden="1" x14ac:dyDescent="0.2">
      <c r="A29" s="14">
        <f>A15</f>
        <v>0</v>
      </c>
      <c r="B29" s="14" t="str">
        <f t="shared" ca="1" si="67"/>
        <v/>
      </c>
      <c r="C29" s="14" t="str">
        <f t="shared" si="66"/>
        <v/>
      </c>
      <c r="D29" s="14" t="str">
        <f t="shared" si="66"/>
        <v/>
      </c>
      <c r="E29" s="14" t="str">
        <f t="shared" si="66"/>
        <v/>
      </c>
      <c r="F29" s="14" t="str">
        <f t="shared" si="66"/>
        <v/>
      </c>
      <c r="G29" s="14" t="str">
        <f t="shared" si="66"/>
        <v/>
      </c>
      <c r="H29" s="14" t="str">
        <f t="shared" si="66"/>
        <v/>
      </c>
      <c r="I29" s="14" t="str">
        <f t="shared" si="66"/>
        <v/>
      </c>
      <c r="J29" s="14" t="str">
        <f t="shared" si="66"/>
        <v/>
      </c>
      <c r="K29" s="14" t="str">
        <f t="shared" si="66"/>
        <v/>
      </c>
      <c r="L29" s="14" t="str">
        <f t="shared" si="66"/>
        <v/>
      </c>
      <c r="M29" s="14" t="str">
        <f t="shared" si="66"/>
        <v/>
      </c>
      <c r="N29" s="14" t="str">
        <f t="shared" si="66"/>
        <v/>
      </c>
      <c r="O29" s="14" t="str">
        <f t="shared" si="66"/>
        <v/>
      </c>
      <c r="P29" s="14" t="str">
        <f t="shared" si="66"/>
        <v/>
      </c>
      <c r="Q29" s="14" t="str">
        <f t="shared" si="66"/>
        <v/>
      </c>
      <c r="R29" s="14" t="str">
        <f t="shared" si="66"/>
        <v/>
      </c>
      <c r="S29" s="14" t="str">
        <f t="shared" si="66"/>
        <v/>
      </c>
      <c r="T29" s="14" t="str">
        <f t="shared" si="66"/>
        <v/>
      </c>
      <c r="U29" s="14" t="str">
        <f t="shared" si="66"/>
        <v/>
      </c>
      <c r="V29" s="14" t="str">
        <f t="shared" si="66"/>
        <v/>
      </c>
      <c r="W29" s="14" t="str">
        <f t="shared" si="66"/>
        <v/>
      </c>
      <c r="X29" s="14" t="str">
        <f t="shared" si="66"/>
        <v/>
      </c>
      <c r="Y29" s="14" t="str">
        <f t="shared" si="66"/>
        <v/>
      </c>
    </row>
    <row r="30" spans="1:32" hidden="1" x14ac:dyDescent="0.2">
      <c r="A30" s="14">
        <f>A16</f>
        <v>0</v>
      </c>
      <c r="B30" s="14" t="str">
        <f t="shared" ca="1" si="67"/>
        <v/>
      </c>
      <c r="C30" s="14" t="str">
        <f t="shared" si="66"/>
        <v/>
      </c>
      <c r="D30" s="14" t="str">
        <f t="shared" si="66"/>
        <v/>
      </c>
      <c r="E30" s="14" t="str">
        <f t="shared" si="66"/>
        <v/>
      </c>
      <c r="F30" s="14" t="str">
        <f t="shared" si="66"/>
        <v/>
      </c>
      <c r="G30" s="14" t="str">
        <f t="shared" si="66"/>
        <v/>
      </c>
      <c r="H30" s="14" t="str">
        <f t="shared" si="66"/>
        <v/>
      </c>
      <c r="I30" s="14" t="str">
        <f t="shared" si="66"/>
        <v/>
      </c>
      <c r="J30" s="14" t="str">
        <f t="shared" si="66"/>
        <v/>
      </c>
      <c r="K30" s="14" t="str">
        <f t="shared" si="66"/>
        <v/>
      </c>
      <c r="L30" s="14" t="str">
        <f t="shared" si="66"/>
        <v/>
      </c>
      <c r="M30" s="14" t="str">
        <f t="shared" si="66"/>
        <v/>
      </c>
      <c r="N30" s="14" t="str">
        <f t="shared" si="66"/>
        <v/>
      </c>
      <c r="O30" s="14" t="str">
        <f t="shared" si="66"/>
        <v/>
      </c>
      <c r="P30" s="14" t="str">
        <f t="shared" si="66"/>
        <v/>
      </c>
      <c r="Q30" s="14" t="str">
        <f t="shared" si="66"/>
        <v/>
      </c>
      <c r="R30" s="14" t="str">
        <f t="shared" si="66"/>
        <v/>
      </c>
      <c r="S30" s="14" t="str">
        <f t="shared" si="66"/>
        <v/>
      </c>
      <c r="T30" s="14" t="str">
        <f t="shared" si="66"/>
        <v/>
      </c>
      <c r="U30" s="14" t="str">
        <f t="shared" si="66"/>
        <v/>
      </c>
      <c r="V30" s="14" t="str">
        <f t="shared" si="66"/>
        <v/>
      </c>
      <c r="W30" s="14" t="str">
        <f t="shared" si="66"/>
        <v/>
      </c>
      <c r="X30" s="14" t="str">
        <f t="shared" si="66"/>
        <v/>
      </c>
      <c r="Y30" s="14" t="str">
        <f t="shared" si="66"/>
        <v/>
      </c>
    </row>
  </sheetData>
  <sheetProtection algorithmName="SHA-512" hashValue="Qx30/VJgLMyw8HXPuE5VzxzDx017j4HOFvI7cP4ELSxd3BecHhdgDIMNRr2N7WlH4mRmeb1I+di43DgIWzt3oQ==" saltValue="txKjZMMOX8h1TffxTxcJBA==" spinCount="100000" sheet="1" objects="1" scenarios="1"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2019-03-31T23:56:52Z</dcterms:modified>
</cp:coreProperties>
</file>