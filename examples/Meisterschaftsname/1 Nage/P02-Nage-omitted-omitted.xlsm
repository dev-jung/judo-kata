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examples\Meisterschaftsname\1 Nage\"/>
    </mc:Choice>
  </mc:AlternateContent>
  <xr:revisionPtr revIDLastSave="0" documentId="13_ncr:1_{AC93DA4B-83A8-47ED-BB98-A590572C8114}" xr6:coauthVersionLast="41" xr6:coauthVersionMax="41" xr10:uidLastSave="{00000000-0000-0000-0000-000000000000}"/>
  <bookViews>
    <workbookView xWindow="25044" yWindow="-10824" windowWidth="38508" windowHeight="22200" activeTab="4" xr2:uid="{00912E07-FE2B-4B6F-8D52-3B4088392B69}"/>
  </bookViews>
  <sheets>
    <sheet name="Wertung 1" sheetId="24" r:id="rId1"/>
    <sheet name="Wertung 2" sheetId="25" r:id="rId2"/>
    <sheet name="Wertung 3 (H)" sheetId="26" r:id="rId3"/>
    <sheet name="Wertung 4" sheetId="27" r:id="rId4"/>
    <sheet name="Wertung 5" sheetId="28" r:id="rId5"/>
    <sheet name="Springer" sheetId="29" r:id="rId6"/>
    <sheet name="Beobachter" sheetId="30" r:id="rId7"/>
    <sheet name="Hospitant 1" sheetId="31" r:id="rId8"/>
    <sheet name="Auswertung" sheetId="17" r:id="rId9"/>
  </sheets>
  <definedNames>
    <definedName name="_xlnm.Print_Area" localSheetId="8">Auswertung!$A$1:$AF$16</definedName>
    <definedName name="_xlnm.Print_Area" localSheetId="6">Beobachter!$A$1:$L$37</definedName>
    <definedName name="_xlnm.Print_Area" localSheetId="7">'Hospitant 1'!$A$1:$L$37</definedName>
    <definedName name="_xlnm.Print_Area" localSheetId="5">Springer!$A$1:$L$37</definedName>
    <definedName name="_xlnm.Print_Area" localSheetId="0">'Wertung 1'!$A$1:$L$37</definedName>
    <definedName name="_xlnm.Print_Area" localSheetId="1">'Wertung 2'!$A$1:$L$37</definedName>
    <definedName name="_xlnm.Print_Area" localSheetId="2">'Wertung 3 (H)'!$A$1:$L$37</definedName>
    <definedName name="_xlnm.Print_Area" localSheetId="3">'Wertung 4'!$A$1:$L$37</definedName>
    <definedName name="_xlnm.Print_Area" localSheetId="4">'Wertung 5'!$A$1:$L$37</definedName>
  </definedNames>
  <calcPr calcId="181029"/>
</workbook>
</file>

<file path=xl/calcChain.xml><?xml version="1.0" encoding="utf-8"?>
<calcChain xmlns="http://schemas.openxmlformats.org/spreadsheetml/2006/main">
  <c r="K36" i="31" l="1"/>
  <c r="J36" i="31"/>
  <c r="I36" i="31"/>
  <c r="H36" i="31"/>
  <c r="G36" i="31"/>
  <c r="F36" i="31"/>
  <c r="L35" i="31"/>
  <c r="L28" i="31"/>
  <c r="L27" i="31"/>
  <c r="L26" i="31"/>
  <c r="L25" i="31"/>
  <c r="L24" i="31"/>
  <c r="L23" i="31"/>
  <c r="L22" i="31"/>
  <c r="L21" i="31"/>
  <c r="L20" i="31"/>
  <c r="L19" i="31"/>
  <c r="L18" i="31"/>
  <c r="L17" i="31"/>
  <c r="L16" i="31"/>
  <c r="L15" i="31"/>
  <c r="L14" i="31"/>
  <c r="L13" i="31"/>
  <c r="K36" i="30"/>
  <c r="J36" i="30"/>
  <c r="I36" i="30"/>
  <c r="H36" i="30"/>
  <c r="G36" i="30"/>
  <c r="F36" i="30"/>
  <c r="L35" i="30"/>
  <c r="L28" i="30"/>
  <c r="L27" i="30"/>
  <c r="L26" i="30"/>
  <c r="L25" i="30"/>
  <c r="L24" i="30"/>
  <c r="L23" i="30"/>
  <c r="L22" i="30"/>
  <c r="L21" i="30"/>
  <c r="L20" i="30"/>
  <c r="L19" i="30"/>
  <c r="L18" i="30"/>
  <c r="L17" i="30"/>
  <c r="L16" i="30"/>
  <c r="L15" i="30"/>
  <c r="L14" i="30"/>
  <c r="L13" i="30"/>
  <c r="K36" i="29"/>
  <c r="J36" i="29"/>
  <c r="I36" i="29"/>
  <c r="H36" i="29"/>
  <c r="G36" i="29"/>
  <c r="F36" i="29"/>
  <c r="L35" i="29"/>
  <c r="L28" i="29"/>
  <c r="L27" i="29"/>
  <c r="L26" i="29"/>
  <c r="L25" i="29"/>
  <c r="L24" i="29"/>
  <c r="L23" i="29"/>
  <c r="L22" i="29"/>
  <c r="L21" i="29"/>
  <c r="L20" i="29"/>
  <c r="L19" i="29"/>
  <c r="L18" i="29"/>
  <c r="L17" i="29"/>
  <c r="L16" i="29"/>
  <c r="L15" i="29"/>
  <c r="L14" i="29"/>
  <c r="L13" i="29"/>
  <c r="K36" i="28"/>
  <c r="J36" i="28"/>
  <c r="I36" i="28"/>
  <c r="H36" i="28"/>
  <c r="G36" i="28"/>
  <c r="F36" i="28"/>
  <c r="L35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K36" i="27"/>
  <c r="J36" i="27"/>
  <c r="I36" i="27"/>
  <c r="H36" i="27"/>
  <c r="G36" i="27"/>
  <c r="F36" i="27"/>
  <c r="L35" i="27"/>
  <c r="L28" i="27"/>
  <c r="L27" i="27"/>
  <c r="L26" i="27"/>
  <c r="L25" i="27"/>
  <c r="L24" i="27"/>
  <c r="L23" i="27"/>
  <c r="L22" i="27"/>
  <c r="L21" i="27"/>
  <c r="L20" i="27"/>
  <c r="L19" i="27"/>
  <c r="L18" i="27"/>
  <c r="L17" i="27"/>
  <c r="L16" i="27"/>
  <c r="L15" i="27"/>
  <c r="L14" i="27"/>
  <c r="L13" i="27"/>
  <c r="K36" i="26"/>
  <c r="J36" i="26"/>
  <c r="I36" i="26"/>
  <c r="H36" i="26"/>
  <c r="G36" i="26"/>
  <c r="F36" i="26"/>
  <c r="L35" i="26"/>
  <c r="L28" i="26"/>
  <c r="L27" i="26"/>
  <c r="L26" i="26"/>
  <c r="L25" i="26"/>
  <c r="L24" i="26"/>
  <c r="L23" i="26"/>
  <c r="L22" i="26"/>
  <c r="L21" i="26"/>
  <c r="L20" i="26"/>
  <c r="L19" i="26"/>
  <c r="L18" i="26"/>
  <c r="L17" i="26"/>
  <c r="L16" i="26"/>
  <c r="L15" i="26"/>
  <c r="L14" i="26"/>
  <c r="L13" i="26"/>
  <c r="K36" i="25"/>
  <c r="J36" i="25"/>
  <c r="I36" i="25"/>
  <c r="H36" i="25"/>
  <c r="G36" i="25"/>
  <c r="F36" i="25"/>
  <c r="L35" i="25"/>
  <c r="L28" i="25"/>
  <c r="L27" i="25"/>
  <c r="L26" i="25"/>
  <c r="L25" i="25"/>
  <c r="L24" i="25"/>
  <c r="L23" i="25"/>
  <c r="L22" i="25"/>
  <c r="L21" i="25"/>
  <c r="L20" i="25"/>
  <c r="L19" i="25"/>
  <c r="L18" i="25"/>
  <c r="L17" i="25"/>
  <c r="L16" i="25"/>
  <c r="L15" i="25"/>
  <c r="L14" i="25"/>
  <c r="L13" i="25"/>
  <c r="K36" i="24"/>
  <c r="J36" i="24"/>
  <c r="I36" i="24"/>
  <c r="H36" i="24"/>
  <c r="G36" i="24"/>
  <c r="F36" i="24"/>
  <c r="L35" i="24"/>
  <c r="L28" i="24"/>
  <c r="L27" i="24"/>
  <c r="L26" i="24"/>
  <c r="L25" i="24"/>
  <c r="L24" i="24"/>
  <c r="L23" i="24"/>
  <c r="L22" i="24"/>
  <c r="L21" i="24"/>
  <c r="L20" i="24"/>
  <c r="L19" i="24"/>
  <c r="L18" i="24"/>
  <c r="L17" i="24"/>
  <c r="L16" i="24"/>
  <c r="L15" i="24"/>
  <c r="L14" i="24"/>
  <c r="L13" i="24"/>
  <c r="L36" i="31" l="1"/>
  <c r="L36" i="30"/>
  <c r="L36" i="29"/>
  <c r="L36" i="28"/>
  <c r="L36" i="27"/>
  <c r="L36" i="25"/>
  <c r="L36" i="26"/>
  <c r="L36" i="24"/>
  <c r="AF16" i="17"/>
  <c r="AE16" i="17"/>
  <c r="AD16" i="17"/>
  <c r="AC16" i="17"/>
  <c r="AB16" i="17"/>
  <c r="AA16" i="17"/>
  <c r="Z16" i="17"/>
  <c r="Y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C16" i="17"/>
  <c r="B16" i="17"/>
  <c r="L8" i="17"/>
  <c r="O12" i="17"/>
  <c r="AC12" i="17"/>
  <c r="L12" i="17"/>
  <c r="B8" i="17"/>
  <c r="Y15" i="17"/>
  <c r="AE12" i="17"/>
  <c r="D9" i="17"/>
  <c r="Y12" i="17"/>
  <c r="L11" i="17"/>
  <c r="K11" i="17"/>
  <c r="F8" i="17"/>
  <c r="H9" i="17"/>
  <c r="D11" i="17"/>
  <c r="G9" i="17"/>
  <c r="AD12" i="17"/>
  <c r="AE13" i="17"/>
  <c r="AB9" i="17"/>
  <c r="P9" i="17"/>
  <c r="J13" i="17"/>
  <c r="I11" i="17"/>
  <c r="P10" i="17"/>
  <c r="B11" i="17"/>
  <c r="Y13" i="17"/>
  <c r="Y10" i="17"/>
  <c r="N13" i="17"/>
  <c r="R9" i="17"/>
  <c r="AE8" i="17"/>
  <c r="Y8" i="17"/>
  <c r="AF11" i="17"/>
  <c r="AD13" i="17"/>
  <c r="AD10" i="17"/>
  <c r="AF9" i="17"/>
  <c r="AB13" i="17"/>
  <c r="AC9" i="17"/>
  <c r="AB10" i="17"/>
  <c r="H11" i="17"/>
  <c r="L9" i="17"/>
  <c r="AF10" i="17"/>
  <c r="C15" i="17"/>
  <c r="H8" i="17"/>
  <c r="N15" i="17"/>
  <c r="Z8" i="17"/>
  <c r="AC11" i="17"/>
  <c r="AB12" i="17"/>
  <c r="P15" i="17"/>
  <c r="C8" i="17"/>
  <c r="C10" i="17"/>
  <c r="F15" i="17"/>
  <c r="Z9" i="17"/>
  <c r="D15" i="17"/>
  <c r="Q8" i="17"/>
  <c r="AE15" i="17"/>
  <c r="N8" i="17"/>
  <c r="Q10" i="17"/>
  <c r="K12" i="17"/>
  <c r="K15" i="17"/>
  <c r="AC8" i="17"/>
  <c r="C9" i="17"/>
  <c r="AB11" i="17"/>
  <c r="J9" i="17"/>
  <c r="C11" i="17"/>
  <c r="E15" i="17"/>
  <c r="M9" i="17"/>
  <c r="G12" i="17"/>
  <c r="K13" i="17"/>
  <c r="H10" i="17"/>
  <c r="Y9" i="17"/>
  <c r="B9" i="17"/>
  <c r="D13" i="17"/>
  <c r="Q9" i="17"/>
  <c r="O13" i="17"/>
  <c r="G8" i="17"/>
  <c r="M10" i="17"/>
  <c r="AE11" i="17"/>
  <c r="L13" i="17"/>
  <c r="AE10" i="17"/>
  <c r="K10" i="17"/>
  <c r="AC15" i="17"/>
  <c r="D8" i="17"/>
  <c r="O9" i="17"/>
  <c r="I8" i="17"/>
  <c r="M13" i="17"/>
  <c r="E8" i="17"/>
  <c r="I13" i="17"/>
  <c r="C13" i="17"/>
  <c r="F9" i="17"/>
  <c r="F13" i="17"/>
  <c r="N9" i="17"/>
  <c r="H12" i="17"/>
  <c r="K9" i="17"/>
  <c r="Q15" i="17"/>
  <c r="M8" i="17"/>
  <c r="E12" i="17"/>
  <c r="D12" i="17"/>
  <c r="R10" i="17"/>
  <c r="R8" i="17"/>
  <c r="N12" i="17"/>
  <c r="M15" i="17"/>
  <c r="O15" i="17"/>
  <c r="J8" i="17"/>
  <c r="D10" i="17"/>
  <c r="AC13" i="17"/>
  <c r="H15" i="17"/>
  <c r="AF8" i="17"/>
  <c r="P13" i="17"/>
  <c r="Y7" i="17"/>
  <c r="AF12" i="17"/>
  <c r="Z11" i="17"/>
  <c r="M12" i="17"/>
  <c r="B15" i="17"/>
  <c r="Z12" i="17"/>
  <c r="L10" i="17"/>
  <c r="J12" i="17"/>
  <c r="Z10" i="17"/>
  <c r="Z15" i="17"/>
  <c r="G13" i="17"/>
  <c r="AD8" i="17"/>
  <c r="G15" i="17"/>
  <c r="AB8" i="17"/>
  <c r="AF13" i="17"/>
  <c r="P8" i="17"/>
  <c r="F11" i="17"/>
  <c r="K8" i="17"/>
  <c r="E11" i="17"/>
  <c r="J15" i="17"/>
  <c r="AD15" i="17"/>
  <c r="E9" i="17"/>
  <c r="AD11" i="17"/>
  <c r="L15" i="17"/>
  <c r="H13" i="17"/>
  <c r="C12" i="17"/>
  <c r="O10" i="17"/>
  <c r="I10" i="17"/>
  <c r="Y11" i="17"/>
  <c r="G11" i="17"/>
  <c r="Q13" i="17"/>
  <c r="AE9" i="17"/>
  <c r="Q12" i="17"/>
  <c r="J11" i="17"/>
  <c r="P11" i="17"/>
  <c r="O8" i="17"/>
  <c r="N11" i="17"/>
  <c r="B13" i="17"/>
  <c r="R12" i="17"/>
  <c r="AD9" i="17"/>
  <c r="M11" i="17"/>
  <c r="I9" i="17"/>
  <c r="Z13" i="17"/>
  <c r="F12" i="17"/>
  <c r="E13" i="17"/>
  <c r="I12" i="17"/>
  <c r="J10" i="17"/>
  <c r="G10" i="17"/>
  <c r="R15" i="17"/>
  <c r="F10" i="17"/>
  <c r="R13" i="17"/>
  <c r="AB15" i="17"/>
  <c r="AC10" i="17"/>
  <c r="B10" i="17"/>
  <c r="AF15" i="17"/>
  <c r="O11" i="17"/>
  <c r="N10" i="17"/>
  <c r="R11" i="17"/>
  <c r="E10" i="17"/>
  <c r="B12" i="17"/>
  <c r="Q11" i="17"/>
  <c r="I15" i="17"/>
  <c r="P12" i="17"/>
  <c r="Y30" i="17" l="1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L7" i="17"/>
  <c r="Z7" i="17"/>
  <c r="AC7" i="17"/>
  <c r="G7" i="17"/>
  <c r="E7" i="17"/>
  <c r="M7" i="17"/>
  <c r="P7" i="17"/>
  <c r="Q7" i="17"/>
  <c r="C7" i="17"/>
  <c r="AE7" i="17"/>
  <c r="N7" i="17"/>
  <c r="K7" i="17"/>
  <c r="B7" i="17"/>
  <c r="AD7" i="17"/>
  <c r="AF7" i="17"/>
  <c r="R7" i="17"/>
  <c r="D7" i="17"/>
  <c r="H7" i="17"/>
  <c r="AB7" i="17"/>
  <c r="F7" i="17"/>
  <c r="J7" i="17"/>
  <c r="O7" i="17"/>
  <c r="I7" i="17"/>
  <c r="AA7" i="17" l="1"/>
  <c r="AE3" i="17"/>
  <c r="AE5" i="17" s="1"/>
  <c r="B1" i="17"/>
  <c r="E3" i="17" l="1"/>
  <c r="E29" i="17" s="1"/>
  <c r="M3" i="17"/>
  <c r="M29" i="17" s="1"/>
  <c r="F3" i="17"/>
  <c r="F29" i="17" s="1"/>
  <c r="N3" i="17"/>
  <c r="N29" i="17" s="1"/>
  <c r="C3" i="17"/>
  <c r="C29" i="17" s="1"/>
  <c r="G3" i="17"/>
  <c r="G29" i="17" s="1"/>
  <c r="O3" i="17"/>
  <c r="O29" i="17" s="1"/>
  <c r="H3" i="17"/>
  <c r="H29" i="17" s="1"/>
  <c r="P3" i="17"/>
  <c r="P29" i="17" s="1"/>
  <c r="I3" i="17"/>
  <c r="I29" i="17" s="1"/>
  <c r="Q3" i="17"/>
  <c r="Q29" i="17" s="1"/>
  <c r="J3" i="17"/>
  <c r="J29" i="17" s="1"/>
  <c r="R3" i="17"/>
  <c r="R29" i="17" s="1"/>
  <c r="K3" i="17"/>
  <c r="K29" i="17" s="1"/>
  <c r="Y3" i="17"/>
  <c r="Y29" i="17" s="1"/>
  <c r="D3" i="17"/>
  <c r="D29" i="17" s="1"/>
  <c r="L3" i="17"/>
  <c r="L29" i="17" s="1"/>
  <c r="AA15" i="17" l="1"/>
  <c r="M26" i="17"/>
  <c r="M27" i="17"/>
  <c r="Y26" i="17"/>
  <c r="Y27" i="17"/>
  <c r="H26" i="17"/>
  <c r="H27" i="17"/>
  <c r="L26" i="17"/>
  <c r="L27" i="17"/>
  <c r="K26" i="17"/>
  <c r="K27" i="17"/>
  <c r="O26" i="17"/>
  <c r="O27" i="17"/>
  <c r="C26" i="17"/>
  <c r="C27" i="17"/>
  <c r="G26" i="17"/>
  <c r="G27" i="17"/>
  <c r="J26" i="17"/>
  <c r="J27" i="17"/>
  <c r="N26" i="17"/>
  <c r="N27" i="17"/>
  <c r="R26" i="17"/>
  <c r="R27" i="17"/>
  <c r="D26" i="17"/>
  <c r="D27" i="17"/>
  <c r="Q26" i="17"/>
  <c r="Q27" i="17"/>
  <c r="F26" i="17"/>
  <c r="F27" i="17"/>
  <c r="I26" i="17"/>
  <c r="I27" i="17"/>
  <c r="P26" i="17"/>
  <c r="P27" i="17"/>
  <c r="E26" i="17"/>
  <c r="E27" i="17"/>
  <c r="P24" i="17"/>
  <c r="P25" i="17"/>
  <c r="Y24" i="17"/>
  <c r="Y25" i="17"/>
  <c r="H24" i="17"/>
  <c r="H25" i="17"/>
  <c r="K24" i="17"/>
  <c r="K25" i="17"/>
  <c r="O24" i="17"/>
  <c r="O25" i="17"/>
  <c r="R24" i="17"/>
  <c r="R25" i="17"/>
  <c r="G24" i="17"/>
  <c r="G25" i="17"/>
  <c r="C24" i="17"/>
  <c r="C25" i="17"/>
  <c r="L24" i="17"/>
  <c r="L25" i="17"/>
  <c r="J24" i="17"/>
  <c r="J25" i="17"/>
  <c r="N24" i="17"/>
  <c r="N25" i="17"/>
  <c r="Q24" i="17"/>
  <c r="Q25" i="17"/>
  <c r="F24" i="17"/>
  <c r="F25" i="17"/>
  <c r="D24" i="17"/>
  <c r="D25" i="17"/>
  <c r="I24" i="17"/>
  <c r="I25" i="17"/>
  <c r="M24" i="17"/>
  <c r="M25" i="17"/>
  <c r="E24" i="17"/>
  <c r="E25" i="17"/>
  <c r="Q22" i="17"/>
  <c r="Q23" i="17"/>
  <c r="F22" i="17"/>
  <c r="F23" i="17"/>
  <c r="I22" i="17"/>
  <c r="I23" i="17"/>
  <c r="M22" i="17"/>
  <c r="M23" i="17"/>
  <c r="P22" i="17"/>
  <c r="P23" i="17"/>
  <c r="Y22" i="17"/>
  <c r="Y23" i="17"/>
  <c r="H22" i="17"/>
  <c r="H23" i="17"/>
  <c r="L22" i="17"/>
  <c r="L23" i="17"/>
  <c r="C22" i="17"/>
  <c r="C23" i="17"/>
  <c r="K22" i="17"/>
  <c r="K23" i="17"/>
  <c r="O22" i="17"/>
  <c r="O23" i="17"/>
  <c r="R22" i="17"/>
  <c r="R23" i="17"/>
  <c r="G22" i="17"/>
  <c r="G23" i="17"/>
  <c r="D22" i="17"/>
  <c r="D23" i="17"/>
  <c r="J22" i="17"/>
  <c r="J23" i="17"/>
  <c r="N22" i="17"/>
  <c r="N23" i="17"/>
  <c r="E22" i="17"/>
  <c r="E23" i="17"/>
  <c r="AA13" i="17" l="1"/>
  <c r="AA12" i="17"/>
  <c r="AA11" i="17"/>
  <c r="AA10" i="17"/>
  <c r="AA9" i="17"/>
  <c r="AA8" i="17"/>
  <c r="AE4" i="17"/>
  <c r="A30" i="17"/>
  <c r="A29" i="17"/>
  <c r="A27" i="17"/>
  <c r="A26" i="17"/>
  <c r="A25" i="17"/>
  <c r="A24" i="17"/>
  <c r="A23" i="17"/>
  <c r="A22" i="17"/>
  <c r="AF3" i="17" l="1"/>
  <c r="AF5" i="17" s="1"/>
  <c r="Z3" i="17"/>
  <c r="AC3" i="17"/>
  <c r="AC5" i="17" s="1"/>
  <c r="AB3" i="17"/>
  <c r="AB5" i="17" s="1"/>
  <c r="AD3" i="17"/>
  <c r="AD5" i="17" s="1"/>
  <c r="Z4" i="17" l="1"/>
  <c r="N4" i="17"/>
  <c r="B29" i="17"/>
  <c r="Q4" i="17"/>
  <c r="J4" i="17"/>
  <c r="H4" i="17"/>
  <c r="L4" i="17"/>
  <c r="Y4" i="17"/>
  <c r="B27" i="17"/>
  <c r="AF4" i="17"/>
  <c r="B24" i="17"/>
  <c r="AD4" i="17"/>
  <c r="AC4" i="17"/>
  <c r="I4" i="17"/>
  <c r="D4" i="17"/>
  <c r="G4" i="17"/>
  <c r="M4" i="17"/>
  <c r="R4" i="17"/>
  <c r="B23" i="17"/>
  <c r="B22" i="17"/>
  <c r="B26" i="17"/>
  <c r="B25" i="17"/>
  <c r="C4" i="17"/>
  <c r="P4" i="17"/>
  <c r="AB4" i="17"/>
  <c r="F4" i="17"/>
  <c r="B30" i="17"/>
  <c r="O4" i="17"/>
  <c r="K4" i="17"/>
  <c r="E4" i="17"/>
  <c r="Z5" i="17" l="1"/>
  <c r="C5" i="17"/>
  <c r="D5" i="17"/>
  <c r="L5" i="17"/>
  <c r="N5" i="17"/>
  <c r="M5" i="17"/>
  <c r="J5" i="17"/>
  <c r="G5" i="17"/>
  <c r="Y5" i="17"/>
  <c r="Q5" i="17"/>
  <c r="K5" i="17"/>
  <c r="I5" i="17"/>
  <c r="F5" i="17"/>
  <c r="R5" i="17"/>
  <c r="H5" i="17"/>
  <c r="E5" i="17"/>
  <c r="O5" i="17"/>
  <c r="P5" i="17"/>
</calcChain>
</file>

<file path=xl/sharedStrings.xml><?xml version="1.0" encoding="utf-8"?>
<sst xmlns="http://schemas.openxmlformats.org/spreadsheetml/2006/main" count="853" uniqueCount="81">
  <si>
    <t>Nage no kata</t>
  </si>
  <si>
    <t>Vorname</t>
  </si>
  <si>
    <t>Verein</t>
  </si>
  <si>
    <t>Land</t>
  </si>
  <si>
    <t>Technik vergessen</t>
  </si>
  <si>
    <t>Technik</t>
  </si>
  <si>
    <t>Angrüßen</t>
  </si>
  <si>
    <t>Te-waza</t>
  </si>
  <si>
    <t>Uki otoshi</t>
  </si>
  <si>
    <t>Seoi nage</t>
  </si>
  <si>
    <t>Kata guruma</t>
  </si>
  <si>
    <t>Koshi-waza</t>
  </si>
  <si>
    <t>Uki goshi</t>
  </si>
  <si>
    <t>Harai goshi</t>
  </si>
  <si>
    <t>Tsuri komi goshi</t>
  </si>
  <si>
    <t>Ashi-waza</t>
  </si>
  <si>
    <t>Okuri ashi barai</t>
  </si>
  <si>
    <t>Sasae tsuri komi ashi</t>
  </si>
  <si>
    <t>Uchi mata</t>
  </si>
  <si>
    <t>Ma-sutemi-w.</t>
  </si>
  <si>
    <t>Tomoe nage</t>
  </si>
  <si>
    <t>Ura nage</t>
  </si>
  <si>
    <t>Sumi gaeshi</t>
  </si>
  <si>
    <t>Yoko-sutemi-w.</t>
  </si>
  <si>
    <t>Yoko gake</t>
  </si>
  <si>
    <t>Yoko guruma</t>
  </si>
  <si>
    <t>Uki waza</t>
  </si>
  <si>
    <t>Abgrüßen</t>
  </si>
  <si>
    <t>Tori</t>
  </si>
  <si>
    <t>Uke</t>
  </si>
  <si>
    <t>Gesamt</t>
  </si>
  <si>
    <t>Name</t>
  </si>
  <si>
    <t>Großer Fehler</t>
  </si>
  <si>
    <t>Mittlerer Fehler</t>
  </si>
  <si>
    <t>Kleiner Fehler</t>
  </si>
  <si>
    <t>Summe Fehler und Punkte</t>
  </si>
  <si>
    <t>Übertrag ok?</t>
  </si>
  <si>
    <t>Abweichungstabelle</t>
  </si>
  <si>
    <t>Meisterschaftsname</t>
  </si>
  <si>
    <t>Korrektur</t>
  </si>
  <si>
    <t>x</t>
  </si>
  <si>
    <t>+</t>
  </si>
  <si>
    <t>-</t>
  </si>
  <si>
    <t>Korrektur +0,5</t>
  </si>
  <si>
    <t>Korrektur -0,5</t>
  </si>
  <si>
    <t>Fehler/vergessene Technik:</t>
  </si>
  <si>
    <t>Gesamt:</t>
  </si>
  <si>
    <t>test</t>
  </si>
  <si>
    <t>Bewerter:</t>
  </si>
  <si>
    <t>Datum:</t>
  </si>
  <si>
    <t>Start Nr:</t>
  </si>
  <si>
    <t>Position:</t>
  </si>
  <si>
    <t>Paarung:</t>
  </si>
  <si>
    <t>Übereinstimmung [%]</t>
  </si>
  <si>
    <t>Spannweite:</t>
  </si>
  <si>
    <t>Mittelwert:</t>
  </si>
  <si>
    <t>Standardabweichung:</t>
  </si>
  <si>
    <t>Vorrunde</t>
  </si>
  <si>
    <t>xx.yy.zzzz</t>
  </si>
  <si>
    <t>02</t>
  </si>
  <si>
    <t>omitted</t>
  </si>
  <si>
    <t>nagetori</t>
  </si>
  <si>
    <t>nage club</t>
  </si>
  <si>
    <t>nageuke</t>
  </si>
  <si>
    <t>C2</t>
  </si>
  <si>
    <t>one(CA)</t>
  </si>
  <si>
    <t>Wertung 1</t>
  </si>
  <si>
    <t>two(CB)</t>
  </si>
  <si>
    <t>Wertung 2</t>
  </si>
  <si>
    <t>head(CC)</t>
  </si>
  <si>
    <t>Wertung 3 (H)</t>
  </si>
  <si>
    <t>four-out(C3)</t>
  </si>
  <si>
    <t>Wertung 4</t>
  </si>
  <si>
    <t>five(CE)</t>
  </si>
  <si>
    <t>Wertung 5</t>
  </si>
  <si>
    <t>springer(CF)</t>
  </si>
  <si>
    <t>Springer</t>
  </si>
  <si>
    <t>super(CG)</t>
  </si>
  <si>
    <t>Beobachter</t>
  </si>
  <si>
    <t>trainee1(CH)</t>
  </si>
  <si>
    <t>Hospitant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</si>
</sst>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5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Lucida Console"/>
      <family val="3"/>
    </font>
    <font>
      <b/>
      <sz val="9"/>
      <color theme="1"/>
      <name val="Lucida Console"/>
      <family val="3"/>
    </font>
    <font>
      <b/>
      <sz val="9"/>
      <color rgb="FF3366FF"/>
      <name val="Lucida Console"/>
      <family val="3"/>
    </font>
    <font>
      <sz val="9"/>
      <color theme="1" tint="0.499984740745262"/>
      <name val="Lucida Console"/>
      <family val="3"/>
    </font>
    <font>
      <sz val="9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9" fillId="0" borderId="0"/>
    <xf numFmtId="9" fontId="21" fillId="0" borderId="0" applyFont="0" applyFill="0" applyBorder="0" applyAlignment="0" applyProtection="0"/>
  </cellStyleXfs>
  <cellXfs count="184">
    <xf numFmtId="0" fontId="0" fillId="0" borderId="0" xfId="0"/>
    <xf numFmtId="0" fontId="1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6" fillId="0" borderId="0" xfId="0" applyFont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7" fillId="2" borderId="33" xfId="0" applyFont="1" applyFill="1" applyBorder="1" applyAlignment="1" applyProtection="1">
      <alignment horizontal="center" vertical="center"/>
      <protection hidden="1"/>
    </xf>
    <xf numFmtId="0" fontId="7" fillId="2" borderId="34" xfId="0" applyFont="1" applyFill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12" fillId="0" borderId="0" xfId="0" applyFont="1"/>
    <xf numFmtId="0" fontId="11" fillId="0" borderId="0" xfId="0" applyFont="1"/>
    <xf numFmtId="0" fontId="16" fillId="0" borderId="0" xfId="0" applyFont="1"/>
    <xf numFmtId="0" fontId="18" fillId="0" borderId="0" xfId="0" applyFont="1"/>
    <xf numFmtId="0" fontId="2" fillId="4" borderId="35" xfId="0" applyFont="1" applyFill="1" applyBorder="1" applyAlignment="1" applyProtection="1">
      <alignment vertical="center"/>
      <protection hidden="1"/>
    </xf>
    <xf numFmtId="0" fontId="2" fillId="4" borderId="53" xfId="0" applyFont="1" applyFill="1" applyBorder="1" applyAlignment="1" applyProtection="1">
      <alignment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7" fillId="2" borderId="58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vertical="center"/>
      <protection hidden="1"/>
    </xf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56" xfId="0" applyFont="1" applyFill="1" applyBorder="1" applyAlignment="1" applyProtection="1">
      <alignment horizontal="center" vertical="center"/>
      <protection hidden="1"/>
    </xf>
    <xf numFmtId="0" fontId="14" fillId="2" borderId="64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2" fontId="3" fillId="0" borderId="0" xfId="0" applyNumberFormat="1" applyFont="1" applyAlignment="1" applyProtection="1">
      <alignment vertical="center"/>
      <protection hidden="1"/>
    </xf>
    <xf numFmtId="2" fontId="3" fillId="0" borderId="0" xfId="0" applyNumberFormat="1" applyFont="1" applyAlignment="1" applyProtection="1">
      <alignment horizontal="center" vertical="center"/>
      <protection hidden="1"/>
    </xf>
    <xf numFmtId="0" fontId="14" fillId="2" borderId="20" xfId="0" applyFont="1" applyFill="1" applyBorder="1" applyAlignment="1" applyProtection="1">
      <alignment horizontal="center" vertical="center" wrapText="1"/>
      <protection hidden="1"/>
    </xf>
    <xf numFmtId="164" fontId="22" fillId="0" borderId="39" xfId="0" applyNumberFormat="1" applyFont="1" applyBorder="1" applyAlignment="1" applyProtection="1">
      <alignment horizontal="center" vertical="center"/>
      <protection hidden="1"/>
    </xf>
    <xf numFmtId="164" fontId="22" fillId="5" borderId="29" xfId="0" applyNumberFormat="1" applyFont="1" applyFill="1" applyBorder="1" applyAlignment="1" applyProtection="1">
      <alignment horizontal="center" vertical="center"/>
      <protection hidden="1"/>
    </xf>
    <xf numFmtId="164" fontId="22" fillId="3" borderId="47" xfId="0" applyNumberFormat="1" applyFont="1" applyFill="1" applyBorder="1" applyAlignment="1" applyProtection="1">
      <alignment horizontal="center" vertical="center"/>
      <protection hidden="1"/>
    </xf>
    <xf numFmtId="164" fontId="22" fillId="3" borderId="55" xfId="0" applyNumberFormat="1" applyFont="1" applyFill="1" applyBorder="1" applyAlignment="1" applyProtection="1">
      <alignment horizontal="center" vertical="center"/>
      <protection hidden="1"/>
    </xf>
    <xf numFmtId="0" fontId="22" fillId="3" borderId="25" xfId="0" applyFont="1" applyFill="1" applyBorder="1" applyAlignment="1" applyProtection="1">
      <alignment horizontal="center" vertical="center"/>
      <protection locked="0" hidden="1"/>
    </xf>
    <xf numFmtId="0" fontId="22" fillId="3" borderId="28" xfId="0" applyFont="1" applyFill="1" applyBorder="1" applyAlignment="1" applyProtection="1">
      <alignment horizontal="center" vertical="center"/>
      <protection locked="0" hidden="1"/>
    </xf>
    <xf numFmtId="0" fontId="22" fillId="3" borderId="26" xfId="0" applyFont="1" applyFill="1" applyBorder="1" applyAlignment="1" applyProtection="1">
      <alignment horizontal="center" vertical="center"/>
      <protection locked="0" hidden="1"/>
    </xf>
    <xf numFmtId="0" fontId="22" fillId="3" borderId="29" xfId="0" applyFont="1" applyFill="1" applyBorder="1" applyAlignment="1" applyProtection="1">
      <alignment horizontal="center" vertical="center"/>
      <protection locked="0" hidden="1"/>
    </xf>
    <xf numFmtId="0" fontId="22" fillId="5" borderId="48" xfId="0" applyFont="1" applyFill="1" applyBorder="1" applyAlignment="1" applyProtection="1">
      <alignment horizontal="center" vertical="center"/>
      <protection locked="0" hidden="1"/>
    </xf>
    <xf numFmtId="0" fontId="22" fillId="5" borderId="46" xfId="0" applyFont="1" applyFill="1" applyBorder="1" applyAlignment="1" applyProtection="1">
      <alignment horizontal="center" vertical="center"/>
      <protection locked="0" hidden="1"/>
    </xf>
    <xf numFmtId="0" fontId="22" fillId="5" borderId="57" xfId="0" applyFont="1" applyFill="1" applyBorder="1" applyAlignment="1" applyProtection="1">
      <alignment horizontal="center" vertical="center"/>
      <protection locked="0" hidden="1"/>
    </xf>
    <xf numFmtId="0" fontId="22" fillId="5" borderId="47" xfId="0" applyFont="1" applyFill="1" applyBorder="1" applyAlignment="1" applyProtection="1">
      <alignment horizontal="center" vertical="center"/>
      <protection locked="0" hidden="1"/>
    </xf>
    <xf numFmtId="0" fontId="22" fillId="3" borderId="45" xfId="0" applyFont="1" applyFill="1" applyBorder="1" applyAlignment="1" applyProtection="1">
      <alignment horizontal="center" vertical="center"/>
      <protection locked="0" hidden="1"/>
    </xf>
    <xf numFmtId="0" fontId="22" fillId="3" borderId="61" xfId="0" applyFont="1" applyFill="1" applyBorder="1" applyAlignment="1" applyProtection="1">
      <alignment horizontal="center" vertical="center"/>
      <protection locked="0" hidden="1"/>
    </xf>
    <xf numFmtId="0" fontId="22" fillId="3" borderId="65" xfId="0" applyFont="1" applyFill="1" applyBorder="1" applyAlignment="1" applyProtection="1">
      <alignment horizontal="center" vertical="center"/>
      <protection locked="0" hidden="1"/>
    </xf>
    <xf numFmtId="0" fontId="22" fillId="3" borderId="63" xfId="0" applyFont="1" applyFill="1" applyBorder="1" applyAlignment="1" applyProtection="1">
      <alignment horizontal="center" vertical="center"/>
      <protection locked="0" hidden="1"/>
    </xf>
    <xf numFmtId="0" fontId="22" fillId="5" borderId="25" xfId="0" applyFont="1" applyFill="1" applyBorder="1" applyAlignment="1" applyProtection="1">
      <alignment horizontal="center" vertical="center"/>
      <protection locked="0" hidden="1"/>
    </xf>
    <xf numFmtId="0" fontId="22" fillId="5" borderId="28" xfId="0" applyFont="1" applyFill="1" applyBorder="1" applyAlignment="1" applyProtection="1">
      <alignment horizontal="center" vertical="center"/>
      <protection locked="0" hidden="1"/>
    </xf>
    <xf numFmtId="0" fontId="22" fillId="5" borderId="26" xfId="0" applyFont="1" applyFill="1" applyBorder="1" applyAlignment="1" applyProtection="1">
      <alignment horizontal="center" vertical="center"/>
      <protection locked="0" hidden="1"/>
    </xf>
    <xf numFmtId="0" fontId="22" fillId="5" borderId="29" xfId="0" applyFont="1" applyFill="1" applyBorder="1" applyAlignment="1" applyProtection="1">
      <alignment horizontal="center" vertical="center"/>
      <protection locked="0" hidden="1"/>
    </xf>
    <xf numFmtId="0" fontId="22" fillId="3" borderId="48" xfId="0" applyFont="1" applyFill="1" applyBorder="1" applyAlignment="1" applyProtection="1">
      <alignment horizontal="center" vertical="center"/>
      <protection locked="0" hidden="1"/>
    </xf>
    <xf numFmtId="0" fontId="22" fillId="3" borderId="46" xfId="0" applyFont="1" applyFill="1" applyBorder="1" applyAlignment="1" applyProtection="1">
      <alignment horizontal="center" vertical="center"/>
      <protection locked="0" hidden="1"/>
    </xf>
    <xf numFmtId="0" fontId="22" fillId="3" borderId="57" xfId="0" applyFont="1" applyFill="1" applyBorder="1" applyAlignment="1" applyProtection="1">
      <alignment horizontal="center" vertical="center"/>
      <protection locked="0" hidden="1"/>
    </xf>
    <xf numFmtId="0" fontId="22" fillId="3" borderId="47" xfId="0" applyFont="1" applyFill="1" applyBorder="1" applyAlignment="1" applyProtection="1">
      <alignment horizontal="center" vertical="center"/>
      <protection locked="0" hidden="1"/>
    </xf>
    <xf numFmtId="0" fontId="22" fillId="5" borderId="45" xfId="0" applyFont="1" applyFill="1" applyBorder="1" applyAlignment="1" applyProtection="1">
      <alignment horizontal="center" vertical="center"/>
      <protection locked="0" hidden="1"/>
    </xf>
    <xf numFmtId="0" fontId="22" fillId="5" borderId="61" xfId="0" applyFont="1" applyFill="1" applyBorder="1" applyAlignment="1" applyProtection="1">
      <alignment horizontal="center" vertical="center"/>
      <protection locked="0" hidden="1"/>
    </xf>
    <xf numFmtId="0" fontId="22" fillId="5" borderId="65" xfId="0" applyFont="1" applyFill="1" applyBorder="1" applyAlignment="1" applyProtection="1">
      <alignment horizontal="center" vertical="center"/>
      <protection locked="0" hidden="1"/>
    </xf>
    <xf numFmtId="0" fontId="22" fillId="5" borderId="63" xfId="0" applyFont="1" applyFill="1" applyBorder="1" applyAlignment="1" applyProtection="1">
      <alignment horizontal="center" vertical="center"/>
      <protection locked="0" hidden="1"/>
    </xf>
    <xf numFmtId="0" fontId="22" fillId="3" borderId="49" xfId="0" applyFont="1" applyFill="1" applyBorder="1" applyAlignment="1" applyProtection="1">
      <alignment horizontal="center" vertical="center"/>
      <protection locked="0" hidden="1"/>
    </xf>
    <xf numFmtId="0" fontId="22" fillId="3" borderId="54" xfId="0" applyFont="1" applyFill="1" applyBorder="1" applyAlignment="1" applyProtection="1">
      <alignment horizontal="center" vertical="center"/>
      <protection locked="0" hidden="1"/>
    </xf>
    <xf numFmtId="0" fontId="22" fillId="3" borderId="22" xfId="0" applyFont="1" applyFill="1" applyBorder="1" applyAlignment="1" applyProtection="1">
      <alignment horizontal="center" vertical="center"/>
      <protection locked="0" hidden="1"/>
    </xf>
    <xf numFmtId="0" fontId="22" fillId="3" borderId="55" xfId="0" applyFont="1" applyFill="1" applyBorder="1" applyAlignment="1" applyProtection="1">
      <alignment horizontal="center" vertical="center"/>
      <protection locked="0" hidden="1"/>
    </xf>
    <xf numFmtId="0" fontId="22" fillId="5" borderId="35" xfId="0" applyFont="1" applyFill="1" applyBorder="1" applyAlignment="1" applyProtection="1">
      <alignment horizontal="center" vertical="center"/>
      <protection locked="0" hidden="1"/>
    </xf>
    <xf numFmtId="0" fontId="22" fillId="5" borderId="62" xfId="0" applyFont="1" applyFill="1" applyBorder="1" applyAlignment="1" applyProtection="1">
      <alignment horizontal="center" vertical="center"/>
      <protection locked="0" hidden="1"/>
    </xf>
    <xf numFmtId="0" fontId="22" fillId="5" borderId="34" xfId="0" applyFont="1" applyFill="1" applyBorder="1" applyAlignment="1" applyProtection="1">
      <alignment horizontal="center" vertical="center"/>
      <protection locked="0" hidden="1"/>
    </xf>
    <xf numFmtId="0" fontId="22" fillId="5" borderId="36" xfId="0" applyFont="1" applyFill="1" applyBorder="1" applyAlignment="1" applyProtection="1">
      <alignment horizontal="center" vertical="center"/>
      <protection locked="0" hidden="1"/>
    </xf>
    <xf numFmtId="0" fontId="34" fillId="0" borderId="40" xfId="0" applyFont="1" applyBorder="1" applyAlignment="1" applyProtection="1">
      <alignment horizontal="center" vertical="center"/>
      <protection hidden="1"/>
    </xf>
    <xf numFmtId="0" fontId="34" fillId="0" borderId="39" xfId="0" applyFont="1" applyBorder="1" applyAlignment="1" applyProtection="1">
      <alignment horizontal="center" vertical="center"/>
      <protection hidden="1"/>
    </xf>
    <xf numFmtId="164" fontId="34" fillId="0" borderId="40" xfId="0" applyNumberFormat="1" applyFont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 shrinkToFit="1"/>
      <protection hidden="1"/>
    </xf>
    <xf numFmtId="49" fontId="9" fillId="0" borderId="0" xfId="0" applyNumberFormat="1" applyFont="1" applyAlignment="1" applyProtection="1">
      <alignment horizontal="left" vertical="center"/>
      <protection hidden="1"/>
    </xf>
    <xf numFmtId="0" fontId="17" fillId="0" borderId="0" xfId="0" applyFont="1"/>
    <xf numFmtId="0" fontId="10" fillId="0" borderId="0" xfId="0" applyFont="1"/>
    <xf numFmtId="0" fontId="4" fillId="0" borderId="10" xfId="0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/>
      <protection hidden="1"/>
    </xf>
    <xf numFmtId="164" fontId="22" fillId="3" borderId="29" xfId="0" applyNumberFormat="1" applyFont="1" applyFill="1" applyBorder="1" applyAlignment="1" applyProtection="1">
      <alignment horizontal="center" vertical="center"/>
      <protection hidden="1"/>
    </xf>
    <xf numFmtId="164" fontId="22" fillId="5" borderId="47" xfId="0" applyNumberFormat="1" applyFont="1" applyFill="1" applyBorder="1" applyAlignment="1" applyProtection="1">
      <alignment horizontal="center" vertical="center"/>
      <protection hidden="1"/>
    </xf>
    <xf numFmtId="164" fontId="22" fillId="3" borderId="63" xfId="0" applyNumberFormat="1" applyFont="1" applyFill="1" applyBorder="1" applyAlignment="1" applyProtection="1">
      <alignment horizontal="center" vertical="center"/>
      <protection hidden="1"/>
    </xf>
    <xf numFmtId="164" fontId="22" fillId="5" borderId="63" xfId="0" applyNumberFormat="1" applyFont="1" applyFill="1" applyBorder="1" applyAlignment="1" applyProtection="1">
      <alignment horizontal="center" vertical="center"/>
      <protection hidden="1"/>
    </xf>
    <xf numFmtId="164" fontId="22" fillId="5" borderId="36" xfId="0" applyNumberFormat="1" applyFont="1" applyFill="1" applyBorder="1" applyAlignment="1" applyProtection="1">
      <alignment horizontal="center" vertical="center"/>
      <protection hidden="1"/>
    </xf>
    <xf numFmtId="0" fontId="17" fillId="0" borderId="0" xfId="0" applyFont="1" applyProtection="1">
      <protection locked="0"/>
    </xf>
    <xf numFmtId="0" fontId="22" fillId="4" borderId="40" xfId="0" applyFont="1" applyFill="1" applyBorder="1" applyAlignment="1" applyProtection="1">
      <alignment horizontal="center" vertical="center"/>
      <protection locked="0" hidden="1"/>
    </xf>
    <xf numFmtId="0" fontId="18" fillId="0" borderId="0" xfId="0" applyFont="1" applyAlignment="1">
      <alignment horizontal="left"/>
    </xf>
    <xf numFmtId="0" fontId="18" fillId="0" borderId="67" xfId="0" applyFont="1" applyBorder="1"/>
    <xf numFmtId="0" fontId="26" fillId="0" borderId="0" xfId="0" applyFont="1"/>
    <xf numFmtId="0" fontId="23" fillId="0" borderId="0" xfId="0" applyFont="1"/>
    <xf numFmtId="0" fontId="23" fillId="0" borderId="0" xfId="0" applyFont="1" applyAlignment="1">
      <alignment textRotation="90"/>
    </xf>
    <xf numFmtId="0" fontId="23" fillId="0" borderId="67" xfId="0" applyFont="1" applyBorder="1" applyAlignment="1">
      <alignment textRotation="90"/>
    </xf>
    <xf numFmtId="164" fontId="30" fillId="0" borderId="0" xfId="0" applyNumberFormat="1" applyFont="1" applyAlignment="1">
      <alignment horizontal="right"/>
    </xf>
    <xf numFmtId="1" fontId="30" fillId="0" borderId="0" xfId="0" applyNumberFormat="1" applyFont="1" applyAlignment="1">
      <alignment horizontal="right"/>
    </xf>
    <xf numFmtId="1" fontId="30" fillId="0" borderId="67" xfId="0" applyNumberFormat="1" applyFont="1" applyBorder="1" applyAlignment="1">
      <alignment horizontal="right"/>
    </xf>
    <xf numFmtId="164" fontId="29" fillId="0" borderId="0" xfId="0" applyNumberFormat="1" applyFont="1" applyAlignment="1">
      <alignment horizontal="right"/>
    </xf>
    <xf numFmtId="1" fontId="29" fillId="0" borderId="0" xfId="0" applyNumberFormat="1" applyFont="1" applyAlignment="1">
      <alignment horizontal="right"/>
    </xf>
    <xf numFmtId="164" fontId="29" fillId="0" borderId="67" xfId="0" applyNumberFormat="1" applyFont="1" applyBorder="1" applyAlignment="1">
      <alignment horizontal="right"/>
    </xf>
    <xf numFmtId="1" fontId="29" fillId="0" borderId="67" xfId="0" applyNumberFormat="1" applyFont="1" applyBorder="1" applyAlignment="1">
      <alignment horizontal="right"/>
    </xf>
    <xf numFmtId="0" fontId="29" fillId="0" borderId="0" xfId="0" applyFont="1" applyAlignment="1">
      <alignment horizontal="right"/>
    </xf>
    <xf numFmtId="0" fontId="29" fillId="0" borderId="67" xfId="0" applyFont="1" applyBorder="1" applyAlignment="1">
      <alignment horizontal="right"/>
    </xf>
    <xf numFmtId="0" fontId="27" fillId="0" borderId="8" xfId="0" applyFont="1" applyBorder="1"/>
    <xf numFmtId="164" fontId="31" fillId="0" borderId="8" xfId="0" applyNumberFormat="1" applyFont="1" applyBorder="1" applyAlignment="1">
      <alignment horizontal="right"/>
    </xf>
    <xf numFmtId="1" fontId="31" fillId="0" borderId="8" xfId="0" applyNumberFormat="1" applyFont="1" applyBorder="1" applyAlignment="1">
      <alignment horizontal="right"/>
    </xf>
    <xf numFmtId="1" fontId="31" fillId="0" borderId="6" xfId="0" applyNumberFormat="1" applyFont="1" applyBorder="1" applyAlignment="1">
      <alignment horizontal="right"/>
    </xf>
    <xf numFmtId="9" fontId="29" fillId="0" borderId="66" xfId="2" applyFont="1" applyBorder="1" applyAlignment="1">
      <alignment horizontal="right"/>
    </xf>
    <xf numFmtId="9" fontId="29" fillId="0" borderId="67" xfId="2" applyFont="1" applyBorder="1" applyAlignment="1">
      <alignment horizontal="right"/>
    </xf>
    <xf numFmtId="0" fontId="18" fillId="0" borderId="59" xfId="0" applyFont="1" applyBorder="1"/>
    <xf numFmtId="164" fontId="29" fillId="0" borderId="59" xfId="0" applyNumberFormat="1" applyFont="1" applyBorder="1" applyAlignment="1">
      <alignment horizontal="right"/>
    </xf>
    <xf numFmtId="1" fontId="29" fillId="0" borderId="59" xfId="0" applyNumberFormat="1" applyFont="1" applyBorder="1" applyAlignment="1">
      <alignment horizontal="right"/>
    </xf>
    <xf numFmtId="0" fontId="28" fillId="0" borderId="41" xfId="0" applyFont="1" applyBorder="1"/>
    <xf numFmtId="164" fontId="32" fillId="0" borderId="41" xfId="0" applyNumberFormat="1" applyFont="1" applyBorder="1" applyAlignment="1">
      <alignment horizontal="right"/>
    </xf>
    <xf numFmtId="1" fontId="32" fillId="0" borderId="41" xfId="0" applyNumberFormat="1" applyFont="1" applyBorder="1" applyAlignment="1">
      <alignment horizontal="right"/>
    </xf>
    <xf numFmtId="9" fontId="32" fillId="0" borderId="68" xfId="2" applyFont="1" applyBorder="1" applyAlignment="1">
      <alignment horizontal="right"/>
    </xf>
    <xf numFmtId="0" fontId="28" fillId="0" borderId="0" xfId="0" applyFont="1"/>
    <xf numFmtId="164" fontId="32" fillId="0" borderId="0" xfId="0" applyNumberFormat="1" applyFont="1" applyAlignment="1">
      <alignment horizontal="right"/>
    </xf>
    <xf numFmtId="0" fontId="33" fillId="0" borderId="0" xfId="0" applyFont="1"/>
    <xf numFmtId="0" fontId="33" fillId="0" borderId="67" xfId="0" applyFont="1" applyBorder="1"/>
    <xf numFmtId="1" fontId="32" fillId="0" borderId="0" xfId="0" applyNumberFormat="1" applyFont="1" applyAlignment="1">
      <alignment horizontal="right"/>
    </xf>
    <xf numFmtId="9" fontId="32" fillId="0" borderId="67" xfId="2" applyFont="1" applyBorder="1" applyAlignment="1">
      <alignment horizontal="right"/>
    </xf>
    <xf numFmtId="0" fontId="25" fillId="0" borderId="0" xfId="0" applyFont="1" applyAlignment="1">
      <alignment horizontal="right"/>
    </xf>
    <xf numFmtId="1" fontId="24" fillId="0" borderId="0" xfId="0" applyNumberFormat="1" applyFont="1" applyAlignment="1">
      <alignment horizontal="right"/>
    </xf>
    <xf numFmtId="2" fontId="3" fillId="0" borderId="0" xfId="0" applyNumberFormat="1" applyFont="1" applyAlignment="1" applyProtection="1">
      <alignment horizontal="center" vertical="center" shrinkToFit="1"/>
      <protection hidden="1"/>
    </xf>
    <xf numFmtId="2" fontId="20" fillId="0" borderId="0" xfId="0" applyNumberFormat="1" applyFont="1" applyAlignment="1" applyProtection="1">
      <alignment horizontal="center" vertical="center"/>
      <protection hidden="1"/>
    </xf>
    <xf numFmtId="2" fontId="15" fillId="0" borderId="0" xfId="0" applyNumberFormat="1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14" fontId="9" fillId="0" borderId="0" xfId="0" applyNumberFormat="1" applyFont="1" applyAlignment="1" applyProtection="1">
      <alignment horizontal="center" vertical="center" shrinkToFit="1"/>
      <protection hidden="1"/>
    </xf>
    <xf numFmtId="14" fontId="9" fillId="0" borderId="0" xfId="0" applyNumberFormat="1" applyFont="1" applyAlignment="1" applyProtection="1">
      <alignment horizontal="right"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9" fillId="2" borderId="50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51" xfId="0" applyFont="1" applyBorder="1" applyAlignment="1" applyProtection="1">
      <alignment horizontal="left" vertical="center" indent="1" shrinkToFit="1"/>
      <protection hidden="1"/>
    </xf>
    <xf numFmtId="0" fontId="4" fillId="0" borderId="9" xfId="0" applyFont="1" applyBorder="1" applyAlignment="1" applyProtection="1">
      <alignment horizontal="left" vertical="center" indent="1" shrinkToFit="1"/>
      <protection hidden="1"/>
    </xf>
    <xf numFmtId="0" fontId="4" fillId="0" borderId="7" xfId="0" applyFont="1" applyBorder="1" applyAlignment="1" applyProtection="1">
      <alignment horizontal="left" vertical="center" indent="1" shrinkToFit="1"/>
      <protection hidden="1"/>
    </xf>
    <xf numFmtId="0" fontId="4" fillId="0" borderId="8" xfId="0" applyFont="1" applyBorder="1" applyAlignment="1" applyProtection="1">
      <alignment horizontal="left" vertical="center" indent="1" shrinkToFit="1"/>
      <protection hidden="1"/>
    </xf>
    <xf numFmtId="0" fontId="5" fillId="0" borderId="6" xfId="0" applyFont="1" applyBorder="1" applyAlignment="1" applyProtection="1">
      <alignment horizontal="left" vertical="center" indent="1" shrinkToFit="1"/>
      <protection hidden="1"/>
    </xf>
    <xf numFmtId="0" fontId="5" fillId="0" borderId="6" xfId="0" applyFont="1" applyBorder="1" applyAlignment="1" applyProtection="1">
      <alignment horizontal="left" vertical="center" indent="1"/>
      <protection hidden="1"/>
    </xf>
    <xf numFmtId="0" fontId="4" fillId="0" borderId="12" xfId="0" applyFont="1" applyBorder="1" applyAlignment="1" applyProtection="1">
      <alignment horizontal="left" vertical="center" indent="1" shrinkToFit="1"/>
      <protection hidden="1"/>
    </xf>
    <xf numFmtId="0" fontId="4" fillId="0" borderId="13" xfId="0" applyFont="1" applyBorder="1" applyAlignment="1" applyProtection="1">
      <alignment horizontal="left" vertical="center" indent="1" shrinkToFit="1"/>
      <protection hidden="1"/>
    </xf>
    <xf numFmtId="0" fontId="4" fillId="0" borderId="14" xfId="0" applyFont="1" applyBorder="1" applyAlignment="1" applyProtection="1">
      <alignment horizontal="left" vertical="center" indent="1" shrinkToFit="1"/>
      <protection hidden="1"/>
    </xf>
    <xf numFmtId="0" fontId="5" fillId="0" borderId="11" xfId="0" applyFont="1" applyBorder="1" applyAlignment="1" applyProtection="1">
      <alignment horizontal="left" vertical="center" indent="1" shrinkToFit="1"/>
      <protection hidden="1"/>
    </xf>
    <xf numFmtId="0" fontId="5" fillId="0" borderId="11" xfId="0" applyFont="1" applyBorder="1" applyAlignment="1" applyProtection="1">
      <alignment horizontal="left" vertical="center" indent="1"/>
      <protection hidden="1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60" xfId="0" applyFont="1" applyFill="1" applyBorder="1" applyAlignment="1" applyProtection="1">
      <alignment horizontal="center" vertical="center" wrapText="1"/>
      <protection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1" xfId="0" applyFont="1" applyFill="1" applyBorder="1" applyAlignment="1" applyProtection="1">
      <alignment horizontal="center" vertical="center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7" fillId="5" borderId="28" xfId="0" applyFont="1" applyFill="1" applyBorder="1" applyAlignment="1" applyProtection="1">
      <alignment horizontal="right" vertical="center" indent="1"/>
      <protection hidden="1"/>
    </xf>
    <xf numFmtId="0" fontId="7" fillId="5" borderId="29" xfId="0" applyFont="1" applyFill="1" applyBorder="1" applyAlignment="1" applyProtection="1">
      <alignment horizontal="right" vertical="center" indent="1"/>
      <protection hidden="1"/>
    </xf>
    <xf numFmtId="0" fontId="7" fillId="3" borderId="46" xfId="0" applyFont="1" applyFill="1" applyBorder="1" applyAlignment="1" applyProtection="1">
      <alignment horizontal="right" vertical="center" indent="1"/>
      <protection hidden="1"/>
    </xf>
    <xf numFmtId="0" fontId="7" fillId="3" borderId="47" xfId="0" applyFont="1" applyFill="1" applyBorder="1" applyAlignment="1" applyProtection="1">
      <alignment horizontal="right" vertical="center" indent="1"/>
      <protection hidden="1"/>
    </xf>
    <xf numFmtId="0" fontId="7" fillId="5" borderId="43" xfId="0" applyFont="1" applyFill="1" applyBorder="1" applyAlignment="1" applyProtection="1">
      <alignment horizontal="right" vertical="center" indent="1"/>
      <protection hidden="1"/>
    </xf>
    <xf numFmtId="0" fontId="7" fillId="5" borderId="44" xfId="0" applyFont="1" applyFill="1" applyBorder="1" applyAlignment="1" applyProtection="1">
      <alignment horizontal="right" vertical="center" indent="1"/>
      <protection hidden="1"/>
    </xf>
    <xf numFmtId="0" fontId="4" fillId="0" borderId="52" xfId="0" applyFont="1" applyBorder="1" applyAlignment="1" applyProtection="1">
      <alignment horizontal="left" vertical="center" indent="1" shrinkToFit="1"/>
      <protection hidden="1"/>
    </xf>
    <xf numFmtId="0" fontId="7" fillId="5" borderId="41" xfId="0" applyFont="1" applyFill="1" applyBorder="1" applyAlignment="1" applyProtection="1">
      <alignment horizontal="right" vertical="center" indent="1"/>
      <protection hidden="1"/>
    </xf>
    <xf numFmtId="0" fontId="7" fillId="5" borderId="24" xfId="0" applyFont="1" applyFill="1" applyBorder="1" applyAlignment="1" applyProtection="1">
      <alignment horizontal="right" vertical="center" indent="1"/>
      <protection hidden="1"/>
    </xf>
    <xf numFmtId="0" fontId="7" fillId="3" borderId="28" xfId="0" applyFont="1" applyFill="1" applyBorder="1" applyAlignment="1" applyProtection="1">
      <alignment horizontal="right" vertical="center" indent="1"/>
      <protection hidden="1"/>
    </xf>
    <xf numFmtId="0" fontId="7" fillId="3" borderId="29" xfId="0" applyFont="1" applyFill="1" applyBorder="1" applyAlignment="1" applyProtection="1">
      <alignment horizontal="right" vertical="center" indent="1"/>
      <protection hidden="1"/>
    </xf>
    <xf numFmtId="0" fontId="7" fillId="5" borderId="46" xfId="0" applyFont="1" applyFill="1" applyBorder="1" applyAlignment="1" applyProtection="1">
      <alignment horizontal="right" vertical="center" indent="1"/>
      <protection hidden="1"/>
    </xf>
    <xf numFmtId="0" fontId="7" fillId="5" borderId="47" xfId="0" applyFont="1" applyFill="1" applyBorder="1" applyAlignment="1" applyProtection="1">
      <alignment horizontal="right" vertical="center" indent="1"/>
      <protection hidden="1"/>
    </xf>
    <xf numFmtId="0" fontId="7" fillId="3" borderId="43" xfId="0" applyFont="1" applyFill="1" applyBorder="1" applyAlignment="1" applyProtection="1">
      <alignment horizontal="right" vertical="center" indent="1"/>
      <protection hidden="1"/>
    </xf>
    <xf numFmtId="0" fontId="7" fillId="3" borderId="44" xfId="0" applyFont="1" applyFill="1" applyBorder="1" applyAlignment="1" applyProtection="1">
      <alignment horizontal="right" vertical="center" indent="1"/>
      <protection hidden="1"/>
    </xf>
    <xf numFmtId="0" fontId="34" fillId="0" borderId="37" xfId="0" applyFont="1" applyBorder="1" applyAlignment="1" applyProtection="1">
      <alignment horizontal="center" vertical="center"/>
      <protection hidden="1"/>
    </xf>
    <xf numFmtId="0" fontId="34" fillId="0" borderId="38" xfId="0" applyFont="1" applyBorder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7" fillId="4" borderId="39" xfId="0" applyFont="1" applyFill="1" applyBorder="1" applyAlignment="1" applyProtection="1">
      <alignment horizontal="right" vertical="center" indent="1"/>
      <protection hidden="1"/>
    </xf>
    <xf numFmtId="0" fontId="7" fillId="5" borderId="42" xfId="0" applyFont="1" applyFill="1" applyBorder="1" applyAlignment="1" applyProtection="1">
      <alignment horizontal="right" vertical="center" indent="1"/>
      <protection hidden="1"/>
    </xf>
    <xf numFmtId="0" fontId="7" fillId="5" borderId="36" xfId="0" applyFont="1" applyFill="1" applyBorder="1" applyAlignment="1" applyProtection="1">
      <alignment horizontal="right" vertical="center" indent="1"/>
      <protection hidden="1"/>
    </xf>
    <xf numFmtId="0" fontId="8" fillId="0" borderId="37" xfId="0" applyFont="1" applyBorder="1" applyAlignment="1" applyProtection="1">
      <alignment horizontal="center" vertical="center" wrapText="1"/>
      <protection hidden="1"/>
    </xf>
    <xf numFmtId="0" fontId="8" fillId="0" borderId="38" xfId="0" applyFont="1" applyBorder="1" applyAlignment="1" applyProtection="1">
      <alignment horizontal="center" vertical="center" wrapText="1"/>
      <protection hidden="1"/>
    </xf>
    <xf numFmtId="0" fontId="8" fillId="0" borderId="39" xfId="0" applyFont="1" applyBorder="1" applyAlignment="1" applyProtection="1">
      <alignment horizontal="center" vertical="center" wrapText="1"/>
      <protection hidden="1"/>
    </xf>
    <xf numFmtId="0" fontId="23" fillId="0" borderId="0" xfId="0" applyFont="1" applyAlignment="1">
      <alignment horizontal="right" indent="1"/>
    </xf>
    <xf numFmtId="0" fontId="18" fillId="0" borderId="0" xfId="0" applyFont="1" applyAlignment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10"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16603609-C28C-4A04-A3CC-E18F346CB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126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30803B96-DDBE-45C9-B53B-DBED3CB538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2540" y="1"/>
          <a:ext cx="884570" cy="107110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B1ABF3D3-E123-4AFF-91D0-18826055D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126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AD186F18-5861-40A2-B0F0-67BD0D91E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2540" y="1"/>
          <a:ext cx="884570" cy="107110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304317DC-2ED6-41EA-A499-22BBD3632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126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5531B165-88C4-437A-B8AD-358598F8C2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2540" y="1"/>
          <a:ext cx="884570" cy="10711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87A874FD-68E2-4F80-8EFF-75F78D9E7D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126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7FF788CF-AF9D-41FD-8439-582B0BEB2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2540" y="1"/>
          <a:ext cx="884570" cy="107110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3A8C141-F61E-4712-919F-55F6AABDA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126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7953CBDB-8E74-4A04-869B-502AD27CB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2540" y="1"/>
          <a:ext cx="884570" cy="107110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1CBAE95A-DD9A-4A9B-AD2C-3AAB877CCC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126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F0897F38-BB97-429A-8668-19CF0C86F0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2540" y="1"/>
          <a:ext cx="884570" cy="107110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A49EDBE0-EF02-4935-BB44-722831B14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126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5FE4F151-2BC2-44D0-8737-7D57D6C4A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2540" y="1"/>
          <a:ext cx="884570" cy="107110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D6FBFC70-2E0B-470E-8E24-95BD1F790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126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F54D3894-1CA1-4A61-AC8C-C4FE51B7C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2540" y="1"/>
          <a:ext cx="884570" cy="107110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06744-5C5A-4AF4-9C08-9D16D8DBCDD5}">
  <sheetPr codeName="Tabelle2">
    <pageSetUpPr fitToPage="1"/>
  </sheetPr>
  <dimension ref="A1:AG40"/>
  <sheetViews>
    <sheetView zoomScaleNormal="100" workbookViewId="0">
      <selection activeCell="I47" sqref="I47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7" customFormat="1" ht="24.95" customHeight="1" x14ac:dyDescent="0.5">
      <c r="A1" s="30"/>
      <c r="B1" s="30"/>
      <c r="C1" s="30"/>
      <c r="D1" s="30"/>
      <c r="E1" s="121" t="s">
        <v>38</v>
      </c>
      <c r="F1" s="121"/>
      <c r="G1" s="121"/>
      <c r="H1" s="121"/>
      <c r="I1" s="121"/>
      <c r="J1" s="31"/>
      <c r="K1" s="30"/>
      <c r="L1" s="30"/>
    </row>
    <row r="2" spans="1:33" s="19" customFormat="1" ht="20.100000000000001" customHeight="1" x14ac:dyDescent="0.45">
      <c r="A2" s="122" t="s">
        <v>57</v>
      </c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</row>
    <row r="3" spans="1:33" s="17" customFormat="1" ht="39.950000000000003" customHeight="1" x14ac:dyDescent="0.5">
      <c r="A3" s="123" t="s">
        <v>0</v>
      </c>
      <c r="B3" s="123"/>
      <c r="C3" s="123"/>
      <c r="D3" s="123"/>
      <c r="E3" s="123"/>
      <c r="F3" s="123"/>
      <c r="G3" s="123"/>
      <c r="H3" s="123"/>
      <c r="I3" s="123"/>
      <c r="J3" s="123"/>
      <c r="K3" s="123"/>
      <c r="L3" s="123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24" t="s">
        <v>48</v>
      </c>
      <c r="B5" s="124"/>
      <c r="C5" s="124"/>
      <c r="D5" s="124"/>
      <c r="E5" s="72" t="s">
        <v>65</v>
      </c>
      <c r="F5" s="15"/>
      <c r="G5" s="16" t="s">
        <v>49</v>
      </c>
      <c r="H5" s="125" t="s">
        <v>58</v>
      </c>
      <c r="I5" s="125"/>
      <c r="J5" s="126" t="s">
        <v>50</v>
      </c>
      <c r="K5" s="126"/>
      <c r="L5" s="73" t="s">
        <v>59</v>
      </c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</row>
    <row r="6" spans="1:33" ht="12" customHeight="1" thickBot="1" x14ac:dyDescent="0.55000000000000004">
      <c r="A6" s="1"/>
      <c r="B6" s="1"/>
      <c r="C6" s="2"/>
      <c r="D6" s="2"/>
      <c r="E6" s="2"/>
      <c r="F6" s="23"/>
      <c r="G6" s="23"/>
      <c r="H6" s="127"/>
      <c r="I6" s="127"/>
      <c r="J6" s="127"/>
      <c r="K6" s="127"/>
      <c r="L6" s="17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</row>
    <row r="7" spans="1:33" s="18" customFormat="1" ht="20.100000000000001" customHeight="1" x14ac:dyDescent="0.35">
      <c r="A7" s="11"/>
      <c r="B7" s="11"/>
      <c r="C7" s="11"/>
      <c r="D7" s="128" t="s">
        <v>31</v>
      </c>
      <c r="E7" s="129"/>
      <c r="F7" s="130" t="s">
        <v>1</v>
      </c>
      <c r="G7" s="131"/>
      <c r="H7" s="129"/>
      <c r="I7" s="132" t="s">
        <v>2</v>
      </c>
      <c r="J7" s="132"/>
      <c r="K7" s="132"/>
      <c r="L7" s="12" t="s">
        <v>3</v>
      </c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</row>
    <row r="8" spans="1:33" ht="21.95" customHeight="1" x14ac:dyDescent="0.25">
      <c r="A8" s="15" t="s">
        <v>28</v>
      </c>
      <c r="B8" s="15"/>
      <c r="C8" s="15"/>
      <c r="D8" s="133" t="s">
        <v>60</v>
      </c>
      <c r="E8" s="134"/>
      <c r="F8" s="135" t="s">
        <v>61</v>
      </c>
      <c r="G8" s="136"/>
      <c r="H8" s="134"/>
      <c r="I8" s="137" t="s">
        <v>62</v>
      </c>
      <c r="J8" s="138"/>
      <c r="K8" s="138"/>
      <c r="L8" s="76" t="s">
        <v>64</v>
      </c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</row>
    <row r="9" spans="1:33" ht="21.95" customHeight="1" thickBot="1" x14ac:dyDescent="0.3">
      <c r="A9" s="15" t="s">
        <v>29</v>
      </c>
      <c r="B9" s="15"/>
      <c r="C9" s="15"/>
      <c r="D9" s="161" t="s">
        <v>60</v>
      </c>
      <c r="E9" s="141"/>
      <c r="F9" s="139" t="s">
        <v>63</v>
      </c>
      <c r="G9" s="140"/>
      <c r="H9" s="141"/>
      <c r="I9" s="142" t="s">
        <v>62</v>
      </c>
      <c r="J9" s="143"/>
      <c r="K9" s="143"/>
      <c r="L9" s="77" t="s">
        <v>64</v>
      </c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</row>
    <row r="11" spans="1:33" ht="39.75" customHeight="1" thickTop="1" thickBot="1" x14ac:dyDescent="0.3">
      <c r="A11" s="4"/>
      <c r="B11" s="4"/>
      <c r="C11" s="4"/>
      <c r="D11" s="4"/>
      <c r="E11" s="4"/>
      <c r="F11" s="144" t="s">
        <v>34</v>
      </c>
      <c r="G11" s="145"/>
      <c r="H11" s="28" t="s">
        <v>33</v>
      </c>
      <c r="I11" s="28" t="s">
        <v>32</v>
      </c>
      <c r="J11" s="32" t="s">
        <v>39</v>
      </c>
      <c r="K11" s="32" t="s">
        <v>4</v>
      </c>
      <c r="L11" s="146" t="s">
        <v>30</v>
      </c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</row>
    <row r="12" spans="1:33" s="18" customFormat="1" ht="20.100000000000001" customHeight="1" thickTop="1" thickBot="1" x14ac:dyDescent="0.4">
      <c r="A12" s="148" t="s">
        <v>5</v>
      </c>
      <c r="B12" s="149"/>
      <c r="C12" s="149"/>
      <c r="D12" s="149"/>
      <c r="E12" s="150"/>
      <c r="F12" s="151">
        <v>1</v>
      </c>
      <c r="G12" s="152"/>
      <c r="H12" s="29">
        <v>3</v>
      </c>
      <c r="I12" s="29">
        <v>5</v>
      </c>
      <c r="J12" s="29">
        <v>0.5</v>
      </c>
      <c r="K12" s="29">
        <v>10</v>
      </c>
      <c r="L12" s="147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</row>
    <row r="13" spans="1:33" ht="27" customHeight="1" thickBot="1" x14ac:dyDescent="0.3">
      <c r="A13" s="5">
        <v>1</v>
      </c>
      <c r="B13" s="26"/>
      <c r="C13" s="22"/>
      <c r="D13" s="162" t="s">
        <v>6</v>
      </c>
      <c r="E13" s="163"/>
      <c r="F13" s="49" t="s">
        <v>40</v>
      </c>
      <c r="G13" s="50"/>
      <c r="H13" s="51"/>
      <c r="I13" s="51"/>
      <c r="J13" s="52"/>
      <c r="K13" s="52"/>
      <c r="L13" s="3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4" t="s">
        <v>45</v>
      </c>
      <c r="O13" s="74"/>
      <c r="P13" s="74" t="s">
        <v>40</v>
      </c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</row>
    <row r="14" spans="1:33" ht="27" customHeight="1" x14ac:dyDescent="0.25">
      <c r="A14" s="6">
        <v>2</v>
      </c>
      <c r="B14" s="6"/>
      <c r="C14" s="153" t="s">
        <v>7</v>
      </c>
      <c r="D14" s="164" t="s">
        <v>8</v>
      </c>
      <c r="E14" s="165"/>
      <c r="F14" s="37" t="s">
        <v>40</v>
      </c>
      <c r="G14" s="38" t="s">
        <v>40</v>
      </c>
      <c r="H14" s="39"/>
      <c r="I14" s="39"/>
      <c r="J14" s="40"/>
      <c r="K14" s="40"/>
      <c r="L14" s="78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74" t="s">
        <v>43</v>
      </c>
      <c r="O14" s="74"/>
      <c r="P14" s="74" t="s">
        <v>41</v>
      </c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</row>
    <row r="15" spans="1:33" ht="27" customHeight="1" x14ac:dyDescent="0.25">
      <c r="A15" s="7">
        <v>3</v>
      </c>
      <c r="B15" s="6"/>
      <c r="C15" s="154"/>
      <c r="D15" s="166" t="s">
        <v>9</v>
      </c>
      <c r="E15" s="167"/>
      <c r="F15" s="41" t="s">
        <v>40</v>
      </c>
      <c r="G15" s="42" t="s">
        <v>40</v>
      </c>
      <c r="H15" s="43" t="s">
        <v>40</v>
      </c>
      <c r="I15" s="43"/>
      <c r="J15" s="44"/>
      <c r="K15" s="44"/>
      <c r="L15" s="79">
        <f t="shared" si="0"/>
        <v>5</v>
      </c>
      <c r="N15" s="74" t="s">
        <v>44</v>
      </c>
      <c r="O15" s="74"/>
      <c r="P15" s="74" t="s">
        <v>42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</row>
    <row r="16" spans="1:33" ht="27" customHeight="1" thickBot="1" x14ac:dyDescent="0.3">
      <c r="A16" s="8">
        <v>4</v>
      </c>
      <c r="B16" s="6"/>
      <c r="C16" s="154"/>
      <c r="D16" s="168" t="s">
        <v>10</v>
      </c>
      <c r="E16" s="169"/>
      <c r="F16" s="45" t="s">
        <v>40</v>
      </c>
      <c r="G16" s="46"/>
      <c r="H16" s="47" t="s">
        <v>40</v>
      </c>
      <c r="I16" s="47"/>
      <c r="J16" s="48"/>
      <c r="K16" s="48"/>
      <c r="L16" s="80">
        <f t="shared" si="0"/>
        <v>6</v>
      </c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</row>
    <row r="17" spans="1:33" ht="27" customHeight="1" x14ac:dyDescent="0.25">
      <c r="A17" s="6">
        <v>5</v>
      </c>
      <c r="B17" s="6"/>
      <c r="C17" s="153" t="s">
        <v>11</v>
      </c>
      <c r="D17" s="155" t="s">
        <v>12</v>
      </c>
      <c r="E17" s="156"/>
      <c r="F17" s="49" t="s">
        <v>40</v>
      </c>
      <c r="G17" s="50" t="s">
        <v>40</v>
      </c>
      <c r="H17" s="51" t="s">
        <v>40</v>
      </c>
      <c r="I17" s="51"/>
      <c r="J17" s="52"/>
      <c r="K17" s="52"/>
      <c r="L17" s="34">
        <f t="shared" si="0"/>
        <v>5</v>
      </c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</row>
    <row r="18" spans="1:33" ht="27" customHeight="1" x14ac:dyDescent="0.25">
      <c r="A18" s="7">
        <v>6</v>
      </c>
      <c r="B18" s="6"/>
      <c r="C18" s="154"/>
      <c r="D18" s="157" t="s">
        <v>13</v>
      </c>
      <c r="E18" s="158"/>
      <c r="F18" s="53"/>
      <c r="G18" s="54"/>
      <c r="H18" s="55"/>
      <c r="I18" s="55" t="s">
        <v>40</v>
      </c>
      <c r="J18" s="56"/>
      <c r="K18" s="56"/>
      <c r="L18" s="35">
        <f t="shared" si="0"/>
        <v>5</v>
      </c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</row>
    <row r="19" spans="1:33" ht="27" customHeight="1" thickBot="1" x14ac:dyDescent="0.3">
      <c r="A19" s="8">
        <v>7</v>
      </c>
      <c r="B19" s="6"/>
      <c r="C19" s="154"/>
      <c r="D19" s="159" t="s">
        <v>14</v>
      </c>
      <c r="E19" s="160"/>
      <c r="F19" s="57" t="s">
        <v>40</v>
      </c>
      <c r="G19" s="58"/>
      <c r="H19" s="59"/>
      <c r="I19" s="59" t="s">
        <v>40</v>
      </c>
      <c r="J19" s="60"/>
      <c r="K19" s="60"/>
      <c r="L19" s="81">
        <f t="shared" si="0"/>
        <v>4</v>
      </c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</row>
    <row r="20" spans="1:33" ht="27" customHeight="1" x14ac:dyDescent="0.25">
      <c r="A20" s="9">
        <v>8</v>
      </c>
      <c r="B20" s="24"/>
      <c r="C20" s="153" t="s">
        <v>15</v>
      </c>
      <c r="D20" s="164" t="s">
        <v>16</v>
      </c>
      <c r="E20" s="165"/>
      <c r="F20" s="37" t="s">
        <v>40</v>
      </c>
      <c r="G20" s="38" t="s">
        <v>40</v>
      </c>
      <c r="H20" s="39"/>
      <c r="I20" s="39" t="s">
        <v>40</v>
      </c>
      <c r="J20" s="40"/>
      <c r="K20" s="40"/>
      <c r="L20" s="78">
        <f t="shared" si="0"/>
        <v>3</v>
      </c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</row>
    <row r="21" spans="1:33" ht="27" customHeight="1" x14ac:dyDescent="0.25">
      <c r="A21" s="7">
        <v>9</v>
      </c>
      <c r="B21" s="6"/>
      <c r="C21" s="154"/>
      <c r="D21" s="166" t="s">
        <v>17</v>
      </c>
      <c r="E21" s="167"/>
      <c r="F21" s="41"/>
      <c r="G21" s="42"/>
      <c r="H21" s="43" t="s">
        <v>40</v>
      </c>
      <c r="I21" s="43"/>
      <c r="J21" s="44"/>
      <c r="K21" s="44"/>
      <c r="L21" s="79">
        <f t="shared" si="0"/>
        <v>7</v>
      </c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</row>
    <row r="22" spans="1:33" ht="27" customHeight="1" thickBot="1" x14ac:dyDescent="0.3">
      <c r="A22" s="8">
        <v>10</v>
      </c>
      <c r="B22" s="6"/>
      <c r="C22" s="154"/>
      <c r="D22" s="168" t="s">
        <v>18</v>
      </c>
      <c r="E22" s="169"/>
      <c r="F22" s="45" t="s">
        <v>40</v>
      </c>
      <c r="G22" s="46"/>
      <c r="H22" s="47" t="s">
        <v>40</v>
      </c>
      <c r="I22" s="47" t="s">
        <v>40</v>
      </c>
      <c r="J22" s="48"/>
      <c r="K22" s="48"/>
      <c r="L22" s="80">
        <f t="shared" si="0"/>
        <v>1</v>
      </c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</row>
    <row r="23" spans="1:33" ht="27" customHeight="1" x14ac:dyDescent="0.25">
      <c r="A23" s="9">
        <v>11</v>
      </c>
      <c r="B23" s="24"/>
      <c r="C23" s="153" t="s">
        <v>19</v>
      </c>
      <c r="D23" s="155" t="s">
        <v>20</v>
      </c>
      <c r="E23" s="156"/>
      <c r="F23" s="49" t="s">
        <v>40</v>
      </c>
      <c r="G23" s="50" t="s">
        <v>40</v>
      </c>
      <c r="H23" s="51" t="s">
        <v>40</v>
      </c>
      <c r="I23" s="51" t="s">
        <v>40</v>
      </c>
      <c r="J23" s="52"/>
      <c r="K23" s="52"/>
      <c r="L23" s="34">
        <f t="shared" si="0"/>
        <v>1</v>
      </c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</row>
    <row r="24" spans="1:33" ht="27" customHeight="1" x14ac:dyDescent="0.25">
      <c r="A24" s="7">
        <v>12</v>
      </c>
      <c r="B24" s="6"/>
      <c r="C24" s="154"/>
      <c r="D24" s="157" t="s">
        <v>21</v>
      </c>
      <c r="E24" s="158"/>
      <c r="F24" s="53"/>
      <c r="G24" s="54"/>
      <c r="H24" s="55"/>
      <c r="I24" s="55"/>
      <c r="J24" s="56" t="s">
        <v>41</v>
      </c>
      <c r="K24" s="56"/>
      <c r="L24" s="35">
        <f t="shared" si="0"/>
        <v>10</v>
      </c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</row>
    <row r="25" spans="1:33" ht="27" customHeight="1" thickBot="1" x14ac:dyDescent="0.3">
      <c r="A25" s="8">
        <v>13</v>
      </c>
      <c r="B25" s="6"/>
      <c r="C25" s="154"/>
      <c r="D25" s="159" t="s">
        <v>22</v>
      </c>
      <c r="E25" s="160"/>
      <c r="F25" s="57" t="s">
        <v>40</v>
      </c>
      <c r="G25" s="58" t="s">
        <v>40</v>
      </c>
      <c r="H25" s="59" t="s">
        <v>40</v>
      </c>
      <c r="I25" s="59" t="s">
        <v>40</v>
      </c>
      <c r="J25" s="60" t="s">
        <v>42</v>
      </c>
      <c r="K25" s="60"/>
      <c r="L25" s="81">
        <f t="shared" si="0"/>
        <v>1</v>
      </c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</row>
    <row r="26" spans="1:33" ht="27" customHeight="1" x14ac:dyDescent="0.25">
      <c r="A26" s="9">
        <v>14</v>
      </c>
      <c r="B26" s="24"/>
      <c r="C26" s="153" t="s">
        <v>23</v>
      </c>
      <c r="D26" s="164" t="s">
        <v>24</v>
      </c>
      <c r="E26" s="165"/>
      <c r="F26" s="37" t="s">
        <v>40</v>
      </c>
      <c r="G26" s="38" t="s">
        <v>40</v>
      </c>
      <c r="H26" s="39"/>
      <c r="I26" s="39"/>
      <c r="J26" s="40" t="s">
        <v>41</v>
      </c>
      <c r="K26" s="40"/>
      <c r="L26" s="78">
        <f t="shared" si="0"/>
        <v>8.5</v>
      </c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</row>
    <row r="27" spans="1:33" ht="27" customHeight="1" x14ac:dyDescent="0.25">
      <c r="A27" s="6">
        <v>15</v>
      </c>
      <c r="B27" s="6"/>
      <c r="C27" s="154"/>
      <c r="D27" s="166" t="s">
        <v>25</v>
      </c>
      <c r="E27" s="167"/>
      <c r="F27" s="41" t="s">
        <v>40</v>
      </c>
      <c r="G27" s="42" t="s">
        <v>40</v>
      </c>
      <c r="H27" s="43"/>
      <c r="I27" s="43"/>
      <c r="J27" s="44" t="s">
        <v>42</v>
      </c>
      <c r="K27" s="44"/>
      <c r="L27" s="79">
        <f t="shared" si="0"/>
        <v>7.5</v>
      </c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</row>
    <row r="28" spans="1:33" ht="27" customHeight="1" thickBot="1" x14ac:dyDescent="0.3">
      <c r="A28" s="8">
        <v>16</v>
      </c>
      <c r="B28" s="6"/>
      <c r="C28" s="154"/>
      <c r="D28" s="168" t="s">
        <v>26</v>
      </c>
      <c r="E28" s="169"/>
      <c r="F28" s="61"/>
      <c r="G28" s="62"/>
      <c r="H28" s="63" t="s">
        <v>40</v>
      </c>
      <c r="I28" s="63"/>
      <c r="J28" s="64"/>
      <c r="K28" s="64"/>
      <c r="L28" s="36">
        <f t="shared" si="0"/>
        <v>7</v>
      </c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</row>
    <row r="29" spans="1:33" ht="27" hidden="1" customHeight="1" x14ac:dyDescent="0.25">
      <c r="A29" s="74"/>
      <c r="B29" s="74"/>
      <c r="C29" s="74"/>
      <c r="D29" s="74"/>
      <c r="E29" s="74"/>
      <c r="F29" s="83"/>
      <c r="G29" s="83"/>
      <c r="H29" s="83"/>
      <c r="I29" s="83"/>
      <c r="J29" s="83"/>
      <c r="K29" s="83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</row>
    <row r="30" spans="1:33" ht="27" hidden="1" customHeight="1" x14ac:dyDescent="0.25">
      <c r="A30" s="74"/>
      <c r="B30" s="74"/>
      <c r="C30" s="74"/>
      <c r="D30" s="74"/>
      <c r="E30" s="74"/>
      <c r="F30" s="83"/>
      <c r="G30" s="83"/>
      <c r="H30" s="83"/>
      <c r="I30" s="83"/>
      <c r="J30" s="83"/>
      <c r="K30" s="83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</row>
    <row r="31" spans="1:33" ht="27" hidden="1" customHeight="1" x14ac:dyDescent="0.25">
      <c r="A31" s="74"/>
      <c r="B31" s="74"/>
      <c r="C31" s="74"/>
      <c r="D31" s="74"/>
      <c r="E31" s="74"/>
      <c r="F31" s="83"/>
      <c r="G31" s="83"/>
      <c r="H31" s="83"/>
      <c r="I31" s="83"/>
      <c r="J31" s="83"/>
      <c r="K31" s="83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</row>
    <row r="32" spans="1:33" ht="27" hidden="1" customHeight="1" x14ac:dyDescent="0.25">
      <c r="A32" s="74"/>
      <c r="B32" s="74"/>
      <c r="C32" s="74"/>
      <c r="D32" s="74"/>
      <c r="E32" s="74"/>
      <c r="F32" s="83"/>
      <c r="G32" s="83"/>
      <c r="H32" s="83"/>
      <c r="I32" s="83"/>
      <c r="J32" s="83"/>
      <c r="K32" s="83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</row>
    <row r="33" spans="1:33" ht="27" hidden="1" customHeight="1" x14ac:dyDescent="0.25">
      <c r="A33" s="74"/>
      <c r="B33" s="74"/>
      <c r="C33" s="74"/>
      <c r="D33" s="74"/>
      <c r="E33" s="74"/>
      <c r="F33" s="83"/>
      <c r="G33" s="83"/>
      <c r="H33" s="83"/>
      <c r="I33" s="83"/>
      <c r="J33" s="83"/>
      <c r="K33" s="83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</row>
    <row r="34" spans="1:33" ht="27" hidden="1" customHeight="1" thickBot="1" x14ac:dyDescent="0.3">
      <c r="A34" s="74"/>
      <c r="B34" s="74"/>
      <c r="C34" s="74"/>
      <c r="D34" s="74"/>
      <c r="E34" s="74"/>
      <c r="F34" s="83"/>
      <c r="G34" s="83"/>
      <c r="H34" s="83"/>
      <c r="I34" s="83"/>
      <c r="J34" s="83"/>
      <c r="K34" s="83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</row>
    <row r="35" spans="1:33" ht="27" customHeight="1" thickBot="1" x14ac:dyDescent="0.3">
      <c r="A35" s="10">
        <v>17</v>
      </c>
      <c r="B35" s="27"/>
      <c r="C35" s="21"/>
      <c r="D35" s="177" t="s">
        <v>27</v>
      </c>
      <c r="E35" s="178"/>
      <c r="F35" s="65"/>
      <c r="G35" s="66"/>
      <c r="H35" s="67"/>
      <c r="I35" s="67"/>
      <c r="J35" s="68"/>
      <c r="K35" s="68" t="s">
        <v>40</v>
      </c>
      <c r="L35" s="82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0</v>
      </c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</row>
    <row r="36" spans="1:33" ht="21.95" customHeight="1" thickTop="1" thickBot="1" x14ac:dyDescent="0.3">
      <c r="A36" s="179" t="s">
        <v>35</v>
      </c>
      <c r="B36" s="180"/>
      <c r="C36" s="180"/>
      <c r="D36" s="180"/>
      <c r="E36" s="181"/>
      <c r="F36" s="170">
        <f>IF($L$37&lt;&gt;"",SUMPRODUCT(--(TRIM(F13:G35)&lt;&gt;"")),"")</f>
        <v>20</v>
      </c>
      <c r="G36" s="171">
        <f t="shared" ref="G36" si="2">IF($L$37&lt;&gt;"",COUNTIF(G13:G29,"x"))</f>
        <v>8</v>
      </c>
      <c r="H36" s="69">
        <f>IF($L$37&lt;&gt;"",SUMPRODUCT(--(TRIM(H13:H35)&lt;&gt;"")),"")</f>
        <v>8</v>
      </c>
      <c r="I36" s="69">
        <f>IF($L$37&lt;&gt;"",SUMPRODUCT(--(TRIM(I13:I35)&lt;&gt;"")),"")</f>
        <v>6</v>
      </c>
      <c r="J36" s="71">
        <f>IF($L$37&lt;&gt;"",(COUNTIFS(J13:J35,"+")-COUNTIFS(J13:J35,"-"))*0.5,"")</f>
        <v>0</v>
      </c>
      <c r="K36" s="70">
        <f>IF($L$37&lt;&gt;"",SUMPRODUCT(--(TRIM(K13:K35)&lt;&gt;"")),"")</f>
        <v>1</v>
      </c>
      <c r="L36" s="33">
        <f>IF(L37&lt;&gt;"",IF(K36&lt;1,SUM(L13:L35),IF(K36&gt;=1,ROUNDUP(SUM(L13:L35)/2,0),"")),"")</f>
        <v>44</v>
      </c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</row>
    <row r="37" spans="1:33" ht="20.100000000000001" customHeight="1" thickTop="1" thickBot="1" x14ac:dyDescent="0.3">
      <c r="A37" s="172" t="s">
        <v>51</v>
      </c>
      <c r="B37" s="173"/>
      <c r="C37" s="173"/>
      <c r="D37" s="173"/>
      <c r="E37" s="25" t="s">
        <v>66</v>
      </c>
      <c r="F37" s="174" t="s">
        <v>36</v>
      </c>
      <c r="G37" s="175"/>
      <c r="H37" s="175"/>
      <c r="I37" s="175"/>
      <c r="J37" s="175"/>
      <c r="K37" s="176"/>
      <c r="L37" s="84" t="s">
        <v>47</v>
      </c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</row>
    <row r="38" spans="1:33" ht="15.75" thickTop="1" x14ac:dyDescent="0.25"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</row>
    <row r="39" spans="1:33" x14ac:dyDescent="0.25"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</row>
    <row r="40" spans="1:33" x14ac:dyDescent="0.25"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</row>
  </sheetData>
  <sheetProtection algorithmName="SHA-512" hashValue="Lh8lnHuylY1E3eZjERwSsjsbZqNVhEHWV+hnU9zOlswiiRAIfasfXxertxJ7ySo2QFGDkOR7FFTmMc5VhdmGow==" saltValue="/VYJcFGAuHI/66/wTTCgog==" spinCount="100000" sheet="1" objects="1" scenarios="1"/>
  <mergeCells count="46"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  <mergeCell ref="C20:C22"/>
    <mergeCell ref="D20:E20"/>
    <mergeCell ref="D21:E21"/>
    <mergeCell ref="D22:E22"/>
    <mergeCell ref="C23:C25"/>
    <mergeCell ref="D23:E23"/>
    <mergeCell ref="D24:E24"/>
    <mergeCell ref="D25:E25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K13:K28 K35 F35:I35 F13:I28" xr:uid="{7E1022C1-C637-4A78-B175-E9E615A4EE44}">
      <formula1>$P$13</formula1>
    </dataValidation>
    <dataValidation type="list" allowBlank="1" showDropDown="1" showInputMessage="1" showErrorMessage="1" sqref="J35 J13:J28" xr:uid="{463BD00B-FD1B-4FAD-9263-B5AC5E7B024D}">
      <formula1>$P$14:$P$15</formula1>
    </dataValidation>
    <dataValidation type="textLength" allowBlank="1" showInputMessage="1" showErrorMessage="1" sqref="F29:K34" xr:uid="{0D5EE992-EBB1-48D4-8DEC-44317B791689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DF32E-2190-4D6C-B8E2-37ED8067321D}">
  <sheetPr codeName="Tabelle3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7" customFormat="1" ht="24.95" customHeight="1" x14ac:dyDescent="0.5">
      <c r="A1" s="30"/>
      <c r="B1" s="30"/>
      <c r="C1" s="30"/>
      <c r="D1" s="30"/>
      <c r="E1" s="121" t="s">
        <v>38</v>
      </c>
      <c r="F1" s="121"/>
      <c r="G1" s="121"/>
      <c r="H1" s="121"/>
      <c r="I1" s="121"/>
      <c r="J1" s="31"/>
      <c r="K1" s="30"/>
      <c r="L1" s="30"/>
    </row>
    <row r="2" spans="1:33" s="19" customFormat="1" ht="20.100000000000001" customHeight="1" x14ac:dyDescent="0.45">
      <c r="A2" s="122" t="s">
        <v>57</v>
      </c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</row>
    <row r="3" spans="1:33" s="17" customFormat="1" ht="39.950000000000003" customHeight="1" x14ac:dyDescent="0.5">
      <c r="A3" s="123" t="s">
        <v>0</v>
      </c>
      <c r="B3" s="123"/>
      <c r="C3" s="123"/>
      <c r="D3" s="123"/>
      <c r="E3" s="123"/>
      <c r="F3" s="123"/>
      <c r="G3" s="123"/>
      <c r="H3" s="123"/>
      <c r="I3" s="123"/>
      <c r="J3" s="123"/>
      <c r="K3" s="123"/>
      <c r="L3" s="123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24" t="s">
        <v>48</v>
      </c>
      <c r="B5" s="124"/>
      <c r="C5" s="124"/>
      <c r="D5" s="124"/>
      <c r="E5" s="72" t="s">
        <v>67</v>
      </c>
      <c r="F5" s="15"/>
      <c r="G5" s="16" t="s">
        <v>49</v>
      </c>
      <c r="H5" s="125" t="s">
        <v>58</v>
      </c>
      <c r="I5" s="125"/>
      <c r="J5" s="126" t="s">
        <v>50</v>
      </c>
      <c r="K5" s="126"/>
      <c r="L5" s="73" t="s">
        <v>59</v>
      </c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</row>
    <row r="6" spans="1:33" ht="12" customHeight="1" thickBot="1" x14ac:dyDescent="0.55000000000000004">
      <c r="A6" s="1"/>
      <c r="B6" s="1"/>
      <c r="C6" s="2"/>
      <c r="D6" s="2"/>
      <c r="E6" s="2"/>
      <c r="F6" s="23"/>
      <c r="G6" s="23"/>
      <c r="H6" s="127"/>
      <c r="I6" s="127"/>
      <c r="J6" s="127"/>
      <c r="K6" s="127"/>
      <c r="L6" s="17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</row>
    <row r="7" spans="1:33" s="18" customFormat="1" ht="20.100000000000001" customHeight="1" x14ac:dyDescent="0.35">
      <c r="A7" s="11"/>
      <c r="B7" s="11"/>
      <c r="C7" s="11"/>
      <c r="D7" s="128" t="s">
        <v>31</v>
      </c>
      <c r="E7" s="129"/>
      <c r="F7" s="130" t="s">
        <v>1</v>
      </c>
      <c r="G7" s="131"/>
      <c r="H7" s="129"/>
      <c r="I7" s="132" t="s">
        <v>2</v>
      </c>
      <c r="J7" s="132"/>
      <c r="K7" s="132"/>
      <c r="L7" s="12" t="s">
        <v>3</v>
      </c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</row>
    <row r="8" spans="1:33" ht="21.95" customHeight="1" x14ac:dyDescent="0.25">
      <c r="A8" s="15" t="s">
        <v>28</v>
      </c>
      <c r="B8" s="15"/>
      <c r="C8" s="15"/>
      <c r="D8" s="133" t="s">
        <v>60</v>
      </c>
      <c r="E8" s="134"/>
      <c r="F8" s="135" t="s">
        <v>61</v>
      </c>
      <c r="G8" s="136"/>
      <c r="H8" s="134"/>
      <c r="I8" s="137" t="s">
        <v>62</v>
      </c>
      <c r="J8" s="138"/>
      <c r="K8" s="138"/>
      <c r="L8" s="76" t="s">
        <v>64</v>
      </c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</row>
    <row r="9" spans="1:33" ht="21.95" customHeight="1" thickBot="1" x14ac:dyDescent="0.3">
      <c r="A9" s="15" t="s">
        <v>29</v>
      </c>
      <c r="B9" s="15"/>
      <c r="C9" s="15"/>
      <c r="D9" s="161" t="s">
        <v>60</v>
      </c>
      <c r="E9" s="141"/>
      <c r="F9" s="139" t="s">
        <v>63</v>
      </c>
      <c r="G9" s="140"/>
      <c r="H9" s="141"/>
      <c r="I9" s="142" t="s">
        <v>62</v>
      </c>
      <c r="J9" s="143"/>
      <c r="K9" s="143"/>
      <c r="L9" s="77" t="s">
        <v>64</v>
      </c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</row>
    <row r="11" spans="1:33" ht="39.75" customHeight="1" thickTop="1" thickBot="1" x14ac:dyDescent="0.3">
      <c r="A11" s="4"/>
      <c r="B11" s="4"/>
      <c r="C11" s="4"/>
      <c r="D11" s="4"/>
      <c r="E11" s="4"/>
      <c r="F11" s="144" t="s">
        <v>34</v>
      </c>
      <c r="G11" s="145"/>
      <c r="H11" s="28" t="s">
        <v>33</v>
      </c>
      <c r="I11" s="28" t="s">
        <v>32</v>
      </c>
      <c r="J11" s="32" t="s">
        <v>39</v>
      </c>
      <c r="K11" s="32" t="s">
        <v>4</v>
      </c>
      <c r="L11" s="146" t="s">
        <v>30</v>
      </c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</row>
    <row r="12" spans="1:33" s="18" customFormat="1" ht="20.100000000000001" customHeight="1" thickTop="1" thickBot="1" x14ac:dyDescent="0.4">
      <c r="A12" s="148" t="s">
        <v>5</v>
      </c>
      <c r="B12" s="149"/>
      <c r="C12" s="149"/>
      <c r="D12" s="149"/>
      <c r="E12" s="150"/>
      <c r="F12" s="151">
        <v>1</v>
      </c>
      <c r="G12" s="152"/>
      <c r="H12" s="29">
        <v>3</v>
      </c>
      <c r="I12" s="29">
        <v>5</v>
      </c>
      <c r="J12" s="29">
        <v>0.5</v>
      </c>
      <c r="K12" s="29">
        <v>10</v>
      </c>
      <c r="L12" s="147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</row>
    <row r="13" spans="1:33" ht="27" customHeight="1" thickBot="1" x14ac:dyDescent="0.3">
      <c r="A13" s="5">
        <v>1</v>
      </c>
      <c r="B13" s="26"/>
      <c r="C13" s="22"/>
      <c r="D13" s="162" t="s">
        <v>6</v>
      </c>
      <c r="E13" s="163"/>
      <c r="F13" s="49" t="s">
        <v>40</v>
      </c>
      <c r="G13" s="50"/>
      <c r="H13" s="51"/>
      <c r="I13" s="51"/>
      <c r="J13" s="52"/>
      <c r="K13" s="52"/>
      <c r="L13" s="3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4" t="s">
        <v>45</v>
      </c>
      <c r="O13" s="74"/>
      <c r="P13" s="74" t="s">
        <v>40</v>
      </c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</row>
    <row r="14" spans="1:33" ht="27" customHeight="1" x14ac:dyDescent="0.25">
      <c r="A14" s="6">
        <v>2</v>
      </c>
      <c r="B14" s="6"/>
      <c r="C14" s="153" t="s">
        <v>7</v>
      </c>
      <c r="D14" s="164" t="s">
        <v>8</v>
      </c>
      <c r="E14" s="165"/>
      <c r="F14" s="37" t="s">
        <v>40</v>
      </c>
      <c r="G14" s="38" t="s">
        <v>40</v>
      </c>
      <c r="H14" s="39"/>
      <c r="I14" s="39"/>
      <c r="J14" s="40"/>
      <c r="K14" s="40"/>
      <c r="L14" s="78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74" t="s">
        <v>43</v>
      </c>
      <c r="O14" s="74"/>
      <c r="P14" s="74" t="s">
        <v>41</v>
      </c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</row>
    <row r="15" spans="1:33" ht="27" customHeight="1" x14ac:dyDescent="0.25">
      <c r="A15" s="7">
        <v>3</v>
      </c>
      <c r="B15" s="6"/>
      <c r="C15" s="154"/>
      <c r="D15" s="166" t="s">
        <v>9</v>
      </c>
      <c r="E15" s="167"/>
      <c r="F15" s="41"/>
      <c r="G15" s="42"/>
      <c r="H15" s="43" t="s">
        <v>40</v>
      </c>
      <c r="I15" s="43"/>
      <c r="J15" s="44"/>
      <c r="K15" s="44"/>
      <c r="L15" s="79">
        <f t="shared" si="0"/>
        <v>7</v>
      </c>
      <c r="N15" s="74" t="s">
        <v>44</v>
      </c>
      <c r="O15" s="74"/>
      <c r="P15" s="74" t="s">
        <v>42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</row>
    <row r="16" spans="1:33" ht="27" customHeight="1" thickBot="1" x14ac:dyDescent="0.3">
      <c r="A16" s="8">
        <v>4</v>
      </c>
      <c r="B16" s="6"/>
      <c r="C16" s="154"/>
      <c r="D16" s="168" t="s">
        <v>10</v>
      </c>
      <c r="E16" s="169"/>
      <c r="F16" s="45" t="s">
        <v>40</v>
      </c>
      <c r="G16" s="46"/>
      <c r="H16" s="47" t="s">
        <v>40</v>
      </c>
      <c r="I16" s="47"/>
      <c r="J16" s="48"/>
      <c r="K16" s="48"/>
      <c r="L16" s="80">
        <f t="shared" si="0"/>
        <v>6</v>
      </c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</row>
    <row r="17" spans="1:33" ht="27" customHeight="1" x14ac:dyDescent="0.25">
      <c r="A17" s="6">
        <v>5</v>
      </c>
      <c r="B17" s="6"/>
      <c r="C17" s="153" t="s">
        <v>11</v>
      </c>
      <c r="D17" s="155" t="s">
        <v>12</v>
      </c>
      <c r="E17" s="156"/>
      <c r="F17" s="49" t="s">
        <v>40</v>
      </c>
      <c r="G17" s="50" t="s">
        <v>40</v>
      </c>
      <c r="H17" s="51" t="s">
        <v>40</v>
      </c>
      <c r="I17" s="51"/>
      <c r="J17" s="52"/>
      <c r="K17" s="52"/>
      <c r="L17" s="34">
        <f t="shared" si="0"/>
        <v>5</v>
      </c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</row>
    <row r="18" spans="1:33" ht="27" customHeight="1" x14ac:dyDescent="0.25">
      <c r="A18" s="7">
        <v>6</v>
      </c>
      <c r="B18" s="6"/>
      <c r="C18" s="154"/>
      <c r="D18" s="157" t="s">
        <v>13</v>
      </c>
      <c r="E18" s="158"/>
      <c r="F18" s="53"/>
      <c r="G18" s="54"/>
      <c r="H18" s="55"/>
      <c r="I18" s="55" t="s">
        <v>40</v>
      </c>
      <c r="J18" s="56"/>
      <c r="K18" s="56"/>
      <c r="L18" s="35">
        <f t="shared" si="0"/>
        <v>5</v>
      </c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</row>
    <row r="19" spans="1:33" ht="27" customHeight="1" thickBot="1" x14ac:dyDescent="0.3">
      <c r="A19" s="8">
        <v>7</v>
      </c>
      <c r="B19" s="6"/>
      <c r="C19" s="154"/>
      <c r="D19" s="159" t="s">
        <v>14</v>
      </c>
      <c r="E19" s="160"/>
      <c r="F19" s="57" t="s">
        <v>40</v>
      </c>
      <c r="G19" s="58"/>
      <c r="H19" s="59"/>
      <c r="I19" s="59" t="s">
        <v>40</v>
      </c>
      <c r="J19" s="60"/>
      <c r="K19" s="60"/>
      <c r="L19" s="81">
        <f t="shared" si="0"/>
        <v>4</v>
      </c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</row>
    <row r="20" spans="1:33" ht="27" customHeight="1" x14ac:dyDescent="0.25">
      <c r="A20" s="9">
        <v>8</v>
      </c>
      <c r="B20" s="24"/>
      <c r="C20" s="153" t="s">
        <v>15</v>
      </c>
      <c r="D20" s="164" t="s">
        <v>16</v>
      </c>
      <c r="E20" s="165"/>
      <c r="F20" s="37" t="s">
        <v>40</v>
      </c>
      <c r="G20" s="38"/>
      <c r="H20" s="39"/>
      <c r="I20" s="39" t="s">
        <v>40</v>
      </c>
      <c r="J20" s="40"/>
      <c r="K20" s="40"/>
      <c r="L20" s="78">
        <f t="shared" si="0"/>
        <v>4</v>
      </c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</row>
    <row r="21" spans="1:33" ht="27" customHeight="1" x14ac:dyDescent="0.25">
      <c r="A21" s="7">
        <v>9</v>
      </c>
      <c r="B21" s="6"/>
      <c r="C21" s="154"/>
      <c r="D21" s="166" t="s">
        <v>17</v>
      </c>
      <c r="E21" s="167"/>
      <c r="F21" s="41"/>
      <c r="G21" s="42"/>
      <c r="H21" s="43" t="s">
        <v>40</v>
      </c>
      <c r="I21" s="43" t="s">
        <v>40</v>
      </c>
      <c r="J21" s="44"/>
      <c r="K21" s="44"/>
      <c r="L21" s="79">
        <f t="shared" si="0"/>
        <v>2</v>
      </c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</row>
    <row r="22" spans="1:33" ht="27" customHeight="1" thickBot="1" x14ac:dyDescent="0.3">
      <c r="A22" s="8">
        <v>10</v>
      </c>
      <c r="B22" s="6"/>
      <c r="C22" s="154"/>
      <c r="D22" s="168" t="s">
        <v>18</v>
      </c>
      <c r="E22" s="169"/>
      <c r="F22" s="45" t="s">
        <v>40</v>
      </c>
      <c r="G22" s="46"/>
      <c r="H22" s="47" t="s">
        <v>40</v>
      </c>
      <c r="I22" s="47" t="s">
        <v>40</v>
      </c>
      <c r="J22" s="48"/>
      <c r="K22" s="48"/>
      <c r="L22" s="80">
        <f t="shared" si="0"/>
        <v>1</v>
      </c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</row>
    <row r="23" spans="1:33" ht="27" customHeight="1" x14ac:dyDescent="0.25">
      <c r="A23" s="9">
        <v>11</v>
      </c>
      <c r="B23" s="24"/>
      <c r="C23" s="153" t="s">
        <v>19</v>
      </c>
      <c r="D23" s="155" t="s">
        <v>20</v>
      </c>
      <c r="E23" s="156"/>
      <c r="F23" s="49" t="s">
        <v>40</v>
      </c>
      <c r="G23" s="50" t="s">
        <v>40</v>
      </c>
      <c r="H23" s="51" t="s">
        <v>40</v>
      </c>
      <c r="I23" s="51"/>
      <c r="J23" s="52"/>
      <c r="K23" s="52"/>
      <c r="L23" s="34">
        <f t="shared" si="0"/>
        <v>5</v>
      </c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</row>
    <row r="24" spans="1:33" ht="27" customHeight="1" x14ac:dyDescent="0.25">
      <c r="A24" s="7">
        <v>12</v>
      </c>
      <c r="B24" s="6"/>
      <c r="C24" s="154"/>
      <c r="D24" s="157" t="s">
        <v>21</v>
      </c>
      <c r="E24" s="158"/>
      <c r="F24" s="53"/>
      <c r="G24" s="54"/>
      <c r="H24" s="55"/>
      <c r="I24" s="55"/>
      <c r="J24" s="56" t="s">
        <v>41</v>
      </c>
      <c r="K24" s="56"/>
      <c r="L24" s="35">
        <f t="shared" si="0"/>
        <v>10</v>
      </c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</row>
    <row r="25" spans="1:33" ht="27" customHeight="1" thickBot="1" x14ac:dyDescent="0.3">
      <c r="A25" s="8">
        <v>13</v>
      </c>
      <c r="B25" s="6"/>
      <c r="C25" s="154"/>
      <c r="D25" s="159" t="s">
        <v>22</v>
      </c>
      <c r="E25" s="160"/>
      <c r="F25" s="57" t="s">
        <v>40</v>
      </c>
      <c r="G25" s="58" t="s">
        <v>40</v>
      </c>
      <c r="H25" s="59" t="s">
        <v>40</v>
      </c>
      <c r="I25" s="59" t="s">
        <v>40</v>
      </c>
      <c r="J25" s="60" t="s">
        <v>42</v>
      </c>
      <c r="K25" s="60"/>
      <c r="L25" s="81">
        <f t="shared" si="0"/>
        <v>1</v>
      </c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</row>
    <row r="26" spans="1:33" ht="27" customHeight="1" x14ac:dyDescent="0.25">
      <c r="A26" s="9">
        <v>14</v>
      </c>
      <c r="B26" s="24"/>
      <c r="C26" s="153" t="s">
        <v>23</v>
      </c>
      <c r="D26" s="164" t="s">
        <v>24</v>
      </c>
      <c r="E26" s="165"/>
      <c r="F26" s="37" t="s">
        <v>40</v>
      </c>
      <c r="G26" s="38" t="s">
        <v>40</v>
      </c>
      <c r="H26" s="39"/>
      <c r="I26" s="39"/>
      <c r="J26" s="40" t="s">
        <v>41</v>
      </c>
      <c r="K26" s="40"/>
      <c r="L26" s="78">
        <f t="shared" si="0"/>
        <v>8.5</v>
      </c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</row>
    <row r="27" spans="1:33" ht="27" customHeight="1" x14ac:dyDescent="0.25">
      <c r="A27" s="6">
        <v>15</v>
      </c>
      <c r="B27" s="6"/>
      <c r="C27" s="154"/>
      <c r="D27" s="166" t="s">
        <v>25</v>
      </c>
      <c r="E27" s="167"/>
      <c r="F27" s="41" t="s">
        <v>40</v>
      </c>
      <c r="G27" s="42" t="s">
        <v>40</v>
      </c>
      <c r="H27" s="43"/>
      <c r="I27" s="43"/>
      <c r="J27" s="44" t="s">
        <v>42</v>
      </c>
      <c r="K27" s="44"/>
      <c r="L27" s="79">
        <f t="shared" si="0"/>
        <v>7.5</v>
      </c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</row>
    <row r="28" spans="1:33" ht="27" customHeight="1" thickBot="1" x14ac:dyDescent="0.3">
      <c r="A28" s="8">
        <v>16</v>
      </c>
      <c r="B28" s="6"/>
      <c r="C28" s="154"/>
      <c r="D28" s="168" t="s">
        <v>26</v>
      </c>
      <c r="E28" s="169"/>
      <c r="F28" s="61"/>
      <c r="G28" s="62"/>
      <c r="H28" s="63" t="s">
        <v>40</v>
      </c>
      <c r="I28" s="63"/>
      <c r="J28" s="64"/>
      <c r="K28" s="64"/>
      <c r="L28" s="36">
        <f t="shared" si="0"/>
        <v>7</v>
      </c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</row>
    <row r="29" spans="1:33" ht="27" hidden="1" customHeight="1" x14ac:dyDescent="0.25">
      <c r="A29" s="74"/>
      <c r="B29" s="74"/>
      <c r="C29" s="74"/>
      <c r="D29" s="74"/>
      <c r="E29" s="74"/>
      <c r="F29" s="83"/>
      <c r="G29" s="83"/>
      <c r="H29" s="83"/>
      <c r="I29" s="83"/>
      <c r="J29" s="83"/>
      <c r="K29" s="83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</row>
    <row r="30" spans="1:33" ht="27" hidden="1" customHeight="1" x14ac:dyDescent="0.25">
      <c r="A30" s="74"/>
      <c r="B30" s="74"/>
      <c r="C30" s="74"/>
      <c r="D30" s="74"/>
      <c r="E30" s="74"/>
      <c r="F30" s="83"/>
      <c r="G30" s="83"/>
      <c r="H30" s="83"/>
      <c r="I30" s="83"/>
      <c r="J30" s="83"/>
      <c r="K30" s="83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</row>
    <row r="31" spans="1:33" ht="27" hidden="1" customHeight="1" x14ac:dyDescent="0.25">
      <c r="A31" s="74"/>
      <c r="B31" s="74"/>
      <c r="C31" s="74"/>
      <c r="D31" s="74"/>
      <c r="E31" s="74"/>
      <c r="F31" s="83"/>
      <c r="G31" s="83"/>
      <c r="H31" s="83"/>
      <c r="I31" s="83"/>
      <c r="J31" s="83"/>
      <c r="K31" s="83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</row>
    <row r="32" spans="1:33" ht="27" hidden="1" customHeight="1" x14ac:dyDescent="0.25">
      <c r="A32" s="74"/>
      <c r="B32" s="74"/>
      <c r="C32" s="74"/>
      <c r="D32" s="74"/>
      <c r="E32" s="74"/>
      <c r="F32" s="83"/>
      <c r="G32" s="83"/>
      <c r="H32" s="83"/>
      <c r="I32" s="83"/>
      <c r="J32" s="83"/>
      <c r="K32" s="83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</row>
    <row r="33" spans="1:33" ht="27" hidden="1" customHeight="1" x14ac:dyDescent="0.25">
      <c r="A33" s="74"/>
      <c r="B33" s="74"/>
      <c r="C33" s="74"/>
      <c r="D33" s="74"/>
      <c r="E33" s="74"/>
      <c r="F33" s="83"/>
      <c r="G33" s="83"/>
      <c r="H33" s="83"/>
      <c r="I33" s="83"/>
      <c r="J33" s="83"/>
      <c r="K33" s="83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</row>
    <row r="34" spans="1:33" ht="27" hidden="1" customHeight="1" thickBot="1" x14ac:dyDescent="0.3">
      <c r="A34" s="74"/>
      <c r="B34" s="74"/>
      <c r="C34" s="74"/>
      <c r="D34" s="74"/>
      <c r="E34" s="74"/>
      <c r="F34" s="83"/>
      <c r="G34" s="83"/>
      <c r="H34" s="83"/>
      <c r="I34" s="83"/>
      <c r="J34" s="83"/>
      <c r="K34" s="83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</row>
    <row r="35" spans="1:33" ht="27" customHeight="1" thickBot="1" x14ac:dyDescent="0.3">
      <c r="A35" s="10">
        <v>17</v>
      </c>
      <c r="B35" s="27"/>
      <c r="C35" s="21"/>
      <c r="D35" s="177" t="s">
        <v>27</v>
      </c>
      <c r="E35" s="178"/>
      <c r="F35" s="65"/>
      <c r="G35" s="66"/>
      <c r="H35" s="67"/>
      <c r="I35" s="67"/>
      <c r="J35" s="68"/>
      <c r="K35" s="68" t="s">
        <v>40</v>
      </c>
      <c r="L35" s="82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0</v>
      </c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</row>
    <row r="36" spans="1:33" ht="21.95" customHeight="1" thickTop="1" thickBot="1" x14ac:dyDescent="0.3">
      <c r="A36" s="179" t="s">
        <v>35</v>
      </c>
      <c r="B36" s="180"/>
      <c r="C36" s="180"/>
      <c r="D36" s="180"/>
      <c r="E36" s="181"/>
      <c r="F36" s="170">
        <f>IF($L$37&lt;&gt;"",SUMPRODUCT(--(TRIM(F13:G35)&lt;&gt;"")),"")</f>
        <v>17</v>
      </c>
      <c r="G36" s="171">
        <f t="shared" ref="G36" si="2">IF($L$37&lt;&gt;"",COUNTIF(G13:G29,"x"))</f>
        <v>6</v>
      </c>
      <c r="H36" s="69">
        <f>IF($L$37&lt;&gt;"",SUMPRODUCT(--(TRIM(H13:H35)&lt;&gt;"")),"")</f>
        <v>8</v>
      </c>
      <c r="I36" s="69">
        <f>IF($L$37&lt;&gt;"",SUMPRODUCT(--(TRIM(I13:I35)&lt;&gt;"")),"")</f>
        <v>6</v>
      </c>
      <c r="J36" s="71">
        <f>IF($L$37&lt;&gt;"",(COUNTIFS(J13:J35,"+")-COUNTIFS(J13:J35,"-"))*0.5,"")</f>
        <v>0</v>
      </c>
      <c r="K36" s="70">
        <f>IF($L$37&lt;&gt;"",SUMPRODUCT(--(TRIM(K13:K35)&lt;&gt;"")),"")</f>
        <v>1</v>
      </c>
      <c r="L36" s="33">
        <f>IF(L37&lt;&gt;"",IF(K36&lt;1,SUM(L13:L35),IF(K36&gt;=1,ROUNDUP(SUM(L13:L35)/2,0),"")),"")</f>
        <v>45</v>
      </c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</row>
    <row r="37" spans="1:33" ht="20.100000000000001" customHeight="1" thickTop="1" thickBot="1" x14ac:dyDescent="0.3">
      <c r="A37" s="172" t="s">
        <v>51</v>
      </c>
      <c r="B37" s="173"/>
      <c r="C37" s="173"/>
      <c r="D37" s="173"/>
      <c r="E37" s="25" t="s">
        <v>68</v>
      </c>
      <c r="F37" s="174" t="s">
        <v>36</v>
      </c>
      <c r="G37" s="175"/>
      <c r="H37" s="175"/>
      <c r="I37" s="175"/>
      <c r="J37" s="175"/>
      <c r="K37" s="176"/>
      <c r="L37" s="84" t="s">
        <v>47</v>
      </c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</row>
    <row r="38" spans="1:33" ht="15.75" thickTop="1" x14ac:dyDescent="0.25"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</row>
    <row r="39" spans="1:33" x14ac:dyDescent="0.25"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</row>
    <row r="40" spans="1:33" x14ac:dyDescent="0.25"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</row>
  </sheetData>
  <sheetProtection algorithmName="SHA-512" hashValue="+8cbsr9Pe48PekfwMb1wH+16PHS062LS9L7oGm7h2gXkwrA/uSErt9jcHxAPenXnTpAHulXeA2MgJ1vEQxhW2g==" saltValue="FMDWiKj0TDcC92oJOudROA==" spinCount="100000" sheet="1" objects="1" scenarios="1"/>
  <mergeCells count="46"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  <mergeCell ref="C20:C22"/>
    <mergeCell ref="D20:E20"/>
    <mergeCell ref="D21:E21"/>
    <mergeCell ref="D22:E22"/>
    <mergeCell ref="C23:C25"/>
    <mergeCell ref="D23:E23"/>
    <mergeCell ref="D24:E24"/>
    <mergeCell ref="D25:E25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K13:K28 K35 F35:I35 F13:I28" xr:uid="{BA0B09CF-E154-4ADE-BA70-136173346F52}">
      <formula1>$P$13</formula1>
    </dataValidation>
    <dataValidation type="list" allowBlank="1" showDropDown="1" showInputMessage="1" showErrorMessage="1" sqref="J35 J13:J28" xr:uid="{933743DB-23C5-44C3-8BAE-FC3AB27E64E8}">
      <formula1>$P$14:$P$15</formula1>
    </dataValidation>
    <dataValidation type="textLength" allowBlank="1" showInputMessage="1" showErrorMessage="1" sqref="F29:K34" xr:uid="{0D712609-2645-472F-8B5E-8B7C027575D0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60495-2D43-498E-B1F7-9C77D0A49FFB}">
  <sheetPr codeName="Tabelle4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7" customFormat="1" ht="24.95" customHeight="1" x14ac:dyDescent="0.5">
      <c r="A1" s="30"/>
      <c r="B1" s="30"/>
      <c r="C1" s="30"/>
      <c r="D1" s="30"/>
      <c r="E1" s="121" t="s">
        <v>38</v>
      </c>
      <c r="F1" s="121"/>
      <c r="G1" s="121"/>
      <c r="H1" s="121"/>
      <c r="I1" s="121"/>
      <c r="J1" s="31"/>
      <c r="K1" s="30"/>
      <c r="L1" s="30"/>
    </row>
    <row r="2" spans="1:33" s="19" customFormat="1" ht="20.100000000000001" customHeight="1" x14ac:dyDescent="0.45">
      <c r="A2" s="122" t="s">
        <v>57</v>
      </c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</row>
    <row r="3" spans="1:33" s="17" customFormat="1" ht="39.950000000000003" customHeight="1" x14ac:dyDescent="0.5">
      <c r="A3" s="123" t="s">
        <v>0</v>
      </c>
      <c r="B3" s="123"/>
      <c r="C3" s="123"/>
      <c r="D3" s="123"/>
      <c r="E3" s="123"/>
      <c r="F3" s="123"/>
      <c r="G3" s="123"/>
      <c r="H3" s="123"/>
      <c r="I3" s="123"/>
      <c r="J3" s="123"/>
      <c r="K3" s="123"/>
      <c r="L3" s="123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24" t="s">
        <v>48</v>
      </c>
      <c r="B5" s="124"/>
      <c r="C5" s="124"/>
      <c r="D5" s="124"/>
      <c r="E5" s="72" t="s">
        <v>69</v>
      </c>
      <c r="F5" s="15"/>
      <c r="G5" s="16" t="s">
        <v>49</v>
      </c>
      <c r="H5" s="125" t="s">
        <v>58</v>
      </c>
      <c r="I5" s="125"/>
      <c r="J5" s="126" t="s">
        <v>50</v>
      </c>
      <c r="K5" s="126"/>
      <c r="L5" s="73" t="s">
        <v>59</v>
      </c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</row>
    <row r="6" spans="1:33" ht="12" customHeight="1" thickBot="1" x14ac:dyDescent="0.55000000000000004">
      <c r="A6" s="1"/>
      <c r="B6" s="1"/>
      <c r="C6" s="2"/>
      <c r="D6" s="2"/>
      <c r="E6" s="2"/>
      <c r="F6" s="23"/>
      <c r="G6" s="23"/>
      <c r="H6" s="127"/>
      <c r="I6" s="127"/>
      <c r="J6" s="127"/>
      <c r="K6" s="127"/>
      <c r="L6" s="17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</row>
    <row r="7" spans="1:33" s="18" customFormat="1" ht="20.100000000000001" customHeight="1" x14ac:dyDescent="0.35">
      <c r="A7" s="11"/>
      <c r="B7" s="11"/>
      <c r="C7" s="11"/>
      <c r="D7" s="128" t="s">
        <v>31</v>
      </c>
      <c r="E7" s="129"/>
      <c r="F7" s="130" t="s">
        <v>1</v>
      </c>
      <c r="G7" s="131"/>
      <c r="H7" s="129"/>
      <c r="I7" s="132" t="s">
        <v>2</v>
      </c>
      <c r="J7" s="132"/>
      <c r="K7" s="132"/>
      <c r="L7" s="12" t="s">
        <v>3</v>
      </c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</row>
    <row r="8" spans="1:33" ht="21.95" customHeight="1" x14ac:dyDescent="0.25">
      <c r="A8" s="15" t="s">
        <v>28</v>
      </c>
      <c r="B8" s="15"/>
      <c r="C8" s="15"/>
      <c r="D8" s="133" t="s">
        <v>60</v>
      </c>
      <c r="E8" s="134"/>
      <c r="F8" s="135" t="s">
        <v>61</v>
      </c>
      <c r="G8" s="136"/>
      <c r="H8" s="134"/>
      <c r="I8" s="137" t="s">
        <v>62</v>
      </c>
      <c r="J8" s="138"/>
      <c r="K8" s="138"/>
      <c r="L8" s="76" t="s">
        <v>64</v>
      </c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</row>
    <row r="9" spans="1:33" ht="21.95" customHeight="1" thickBot="1" x14ac:dyDescent="0.3">
      <c r="A9" s="15" t="s">
        <v>29</v>
      </c>
      <c r="B9" s="15"/>
      <c r="C9" s="15"/>
      <c r="D9" s="161" t="s">
        <v>60</v>
      </c>
      <c r="E9" s="141"/>
      <c r="F9" s="139" t="s">
        <v>63</v>
      </c>
      <c r="G9" s="140"/>
      <c r="H9" s="141"/>
      <c r="I9" s="142" t="s">
        <v>62</v>
      </c>
      <c r="J9" s="143"/>
      <c r="K9" s="143"/>
      <c r="L9" s="77" t="s">
        <v>64</v>
      </c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</row>
    <row r="11" spans="1:33" ht="39.75" customHeight="1" thickTop="1" thickBot="1" x14ac:dyDescent="0.3">
      <c r="A11" s="4"/>
      <c r="B11" s="4"/>
      <c r="C11" s="4"/>
      <c r="D11" s="4"/>
      <c r="E11" s="4"/>
      <c r="F11" s="144" t="s">
        <v>34</v>
      </c>
      <c r="G11" s="145"/>
      <c r="H11" s="28" t="s">
        <v>33</v>
      </c>
      <c r="I11" s="28" t="s">
        <v>32</v>
      </c>
      <c r="J11" s="32" t="s">
        <v>39</v>
      </c>
      <c r="K11" s="32" t="s">
        <v>4</v>
      </c>
      <c r="L11" s="146" t="s">
        <v>30</v>
      </c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</row>
    <row r="12" spans="1:33" s="18" customFormat="1" ht="20.100000000000001" customHeight="1" thickTop="1" thickBot="1" x14ac:dyDescent="0.4">
      <c r="A12" s="148" t="s">
        <v>5</v>
      </c>
      <c r="B12" s="149"/>
      <c r="C12" s="149"/>
      <c r="D12" s="149"/>
      <c r="E12" s="150"/>
      <c r="F12" s="151">
        <v>1</v>
      </c>
      <c r="G12" s="152"/>
      <c r="H12" s="29">
        <v>3</v>
      </c>
      <c r="I12" s="29">
        <v>5</v>
      </c>
      <c r="J12" s="29">
        <v>0.5</v>
      </c>
      <c r="K12" s="29">
        <v>10</v>
      </c>
      <c r="L12" s="147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</row>
    <row r="13" spans="1:33" ht="27" customHeight="1" thickBot="1" x14ac:dyDescent="0.3">
      <c r="A13" s="5">
        <v>1</v>
      </c>
      <c r="B13" s="26"/>
      <c r="C13" s="22"/>
      <c r="D13" s="162" t="s">
        <v>6</v>
      </c>
      <c r="E13" s="163"/>
      <c r="F13" s="49" t="s">
        <v>40</v>
      </c>
      <c r="G13" s="50"/>
      <c r="H13" s="51"/>
      <c r="I13" s="51"/>
      <c r="J13" s="52"/>
      <c r="K13" s="52"/>
      <c r="L13" s="3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4" t="s">
        <v>45</v>
      </c>
      <c r="O13" s="74"/>
      <c r="P13" s="74" t="s">
        <v>40</v>
      </c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</row>
    <row r="14" spans="1:33" ht="27" customHeight="1" x14ac:dyDescent="0.25">
      <c r="A14" s="6">
        <v>2</v>
      </c>
      <c r="B14" s="6"/>
      <c r="C14" s="153" t="s">
        <v>7</v>
      </c>
      <c r="D14" s="164" t="s">
        <v>8</v>
      </c>
      <c r="E14" s="165"/>
      <c r="F14" s="37" t="s">
        <v>40</v>
      </c>
      <c r="G14" s="38" t="s">
        <v>40</v>
      </c>
      <c r="H14" s="39"/>
      <c r="I14" s="39"/>
      <c r="J14" s="40"/>
      <c r="K14" s="40"/>
      <c r="L14" s="78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74" t="s">
        <v>43</v>
      </c>
      <c r="O14" s="74"/>
      <c r="P14" s="74" t="s">
        <v>41</v>
      </c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</row>
    <row r="15" spans="1:33" ht="27" customHeight="1" x14ac:dyDescent="0.25">
      <c r="A15" s="7">
        <v>3</v>
      </c>
      <c r="B15" s="6"/>
      <c r="C15" s="154"/>
      <c r="D15" s="166" t="s">
        <v>9</v>
      </c>
      <c r="E15" s="167"/>
      <c r="F15" s="41"/>
      <c r="G15" s="42"/>
      <c r="H15" s="43" t="s">
        <v>40</v>
      </c>
      <c r="I15" s="43"/>
      <c r="J15" s="44"/>
      <c r="K15" s="44"/>
      <c r="L15" s="79">
        <f t="shared" si="0"/>
        <v>7</v>
      </c>
      <c r="N15" s="74" t="s">
        <v>44</v>
      </c>
      <c r="O15" s="74"/>
      <c r="P15" s="74" t="s">
        <v>42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</row>
    <row r="16" spans="1:33" ht="27" customHeight="1" thickBot="1" x14ac:dyDescent="0.3">
      <c r="A16" s="8">
        <v>4</v>
      </c>
      <c r="B16" s="6"/>
      <c r="C16" s="154"/>
      <c r="D16" s="168" t="s">
        <v>10</v>
      </c>
      <c r="E16" s="169"/>
      <c r="F16" s="45" t="s">
        <v>40</v>
      </c>
      <c r="G16" s="46"/>
      <c r="H16" s="47" t="s">
        <v>40</v>
      </c>
      <c r="I16" s="47"/>
      <c r="J16" s="48"/>
      <c r="K16" s="48"/>
      <c r="L16" s="80">
        <f t="shared" si="0"/>
        <v>6</v>
      </c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</row>
    <row r="17" spans="1:33" ht="27" customHeight="1" x14ac:dyDescent="0.25">
      <c r="A17" s="6">
        <v>5</v>
      </c>
      <c r="B17" s="6"/>
      <c r="C17" s="153" t="s">
        <v>11</v>
      </c>
      <c r="D17" s="155" t="s">
        <v>12</v>
      </c>
      <c r="E17" s="156"/>
      <c r="F17" s="49" t="s">
        <v>40</v>
      </c>
      <c r="G17" s="50" t="s">
        <v>40</v>
      </c>
      <c r="H17" s="51" t="s">
        <v>40</v>
      </c>
      <c r="I17" s="51"/>
      <c r="J17" s="52"/>
      <c r="K17" s="52"/>
      <c r="L17" s="34">
        <f t="shared" si="0"/>
        <v>5</v>
      </c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</row>
    <row r="18" spans="1:33" ht="27" customHeight="1" x14ac:dyDescent="0.25">
      <c r="A18" s="7">
        <v>6</v>
      </c>
      <c r="B18" s="6"/>
      <c r="C18" s="154"/>
      <c r="D18" s="157" t="s">
        <v>13</v>
      </c>
      <c r="E18" s="158"/>
      <c r="F18" s="53"/>
      <c r="G18" s="54"/>
      <c r="H18" s="55"/>
      <c r="I18" s="55" t="s">
        <v>40</v>
      </c>
      <c r="J18" s="56"/>
      <c r="K18" s="56"/>
      <c r="L18" s="35">
        <f t="shared" si="0"/>
        <v>5</v>
      </c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</row>
    <row r="19" spans="1:33" ht="27" customHeight="1" thickBot="1" x14ac:dyDescent="0.3">
      <c r="A19" s="8">
        <v>7</v>
      </c>
      <c r="B19" s="6"/>
      <c r="C19" s="154"/>
      <c r="D19" s="159" t="s">
        <v>14</v>
      </c>
      <c r="E19" s="160"/>
      <c r="F19" s="57" t="s">
        <v>40</v>
      </c>
      <c r="G19" s="58"/>
      <c r="H19" s="59"/>
      <c r="I19" s="59" t="s">
        <v>40</v>
      </c>
      <c r="J19" s="60"/>
      <c r="K19" s="60"/>
      <c r="L19" s="81">
        <f t="shared" si="0"/>
        <v>4</v>
      </c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</row>
    <row r="20" spans="1:33" ht="27" customHeight="1" x14ac:dyDescent="0.25">
      <c r="A20" s="9">
        <v>8</v>
      </c>
      <c r="B20" s="24"/>
      <c r="C20" s="153" t="s">
        <v>15</v>
      </c>
      <c r="D20" s="164" t="s">
        <v>16</v>
      </c>
      <c r="E20" s="165"/>
      <c r="F20" s="37" t="s">
        <v>40</v>
      </c>
      <c r="G20" s="38" t="s">
        <v>40</v>
      </c>
      <c r="H20" s="39"/>
      <c r="I20" s="39" t="s">
        <v>40</v>
      </c>
      <c r="J20" s="40"/>
      <c r="K20" s="40"/>
      <c r="L20" s="78">
        <f t="shared" si="0"/>
        <v>3</v>
      </c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</row>
    <row r="21" spans="1:33" ht="27" customHeight="1" x14ac:dyDescent="0.25">
      <c r="A21" s="7">
        <v>9</v>
      </c>
      <c r="B21" s="6"/>
      <c r="C21" s="154"/>
      <c r="D21" s="166" t="s">
        <v>17</v>
      </c>
      <c r="E21" s="167"/>
      <c r="F21" s="41"/>
      <c r="G21" s="42"/>
      <c r="H21" s="43" t="s">
        <v>40</v>
      </c>
      <c r="I21" s="43" t="s">
        <v>40</v>
      </c>
      <c r="J21" s="44"/>
      <c r="K21" s="44"/>
      <c r="L21" s="79">
        <f t="shared" si="0"/>
        <v>2</v>
      </c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</row>
    <row r="22" spans="1:33" ht="27" customHeight="1" thickBot="1" x14ac:dyDescent="0.3">
      <c r="A22" s="8">
        <v>10</v>
      </c>
      <c r="B22" s="6"/>
      <c r="C22" s="154"/>
      <c r="D22" s="168" t="s">
        <v>18</v>
      </c>
      <c r="E22" s="169"/>
      <c r="F22" s="45" t="s">
        <v>40</v>
      </c>
      <c r="G22" s="46"/>
      <c r="H22" s="47" t="s">
        <v>40</v>
      </c>
      <c r="I22" s="47" t="s">
        <v>40</v>
      </c>
      <c r="J22" s="48"/>
      <c r="K22" s="48"/>
      <c r="L22" s="80">
        <f t="shared" si="0"/>
        <v>1</v>
      </c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</row>
    <row r="23" spans="1:33" ht="27" customHeight="1" x14ac:dyDescent="0.25">
      <c r="A23" s="9">
        <v>11</v>
      </c>
      <c r="B23" s="24"/>
      <c r="C23" s="153" t="s">
        <v>19</v>
      </c>
      <c r="D23" s="155" t="s">
        <v>20</v>
      </c>
      <c r="E23" s="156"/>
      <c r="F23" s="49" t="s">
        <v>40</v>
      </c>
      <c r="G23" s="50" t="s">
        <v>40</v>
      </c>
      <c r="H23" s="51" t="s">
        <v>40</v>
      </c>
      <c r="I23" s="51"/>
      <c r="J23" s="52"/>
      <c r="K23" s="52"/>
      <c r="L23" s="34">
        <f t="shared" si="0"/>
        <v>5</v>
      </c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</row>
    <row r="24" spans="1:33" ht="27" customHeight="1" x14ac:dyDescent="0.25">
      <c r="A24" s="7">
        <v>12</v>
      </c>
      <c r="B24" s="6"/>
      <c r="C24" s="154"/>
      <c r="D24" s="157" t="s">
        <v>21</v>
      </c>
      <c r="E24" s="158"/>
      <c r="F24" s="53"/>
      <c r="G24" s="54"/>
      <c r="H24" s="55"/>
      <c r="I24" s="55"/>
      <c r="J24" s="56" t="s">
        <v>41</v>
      </c>
      <c r="K24" s="56"/>
      <c r="L24" s="35">
        <f t="shared" si="0"/>
        <v>10</v>
      </c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</row>
    <row r="25" spans="1:33" ht="27" customHeight="1" thickBot="1" x14ac:dyDescent="0.3">
      <c r="A25" s="8">
        <v>13</v>
      </c>
      <c r="B25" s="6"/>
      <c r="C25" s="154"/>
      <c r="D25" s="159" t="s">
        <v>22</v>
      </c>
      <c r="E25" s="160"/>
      <c r="F25" s="57" t="s">
        <v>40</v>
      </c>
      <c r="G25" s="58" t="s">
        <v>40</v>
      </c>
      <c r="H25" s="59" t="s">
        <v>40</v>
      </c>
      <c r="I25" s="59" t="s">
        <v>40</v>
      </c>
      <c r="J25" s="60" t="s">
        <v>42</v>
      </c>
      <c r="K25" s="60"/>
      <c r="L25" s="81">
        <f t="shared" si="0"/>
        <v>1</v>
      </c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</row>
    <row r="26" spans="1:33" ht="27" customHeight="1" x14ac:dyDescent="0.25">
      <c r="A26" s="9">
        <v>14</v>
      </c>
      <c r="B26" s="24"/>
      <c r="C26" s="153" t="s">
        <v>23</v>
      </c>
      <c r="D26" s="164" t="s">
        <v>24</v>
      </c>
      <c r="E26" s="165"/>
      <c r="F26" s="37" t="s">
        <v>40</v>
      </c>
      <c r="G26" s="38" t="s">
        <v>40</v>
      </c>
      <c r="H26" s="39"/>
      <c r="I26" s="39"/>
      <c r="J26" s="40" t="s">
        <v>41</v>
      </c>
      <c r="K26" s="40"/>
      <c r="L26" s="78">
        <f t="shared" si="0"/>
        <v>8.5</v>
      </c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</row>
    <row r="27" spans="1:33" ht="27" customHeight="1" x14ac:dyDescent="0.25">
      <c r="A27" s="6">
        <v>15</v>
      </c>
      <c r="B27" s="6"/>
      <c r="C27" s="154"/>
      <c r="D27" s="166" t="s">
        <v>25</v>
      </c>
      <c r="E27" s="167"/>
      <c r="F27" s="41" t="s">
        <v>40</v>
      </c>
      <c r="G27" s="42" t="s">
        <v>40</v>
      </c>
      <c r="H27" s="43"/>
      <c r="I27" s="43"/>
      <c r="J27" s="44" t="s">
        <v>42</v>
      </c>
      <c r="K27" s="44"/>
      <c r="L27" s="79">
        <f t="shared" si="0"/>
        <v>7.5</v>
      </c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</row>
    <row r="28" spans="1:33" ht="27" customHeight="1" thickBot="1" x14ac:dyDescent="0.3">
      <c r="A28" s="8">
        <v>16</v>
      </c>
      <c r="B28" s="6"/>
      <c r="C28" s="154"/>
      <c r="D28" s="168" t="s">
        <v>26</v>
      </c>
      <c r="E28" s="169"/>
      <c r="F28" s="61"/>
      <c r="G28" s="62"/>
      <c r="H28" s="63" t="s">
        <v>40</v>
      </c>
      <c r="I28" s="63"/>
      <c r="J28" s="64"/>
      <c r="K28" s="64"/>
      <c r="L28" s="36">
        <f t="shared" si="0"/>
        <v>7</v>
      </c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</row>
    <row r="29" spans="1:33" ht="27" hidden="1" customHeight="1" x14ac:dyDescent="0.25">
      <c r="A29" s="74"/>
      <c r="B29" s="74"/>
      <c r="C29" s="74"/>
      <c r="D29" s="74"/>
      <c r="E29" s="74"/>
      <c r="F29" s="83"/>
      <c r="G29" s="83"/>
      <c r="H29" s="83"/>
      <c r="I29" s="83"/>
      <c r="J29" s="83"/>
      <c r="K29" s="83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</row>
    <row r="30" spans="1:33" ht="27" hidden="1" customHeight="1" x14ac:dyDescent="0.25">
      <c r="A30" s="74"/>
      <c r="B30" s="74"/>
      <c r="C30" s="74"/>
      <c r="D30" s="74"/>
      <c r="E30" s="74"/>
      <c r="F30" s="83"/>
      <c r="G30" s="83"/>
      <c r="H30" s="83"/>
      <c r="I30" s="83"/>
      <c r="J30" s="83"/>
      <c r="K30" s="83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</row>
    <row r="31" spans="1:33" ht="27" hidden="1" customHeight="1" x14ac:dyDescent="0.25">
      <c r="A31" s="74"/>
      <c r="B31" s="74"/>
      <c r="C31" s="74"/>
      <c r="D31" s="74"/>
      <c r="E31" s="74"/>
      <c r="F31" s="83"/>
      <c r="G31" s="83"/>
      <c r="H31" s="83"/>
      <c r="I31" s="83"/>
      <c r="J31" s="83"/>
      <c r="K31" s="83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</row>
    <row r="32" spans="1:33" ht="27" hidden="1" customHeight="1" x14ac:dyDescent="0.25">
      <c r="A32" s="74"/>
      <c r="B32" s="74"/>
      <c r="C32" s="74"/>
      <c r="D32" s="74"/>
      <c r="E32" s="74"/>
      <c r="F32" s="83"/>
      <c r="G32" s="83"/>
      <c r="H32" s="83"/>
      <c r="I32" s="83"/>
      <c r="J32" s="83"/>
      <c r="K32" s="83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</row>
    <row r="33" spans="1:33" ht="27" hidden="1" customHeight="1" x14ac:dyDescent="0.25">
      <c r="A33" s="74"/>
      <c r="B33" s="74"/>
      <c r="C33" s="74"/>
      <c r="D33" s="74"/>
      <c r="E33" s="74"/>
      <c r="F33" s="83"/>
      <c r="G33" s="83"/>
      <c r="H33" s="83"/>
      <c r="I33" s="83"/>
      <c r="J33" s="83"/>
      <c r="K33" s="83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</row>
    <row r="34" spans="1:33" ht="27" hidden="1" customHeight="1" thickBot="1" x14ac:dyDescent="0.3">
      <c r="A34" s="74"/>
      <c r="B34" s="74"/>
      <c r="C34" s="74"/>
      <c r="D34" s="74"/>
      <c r="E34" s="74"/>
      <c r="F34" s="83"/>
      <c r="G34" s="83"/>
      <c r="H34" s="83"/>
      <c r="I34" s="83"/>
      <c r="J34" s="83"/>
      <c r="K34" s="83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</row>
    <row r="35" spans="1:33" ht="27" customHeight="1" thickBot="1" x14ac:dyDescent="0.3">
      <c r="A35" s="10">
        <v>17</v>
      </c>
      <c r="B35" s="27"/>
      <c r="C35" s="21"/>
      <c r="D35" s="177" t="s">
        <v>27</v>
      </c>
      <c r="E35" s="178"/>
      <c r="F35" s="65"/>
      <c r="G35" s="66"/>
      <c r="H35" s="67"/>
      <c r="I35" s="67"/>
      <c r="J35" s="68"/>
      <c r="K35" s="68" t="s">
        <v>40</v>
      </c>
      <c r="L35" s="82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0</v>
      </c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</row>
    <row r="36" spans="1:33" ht="21.95" customHeight="1" thickTop="1" thickBot="1" x14ac:dyDescent="0.3">
      <c r="A36" s="179" t="s">
        <v>35</v>
      </c>
      <c r="B36" s="180"/>
      <c r="C36" s="180"/>
      <c r="D36" s="180"/>
      <c r="E36" s="181"/>
      <c r="F36" s="170">
        <f>IF($L$37&lt;&gt;"",SUMPRODUCT(--(TRIM(F13:G35)&lt;&gt;"")),"")</f>
        <v>18</v>
      </c>
      <c r="G36" s="171">
        <f t="shared" ref="G36" si="2">IF($L$37&lt;&gt;"",COUNTIF(G13:G29,"x"))</f>
        <v>7</v>
      </c>
      <c r="H36" s="69">
        <f>IF($L$37&lt;&gt;"",SUMPRODUCT(--(TRIM(H13:H35)&lt;&gt;"")),"")</f>
        <v>8</v>
      </c>
      <c r="I36" s="69">
        <f>IF($L$37&lt;&gt;"",SUMPRODUCT(--(TRIM(I13:I35)&lt;&gt;"")),"")</f>
        <v>6</v>
      </c>
      <c r="J36" s="71">
        <f>IF($L$37&lt;&gt;"",(COUNTIFS(J13:J35,"+")-COUNTIFS(J13:J35,"-"))*0.5,"")</f>
        <v>0</v>
      </c>
      <c r="K36" s="70">
        <f>IF($L$37&lt;&gt;"",SUMPRODUCT(--(TRIM(K13:K35)&lt;&gt;"")),"")</f>
        <v>1</v>
      </c>
      <c r="L36" s="33">
        <f>IF(L37&lt;&gt;"",IF(K36&lt;1,SUM(L13:L35),IF(K36&gt;=1,ROUNDUP(SUM(L13:L35)/2,0),"")),"")</f>
        <v>45</v>
      </c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</row>
    <row r="37" spans="1:33" ht="20.100000000000001" customHeight="1" thickTop="1" thickBot="1" x14ac:dyDescent="0.3">
      <c r="A37" s="172" t="s">
        <v>51</v>
      </c>
      <c r="B37" s="173"/>
      <c r="C37" s="173"/>
      <c r="D37" s="173"/>
      <c r="E37" s="25" t="s">
        <v>70</v>
      </c>
      <c r="F37" s="174" t="s">
        <v>36</v>
      </c>
      <c r="G37" s="175"/>
      <c r="H37" s="175"/>
      <c r="I37" s="175"/>
      <c r="J37" s="175"/>
      <c r="K37" s="176"/>
      <c r="L37" s="84" t="s">
        <v>47</v>
      </c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</row>
    <row r="38" spans="1:33" ht="15.75" thickTop="1" x14ac:dyDescent="0.25"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</row>
    <row r="39" spans="1:33" x14ac:dyDescent="0.25"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</row>
    <row r="40" spans="1:33" x14ac:dyDescent="0.25"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</row>
  </sheetData>
  <sheetProtection algorithmName="SHA-512" hashValue="Sky47SMziJqCRKqwVyCR41ToHQCJS+Ujmm5VTFnFmKVM495aT4Y5pyJpJI74Kchl1eWhZj1EcJtEehIpFRlnXw==" saltValue="s237e2NIFIcbobvoZPCUjw==" spinCount="100000" sheet="1" objects="1" scenarios="1"/>
  <mergeCells count="46"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  <mergeCell ref="C20:C22"/>
    <mergeCell ref="D20:E20"/>
    <mergeCell ref="D21:E21"/>
    <mergeCell ref="D22:E22"/>
    <mergeCell ref="C23:C25"/>
    <mergeCell ref="D23:E23"/>
    <mergeCell ref="D24:E24"/>
    <mergeCell ref="D25:E25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K13:K28 K35 F35:I35 F13:I28" xr:uid="{256B2233-36A4-459A-A668-B707B942E723}">
      <formula1>$P$13</formula1>
    </dataValidation>
    <dataValidation type="list" allowBlank="1" showDropDown="1" showInputMessage="1" showErrorMessage="1" sqref="J35 J13:J28" xr:uid="{D371CA1A-C51F-4440-B389-21A213B60D78}">
      <formula1>$P$14:$P$15</formula1>
    </dataValidation>
    <dataValidation type="textLength" allowBlank="1" showInputMessage="1" showErrorMessage="1" sqref="F29:K34" xr:uid="{C21E0963-CD64-4756-AD2F-8BEEEDC7B13A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F07C2-D4C1-4D02-8601-43A2069D4649}">
  <sheetPr codeName="Tabelle5">
    <pageSetUpPr fitToPage="1"/>
  </sheetPr>
  <dimension ref="A1:AG40"/>
  <sheetViews>
    <sheetView zoomScaleNormal="100" workbookViewId="0">
      <selection activeCell="K35" sqref="K35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7" customFormat="1" ht="24.95" customHeight="1" x14ac:dyDescent="0.5">
      <c r="A1" s="30"/>
      <c r="B1" s="30"/>
      <c r="C1" s="30"/>
      <c r="D1" s="30"/>
      <c r="E1" s="121" t="s">
        <v>38</v>
      </c>
      <c r="F1" s="121"/>
      <c r="G1" s="121"/>
      <c r="H1" s="121"/>
      <c r="I1" s="121"/>
      <c r="J1" s="31"/>
      <c r="K1" s="30"/>
      <c r="L1" s="30"/>
    </row>
    <row r="2" spans="1:33" s="19" customFormat="1" ht="20.100000000000001" customHeight="1" x14ac:dyDescent="0.45">
      <c r="A2" s="122" t="s">
        <v>57</v>
      </c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</row>
    <row r="3" spans="1:33" s="17" customFormat="1" ht="39.950000000000003" customHeight="1" x14ac:dyDescent="0.5">
      <c r="A3" s="123" t="s">
        <v>0</v>
      </c>
      <c r="B3" s="123"/>
      <c r="C3" s="123"/>
      <c r="D3" s="123"/>
      <c r="E3" s="123"/>
      <c r="F3" s="123"/>
      <c r="G3" s="123"/>
      <c r="H3" s="123"/>
      <c r="I3" s="123"/>
      <c r="J3" s="123"/>
      <c r="K3" s="123"/>
      <c r="L3" s="123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24" t="s">
        <v>48</v>
      </c>
      <c r="B5" s="124"/>
      <c r="C5" s="124"/>
      <c r="D5" s="124"/>
      <c r="E5" s="72" t="s">
        <v>71</v>
      </c>
      <c r="F5" s="15"/>
      <c r="G5" s="16" t="s">
        <v>49</v>
      </c>
      <c r="H5" s="125" t="s">
        <v>58</v>
      </c>
      <c r="I5" s="125"/>
      <c r="J5" s="126" t="s">
        <v>50</v>
      </c>
      <c r="K5" s="126"/>
      <c r="L5" s="73" t="s">
        <v>59</v>
      </c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</row>
    <row r="6" spans="1:33" ht="12" customHeight="1" thickBot="1" x14ac:dyDescent="0.55000000000000004">
      <c r="A6" s="1"/>
      <c r="B6" s="1"/>
      <c r="C6" s="2"/>
      <c r="D6" s="2"/>
      <c r="E6" s="2"/>
      <c r="F6" s="23"/>
      <c r="G6" s="23"/>
      <c r="H6" s="127"/>
      <c r="I6" s="127"/>
      <c r="J6" s="127"/>
      <c r="K6" s="127"/>
      <c r="L6" s="17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</row>
    <row r="7" spans="1:33" s="18" customFormat="1" ht="20.100000000000001" customHeight="1" x14ac:dyDescent="0.35">
      <c r="A7" s="11"/>
      <c r="B7" s="11"/>
      <c r="C7" s="11"/>
      <c r="D7" s="128" t="s">
        <v>31</v>
      </c>
      <c r="E7" s="129"/>
      <c r="F7" s="130" t="s">
        <v>1</v>
      </c>
      <c r="G7" s="131"/>
      <c r="H7" s="129"/>
      <c r="I7" s="132" t="s">
        <v>2</v>
      </c>
      <c r="J7" s="132"/>
      <c r="K7" s="132"/>
      <c r="L7" s="12" t="s">
        <v>3</v>
      </c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</row>
    <row r="8" spans="1:33" ht="21.95" customHeight="1" x14ac:dyDescent="0.25">
      <c r="A8" s="15" t="s">
        <v>28</v>
      </c>
      <c r="B8" s="15"/>
      <c r="C8" s="15"/>
      <c r="D8" s="133" t="s">
        <v>60</v>
      </c>
      <c r="E8" s="134"/>
      <c r="F8" s="135" t="s">
        <v>61</v>
      </c>
      <c r="G8" s="136"/>
      <c r="H8" s="134"/>
      <c r="I8" s="137" t="s">
        <v>62</v>
      </c>
      <c r="J8" s="138"/>
      <c r="K8" s="138"/>
      <c r="L8" s="76" t="s">
        <v>64</v>
      </c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</row>
    <row r="9" spans="1:33" ht="21.95" customHeight="1" thickBot="1" x14ac:dyDescent="0.3">
      <c r="A9" s="15" t="s">
        <v>29</v>
      </c>
      <c r="B9" s="15"/>
      <c r="C9" s="15"/>
      <c r="D9" s="161" t="s">
        <v>60</v>
      </c>
      <c r="E9" s="141"/>
      <c r="F9" s="139" t="s">
        <v>63</v>
      </c>
      <c r="G9" s="140"/>
      <c r="H9" s="141"/>
      <c r="I9" s="142" t="s">
        <v>62</v>
      </c>
      <c r="J9" s="143"/>
      <c r="K9" s="143"/>
      <c r="L9" s="77" t="s">
        <v>64</v>
      </c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</row>
    <row r="11" spans="1:33" ht="39.75" customHeight="1" thickTop="1" thickBot="1" x14ac:dyDescent="0.3">
      <c r="A11" s="4"/>
      <c r="B11" s="4"/>
      <c r="C11" s="4"/>
      <c r="D11" s="4"/>
      <c r="E11" s="4"/>
      <c r="F11" s="144" t="s">
        <v>34</v>
      </c>
      <c r="G11" s="145"/>
      <c r="H11" s="28" t="s">
        <v>33</v>
      </c>
      <c r="I11" s="28" t="s">
        <v>32</v>
      </c>
      <c r="J11" s="32" t="s">
        <v>39</v>
      </c>
      <c r="K11" s="32" t="s">
        <v>4</v>
      </c>
      <c r="L11" s="146" t="s">
        <v>30</v>
      </c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</row>
    <row r="12" spans="1:33" s="18" customFormat="1" ht="20.100000000000001" customHeight="1" thickTop="1" thickBot="1" x14ac:dyDescent="0.4">
      <c r="A12" s="148" t="s">
        <v>5</v>
      </c>
      <c r="B12" s="149"/>
      <c r="C12" s="149"/>
      <c r="D12" s="149"/>
      <c r="E12" s="150"/>
      <c r="F12" s="151">
        <v>1</v>
      </c>
      <c r="G12" s="152"/>
      <c r="H12" s="29">
        <v>3</v>
      </c>
      <c r="I12" s="29">
        <v>5</v>
      </c>
      <c r="J12" s="29">
        <v>0.5</v>
      </c>
      <c r="K12" s="29">
        <v>10</v>
      </c>
      <c r="L12" s="147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</row>
    <row r="13" spans="1:33" ht="27" customHeight="1" thickBot="1" x14ac:dyDescent="0.3">
      <c r="A13" s="5">
        <v>1</v>
      </c>
      <c r="B13" s="26"/>
      <c r="C13" s="22"/>
      <c r="D13" s="162" t="s">
        <v>6</v>
      </c>
      <c r="E13" s="163"/>
      <c r="F13" s="49" t="s">
        <v>40</v>
      </c>
      <c r="G13" s="50"/>
      <c r="H13" s="51"/>
      <c r="I13" s="51"/>
      <c r="J13" s="52"/>
      <c r="K13" s="52"/>
      <c r="L13" s="3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4" t="s">
        <v>45</v>
      </c>
      <c r="O13" s="74"/>
      <c r="P13" s="74" t="s">
        <v>40</v>
      </c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</row>
    <row r="14" spans="1:33" ht="27" customHeight="1" x14ac:dyDescent="0.25">
      <c r="A14" s="6">
        <v>2</v>
      </c>
      <c r="B14" s="6"/>
      <c r="C14" s="153" t="s">
        <v>7</v>
      </c>
      <c r="D14" s="164" t="s">
        <v>8</v>
      </c>
      <c r="E14" s="165"/>
      <c r="F14" s="37" t="s">
        <v>40</v>
      </c>
      <c r="G14" s="38" t="s">
        <v>40</v>
      </c>
      <c r="H14" s="39"/>
      <c r="I14" s="39"/>
      <c r="J14" s="40"/>
      <c r="K14" s="40"/>
      <c r="L14" s="78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74" t="s">
        <v>43</v>
      </c>
      <c r="O14" s="74"/>
      <c r="P14" s="74" t="s">
        <v>41</v>
      </c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</row>
    <row r="15" spans="1:33" ht="27" customHeight="1" x14ac:dyDescent="0.25">
      <c r="A15" s="7">
        <v>3</v>
      </c>
      <c r="B15" s="6"/>
      <c r="C15" s="154"/>
      <c r="D15" s="166" t="s">
        <v>9</v>
      </c>
      <c r="E15" s="167"/>
      <c r="F15" s="41"/>
      <c r="G15" s="42"/>
      <c r="H15" s="43" t="s">
        <v>40</v>
      </c>
      <c r="I15" s="43"/>
      <c r="J15" s="44"/>
      <c r="K15" s="44"/>
      <c r="L15" s="79">
        <f t="shared" si="0"/>
        <v>7</v>
      </c>
      <c r="N15" s="74" t="s">
        <v>44</v>
      </c>
      <c r="O15" s="74"/>
      <c r="P15" s="74" t="s">
        <v>42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</row>
    <row r="16" spans="1:33" ht="27" customHeight="1" thickBot="1" x14ac:dyDescent="0.3">
      <c r="A16" s="8">
        <v>4</v>
      </c>
      <c r="B16" s="6"/>
      <c r="C16" s="154"/>
      <c r="D16" s="168" t="s">
        <v>10</v>
      </c>
      <c r="E16" s="169"/>
      <c r="F16" s="45" t="s">
        <v>40</v>
      </c>
      <c r="G16" s="46"/>
      <c r="H16" s="47" t="s">
        <v>40</v>
      </c>
      <c r="I16" s="47"/>
      <c r="J16" s="48"/>
      <c r="K16" s="48"/>
      <c r="L16" s="80">
        <f t="shared" si="0"/>
        <v>6</v>
      </c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</row>
    <row r="17" spans="1:33" ht="27" customHeight="1" x14ac:dyDescent="0.25">
      <c r="A17" s="6">
        <v>5</v>
      </c>
      <c r="B17" s="6"/>
      <c r="C17" s="153" t="s">
        <v>11</v>
      </c>
      <c r="D17" s="155" t="s">
        <v>12</v>
      </c>
      <c r="E17" s="156"/>
      <c r="F17" s="49" t="s">
        <v>40</v>
      </c>
      <c r="G17" s="50" t="s">
        <v>40</v>
      </c>
      <c r="H17" s="51" t="s">
        <v>40</v>
      </c>
      <c r="I17" s="51"/>
      <c r="J17" s="52"/>
      <c r="K17" s="52"/>
      <c r="L17" s="34">
        <f t="shared" si="0"/>
        <v>5</v>
      </c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</row>
    <row r="18" spans="1:33" ht="27" customHeight="1" x14ac:dyDescent="0.25">
      <c r="A18" s="7">
        <v>6</v>
      </c>
      <c r="B18" s="6"/>
      <c r="C18" s="154"/>
      <c r="D18" s="157" t="s">
        <v>13</v>
      </c>
      <c r="E18" s="158"/>
      <c r="F18" s="53"/>
      <c r="G18" s="54"/>
      <c r="H18" s="55"/>
      <c r="I18" s="55" t="s">
        <v>40</v>
      </c>
      <c r="J18" s="56"/>
      <c r="K18" s="56"/>
      <c r="L18" s="35">
        <f t="shared" si="0"/>
        <v>5</v>
      </c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</row>
    <row r="19" spans="1:33" ht="27" customHeight="1" thickBot="1" x14ac:dyDescent="0.3">
      <c r="A19" s="8">
        <v>7</v>
      </c>
      <c r="B19" s="6"/>
      <c r="C19" s="154"/>
      <c r="D19" s="159" t="s">
        <v>14</v>
      </c>
      <c r="E19" s="160"/>
      <c r="F19" s="57" t="s">
        <v>40</v>
      </c>
      <c r="G19" s="58"/>
      <c r="H19" s="59"/>
      <c r="I19" s="59" t="s">
        <v>40</v>
      </c>
      <c r="J19" s="60"/>
      <c r="K19" s="60"/>
      <c r="L19" s="81">
        <f t="shared" si="0"/>
        <v>4</v>
      </c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</row>
    <row r="20" spans="1:33" ht="27" customHeight="1" x14ac:dyDescent="0.25">
      <c r="A20" s="9">
        <v>8</v>
      </c>
      <c r="B20" s="24"/>
      <c r="C20" s="153" t="s">
        <v>15</v>
      </c>
      <c r="D20" s="164" t="s">
        <v>16</v>
      </c>
      <c r="E20" s="165"/>
      <c r="F20" s="37" t="s">
        <v>40</v>
      </c>
      <c r="G20" s="38" t="s">
        <v>40</v>
      </c>
      <c r="H20" s="39"/>
      <c r="I20" s="39" t="s">
        <v>40</v>
      </c>
      <c r="J20" s="40"/>
      <c r="K20" s="40"/>
      <c r="L20" s="78">
        <f t="shared" si="0"/>
        <v>3</v>
      </c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</row>
    <row r="21" spans="1:33" ht="27" customHeight="1" x14ac:dyDescent="0.25">
      <c r="A21" s="7">
        <v>9</v>
      </c>
      <c r="B21" s="6"/>
      <c r="C21" s="154"/>
      <c r="D21" s="166" t="s">
        <v>17</v>
      </c>
      <c r="E21" s="167"/>
      <c r="F21" s="41"/>
      <c r="G21" s="42"/>
      <c r="H21" s="43" t="s">
        <v>40</v>
      </c>
      <c r="I21" s="43" t="s">
        <v>40</v>
      </c>
      <c r="J21" s="44"/>
      <c r="K21" s="44"/>
      <c r="L21" s="79">
        <f t="shared" si="0"/>
        <v>2</v>
      </c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</row>
    <row r="22" spans="1:33" ht="27" customHeight="1" thickBot="1" x14ac:dyDescent="0.3">
      <c r="A22" s="8">
        <v>10</v>
      </c>
      <c r="B22" s="6"/>
      <c r="C22" s="154"/>
      <c r="D22" s="168" t="s">
        <v>18</v>
      </c>
      <c r="E22" s="169"/>
      <c r="F22" s="45" t="s">
        <v>40</v>
      </c>
      <c r="G22" s="46"/>
      <c r="H22" s="47" t="s">
        <v>40</v>
      </c>
      <c r="I22" s="47" t="s">
        <v>40</v>
      </c>
      <c r="J22" s="48"/>
      <c r="K22" s="48"/>
      <c r="L22" s="80">
        <f t="shared" si="0"/>
        <v>1</v>
      </c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</row>
    <row r="23" spans="1:33" ht="27" customHeight="1" x14ac:dyDescent="0.25">
      <c r="A23" s="9">
        <v>11</v>
      </c>
      <c r="B23" s="24"/>
      <c r="C23" s="153" t="s">
        <v>19</v>
      </c>
      <c r="D23" s="155" t="s">
        <v>20</v>
      </c>
      <c r="E23" s="156"/>
      <c r="F23" s="49" t="s">
        <v>40</v>
      </c>
      <c r="G23" s="50" t="s">
        <v>40</v>
      </c>
      <c r="H23" s="51" t="s">
        <v>40</v>
      </c>
      <c r="I23" s="51" t="s">
        <v>40</v>
      </c>
      <c r="J23" s="52"/>
      <c r="K23" s="52"/>
      <c r="L23" s="34">
        <f t="shared" si="0"/>
        <v>1</v>
      </c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</row>
    <row r="24" spans="1:33" ht="27" customHeight="1" x14ac:dyDescent="0.25">
      <c r="A24" s="7">
        <v>12</v>
      </c>
      <c r="B24" s="6"/>
      <c r="C24" s="154"/>
      <c r="D24" s="157" t="s">
        <v>21</v>
      </c>
      <c r="E24" s="158"/>
      <c r="F24" s="53" t="s">
        <v>40</v>
      </c>
      <c r="G24" s="54" t="s">
        <v>40</v>
      </c>
      <c r="H24" s="55" t="s">
        <v>40</v>
      </c>
      <c r="I24" s="55"/>
      <c r="J24" s="56" t="s">
        <v>41</v>
      </c>
      <c r="K24" s="56"/>
      <c r="L24" s="35">
        <f t="shared" si="0"/>
        <v>5.5</v>
      </c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</row>
    <row r="25" spans="1:33" ht="27" customHeight="1" thickBot="1" x14ac:dyDescent="0.3">
      <c r="A25" s="8">
        <v>13</v>
      </c>
      <c r="B25" s="6"/>
      <c r="C25" s="154"/>
      <c r="D25" s="159" t="s">
        <v>22</v>
      </c>
      <c r="E25" s="160"/>
      <c r="F25" s="57" t="s">
        <v>40</v>
      </c>
      <c r="G25" s="58" t="s">
        <v>40</v>
      </c>
      <c r="H25" s="59" t="s">
        <v>40</v>
      </c>
      <c r="I25" s="59" t="s">
        <v>40</v>
      </c>
      <c r="J25" s="60" t="s">
        <v>42</v>
      </c>
      <c r="K25" s="60"/>
      <c r="L25" s="81">
        <f t="shared" si="0"/>
        <v>1</v>
      </c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</row>
    <row r="26" spans="1:33" ht="27" customHeight="1" x14ac:dyDescent="0.25">
      <c r="A26" s="9">
        <v>14</v>
      </c>
      <c r="B26" s="24"/>
      <c r="C26" s="153" t="s">
        <v>23</v>
      </c>
      <c r="D26" s="164" t="s">
        <v>24</v>
      </c>
      <c r="E26" s="165"/>
      <c r="F26" s="37" t="s">
        <v>40</v>
      </c>
      <c r="G26" s="38" t="s">
        <v>40</v>
      </c>
      <c r="H26" s="39"/>
      <c r="I26" s="39"/>
      <c r="J26" s="40" t="s">
        <v>41</v>
      </c>
      <c r="K26" s="40"/>
      <c r="L26" s="78">
        <f t="shared" si="0"/>
        <v>8.5</v>
      </c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</row>
    <row r="27" spans="1:33" ht="27" customHeight="1" x14ac:dyDescent="0.25">
      <c r="A27" s="6">
        <v>15</v>
      </c>
      <c r="B27" s="6"/>
      <c r="C27" s="154"/>
      <c r="D27" s="166" t="s">
        <v>25</v>
      </c>
      <c r="E27" s="167"/>
      <c r="F27" s="41" t="s">
        <v>40</v>
      </c>
      <c r="G27" s="42" t="s">
        <v>40</v>
      </c>
      <c r="H27" s="43"/>
      <c r="I27" s="43"/>
      <c r="J27" s="44" t="s">
        <v>42</v>
      </c>
      <c r="K27" s="44"/>
      <c r="L27" s="79">
        <f t="shared" si="0"/>
        <v>7.5</v>
      </c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</row>
    <row r="28" spans="1:33" ht="27" customHeight="1" thickBot="1" x14ac:dyDescent="0.3">
      <c r="A28" s="8">
        <v>16</v>
      </c>
      <c r="B28" s="6"/>
      <c r="C28" s="154"/>
      <c r="D28" s="168" t="s">
        <v>26</v>
      </c>
      <c r="E28" s="169"/>
      <c r="F28" s="61"/>
      <c r="G28" s="62"/>
      <c r="H28" s="63" t="s">
        <v>40</v>
      </c>
      <c r="I28" s="63"/>
      <c r="J28" s="64"/>
      <c r="K28" s="64"/>
      <c r="L28" s="36">
        <f t="shared" si="0"/>
        <v>7</v>
      </c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</row>
    <row r="29" spans="1:33" ht="27" hidden="1" customHeight="1" x14ac:dyDescent="0.25">
      <c r="A29" s="74"/>
      <c r="B29" s="74"/>
      <c r="C29" s="74"/>
      <c r="D29" s="74"/>
      <c r="E29" s="74"/>
      <c r="F29" s="83"/>
      <c r="G29" s="83"/>
      <c r="H29" s="83"/>
      <c r="I29" s="83"/>
      <c r="J29" s="83"/>
      <c r="K29" s="83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</row>
    <row r="30" spans="1:33" ht="27" hidden="1" customHeight="1" x14ac:dyDescent="0.25">
      <c r="A30" s="74"/>
      <c r="B30" s="74"/>
      <c r="C30" s="74"/>
      <c r="D30" s="74"/>
      <c r="E30" s="74"/>
      <c r="F30" s="83"/>
      <c r="G30" s="83"/>
      <c r="H30" s="83"/>
      <c r="I30" s="83"/>
      <c r="J30" s="83"/>
      <c r="K30" s="83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</row>
    <row r="31" spans="1:33" ht="27" hidden="1" customHeight="1" x14ac:dyDescent="0.25">
      <c r="A31" s="74"/>
      <c r="B31" s="74"/>
      <c r="C31" s="74"/>
      <c r="D31" s="74"/>
      <c r="E31" s="74"/>
      <c r="F31" s="83"/>
      <c r="G31" s="83"/>
      <c r="H31" s="83"/>
      <c r="I31" s="83"/>
      <c r="J31" s="83"/>
      <c r="K31" s="83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</row>
    <row r="32" spans="1:33" ht="27" hidden="1" customHeight="1" x14ac:dyDescent="0.25">
      <c r="A32" s="74"/>
      <c r="B32" s="74"/>
      <c r="C32" s="74"/>
      <c r="D32" s="74"/>
      <c r="E32" s="74"/>
      <c r="F32" s="83"/>
      <c r="G32" s="83"/>
      <c r="H32" s="83"/>
      <c r="I32" s="83"/>
      <c r="J32" s="83"/>
      <c r="K32" s="83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</row>
    <row r="33" spans="1:33" ht="27" hidden="1" customHeight="1" x14ac:dyDescent="0.25">
      <c r="A33" s="74"/>
      <c r="B33" s="74"/>
      <c r="C33" s="74"/>
      <c r="D33" s="74"/>
      <c r="E33" s="74"/>
      <c r="F33" s="83"/>
      <c r="G33" s="83"/>
      <c r="H33" s="83"/>
      <c r="I33" s="83"/>
      <c r="J33" s="83"/>
      <c r="K33" s="83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</row>
    <row r="34" spans="1:33" ht="27" hidden="1" customHeight="1" thickBot="1" x14ac:dyDescent="0.3">
      <c r="A34" s="74"/>
      <c r="B34" s="74"/>
      <c r="C34" s="74"/>
      <c r="D34" s="74"/>
      <c r="E34" s="74"/>
      <c r="F34" s="83"/>
      <c r="G34" s="83"/>
      <c r="H34" s="83"/>
      <c r="I34" s="83"/>
      <c r="J34" s="83"/>
      <c r="K34" s="83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</row>
    <row r="35" spans="1:33" ht="27" customHeight="1" thickBot="1" x14ac:dyDescent="0.3">
      <c r="A35" s="10">
        <v>17</v>
      </c>
      <c r="B35" s="27"/>
      <c r="C35" s="21"/>
      <c r="D35" s="177" t="s">
        <v>27</v>
      </c>
      <c r="E35" s="178"/>
      <c r="F35" s="65"/>
      <c r="G35" s="66"/>
      <c r="H35" s="67"/>
      <c r="I35" s="67"/>
      <c r="J35" s="68"/>
      <c r="K35" s="68"/>
      <c r="L35" s="82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</row>
    <row r="36" spans="1:33" ht="21.95" customHeight="1" thickTop="1" thickBot="1" x14ac:dyDescent="0.3">
      <c r="A36" s="179" t="s">
        <v>35</v>
      </c>
      <c r="B36" s="180"/>
      <c r="C36" s="180"/>
      <c r="D36" s="180"/>
      <c r="E36" s="181"/>
      <c r="F36" s="170">
        <f>IF($L$37&lt;&gt;"",SUMPRODUCT(--(TRIM(F13:G35)&lt;&gt;"")),"")</f>
        <v>20</v>
      </c>
      <c r="G36" s="171">
        <f t="shared" ref="G36" si="2">IF($L$37&lt;&gt;"",COUNTIF(G13:G29,"x"))</f>
        <v>8</v>
      </c>
      <c r="H36" s="69">
        <f>IF($L$37&lt;&gt;"",SUMPRODUCT(--(TRIM(H13:H35)&lt;&gt;"")),"")</f>
        <v>9</v>
      </c>
      <c r="I36" s="69">
        <f>IF($L$37&lt;&gt;"",SUMPRODUCT(--(TRIM(I13:I35)&lt;&gt;"")),"")</f>
        <v>7</v>
      </c>
      <c r="J36" s="71">
        <f>IF($L$37&lt;&gt;"",(COUNTIFS(J13:J35,"+")-COUNTIFS(J13:J35,"-"))*0.5,"")</f>
        <v>0</v>
      </c>
      <c r="K36" s="70">
        <f>IF($L$37&lt;&gt;"",SUMPRODUCT(--(TRIM(K13:K35)&lt;&gt;"")),"")</f>
        <v>0</v>
      </c>
      <c r="L36" s="33">
        <f>IF(L37&lt;&gt;"",IF(K36&lt;1,SUM(L13:L35),IF(K36&gt;=1,ROUNDUP(SUM(L13:L35)/2,0),"")),"")</f>
        <v>90.5</v>
      </c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</row>
    <row r="37" spans="1:33" ht="20.100000000000001" customHeight="1" thickTop="1" thickBot="1" x14ac:dyDescent="0.3">
      <c r="A37" s="172" t="s">
        <v>51</v>
      </c>
      <c r="B37" s="173"/>
      <c r="C37" s="173"/>
      <c r="D37" s="173"/>
      <c r="E37" s="25" t="s">
        <v>72</v>
      </c>
      <c r="F37" s="174" t="s">
        <v>36</v>
      </c>
      <c r="G37" s="175"/>
      <c r="H37" s="175"/>
      <c r="I37" s="175"/>
      <c r="J37" s="175"/>
      <c r="K37" s="176"/>
      <c r="L37" s="84" t="s">
        <v>47</v>
      </c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</row>
    <row r="38" spans="1:33" ht="15.75" thickTop="1" x14ac:dyDescent="0.25"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</row>
    <row r="39" spans="1:33" x14ac:dyDescent="0.25"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</row>
    <row r="40" spans="1:33" x14ac:dyDescent="0.25"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</row>
  </sheetData>
  <sheetProtection algorithmName="SHA-512" hashValue="ve/s77WqSBAzaR+loNxYEg8v127ltSTlTZS2bprIiVRkq62RnZxGipYonWEejdTmY2xd05Y9CWYhvKVQV8aenQ==" saltValue="jkpHMZWNXkoWdvtqSuJkNQ==" spinCount="100000" sheet="1" objects="1" scenarios="1"/>
  <mergeCells count="46"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  <mergeCell ref="C20:C22"/>
    <mergeCell ref="D20:E20"/>
    <mergeCell ref="D21:E21"/>
    <mergeCell ref="D22:E22"/>
    <mergeCell ref="C23:C25"/>
    <mergeCell ref="D23:E23"/>
    <mergeCell ref="D24:E24"/>
    <mergeCell ref="D25:E25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K13:K28 K35 F35:I35 F13:I28" xr:uid="{79A873A1-B3B4-47BC-BDDF-49F4AD21468F}">
      <formula1>$P$13</formula1>
    </dataValidation>
    <dataValidation type="list" allowBlank="1" showDropDown="1" showInputMessage="1" showErrorMessage="1" sqref="J35 J13:J28" xr:uid="{ABC5F90B-2513-455C-AAA0-77FE7359202A}">
      <formula1>$P$14:$P$15</formula1>
    </dataValidation>
    <dataValidation type="textLength" allowBlank="1" showInputMessage="1" showErrorMessage="1" sqref="F29:K34" xr:uid="{0ECDE8AE-7D1E-4016-8D00-80803A2BEFD8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88407-8AD8-4541-A78B-C14F5E734F2B}">
  <sheetPr codeName="Tabelle6">
    <pageSetUpPr fitToPage="1"/>
  </sheetPr>
  <dimension ref="A1:AG40"/>
  <sheetViews>
    <sheetView tabSelected="1" zoomScaleNormal="100" workbookViewId="0">
      <selection activeCell="O36" sqref="O36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7" customFormat="1" ht="24.95" customHeight="1" x14ac:dyDescent="0.5">
      <c r="A1" s="30"/>
      <c r="B1" s="30"/>
      <c r="C1" s="30"/>
      <c r="D1" s="30"/>
      <c r="E1" s="121" t="s">
        <v>38</v>
      </c>
      <c r="F1" s="121"/>
      <c r="G1" s="121"/>
      <c r="H1" s="121"/>
      <c r="I1" s="121"/>
      <c r="J1" s="31"/>
      <c r="K1" s="30"/>
      <c r="L1" s="30"/>
    </row>
    <row r="2" spans="1:33" s="19" customFormat="1" ht="20.100000000000001" customHeight="1" x14ac:dyDescent="0.45">
      <c r="A2" s="122" t="s">
        <v>57</v>
      </c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</row>
    <row r="3" spans="1:33" s="17" customFormat="1" ht="39.950000000000003" customHeight="1" x14ac:dyDescent="0.5">
      <c r="A3" s="123" t="s">
        <v>0</v>
      </c>
      <c r="B3" s="123"/>
      <c r="C3" s="123"/>
      <c r="D3" s="123"/>
      <c r="E3" s="123"/>
      <c r="F3" s="123"/>
      <c r="G3" s="123"/>
      <c r="H3" s="123"/>
      <c r="I3" s="123"/>
      <c r="J3" s="123"/>
      <c r="K3" s="123"/>
      <c r="L3" s="123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24" t="s">
        <v>48</v>
      </c>
      <c r="B5" s="124"/>
      <c r="C5" s="124"/>
      <c r="D5" s="124"/>
      <c r="E5" s="72" t="s">
        <v>73</v>
      </c>
      <c r="F5" s="15"/>
      <c r="G5" s="16" t="s">
        <v>49</v>
      </c>
      <c r="H5" s="125" t="s">
        <v>58</v>
      </c>
      <c r="I5" s="125"/>
      <c r="J5" s="126" t="s">
        <v>50</v>
      </c>
      <c r="K5" s="126"/>
      <c r="L5" s="73" t="s">
        <v>59</v>
      </c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</row>
    <row r="6" spans="1:33" ht="12" customHeight="1" thickBot="1" x14ac:dyDescent="0.55000000000000004">
      <c r="A6" s="1"/>
      <c r="B6" s="1"/>
      <c r="C6" s="2"/>
      <c r="D6" s="2"/>
      <c r="E6" s="2"/>
      <c r="F6" s="23"/>
      <c r="G6" s="23"/>
      <c r="H6" s="127"/>
      <c r="I6" s="127"/>
      <c r="J6" s="127"/>
      <c r="K6" s="127"/>
      <c r="L6" s="17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</row>
    <row r="7" spans="1:33" s="18" customFormat="1" ht="20.100000000000001" customHeight="1" x14ac:dyDescent="0.35">
      <c r="A7" s="11"/>
      <c r="B7" s="11"/>
      <c r="C7" s="11"/>
      <c r="D7" s="128" t="s">
        <v>31</v>
      </c>
      <c r="E7" s="129"/>
      <c r="F7" s="130" t="s">
        <v>1</v>
      </c>
      <c r="G7" s="131"/>
      <c r="H7" s="129"/>
      <c r="I7" s="132" t="s">
        <v>2</v>
      </c>
      <c r="J7" s="132"/>
      <c r="K7" s="132"/>
      <c r="L7" s="12" t="s">
        <v>3</v>
      </c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</row>
    <row r="8" spans="1:33" ht="21.95" customHeight="1" x14ac:dyDescent="0.25">
      <c r="A8" s="15" t="s">
        <v>28</v>
      </c>
      <c r="B8" s="15"/>
      <c r="C8" s="15"/>
      <c r="D8" s="133" t="s">
        <v>60</v>
      </c>
      <c r="E8" s="134"/>
      <c r="F8" s="135" t="s">
        <v>61</v>
      </c>
      <c r="G8" s="136"/>
      <c r="H8" s="134"/>
      <c r="I8" s="137" t="s">
        <v>62</v>
      </c>
      <c r="J8" s="138"/>
      <c r="K8" s="138"/>
      <c r="L8" s="76" t="s">
        <v>64</v>
      </c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</row>
    <row r="9" spans="1:33" ht="21.95" customHeight="1" thickBot="1" x14ac:dyDescent="0.3">
      <c r="A9" s="15" t="s">
        <v>29</v>
      </c>
      <c r="B9" s="15"/>
      <c r="C9" s="15"/>
      <c r="D9" s="161" t="s">
        <v>60</v>
      </c>
      <c r="E9" s="141"/>
      <c r="F9" s="139" t="s">
        <v>63</v>
      </c>
      <c r="G9" s="140"/>
      <c r="H9" s="141"/>
      <c r="I9" s="142" t="s">
        <v>62</v>
      </c>
      <c r="J9" s="143"/>
      <c r="K9" s="143"/>
      <c r="L9" s="77" t="s">
        <v>64</v>
      </c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</row>
    <row r="11" spans="1:33" ht="39.75" customHeight="1" thickTop="1" thickBot="1" x14ac:dyDescent="0.3">
      <c r="A11" s="4"/>
      <c r="B11" s="4"/>
      <c r="C11" s="4"/>
      <c r="D11" s="4"/>
      <c r="E11" s="4"/>
      <c r="F11" s="144" t="s">
        <v>34</v>
      </c>
      <c r="G11" s="145"/>
      <c r="H11" s="28" t="s">
        <v>33</v>
      </c>
      <c r="I11" s="28" t="s">
        <v>32</v>
      </c>
      <c r="J11" s="32" t="s">
        <v>39</v>
      </c>
      <c r="K11" s="32" t="s">
        <v>4</v>
      </c>
      <c r="L11" s="146" t="s">
        <v>30</v>
      </c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</row>
    <row r="12" spans="1:33" s="18" customFormat="1" ht="20.100000000000001" customHeight="1" thickTop="1" thickBot="1" x14ac:dyDescent="0.4">
      <c r="A12" s="148" t="s">
        <v>5</v>
      </c>
      <c r="B12" s="149"/>
      <c r="C12" s="149"/>
      <c r="D12" s="149"/>
      <c r="E12" s="150"/>
      <c r="F12" s="151">
        <v>1</v>
      </c>
      <c r="G12" s="152"/>
      <c r="H12" s="29">
        <v>3</v>
      </c>
      <c r="I12" s="29">
        <v>5</v>
      </c>
      <c r="J12" s="29">
        <v>0.5</v>
      </c>
      <c r="K12" s="29">
        <v>10</v>
      </c>
      <c r="L12" s="147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</row>
    <row r="13" spans="1:33" ht="27" customHeight="1" thickBot="1" x14ac:dyDescent="0.3">
      <c r="A13" s="5">
        <v>1</v>
      </c>
      <c r="B13" s="26"/>
      <c r="C13" s="22"/>
      <c r="D13" s="162" t="s">
        <v>6</v>
      </c>
      <c r="E13" s="163"/>
      <c r="F13" s="49" t="s">
        <v>40</v>
      </c>
      <c r="G13" s="50"/>
      <c r="H13" s="51"/>
      <c r="I13" s="51"/>
      <c r="J13" s="52"/>
      <c r="K13" s="52"/>
      <c r="L13" s="3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4" t="s">
        <v>45</v>
      </c>
      <c r="O13" s="74"/>
      <c r="P13" s="74" t="s">
        <v>40</v>
      </c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</row>
    <row r="14" spans="1:33" ht="27" customHeight="1" x14ac:dyDescent="0.25">
      <c r="A14" s="6">
        <v>2</v>
      </c>
      <c r="B14" s="6"/>
      <c r="C14" s="153" t="s">
        <v>7</v>
      </c>
      <c r="D14" s="164" t="s">
        <v>8</v>
      </c>
      <c r="E14" s="165"/>
      <c r="F14" s="37" t="s">
        <v>40</v>
      </c>
      <c r="G14" s="38" t="s">
        <v>40</v>
      </c>
      <c r="H14" s="39" t="s">
        <v>40</v>
      </c>
      <c r="I14" s="39"/>
      <c r="J14" s="40"/>
      <c r="K14" s="40"/>
      <c r="L14" s="78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5</v>
      </c>
      <c r="N14" s="74" t="s">
        <v>43</v>
      </c>
      <c r="O14" s="74"/>
      <c r="P14" s="74" t="s">
        <v>41</v>
      </c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</row>
    <row r="15" spans="1:33" ht="27" customHeight="1" x14ac:dyDescent="0.25">
      <c r="A15" s="7">
        <v>3</v>
      </c>
      <c r="B15" s="6"/>
      <c r="C15" s="154"/>
      <c r="D15" s="166" t="s">
        <v>9</v>
      </c>
      <c r="E15" s="167"/>
      <c r="F15" s="41"/>
      <c r="G15" s="42"/>
      <c r="H15" s="43" t="s">
        <v>40</v>
      </c>
      <c r="I15" s="43"/>
      <c r="J15" s="44"/>
      <c r="K15" s="44"/>
      <c r="L15" s="79">
        <f t="shared" si="0"/>
        <v>7</v>
      </c>
      <c r="N15" s="74" t="s">
        <v>44</v>
      </c>
      <c r="O15" s="74"/>
      <c r="P15" s="74" t="s">
        <v>42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</row>
    <row r="16" spans="1:33" ht="27" customHeight="1" thickBot="1" x14ac:dyDescent="0.3">
      <c r="A16" s="8">
        <v>4</v>
      </c>
      <c r="B16" s="6"/>
      <c r="C16" s="154"/>
      <c r="D16" s="168" t="s">
        <v>10</v>
      </c>
      <c r="E16" s="169"/>
      <c r="F16" s="45" t="s">
        <v>40</v>
      </c>
      <c r="G16" s="46"/>
      <c r="H16" s="47" t="s">
        <v>40</v>
      </c>
      <c r="I16" s="47"/>
      <c r="J16" s="48"/>
      <c r="K16" s="48"/>
      <c r="L16" s="80">
        <f t="shared" si="0"/>
        <v>6</v>
      </c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</row>
    <row r="17" spans="1:33" ht="27" customHeight="1" x14ac:dyDescent="0.25">
      <c r="A17" s="6">
        <v>5</v>
      </c>
      <c r="B17" s="6"/>
      <c r="C17" s="153" t="s">
        <v>11</v>
      </c>
      <c r="D17" s="155" t="s">
        <v>12</v>
      </c>
      <c r="E17" s="156"/>
      <c r="F17" s="49" t="s">
        <v>40</v>
      </c>
      <c r="G17" s="50" t="s">
        <v>40</v>
      </c>
      <c r="H17" s="51" t="s">
        <v>40</v>
      </c>
      <c r="I17" s="51"/>
      <c r="J17" s="52"/>
      <c r="K17" s="52"/>
      <c r="L17" s="34">
        <f t="shared" si="0"/>
        <v>5</v>
      </c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</row>
    <row r="18" spans="1:33" ht="27" customHeight="1" x14ac:dyDescent="0.25">
      <c r="A18" s="7">
        <v>6</v>
      </c>
      <c r="B18" s="6"/>
      <c r="C18" s="154"/>
      <c r="D18" s="157" t="s">
        <v>13</v>
      </c>
      <c r="E18" s="158"/>
      <c r="F18" s="53"/>
      <c r="G18" s="54"/>
      <c r="H18" s="55"/>
      <c r="I18" s="55" t="s">
        <v>40</v>
      </c>
      <c r="J18" s="56"/>
      <c r="K18" s="56"/>
      <c r="L18" s="35">
        <f t="shared" si="0"/>
        <v>5</v>
      </c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</row>
    <row r="19" spans="1:33" ht="27" customHeight="1" thickBot="1" x14ac:dyDescent="0.3">
      <c r="A19" s="8">
        <v>7</v>
      </c>
      <c r="B19" s="6"/>
      <c r="C19" s="154"/>
      <c r="D19" s="159" t="s">
        <v>14</v>
      </c>
      <c r="E19" s="160"/>
      <c r="F19" s="57" t="s">
        <v>40</v>
      </c>
      <c r="G19" s="58"/>
      <c r="H19" s="59"/>
      <c r="I19" s="59" t="s">
        <v>40</v>
      </c>
      <c r="J19" s="60"/>
      <c r="K19" s="60"/>
      <c r="L19" s="81">
        <f t="shared" si="0"/>
        <v>4</v>
      </c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</row>
    <row r="20" spans="1:33" ht="27" customHeight="1" x14ac:dyDescent="0.25">
      <c r="A20" s="9">
        <v>8</v>
      </c>
      <c r="B20" s="24"/>
      <c r="C20" s="153" t="s">
        <v>15</v>
      </c>
      <c r="D20" s="164" t="s">
        <v>16</v>
      </c>
      <c r="E20" s="165"/>
      <c r="F20" s="37" t="s">
        <v>40</v>
      </c>
      <c r="G20" s="38" t="s">
        <v>40</v>
      </c>
      <c r="H20" s="39"/>
      <c r="I20" s="39" t="s">
        <v>40</v>
      </c>
      <c r="J20" s="40"/>
      <c r="K20" s="40"/>
      <c r="L20" s="78">
        <f t="shared" si="0"/>
        <v>3</v>
      </c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</row>
    <row r="21" spans="1:33" ht="27" customHeight="1" x14ac:dyDescent="0.25">
      <c r="A21" s="7">
        <v>9</v>
      </c>
      <c r="B21" s="6"/>
      <c r="C21" s="154"/>
      <c r="D21" s="166" t="s">
        <v>17</v>
      </c>
      <c r="E21" s="167"/>
      <c r="F21" s="41"/>
      <c r="G21" s="42"/>
      <c r="H21" s="43" t="s">
        <v>40</v>
      </c>
      <c r="I21" s="43" t="s">
        <v>40</v>
      </c>
      <c r="J21" s="44"/>
      <c r="K21" s="44"/>
      <c r="L21" s="79">
        <f t="shared" si="0"/>
        <v>2</v>
      </c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</row>
    <row r="22" spans="1:33" ht="27" customHeight="1" thickBot="1" x14ac:dyDescent="0.3">
      <c r="A22" s="8">
        <v>10</v>
      </c>
      <c r="B22" s="6"/>
      <c r="C22" s="154"/>
      <c r="D22" s="168" t="s">
        <v>18</v>
      </c>
      <c r="E22" s="169"/>
      <c r="F22" s="45" t="s">
        <v>40</v>
      </c>
      <c r="G22" s="46"/>
      <c r="H22" s="47" t="s">
        <v>40</v>
      </c>
      <c r="I22" s="47" t="s">
        <v>40</v>
      </c>
      <c r="J22" s="48"/>
      <c r="K22" s="48"/>
      <c r="L22" s="80">
        <f t="shared" si="0"/>
        <v>1</v>
      </c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</row>
    <row r="23" spans="1:33" ht="27" customHeight="1" x14ac:dyDescent="0.25">
      <c r="A23" s="9">
        <v>11</v>
      </c>
      <c r="B23" s="24"/>
      <c r="C23" s="153" t="s">
        <v>19</v>
      </c>
      <c r="D23" s="155" t="s">
        <v>20</v>
      </c>
      <c r="E23" s="156"/>
      <c r="F23" s="49" t="s">
        <v>40</v>
      </c>
      <c r="G23" s="50" t="s">
        <v>40</v>
      </c>
      <c r="H23" s="51" t="s">
        <v>40</v>
      </c>
      <c r="I23" s="51" t="s">
        <v>40</v>
      </c>
      <c r="J23" s="52"/>
      <c r="K23" s="52"/>
      <c r="L23" s="34">
        <f t="shared" si="0"/>
        <v>1</v>
      </c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</row>
    <row r="24" spans="1:33" ht="27" customHeight="1" x14ac:dyDescent="0.25">
      <c r="A24" s="7">
        <v>12</v>
      </c>
      <c r="B24" s="6"/>
      <c r="C24" s="154"/>
      <c r="D24" s="157" t="s">
        <v>21</v>
      </c>
      <c r="E24" s="158"/>
      <c r="F24" s="53"/>
      <c r="G24" s="54"/>
      <c r="H24" s="55"/>
      <c r="I24" s="55"/>
      <c r="J24" s="56" t="s">
        <v>41</v>
      </c>
      <c r="K24" s="56"/>
      <c r="L24" s="35">
        <f t="shared" si="0"/>
        <v>10</v>
      </c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</row>
    <row r="25" spans="1:33" ht="27" customHeight="1" thickBot="1" x14ac:dyDescent="0.3">
      <c r="A25" s="8">
        <v>13</v>
      </c>
      <c r="B25" s="6"/>
      <c r="C25" s="154"/>
      <c r="D25" s="159" t="s">
        <v>22</v>
      </c>
      <c r="E25" s="160"/>
      <c r="F25" s="57" t="s">
        <v>40</v>
      </c>
      <c r="G25" s="58" t="s">
        <v>40</v>
      </c>
      <c r="H25" s="59"/>
      <c r="I25" s="59" t="s">
        <v>40</v>
      </c>
      <c r="J25" s="60" t="s">
        <v>42</v>
      </c>
      <c r="K25" s="60"/>
      <c r="L25" s="81">
        <f t="shared" si="0"/>
        <v>2.5</v>
      </c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</row>
    <row r="26" spans="1:33" ht="27" customHeight="1" x14ac:dyDescent="0.25">
      <c r="A26" s="9">
        <v>14</v>
      </c>
      <c r="B26" s="24"/>
      <c r="C26" s="153" t="s">
        <v>23</v>
      </c>
      <c r="D26" s="164" t="s">
        <v>24</v>
      </c>
      <c r="E26" s="165"/>
      <c r="F26" s="37" t="s">
        <v>40</v>
      </c>
      <c r="G26" s="38" t="s">
        <v>40</v>
      </c>
      <c r="H26" s="39"/>
      <c r="I26" s="39"/>
      <c r="J26" s="40" t="s">
        <v>41</v>
      </c>
      <c r="K26" s="40"/>
      <c r="L26" s="78">
        <f t="shared" si="0"/>
        <v>8.5</v>
      </c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</row>
    <row r="27" spans="1:33" ht="27" customHeight="1" x14ac:dyDescent="0.25">
      <c r="A27" s="6">
        <v>15</v>
      </c>
      <c r="B27" s="6"/>
      <c r="C27" s="154"/>
      <c r="D27" s="166" t="s">
        <v>25</v>
      </c>
      <c r="E27" s="167"/>
      <c r="F27" s="41" t="s">
        <v>40</v>
      </c>
      <c r="G27" s="42" t="s">
        <v>40</v>
      </c>
      <c r="H27" s="43"/>
      <c r="I27" s="43"/>
      <c r="J27" s="44" t="s">
        <v>42</v>
      </c>
      <c r="K27" s="44"/>
      <c r="L27" s="79">
        <f t="shared" si="0"/>
        <v>7.5</v>
      </c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</row>
    <row r="28" spans="1:33" ht="27" customHeight="1" thickBot="1" x14ac:dyDescent="0.3">
      <c r="A28" s="8">
        <v>16</v>
      </c>
      <c r="B28" s="6"/>
      <c r="C28" s="154"/>
      <c r="D28" s="168" t="s">
        <v>26</v>
      </c>
      <c r="E28" s="169"/>
      <c r="F28" s="61"/>
      <c r="G28" s="62"/>
      <c r="H28" s="63" t="s">
        <v>40</v>
      </c>
      <c r="I28" s="63"/>
      <c r="J28" s="64"/>
      <c r="K28" s="64"/>
      <c r="L28" s="36">
        <f t="shared" si="0"/>
        <v>7</v>
      </c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</row>
    <row r="29" spans="1:33" ht="27" hidden="1" customHeight="1" x14ac:dyDescent="0.25">
      <c r="A29" s="74"/>
      <c r="B29" s="74"/>
      <c r="C29" s="74"/>
      <c r="D29" s="74"/>
      <c r="E29" s="74"/>
      <c r="F29" s="83"/>
      <c r="G29" s="83"/>
      <c r="H29" s="83"/>
      <c r="I29" s="83"/>
      <c r="J29" s="83"/>
      <c r="K29" s="83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</row>
    <row r="30" spans="1:33" ht="27" hidden="1" customHeight="1" x14ac:dyDescent="0.25">
      <c r="A30" s="74"/>
      <c r="B30" s="74"/>
      <c r="C30" s="74"/>
      <c r="D30" s="74"/>
      <c r="E30" s="74"/>
      <c r="F30" s="83"/>
      <c r="G30" s="83"/>
      <c r="H30" s="83"/>
      <c r="I30" s="83"/>
      <c r="J30" s="83"/>
      <c r="K30" s="83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</row>
    <row r="31" spans="1:33" ht="27" hidden="1" customHeight="1" x14ac:dyDescent="0.25">
      <c r="A31" s="74"/>
      <c r="B31" s="74"/>
      <c r="C31" s="74"/>
      <c r="D31" s="74"/>
      <c r="E31" s="74"/>
      <c r="F31" s="83"/>
      <c r="G31" s="83"/>
      <c r="H31" s="83"/>
      <c r="I31" s="83"/>
      <c r="J31" s="83"/>
      <c r="K31" s="83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</row>
    <row r="32" spans="1:33" ht="27" hidden="1" customHeight="1" x14ac:dyDescent="0.25">
      <c r="A32" s="74"/>
      <c r="B32" s="74"/>
      <c r="C32" s="74"/>
      <c r="D32" s="74"/>
      <c r="E32" s="74"/>
      <c r="F32" s="83"/>
      <c r="G32" s="83"/>
      <c r="H32" s="83"/>
      <c r="I32" s="83"/>
      <c r="J32" s="83"/>
      <c r="K32" s="83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</row>
    <row r="33" spans="1:33" ht="27" hidden="1" customHeight="1" x14ac:dyDescent="0.25">
      <c r="A33" s="74"/>
      <c r="B33" s="74"/>
      <c r="C33" s="74"/>
      <c r="D33" s="74"/>
      <c r="E33" s="74"/>
      <c r="F33" s="83"/>
      <c r="G33" s="83"/>
      <c r="H33" s="83"/>
      <c r="I33" s="83"/>
      <c r="J33" s="83"/>
      <c r="K33" s="83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</row>
    <row r="34" spans="1:33" ht="27" hidden="1" customHeight="1" thickBot="1" x14ac:dyDescent="0.3">
      <c r="A34" s="74"/>
      <c r="B34" s="74"/>
      <c r="C34" s="74"/>
      <c r="D34" s="74"/>
      <c r="E34" s="74"/>
      <c r="F34" s="83"/>
      <c r="G34" s="83"/>
      <c r="H34" s="83"/>
      <c r="I34" s="83"/>
      <c r="J34" s="83"/>
      <c r="K34" s="83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</row>
    <row r="35" spans="1:33" ht="27" customHeight="1" thickBot="1" x14ac:dyDescent="0.3">
      <c r="A35" s="10">
        <v>17</v>
      </c>
      <c r="B35" s="27"/>
      <c r="C35" s="21"/>
      <c r="D35" s="177" t="s">
        <v>27</v>
      </c>
      <c r="E35" s="178"/>
      <c r="F35" s="65"/>
      <c r="G35" s="66" t="s">
        <v>40</v>
      </c>
      <c r="H35" s="67" t="s">
        <v>40</v>
      </c>
      <c r="I35" s="67"/>
      <c r="J35" s="68"/>
      <c r="K35" s="68" t="s">
        <v>40</v>
      </c>
      <c r="L35" s="82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0</v>
      </c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</row>
    <row r="36" spans="1:33" ht="21.95" customHeight="1" thickTop="1" thickBot="1" x14ac:dyDescent="0.3">
      <c r="A36" s="179" t="s">
        <v>35</v>
      </c>
      <c r="B36" s="180"/>
      <c r="C36" s="180"/>
      <c r="D36" s="180"/>
      <c r="E36" s="181"/>
      <c r="F36" s="170">
        <f>IF($L$37&lt;&gt;"",SUMPRODUCT(--(TRIM(F13:G35)&lt;&gt;"")),"")</f>
        <v>19</v>
      </c>
      <c r="G36" s="171">
        <f t="shared" ref="G36" si="2">IF($L$37&lt;&gt;"",COUNTIF(G13:G29,"x"))</f>
        <v>7</v>
      </c>
      <c r="H36" s="69">
        <f>IF($L$37&lt;&gt;"",SUMPRODUCT(--(TRIM(H13:H35)&lt;&gt;"")),"")</f>
        <v>9</v>
      </c>
      <c r="I36" s="69">
        <f>IF($L$37&lt;&gt;"",SUMPRODUCT(--(TRIM(I13:I35)&lt;&gt;"")),"")</f>
        <v>7</v>
      </c>
      <c r="J36" s="71">
        <f>IF($L$37&lt;&gt;"",(COUNTIFS(J13:J35,"+")-COUNTIFS(J13:J35,"-"))*0.5,"")</f>
        <v>0</v>
      </c>
      <c r="K36" s="70">
        <f>IF($L$37&lt;&gt;"",SUMPRODUCT(--(TRIM(K13:K35)&lt;&gt;"")),"")</f>
        <v>1</v>
      </c>
      <c r="L36" s="33">
        <f>IF(L37&lt;&gt;"",IF(K36&lt;1,SUM(L13:L35),IF(K36&gt;=1,ROUNDUP(SUM(L13:L35)/2,0),"")),"")</f>
        <v>42</v>
      </c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</row>
    <row r="37" spans="1:33" ht="20.100000000000001" customHeight="1" thickTop="1" thickBot="1" x14ac:dyDescent="0.3">
      <c r="A37" s="172" t="s">
        <v>51</v>
      </c>
      <c r="B37" s="173"/>
      <c r="C37" s="173"/>
      <c r="D37" s="173"/>
      <c r="E37" s="25" t="s">
        <v>74</v>
      </c>
      <c r="F37" s="174" t="s">
        <v>36</v>
      </c>
      <c r="G37" s="175"/>
      <c r="H37" s="175"/>
      <c r="I37" s="175"/>
      <c r="J37" s="175"/>
      <c r="K37" s="176"/>
      <c r="L37" s="84" t="s">
        <v>47</v>
      </c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</row>
    <row r="38" spans="1:33" ht="15.75" thickTop="1" x14ac:dyDescent="0.25"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</row>
    <row r="39" spans="1:33" x14ac:dyDescent="0.25"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</row>
    <row r="40" spans="1:33" x14ac:dyDescent="0.25"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</row>
  </sheetData>
  <sheetProtection algorithmName="SHA-512" hashValue="Vu8RUauQSRBbaHDA5wM3j7BP2d2ejcxOxG+Dt3heq50DlmgKTuE/7dAHTcZBOTClzdLMzgr8sAS5Im0eC+b+qg==" saltValue="1B4L+CtEtIPi96KrB295ew==" spinCount="100000" sheet="1" objects="1" scenarios="1"/>
  <mergeCells count="46"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  <mergeCell ref="C20:C22"/>
    <mergeCell ref="D20:E20"/>
    <mergeCell ref="D21:E21"/>
    <mergeCell ref="D22:E22"/>
    <mergeCell ref="C23:C25"/>
    <mergeCell ref="D23:E23"/>
    <mergeCell ref="D24:E24"/>
    <mergeCell ref="D25:E25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K13:K28 K35 F35:I35 F13:I28" xr:uid="{926F0B86-DF1E-4D91-8168-F3A4984828C7}">
      <formula1>$P$13</formula1>
    </dataValidation>
    <dataValidation type="list" allowBlank="1" showDropDown="1" showInputMessage="1" showErrorMessage="1" sqref="J35 J13:J28" xr:uid="{12DCB36C-B3E0-4893-B0FE-73584C1F370C}">
      <formula1>$P$14:$P$15</formula1>
    </dataValidation>
    <dataValidation type="textLength" allowBlank="1" showInputMessage="1" showErrorMessage="1" sqref="F29:K34" xr:uid="{FBCDDAF7-6AFE-4959-9F43-98F70521D478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9CE1F-4E37-4355-BCE1-DAF2B094FDEF}">
  <sheetPr codeName="Tabelle7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7" customFormat="1" ht="24.95" customHeight="1" x14ac:dyDescent="0.5">
      <c r="A1" s="30"/>
      <c r="B1" s="30"/>
      <c r="C1" s="30"/>
      <c r="D1" s="30"/>
      <c r="E1" s="121" t="s">
        <v>38</v>
      </c>
      <c r="F1" s="121"/>
      <c r="G1" s="121"/>
      <c r="H1" s="121"/>
      <c r="I1" s="121"/>
      <c r="J1" s="31"/>
      <c r="K1" s="30"/>
      <c r="L1" s="30"/>
    </row>
    <row r="2" spans="1:33" s="19" customFormat="1" ht="20.100000000000001" customHeight="1" x14ac:dyDescent="0.45">
      <c r="A2" s="122" t="s">
        <v>57</v>
      </c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</row>
    <row r="3" spans="1:33" s="17" customFormat="1" ht="39.950000000000003" customHeight="1" x14ac:dyDescent="0.5">
      <c r="A3" s="123" t="s">
        <v>0</v>
      </c>
      <c r="B3" s="123"/>
      <c r="C3" s="123"/>
      <c r="D3" s="123"/>
      <c r="E3" s="123"/>
      <c r="F3" s="123"/>
      <c r="G3" s="123"/>
      <c r="H3" s="123"/>
      <c r="I3" s="123"/>
      <c r="J3" s="123"/>
      <c r="K3" s="123"/>
      <c r="L3" s="123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24" t="s">
        <v>48</v>
      </c>
      <c r="B5" s="124"/>
      <c r="C5" s="124"/>
      <c r="D5" s="124"/>
      <c r="E5" s="72" t="s">
        <v>75</v>
      </c>
      <c r="F5" s="15"/>
      <c r="G5" s="16" t="s">
        <v>49</v>
      </c>
      <c r="H5" s="125" t="s">
        <v>58</v>
      </c>
      <c r="I5" s="125"/>
      <c r="J5" s="126" t="s">
        <v>50</v>
      </c>
      <c r="K5" s="126"/>
      <c r="L5" s="73" t="s">
        <v>59</v>
      </c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</row>
    <row r="6" spans="1:33" ht="12" customHeight="1" thickBot="1" x14ac:dyDescent="0.55000000000000004">
      <c r="A6" s="1"/>
      <c r="B6" s="1"/>
      <c r="C6" s="2"/>
      <c r="D6" s="2"/>
      <c r="E6" s="2"/>
      <c r="F6" s="23"/>
      <c r="G6" s="23"/>
      <c r="H6" s="127"/>
      <c r="I6" s="127"/>
      <c r="J6" s="127"/>
      <c r="K6" s="127"/>
      <c r="L6" s="17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</row>
    <row r="7" spans="1:33" s="18" customFormat="1" ht="20.100000000000001" customHeight="1" x14ac:dyDescent="0.35">
      <c r="A7" s="11"/>
      <c r="B7" s="11"/>
      <c r="C7" s="11"/>
      <c r="D7" s="128" t="s">
        <v>31</v>
      </c>
      <c r="E7" s="129"/>
      <c r="F7" s="130" t="s">
        <v>1</v>
      </c>
      <c r="G7" s="131"/>
      <c r="H7" s="129"/>
      <c r="I7" s="132" t="s">
        <v>2</v>
      </c>
      <c r="J7" s="132"/>
      <c r="K7" s="132"/>
      <c r="L7" s="12" t="s">
        <v>3</v>
      </c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</row>
    <row r="8" spans="1:33" ht="21.95" customHeight="1" x14ac:dyDescent="0.25">
      <c r="A8" s="15" t="s">
        <v>28</v>
      </c>
      <c r="B8" s="15"/>
      <c r="C8" s="15"/>
      <c r="D8" s="133" t="s">
        <v>60</v>
      </c>
      <c r="E8" s="134"/>
      <c r="F8" s="135" t="s">
        <v>61</v>
      </c>
      <c r="G8" s="136"/>
      <c r="H8" s="134"/>
      <c r="I8" s="137" t="s">
        <v>62</v>
      </c>
      <c r="J8" s="138"/>
      <c r="K8" s="138"/>
      <c r="L8" s="76" t="s">
        <v>64</v>
      </c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</row>
    <row r="9" spans="1:33" ht="21.95" customHeight="1" thickBot="1" x14ac:dyDescent="0.3">
      <c r="A9" s="15" t="s">
        <v>29</v>
      </c>
      <c r="B9" s="15"/>
      <c r="C9" s="15"/>
      <c r="D9" s="161" t="s">
        <v>60</v>
      </c>
      <c r="E9" s="141"/>
      <c r="F9" s="139" t="s">
        <v>63</v>
      </c>
      <c r="G9" s="140"/>
      <c r="H9" s="141"/>
      <c r="I9" s="142" t="s">
        <v>62</v>
      </c>
      <c r="J9" s="143"/>
      <c r="K9" s="143"/>
      <c r="L9" s="77" t="s">
        <v>64</v>
      </c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</row>
    <row r="11" spans="1:33" ht="39.75" customHeight="1" thickTop="1" thickBot="1" x14ac:dyDescent="0.3">
      <c r="A11" s="4"/>
      <c r="B11" s="4"/>
      <c r="C11" s="4"/>
      <c r="D11" s="4"/>
      <c r="E11" s="4"/>
      <c r="F11" s="144" t="s">
        <v>34</v>
      </c>
      <c r="G11" s="145"/>
      <c r="H11" s="28" t="s">
        <v>33</v>
      </c>
      <c r="I11" s="28" t="s">
        <v>32</v>
      </c>
      <c r="J11" s="32" t="s">
        <v>39</v>
      </c>
      <c r="K11" s="32" t="s">
        <v>4</v>
      </c>
      <c r="L11" s="146" t="s">
        <v>30</v>
      </c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</row>
    <row r="12" spans="1:33" s="18" customFormat="1" ht="20.100000000000001" customHeight="1" thickTop="1" thickBot="1" x14ac:dyDescent="0.4">
      <c r="A12" s="148" t="s">
        <v>5</v>
      </c>
      <c r="B12" s="149"/>
      <c r="C12" s="149"/>
      <c r="D12" s="149"/>
      <c r="E12" s="150"/>
      <c r="F12" s="151">
        <v>1</v>
      </c>
      <c r="G12" s="152"/>
      <c r="H12" s="29">
        <v>3</v>
      </c>
      <c r="I12" s="29">
        <v>5</v>
      </c>
      <c r="J12" s="29">
        <v>0.5</v>
      </c>
      <c r="K12" s="29">
        <v>10</v>
      </c>
      <c r="L12" s="147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</row>
    <row r="13" spans="1:33" ht="27" customHeight="1" thickBot="1" x14ac:dyDescent="0.3">
      <c r="A13" s="5">
        <v>1</v>
      </c>
      <c r="B13" s="26"/>
      <c r="C13" s="22"/>
      <c r="D13" s="162" t="s">
        <v>6</v>
      </c>
      <c r="E13" s="163"/>
      <c r="F13" s="49" t="s">
        <v>40</v>
      </c>
      <c r="G13" s="50"/>
      <c r="H13" s="51"/>
      <c r="I13" s="51"/>
      <c r="J13" s="52"/>
      <c r="K13" s="52"/>
      <c r="L13" s="3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4" t="s">
        <v>45</v>
      </c>
      <c r="O13" s="74"/>
      <c r="P13" s="74" t="s">
        <v>40</v>
      </c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</row>
    <row r="14" spans="1:33" ht="27" customHeight="1" x14ac:dyDescent="0.25">
      <c r="A14" s="6">
        <v>2</v>
      </c>
      <c r="B14" s="6"/>
      <c r="C14" s="153" t="s">
        <v>7</v>
      </c>
      <c r="D14" s="164" t="s">
        <v>8</v>
      </c>
      <c r="E14" s="165"/>
      <c r="F14" s="37" t="s">
        <v>40</v>
      </c>
      <c r="G14" s="38" t="s">
        <v>40</v>
      </c>
      <c r="H14" s="39"/>
      <c r="I14" s="39"/>
      <c r="J14" s="40"/>
      <c r="K14" s="40"/>
      <c r="L14" s="78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74" t="s">
        <v>43</v>
      </c>
      <c r="O14" s="74"/>
      <c r="P14" s="74" t="s">
        <v>41</v>
      </c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</row>
    <row r="15" spans="1:33" ht="27" customHeight="1" x14ac:dyDescent="0.25">
      <c r="A15" s="7">
        <v>3</v>
      </c>
      <c r="B15" s="6"/>
      <c r="C15" s="154"/>
      <c r="D15" s="166" t="s">
        <v>9</v>
      </c>
      <c r="E15" s="167"/>
      <c r="F15" s="41"/>
      <c r="G15" s="42"/>
      <c r="H15" s="43" t="s">
        <v>40</v>
      </c>
      <c r="I15" s="43"/>
      <c r="J15" s="44"/>
      <c r="K15" s="44"/>
      <c r="L15" s="79">
        <f t="shared" si="0"/>
        <v>7</v>
      </c>
      <c r="N15" s="74" t="s">
        <v>44</v>
      </c>
      <c r="O15" s="74"/>
      <c r="P15" s="74" t="s">
        <v>42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</row>
    <row r="16" spans="1:33" ht="27" customHeight="1" thickBot="1" x14ac:dyDescent="0.3">
      <c r="A16" s="8">
        <v>4</v>
      </c>
      <c r="B16" s="6"/>
      <c r="C16" s="154"/>
      <c r="D16" s="168" t="s">
        <v>10</v>
      </c>
      <c r="E16" s="169"/>
      <c r="F16" s="45" t="s">
        <v>40</v>
      </c>
      <c r="G16" s="46"/>
      <c r="H16" s="47" t="s">
        <v>40</v>
      </c>
      <c r="I16" s="47"/>
      <c r="J16" s="48"/>
      <c r="K16" s="48"/>
      <c r="L16" s="80">
        <f t="shared" si="0"/>
        <v>6</v>
      </c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</row>
    <row r="17" spans="1:33" ht="27" customHeight="1" x14ac:dyDescent="0.25">
      <c r="A17" s="6">
        <v>5</v>
      </c>
      <c r="B17" s="6"/>
      <c r="C17" s="153" t="s">
        <v>11</v>
      </c>
      <c r="D17" s="155" t="s">
        <v>12</v>
      </c>
      <c r="E17" s="156"/>
      <c r="F17" s="49" t="s">
        <v>40</v>
      </c>
      <c r="G17" s="50" t="s">
        <v>40</v>
      </c>
      <c r="H17" s="51" t="s">
        <v>40</v>
      </c>
      <c r="I17" s="51"/>
      <c r="J17" s="52"/>
      <c r="K17" s="52"/>
      <c r="L17" s="34">
        <f t="shared" si="0"/>
        <v>5</v>
      </c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</row>
    <row r="18" spans="1:33" ht="27" customHeight="1" x14ac:dyDescent="0.25">
      <c r="A18" s="7">
        <v>6</v>
      </c>
      <c r="B18" s="6"/>
      <c r="C18" s="154"/>
      <c r="D18" s="157" t="s">
        <v>13</v>
      </c>
      <c r="E18" s="158"/>
      <c r="F18" s="53"/>
      <c r="G18" s="54"/>
      <c r="H18" s="55" t="s">
        <v>40</v>
      </c>
      <c r="I18" s="55" t="s">
        <v>40</v>
      </c>
      <c r="J18" s="56"/>
      <c r="K18" s="56"/>
      <c r="L18" s="35">
        <f t="shared" si="0"/>
        <v>2</v>
      </c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</row>
    <row r="19" spans="1:33" ht="27" customHeight="1" thickBot="1" x14ac:dyDescent="0.3">
      <c r="A19" s="8">
        <v>7</v>
      </c>
      <c r="B19" s="6"/>
      <c r="C19" s="154"/>
      <c r="D19" s="159" t="s">
        <v>14</v>
      </c>
      <c r="E19" s="160"/>
      <c r="F19" s="57" t="s">
        <v>40</v>
      </c>
      <c r="G19" s="58"/>
      <c r="H19" s="59"/>
      <c r="I19" s="59" t="s">
        <v>40</v>
      </c>
      <c r="J19" s="60"/>
      <c r="K19" s="60"/>
      <c r="L19" s="81">
        <f t="shared" si="0"/>
        <v>4</v>
      </c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</row>
    <row r="20" spans="1:33" ht="27" customHeight="1" x14ac:dyDescent="0.25">
      <c r="A20" s="9">
        <v>8</v>
      </c>
      <c r="B20" s="24"/>
      <c r="C20" s="153" t="s">
        <v>15</v>
      </c>
      <c r="D20" s="164" t="s">
        <v>16</v>
      </c>
      <c r="E20" s="165"/>
      <c r="F20" s="37" t="s">
        <v>40</v>
      </c>
      <c r="G20" s="38" t="s">
        <v>40</v>
      </c>
      <c r="H20" s="39"/>
      <c r="I20" s="39" t="s">
        <v>40</v>
      </c>
      <c r="J20" s="40"/>
      <c r="K20" s="40"/>
      <c r="L20" s="78">
        <f t="shared" si="0"/>
        <v>3</v>
      </c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</row>
    <row r="21" spans="1:33" ht="27" customHeight="1" x14ac:dyDescent="0.25">
      <c r="A21" s="7">
        <v>9</v>
      </c>
      <c r="B21" s="6"/>
      <c r="C21" s="154"/>
      <c r="D21" s="166" t="s">
        <v>17</v>
      </c>
      <c r="E21" s="167"/>
      <c r="F21" s="41"/>
      <c r="G21" s="42"/>
      <c r="H21" s="43" t="s">
        <v>40</v>
      </c>
      <c r="I21" s="43" t="s">
        <v>40</v>
      </c>
      <c r="J21" s="44"/>
      <c r="K21" s="44"/>
      <c r="L21" s="79">
        <f t="shared" si="0"/>
        <v>2</v>
      </c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</row>
    <row r="22" spans="1:33" ht="27" customHeight="1" thickBot="1" x14ac:dyDescent="0.3">
      <c r="A22" s="8">
        <v>10</v>
      </c>
      <c r="B22" s="6"/>
      <c r="C22" s="154"/>
      <c r="D22" s="168" t="s">
        <v>18</v>
      </c>
      <c r="E22" s="169"/>
      <c r="F22" s="45" t="s">
        <v>40</v>
      </c>
      <c r="G22" s="46"/>
      <c r="H22" s="47" t="s">
        <v>40</v>
      </c>
      <c r="I22" s="47" t="s">
        <v>40</v>
      </c>
      <c r="J22" s="48"/>
      <c r="K22" s="48"/>
      <c r="L22" s="80">
        <f t="shared" si="0"/>
        <v>1</v>
      </c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</row>
    <row r="23" spans="1:33" ht="27" customHeight="1" x14ac:dyDescent="0.25">
      <c r="A23" s="9">
        <v>11</v>
      </c>
      <c r="B23" s="24"/>
      <c r="C23" s="153" t="s">
        <v>19</v>
      </c>
      <c r="D23" s="155" t="s">
        <v>20</v>
      </c>
      <c r="E23" s="156"/>
      <c r="F23" s="49" t="s">
        <v>40</v>
      </c>
      <c r="G23" s="50" t="s">
        <v>40</v>
      </c>
      <c r="H23" s="51"/>
      <c r="I23" s="51" t="s">
        <v>40</v>
      </c>
      <c r="J23" s="52"/>
      <c r="K23" s="52"/>
      <c r="L23" s="34">
        <f t="shared" si="0"/>
        <v>3</v>
      </c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</row>
    <row r="24" spans="1:33" ht="27" customHeight="1" x14ac:dyDescent="0.25">
      <c r="A24" s="7">
        <v>12</v>
      </c>
      <c r="B24" s="6"/>
      <c r="C24" s="154"/>
      <c r="D24" s="157" t="s">
        <v>21</v>
      </c>
      <c r="E24" s="158"/>
      <c r="F24" s="53"/>
      <c r="G24" s="54"/>
      <c r="H24" s="55" t="s">
        <v>40</v>
      </c>
      <c r="I24" s="55"/>
      <c r="J24" s="56" t="s">
        <v>41</v>
      </c>
      <c r="K24" s="56"/>
      <c r="L24" s="35">
        <f t="shared" si="0"/>
        <v>7.5</v>
      </c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</row>
    <row r="25" spans="1:33" ht="27" customHeight="1" thickBot="1" x14ac:dyDescent="0.3">
      <c r="A25" s="8">
        <v>13</v>
      </c>
      <c r="B25" s="6"/>
      <c r="C25" s="154"/>
      <c r="D25" s="159" t="s">
        <v>22</v>
      </c>
      <c r="E25" s="160"/>
      <c r="F25" s="57" t="s">
        <v>40</v>
      </c>
      <c r="G25" s="58" t="s">
        <v>40</v>
      </c>
      <c r="H25" s="59" t="s">
        <v>40</v>
      </c>
      <c r="I25" s="59" t="s">
        <v>40</v>
      </c>
      <c r="J25" s="60" t="s">
        <v>42</v>
      </c>
      <c r="K25" s="60"/>
      <c r="L25" s="81">
        <f t="shared" si="0"/>
        <v>1</v>
      </c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</row>
    <row r="26" spans="1:33" ht="27" customHeight="1" x14ac:dyDescent="0.25">
      <c r="A26" s="9">
        <v>14</v>
      </c>
      <c r="B26" s="24"/>
      <c r="C26" s="153" t="s">
        <v>23</v>
      </c>
      <c r="D26" s="164" t="s">
        <v>24</v>
      </c>
      <c r="E26" s="165"/>
      <c r="F26" s="37" t="s">
        <v>40</v>
      </c>
      <c r="G26" s="38" t="s">
        <v>40</v>
      </c>
      <c r="H26" s="39"/>
      <c r="I26" s="39"/>
      <c r="J26" s="40" t="s">
        <v>41</v>
      </c>
      <c r="K26" s="40"/>
      <c r="L26" s="78">
        <f t="shared" si="0"/>
        <v>8.5</v>
      </c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</row>
    <row r="27" spans="1:33" ht="27" customHeight="1" x14ac:dyDescent="0.25">
      <c r="A27" s="6">
        <v>15</v>
      </c>
      <c r="B27" s="6"/>
      <c r="C27" s="154"/>
      <c r="D27" s="166" t="s">
        <v>25</v>
      </c>
      <c r="E27" s="167"/>
      <c r="F27" s="41" t="s">
        <v>40</v>
      </c>
      <c r="G27" s="42" t="s">
        <v>40</v>
      </c>
      <c r="H27" s="43"/>
      <c r="I27" s="43"/>
      <c r="J27" s="44" t="s">
        <v>42</v>
      </c>
      <c r="K27" s="44"/>
      <c r="L27" s="79">
        <f t="shared" si="0"/>
        <v>7.5</v>
      </c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</row>
    <row r="28" spans="1:33" ht="27" customHeight="1" thickBot="1" x14ac:dyDescent="0.3">
      <c r="A28" s="8">
        <v>16</v>
      </c>
      <c r="B28" s="6"/>
      <c r="C28" s="154"/>
      <c r="D28" s="168" t="s">
        <v>26</v>
      </c>
      <c r="E28" s="169"/>
      <c r="F28" s="61"/>
      <c r="G28" s="62"/>
      <c r="H28" s="63" t="s">
        <v>40</v>
      </c>
      <c r="I28" s="63"/>
      <c r="J28" s="64"/>
      <c r="K28" s="64"/>
      <c r="L28" s="36">
        <f t="shared" si="0"/>
        <v>7</v>
      </c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</row>
    <row r="29" spans="1:33" ht="27" hidden="1" customHeight="1" x14ac:dyDescent="0.25">
      <c r="A29" s="74"/>
      <c r="B29" s="74"/>
      <c r="C29" s="74"/>
      <c r="D29" s="74"/>
      <c r="E29" s="74"/>
      <c r="F29" s="83"/>
      <c r="G29" s="83"/>
      <c r="H29" s="83"/>
      <c r="I29" s="83"/>
      <c r="J29" s="83"/>
      <c r="K29" s="83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</row>
    <row r="30" spans="1:33" ht="27" hidden="1" customHeight="1" x14ac:dyDescent="0.25">
      <c r="A30" s="74"/>
      <c r="B30" s="74"/>
      <c r="C30" s="74"/>
      <c r="D30" s="74"/>
      <c r="E30" s="74"/>
      <c r="F30" s="83"/>
      <c r="G30" s="83"/>
      <c r="H30" s="83"/>
      <c r="I30" s="83"/>
      <c r="J30" s="83"/>
      <c r="K30" s="83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</row>
    <row r="31" spans="1:33" ht="27" hidden="1" customHeight="1" x14ac:dyDescent="0.25">
      <c r="A31" s="74"/>
      <c r="B31" s="74"/>
      <c r="C31" s="74"/>
      <c r="D31" s="74"/>
      <c r="E31" s="74"/>
      <c r="F31" s="83"/>
      <c r="G31" s="83"/>
      <c r="H31" s="83"/>
      <c r="I31" s="83"/>
      <c r="J31" s="83"/>
      <c r="K31" s="83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</row>
    <row r="32" spans="1:33" ht="27" hidden="1" customHeight="1" x14ac:dyDescent="0.25">
      <c r="A32" s="74"/>
      <c r="B32" s="74"/>
      <c r="C32" s="74"/>
      <c r="D32" s="74"/>
      <c r="E32" s="74"/>
      <c r="F32" s="83"/>
      <c r="G32" s="83"/>
      <c r="H32" s="83"/>
      <c r="I32" s="83"/>
      <c r="J32" s="83"/>
      <c r="K32" s="83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</row>
    <row r="33" spans="1:33" ht="27" hidden="1" customHeight="1" x14ac:dyDescent="0.25">
      <c r="A33" s="74"/>
      <c r="B33" s="74"/>
      <c r="C33" s="74"/>
      <c r="D33" s="74"/>
      <c r="E33" s="74"/>
      <c r="F33" s="83"/>
      <c r="G33" s="83"/>
      <c r="H33" s="83"/>
      <c r="I33" s="83"/>
      <c r="J33" s="83"/>
      <c r="K33" s="83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</row>
    <row r="34" spans="1:33" ht="27" hidden="1" customHeight="1" thickBot="1" x14ac:dyDescent="0.3">
      <c r="A34" s="74"/>
      <c r="B34" s="74"/>
      <c r="C34" s="74"/>
      <c r="D34" s="74"/>
      <c r="E34" s="74"/>
      <c r="F34" s="83"/>
      <c r="G34" s="83"/>
      <c r="H34" s="83"/>
      <c r="I34" s="83"/>
      <c r="J34" s="83"/>
      <c r="K34" s="83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</row>
    <row r="35" spans="1:33" ht="27" customHeight="1" thickBot="1" x14ac:dyDescent="0.3">
      <c r="A35" s="10">
        <v>17</v>
      </c>
      <c r="B35" s="27"/>
      <c r="C35" s="21"/>
      <c r="D35" s="177" t="s">
        <v>27</v>
      </c>
      <c r="E35" s="178"/>
      <c r="F35" s="65"/>
      <c r="G35" s="66" t="s">
        <v>40</v>
      </c>
      <c r="H35" s="67" t="s">
        <v>40</v>
      </c>
      <c r="I35" s="67"/>
      <c r="J35" s="68"/>
      <c r="K35" s="68" t="s">
        <v>40</v>
      </c>
      <c r="L35" s="82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0</v>
      </c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</row>
    <row r="36" spans="1:33" ht="21.95" customHeight="1" thickTop="1" thickBot="1" x14ac:dyDescent="0.3">
      <c r="A36" s="179" t="s">
        <v>35</v>
      </c>
      <c r="B36" s="180"/>
      <c r="C36" s="180"/>
      <c r="D36" s="180"/>
      <c r="E36" s="181"/>
      <c r="F36" s="170">
        <f>IF($L$37&lt;&gt;"",SUMPRODUCT(--(TRIM(F13:G35)&lt;&gt;"")),"")</f>
        <v>19</v>
      </c>
      <c r="G36" s="171">
        <f t="shared" ref="G36" si="2">IF($L$37&lt;&gt;"",COUNTIF(G13:G29,"x"))</f>
        <v>7</v>
      </c>
      <c r="H36" s="69">
        <f>IF($L$37&lt;&gt;"",SUMPRODUCT(--(TRIM(H13:H35)&lt;&gt;"")),"")</f>
        <v>10</v>
      </c>
      <c r="I36" s="69">
        <f>IF($L$37&lt;&gt;"",SUMPRODUCT(--(TRIM(I13:I35)&lt;&gt;"")),"")</f>
        <v>7</v>
      </c>
      <c r="J36" s="71">
        <f>IF($L$37&lt;&gt;"",(COUNTIFS(J13:J35,"+")-COUNTIFS(J13:J35,"-"))*0.5,"")</f>
        <v>0</v>
      </c>
      <c r="K36" s="70">
        <f>IF($L$37&lt;&gt;"",SUMPRODUCT(--(TRIM(K13:K35)&lt;&gt;"")),"")</f>
        <v>1</v>
      </c>
      <c r="L36" s="33">
        <f>IF(L37&lt;&gt;"",IF(K36&lt;1,SUM(L13:L35),IF(K36&gt;=1,ROUNDUP(SUM(L13:L35)/2,0),"")),"")</f>
        <v>41</v>
      </c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</row>
    <row r="37" spans="1:33" ht="20.100000000000001" customHeight="1" thickTop="1" thickBot="1" x14ac:dyDescent="0.3">
      <c r="A37" s="172" t="s">
        <v>51</v>
      </c>
      <c r="B37" s="173"/>
      <c r="C37" s="173"/>
      <c r="D37" s="173"/>
      <c r="E37" s="25" t="s">
        <v>76</v>
      </c>
      <c r="F37" s="174" t="s">
        <v>36</v>
      </c>
      <c r="G37" s="175"/>
      <c r="H37" s="175"/>
      <c r="I37" s="175"/>
      <c r="J37" s="175"/>
      <c r="K37" s="176"/>
      <c r="L37" s="84" t="s">
        <v>47</v>
      </c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</row>
    <row r="38" spans="1:33" ht="15.75" thickTop="1" x14ac:dyDescent="0.25"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</row>
    <row r="39" spans="1:33" x14ac:dyDescent="0.25"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</row>
    <row r="40" spans="1:33" x14ac:dyDescent="0.25"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</row>
  </sheetData>
  <sheetProtection algorithmName="SHA-512" hashValue="gr5KEieLwm1Q7XKndCHeasOeOubriG7KqVw3bgUMJusRcLVmr1msH+gXLQD+0hsnp0npdkuWmfpemmJ2jM+oAA==" saltValue="UbiNuYzlsVyCIQP3tkJLCw==" spinCount="100000" sheet="1" objects="1" scenarios="1"/>
  <mergeCells count="46"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  <mergeCell ref="C20:C22"/>
    <mergeCell ref="D20:E20"/>
    <mergeCell ref="D21:E21"/>
    <mergeCell ref="D22:E22"/>
    <mergeCell ref="C23:C25"/>
    <mergeCell ref="D23:E23"/>
    <mergeCell ref="D24:E24"/>
    <mergeCell ref="D25:E25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K13:K28 K35 F35:I35 F13:I28" xr:uid="{7122F506-9F4C-44A1-9EC1-8ABC38DD14B4}">
      <formula1>$P$13</formula1>
    </dataValidation>
    <dataValidation type="list" allowBlank="1" showDropDown="1" showInputMessage="1" showErrorMessage="1" sqref="J35 J13:J28" xr:uid="{7580B529-64F0-4C17-8BAD-2E55E73149B1}">
      <formula1>$P$14:$P$15</formula1>
    </dataValidation>
    <dataValidation type="textLength" allowBlank="1" showInputMessage="1" showErrorMessage="1" sqref="F29:K34" xr:uid="{9ACB8A25-6DFD-4EA3-B627-68CFFEBFB263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84A0F-F78C-4F5A-BE51-2A7D8614F8B8}">
  <sheetPr codeName="Tabelle8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7" customFormat="1" ht="24.95" customHeight="1" x14ac:dyDescent="0.5">
      <c r="A1" s="30"/>
      <c r="B1" s="30"/>
      <c r="C1" s="30"/>
      <c r="D1" s="30"/>
      <c r="E1" s="121" t="s">
        <v>38</v>
      </c>
      <c r="F1" s="121"/>
      <c r="G1" s="121"/>
      <c r="H1" s="121"/>
      <c r="I1" s="121"/>
      <c r="J1" s="31"/>
      <c r="K1" s="30"/>
      <c r="L1" s="30"/>
    </row>
    <row r="2" spans="1:33" s="19" customFormat="1" ht="20.100000000000001" customHeight="1" x14ac:dyDescent="0.45">
      <c r="A2" s="122" t="s">
        <v>57</v>
      </c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</row>
    <row r="3" spans="1:33" s="17" customFormat="1" ht="39.950000000000003" customHeight="1" x14ac:dyDescent="0.5">
      <c r="A3" s="123" t="s">
        <v>0</v>
      </c>
      <c r="B3" s="123"/>
      <c r="C3" s="123"/>
      <c r="D3" s="123"/>
      <c r="E3" s="123"/>
      <c r="F3" s="123"/>
      <c r="G3" s="123"/>
      <c r="H3" s="123"/>
      <c r="I3" s="123"/>
      <c r="J3" s="123"/>
      <c r="K3" s="123"/>
      <c r="L3" s="123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24" t="s">
        <v>48</v>
      </c>
      <c r="B5" s="124"/>
      <c r="C5" s="124"/>
      <c r="D5" s="124"/>
      <c r="E5" s="72" t="s">
        <v>77</v>
      </c>
      <c r="F5" s="15"/>
      <c r="G5" s="16" t="s">
        <v>49</v>
      </c>
      <c r="H5" s="125" t="s">
        <v>58</v>
      </c>
      <c r="I5" s="125"/>
      <c r="J5" s="126" t="s">
        <v>50</v>
      </c>
      <c r="K5" s="126"/>
      <c r="L5" s="73" t="s">
        <v>59</v>
      </c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</row>
    <row r="6" spans="1:33" ht="12" customHeight="1" thickBot="1" x14ac:dyDescent="0.55000000000000004">
      <c r="A6" s="1"/>
      <c r="B6" s="1"/>
      <c r="C6" s="2"/>
      <c r="D6" s="2"/>
      <c r="E6" s="2"/>
      <c r="F6" s="23"/>
      <c r="G6" s="23"/>
      <c r="H6" s="127"/>
      <c r="I6" s="127"/>
      <c r="J6" s="127"/>
      <c r="K6" s="127"/>
      <c r="L6" s="17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</row>
    <row r="7" spans="1:33" s="18" customFormat="1" ht="20.100000000000001" customHeight="1" x14ac:dyDescent="0.35">
      <c r="A7" s="11"/>
      <c r="B7" s="11"/>
      <c r="C7" s="11"/>
      <c r="D7" s="128" t="s">
        <v>31</v>
      </c>
      <c r="E7" s="129"/>
      <c r="F7" s="130" t="s">
        <v>1</v>
      </c>
      <c r="G7" s="131"/>
      <c r="H7" s="129"/>
      <c r="I7" s="132" t="s">
        <v>2</v>
      </c>
      <c r="J7" s="132"/>
      <c r="K7" s="132"/>
      <c r="L7" s="12" t="s">
        <v>3</v>
      </c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</row>
    <row r="8" spans="1:33" ht="21.95" customHeight="1" x14ac:dyDescent="0.25">
      <c r="A8" s="15" t="s">
        <v>28</v>
      </c>
      <c r="B8" s="15"/>
      <c r="C8" s="15"/>
      <c r="D8" s="133" t="s">
        <v>60</v>
      </c>
      <c r="E8" s="134"/>
      <c r="F8" s="135" t="s">
        <v>61</v>
      </c>
      <c r="G8" s="136"/>
      <c r="H8" s="134"/>
      <c r="I8" s="137" t="s">
        <v>62</v>
      </c>
      <c r="J8" s="138"/>
      <c r="K8" s="138"/>
      <c r="L8" s="76" t="s">
        <v>64</v>
      </c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</row>
    <row r="9" spans="1:33" ht="21.95" customHeight="1" thickBot="1" x14ac:dyDescent="0.3">
      <c r="A9" s="15" t="s">
        <v>29</v>
      </c>
      <c r="B9" s="15"/>
      <c r="C9" s="15"/>
      <c r="D9" s="161" t="s">
        <v>60</v>
      </c>
      <c r="E9" s="141"/>
      <c r="F9" s="139" t="s">
        <v>63</v>
      </c>
      <c r="G9" s="140"/>
      <c r="H9" s="141"/>
      <c r="I9" s="142" t="s">
        <v>62</v>
      </c>
      <c r="J9" s="143"/>
      <c r="K9" s="143"/>
      <c r="L9" s="77" t="s">
        <v>64</v>
      </c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</row>
    <row r="11" spans="1:33" ht="39.75" customHeight="1" thickTop="1" thickBot="1" x14ac:dyDescent="0.3">
      <c r="A11" s="4"/>
      <c r="B11" s="4"/>
      <c r="C11" s="4"/>
      <c r="D11" s="4"/>
      <c r="E11" s="4"/>
      <c r="F11" s="144" t="s">
        <v>34</v>
      </c>
      <c r="G11" s="145"/>
      <c r="H11" s="28" t="s">
        <v>33</v>
      </c>
      <c r="I11" s="28" t="s">
        <v>32</v>
      </c>
      <c r="J11" s="32" t="s">
        <v>39</v>
      </c>
      <c r="K11" s="32" t="s">
        <v>4</v>
      </c>
      <c r="L11" s="146" t="s">
        <v>30</v>
      </c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</row>
    <row r="12" spans="1:33" s="18" customFormat="1" ht="20.100000000000001" customHeight="1" thickTop="1" thickBot="1" x14ac:dyDescent="0.4">
      <c r="A12" s="148" t="s">
        <v>5</v>
      </c>
      <c r="B12" s="149"/>
      <c r="C12" s="149"/>
      <c r="D12" s="149"/>
      <c r="E12" s="150"/>
      <c r="F12" s="151">
        <v>1</v>
      </c>
      <c r="G12" s="152"/>
      <c r="H12" s="29">
        <v>3</v>
      </c>
      <c r="I12" s="29">
        <v>5</v>
      </c>
      <c r="J12" s="29">
        <v>0.5</v>
      </c>
      <c r="K12" s="29">
        <v>10</v>
      </c>
      <c r="L12" s="147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</row>
    <row r="13" spans="1:33" ht="27" customHeight="1" thickBot="1" x14ac:dyDescent="0.3">
      <c r="A13" s="5">
        <v>1</v>
      </c>
      <c r="B13" s="26"/>
      <c r="C13" s="22"/>
      <c r="D13" s="162" t="s">
        <v>6</v>
      </c>
      <c r="E13" s="163"/>
      <c r="F13" s="49" t="s">
        <v>40</v>
      </c>
      <c r="G13" s="50"/>
      <c r="H13" s="51"/>
      <c r="I13" s="51"/>
      <c r="J13" s="52"/>
      <c r="K13" s="52"/>
      <c r="L13" s="3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4" t="s">
        <v>45</v>
      </c>
      <c r="O13" s="74"/>
      <c r="P13" s="74" t="s">
        <v>40</v>
      </c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</row>
    <row r="14" spans="1:33" ht="27" customHeight="1" x14ac:dyDescent="0.25">
      <c r="A14" s="6">
        <v>2</v>
      </c>
      <c r="B14" s="6"/>
      <c r="C14" s="153" t="s">
        <v>7</v>
      </c>
      <c r="D14" s="164" t="s">
        <v>8</v>
      </c>
      <c r="E14" s="165"/>
      <c r="F14" s="37" t="s">
        <v>40</v>
      </c>
      <c r="G14" s="38" t="s">
        <v>40</v>
      </c>
      <c r="H14" s="39"/>
      <c r="I14" s="39"/>
      <c r="J14" s="40"/>
      <c r="K14" s="40"/>
      <c r="L14" s="78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74" t="s">
        <v>43</v>
      </c>
      <c r="O14" s="74"/>
      <c r="P14" s="74" t="s">
        <v>41</v>
      </c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</row>
    <row r="15" spans="1:33" ht="27" customHeight="1" x14ac:dyDescent="0.25">
      <c r="A15" s="7">
        <v>3</v>
      </c>
      <c r="B15" s="6"/>
      <c r="C15" s="154"/>
      <c r="D15" s="166" t="s">
        <v>9</v>
      </c>
      <c r="E15" s="167"/>
      <c r="F15" s="41"/>
      <c r="G15" s="42"/>
      <c r="H15" s="43" t="s">
        <v>40</v>
      </c>
      <c r="I15" s="43"/>
      <c r="J15" s="44"/>
      <c r="K15" s="44"/>
      <c r="L15" s="79">
        <f t="shared" si="0"/>
        <v>7</v>
      </c>
      <c r="N15" s="74" t="s">
        <v>44</v>
      </c>
      <c r="O15" s="74"/>
      <c r="P15" s="74" t="s">
        <v>42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</row>
    <row r="16" spans="1:33" ht="27" customHeight="1" thickBot="1" x14ac:dyDescent="0.3">
      <c r="A16" s="8">
        <v>4</v>
      </c>
      <c r="B16" s="6"/>
      <c r="C16" s="154"/>
      <c r="D16" s="168" t="s">
        <v>10</v>
      </c>
      <c r="E16" s="169"/>
      <c r="F16" s="45" t="s">
        <v>40</v>
      </c>
      <c r="G16" s="46"/>
      <c r="H16" s="47" t="s">
        <v>40</v>
      </c>
      <c r="I16" s="47"/>
      <c r="J16" s="48"/>
      <c r="K16" s="48"/>
      <c r="L16" s="80">
        <f t="shared" si="0"/>
        <v>6</v>
      </c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</row>
    <row r="17" spans="1:33" ht="27" customHeight="1" x14ac:dyDescent="0.25">
      <c r="A17" s="6">
        <v>5</v>
      </c>
      <c r="B17" s="6"/>
      <c r="C17" s="153" t="s">
        <v>11</v>
      </c>
      <c r="D17" s="155" t="s">
        <v>12</v>
      </c>
      <c r="E17" s="156"/>
      <c r="F17" s="49" t="s">
        <v>40</v>
      </c>
      <c r="G17" s="50" t="s">
        <v>40</v>
      </c>
      <c r="H17" s="51" t="s">
        <v>40</v>
      </c>
      <c r="I17" s="51"/>
      <c r="J17" s="52"/>
      <c r="K17" s="52"/>
      <c r="L17" s="34">
        <f t="shared" si="0"/>
        <v>5</v>
      </c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</row>
    <row r="18" spans="1:33" ht="27" customHeight="1" x14ac:dyDescent="0.25">
      <c r="A18" s="7">
        <v>6</v>
      </c>
      <c r="B18" s="6"/>
      <c r="C18" s="154"/>
      <c r="D18" s="157" t="s">
        <v>13</v>
      </c>
      <c r="E18" s="158"/>
      <c r="F18" s="53"/>
      <c r="G18" s="54"/>
      <c r="H18" s="55"/>
      <c r="I18" s="55" t="s">
        <v>40</v>
      </c>
      <c r="J18" s="56"/>
      <c r="K18" s="56"/>
      <c r="L18" s="35">
        <f t="shared" si="0"/>
        <v>5</v>
      </c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</row>
    <row r="19" spans="1:33" ht="27" customHeight="1" thickBot="1" x14ac:dyDescent="0.3">
      <c r="A19" s="8">
        <v>7</v>
      </c>
      <c r="B19" s="6"/>
      <c r="C19" s="154"/>
      <c r="D19" s="159" t="s">
        <v>14</v>
      </c>
      <c r="E19" s="160"/>
      <c r="F19" s="57" t="s">
        <v>40</v>
      </c>
      <c r="G19" s="58"/>
      <c r="H19" s="59"/>
      <c r="I19" s="59" t="s">
        <v>40</v>
      </c>
      <c r="J19" s="60"/>
      <c r="K19" s="60"/>
      <c r="L19" s="81">
        <f t="shared" si="0"/>
        <v>4</v>
      </c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</row>
    <row r="20" spans="1:33" ht="27" customHeight="1" x14ac:dyDescent="0.25">
      <c r="A20" s="9">
        <v>8</v>
      </c>
      <c r="B20" s="24"/>
      <c r="C20" s="153" t="s">
        <v>15</v>
      </c>
      <c r="D20" s="164" t="s">
        <v>16</v>
      </c>
      <c r="E20" s="165"/>
      <c r="F20" s="37" t="s">
        <v>40</v>
      </c>
      <c r="G20" s="38" t="s">
        <v>40</v>
      </c>
      <c r="H20" s="39"/>
      <c r="I20" s="39" t="s">
        <v>40</v>
      </c>
      <c r="J20" s="40"/>
      <c r="K20" s="40"/>
      <c r="L20" s="78">
        <f t="shared" si="0"/>
        <v>3</v>
      </c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</row>
    <row r="21" spans="1:33" ht="27" customHeight="1" x14ac:dyDescent="0.25">
      <c r="A21" s="7">
        <v>9</v>
      </c>
      <c r="B21" s="6"/>
      <c r="C21" s="154"/>
      <c r="D21" s="166" t="s">
        <v>17</v>
      </c>
      <c r="E21" s="167"/>
      <c r="F21" s="41"/>
      <c r="G21" s="42"/>
      <c r="H21" s="43" t="s">
        <v>40</v>
      </c>
      <c r="I21" s="43" t="s">
        <v>40</v>
      </c>
      <c r="J21" s="44"/>
      <c r="K21" s="44"/>
      <c r="L21" s="79">
        <f t="shared" si="0"/>
        <v>2</v>
      </c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</row>
    <row r="22" spans="1:33" ht="27" customHeight="1" thickBot="1" x14ac:dyDescent="0.3">
      <c r="A22" s="8">
        <v>10</v>
      </c>
      <c r="B22" s="6"/>
      <c r="C22" s="154"/>
      <c r="D22" s="168" t="s">
        <v>18</v>
      </c>
      <c r="E22" s="169"/>
      <c r="F22" s="45" t="s">
        <v>40</v>
      </c>
      <c r="G22" s="46"/>
      <c r="H22" s="47" t="s">
        <v>40</v>
      </c>
      <c r="I22" s="47" t="s">
        <v>40</v>
      </c>
      <c r="J22" s="48"/>
      <c r="K22" s="48"/>
      <c r="L22" s="80">
        <f t="shared" si="0"/>
        <v>1</v>
      </c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</row>
    <row r="23" spans="1:33" ht="27" customHeight="1" x14ac:dyDescent="0.25">
      <c r="A23" s="9">
        <v>11</v>
      </c>
      <c r="B23" s="24"/>
      <c r="C23" s="153" t="s">
        <v>19</v>
      </c>
      <c r="D23" s="155" t="s">
        <v>20</v>
      </c>
      <c r="E23" s="156"/>
      <c r="F23" s="49" t="s">
        <v>40</v>
      </c>
      <c r="G23" s="50" t="s">
        <v>40</v>
      </c>
      <c r="H23" s="51" t="s">
        <v>40</v>
      </c>
      <c r="I23" s="51" t="s">
        <v>40</v>
      </c>
      <c r="J23" s="52"/>
      <c r="K23" s="52"/>
      <c r="L23" s="34">
        <f t="shared" si="0"/>
        <v>1</v>
      </c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</row>
    <row r="24" spans="1:33" ht="27" customHeight="1" x14ac:dyDescent="0.25">
      <c r="A24" s="7">
        <v>12</v>
      </c>
      <c r="B24" s="6"/>
      <c r="C24" s="154"/>
      <c r="D24" s="157" t="s">
        <v>21</v>
      </c>
      <c r="E24" s="158"/>
      <c r="F24" s="53"/>
      <c r="G24" s="54"/>
      <c r="H24" s="55"/>
      <c r="I24" s="55"/>
      <c r="J24" s="56" t="s">
        <v>41</v>
      </c>
      <c r="K24" s="56"/>
      <c r="L24" s="35">
        <f t="shared" si="0"/>
        <v>10</v>
      </c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</row>
    <row r="25" spans="1:33" ht="27" customHeight="1" thickBot="1" x14ac:dyDescent="0.3">
      <c r="A25" s="8">
        <v>13</v>
      </c>
      <c r="B25" s="6"/>
      <c r="C25" s="154"/>
      <c r="D25" s="159" t="s">
        <v>22</v>
      </c>
      <c r="E25" s="160"/>
      <c r="F25" s="57" t="s">
        <v>40</v>
      </c>
      <c r="G25" s="58" t="s">
        <v>40</v>
      </c>
      <c r="H25" s="59" t="s">
        <v>40</v>
      </c>
      <c r="I25" s="59" t="s">
        <v>40</v>
      </c>
      <c r="J25" s="60" t="s">
        <v>42</v>
      </c>
      <c r="K25" s="60"/>
      <c r="L25" s="81">
        <f t="shared" si="0"/>
        <v>1</v>
      </c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</row>
    <row r="26" spans="1:33" ht="27" customHeight="1" x14ac:dyDescent="0.25">
      <c r="A26" s="9">
        <v>14</v>
      </c>
      <c r="B26" s="24"/>
      <c r="C26" s="153" t="s">
        <v>23</v>
      </c>
      <c r="D26" s="164" t="s">
        <v>24</v>
      </c>
      <c r="E26" s="165"/>
      <c r="F26" s="37" t="s">
        <v>40</v>
      </c>
      <c r="G26" s="38" t="s">
        <v>40</v>
      </c>
      <c r="H26" s="39"/>
      <c r="I26" s="39"/>
      <c r="J26" s="40" t="s">
        <v>41</v>
      </c>
      <c r="K26" s="40"/>
      <c r="L26" s="78">
        <f t="shared" si="0"/>
        <v>8.5</v>
      </c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</row>
    <row r="27" spans="1:33" ht="27" customHeight="1" x14ac:dyDescent="0.25">
      <c r="A27" s="6">
        <v>15</v>
      </c>
      <c r="B27" s="6"/>
      <c r="C27" s="154"/>
      <c r="D27" s="166" t="s">
        <v>25</v>
      </c>
      <c r="E27" s="167"/>
      <c r="F27" s="41" t="s">
        <v>40</v>
      </c>
      <c r="G27" s="42" t="s">
        <v>40</v>
      </c>
      <c r="H27" s="43"/>
      <c r="I27" s="43"/>
      <c r="J27" s="44" t="s">
        <v>42</v>
      </c>
      <c r="K27" s="44"/>
      <c r="L27" s="79">
        <f t="shared" si="0"/>
        <v>7.5</v>
      </c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</row>
    <row r="28" spans="1:33" ht="27" customHeight="1" thickBot="1" x14ac:dyDescent="0.3">
      <c r="A28" s="8">
        <v>16</v>
      </c>
      <c r="B28" s="6"/>
      <c r="C28" s="154"/>
      <c r="D28" s="168" t="s">
        <v>26</v>
      </c>
      <c r="E28" s="169"/>
      <c r="F28" s="61"/>
      <c r="G28" s="62"/>
      <c r="H28" s="63" t="s">
        <v>40</v>
      </c>
      <c r="I28" s="63"/>
      <c r="J28" s="64"/>
      <c r="K28" s="64"/>
      <c r="L28" s="36">
        <f t="shared" si="0"/>
        <v>7</v>
      </c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</row>
    <row r="29" spans="1:33" ht="27" hidden="1" customHeight="1" x14ac:dyDescent="0.25">
      <c r="A29" s="74"/>
      <c r="B29" s="74"/>
      <c r="C29" s="74"/>
      <c r="D29" s="74"/>
      <c r="E29" s="74"/>
      <c r="F29" s="83"/>
      <c r="G29" s="83"/>
      <c r="H29" s="83"/>
      <c r="I29" s="83"/>
      <c r="J29" s="83"/>
      <c r="K29" s="83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</row>
    <row r="30" spans="1:33" ht="27" hidden="1" customHeight="1" x14ac:dyDescent="0.25">
      <c r="A30" s="74"/>
      <c r="B30" s="74"/>
      <c r="C30" s="74"/>
      <c r="D30" s="74"/>
      <c r="E30" s="74"/>
      <c r="F30" s="83"/>
      <c r="G30" s="83"/>
      <c r="H30" s="83"/>
      <c r="I30" s="83"/>
      <c r="J30" s="83"/>
      <c r="K30" s="83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</row>
    <row r="31" spans="1:33" ht="27" hidden="1" customHeight="1" x14ac:dyDescent="0.25">
      <c r="A31" s="74"/>
      <c r="B31" s="74"/>
      <c r="C31" s="74"/>
      <c r="D31" s="74"/>
      <c r="E31" s="74"/>
      <c r="F31" s="83"/>
      <c r="G31" s="83"/>
      <c r="H31" s="83"/>
      <c r="I31" s="83"/>
      <c r="J31" s="83"/>
      <c r="K31" s="83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</row>
    <row r="32" spans="1:33" ht="27" hidden="1" customHeight="1" x14ac:dyDescent="0.25">
      <c r="A32" s="74"/>
      <c r="B32" s="74"/>
      <c r="C32" s="74"/>
      <c r="D32" s="74"/>
      <c r="E32" s="74"/>
      <c r="F32" s="83"/>
      <c r="G32" s="83"/>
      <c r="H32" s="83"/>
      <c r="I32" s="83"/>
      <c r="J32" s="83"/>
      <c r="K32" s="83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</row>
    <row r="33" spans="1:33" ht="27" hidden="1" customHeight="1" x14ac:dyDescent="0.25">
      <c r="A33" s="74"/>
      <c r="B33" s="74"/>
      <c r="C33" s="74"/>
      <c r="D33" s="74"/>
      <c r="E33" s="74"/>
      <c r="F33" s="83"/>
      <c r="G33" s="83"/>
      <c r="H33" s="83"/>
      <c r="I33" s="83"/>
      <c r="J33" s="83"/>
      <c r="K33" s="83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</row>
    <row r="34" spans="1:33" ht="27" hidden="1" customHeight="1" thickBot="1" x14ac:dyDescent="0.3">
      <c r="A34" s="74"/>
      <c r="B34" s="74"/>
      <c r="C34" s="74"/>
      <c r="D34" s="74"/>
      <c r="E34" s="74"/>
      <c r="F34" s="83"/>
      <c r="G34" s="83"/>
      <c r="H34" s="83"/>
      <c r="I34" s="83"/>
      <c r="J34" s="83"/>
      <c r="K34" s="83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</row>
    <row r="35" spans="1:33" ht="27" customHeight="1" thickBot="1" x14ac:dyDescent="0.3">
      <c r="A35" s="10">
        <v>17</v>
      </c>
      <c r="B35" s="27"/>
      <c r="C35" s="21"/>
      <c r="D35" s="177" t="s">
        <v>27</v>
      </c>
      <c r="E35" s="178"/>
      <c r="F35" s="65"/>
      <c r="G35" s="66"/>
      <c r="H35" s="67"/>
      <c r="I35" s="67"/>
      <c r="J35" s="68"/>
      <c r="K35" s="68" t="s">
        <v>40</v>
      </c>
      <c r="L35" s="82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0</v>
      </c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</row>
    <row r="36" spans="1:33" ht="21.95" customHeight="1" thickTop="1" thickBot="1" x14ac:dyDescent="0.3">
      <c r="A36" s="179" t="s">
        <v>35</v>
      </c>
      <c r="B36" s="180"/>
      <c r="C36" s="180"/>
      <c r="D36" s="180"/>
      <c r="E36" s="181"/>
      <c r="F36" s="170">
        <f>IF($L$37&lt;&gt;"",SUMPRODUCT(--(TRIM(F13:G35)&lt;&gt;"")),"")</f>
        <v>18</v>
      </c>
      <c r="G36" s="171">
        <f t="shared" ref="G36" si="2">IF($L$37&lt;&gt;"",COUNTIF(G13:G29,"x"))</f>
        <v>7</v>
      </c>
      <c r="H36" s="69">
        <f>IF($L$37&lt;&gt;"",SUMPRODUCT(--(TRIM(H13:H35)&lt;&gt;"")),"")</f>
        <v>8</v>
      </c>
      <c r="I36" s="69">
        <f>IF($L$37&lt;&gt;"",SUMPRODUCT(--(TRIM(I13:I35)&lt;&gt;"")),"")</f>
        <v>7</v>
      </c>
      <c r="J36" s="71">
        <f>IF($L$37&lt;&gt;"",(COUNTIFS(J13:J35,"+")-COUNTIFS(J13:J35,"-"))*0.5,"")</f>
        <v>0</v>
      </c>
      <c r="K36" s="70">
        <f>IF($L$37&lt;&gt;"",SUMPRODUCT(--(TRIM(K13:K35)&lt;&gt;"")),"")</f>
        <v>1</v>
      </c>
      <c r="L36" s="33">
        <f>IF(L37&lt;&gt;"",IF(K36&lt;1,SUM(L13:L35),IF(K36&gt;=1,ROUNDUP(SUM(L13:L35)/2,0),"")),"")</f>
        <v>43</v>
      </c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</row>
    <row r="37" spans="1:33" ht="20.100000000000001" customHeight="1" thickTop="1" thickBot="1" x14ac:dyDescent="0.3">
      <c r="A37" s="172" t="s">
        <v>51</v>
      </c>
      <c r="B37" s="173"/>
      <c r="C37" s="173"/>
      <c r="D37" s="173"/>
      <c r="E37" s="25" t="s">
        <v>78</v>
      </c>
      <c r="F37" s="174" t="s">
        <v>36</v>
      </c>
      <c r="G37" s="175"/>
      <c r="H37" s="175"/>
      <c r="I37" s="175"/>
      <c r="J37" s="175"/>
      <c r="K37" s="176"/>
      <c r="L37" s="84" t="s">
        <v>47</v>
      </c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</row>
    <row r="38" spans="1:33" ht="15.75" thickTop="1" x14ac:dyDescent="0.25"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</row>
    <row r="39" spans="1:33" x14ac:dyDescent="0.25"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</row>
    <row r="40" spans="1:33" x14ac:dyDescent="0.25"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</row>
  </sheetData>
  <sheetProtection algorithmName="SHA-512" hashValue="CgYdh+TWNyQZTh2DurY7k3jF9HtsgYntrvMzM896Hhophb7o/G+NzYuqIuuUp5rI7QTU7iDA+4E0hZToJpv1/A==" saltValue="ka7ydQd396myBsgKDtdIVw==" spinCount="100000" sheet="1" objects="1" scenarios="1"/>
  <mergeCells count="46"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  <mergeCell ref="C20:C22"/>
    <mergeCell ref="D20:E20"/>
    <mergeCell ref="D21:E21"/>
    <mergeCell ref="D22:E22"/>
    <mergeCell ref="C23:C25"/>
    <mergeCell ref="D23:E23"/>
    <mergeCell ref="D24:E24"/>
    <mergeCell ref="D25:E25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K13:K28 K35 F35:I35 F13:I28" xr:uid="{063DD925-954B-4042-9D3A-3035F212A6D8}">
      <formula1>$P$13</formula1>
    </dataValidation>
    <dataValidation type="list" allowBlank="1" showDropDown="1" showInputMessage="1" showErrorMessage="1" sqref="J35 J13:J28" xr:uid="{45E69EA6-EF9F-4460-953E-F087E7E160E5}">
      <formula1>$P$14:$P$15</formula1>
    </dataValidation>
    <dataValidation type="textLength" allowBlank="1" showInputMessage="1" showErrorMessage="1" sqref="F29:K34" xr:uid="{97D6DD2E-9FC5-4C9E-B25E-04B94157AAE3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04F47-422A-4520-9DC5-C69C5FDA3FC6}">
  <sheetPr codeName="Tabelle9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7" customFormat="1" ht="24.95" customHeight="1" x14ac:dyDescent="0.5">
      <c r="A1" s="30"/>
      <c r="B1" s="30"/>
      <c r="C1" s="30"/>
      <c r="D1" s="30"/>
      <c r="E1" s="121" t="s">
        <v>38</v>
      </c>
      <c r="F1" s="121"/>
      <c r="G1" s="121"/>
      <c r="H1" s="121"/>
      <c r="I1" s="121"/>
      <c r="J1" s="31"/>
      <c r="K1" s="30"/>
      <c r="L1" s="30"/>
    </row>
    <row r="2" spans="1:33" s="19" customFormat="1" ht="20.100000000000001" customHeight="1" x14ac:dyDescent="0.45">
      <c r="A2" s="122" t="s">
        <v>57</v>
      </c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</row>
    <row r="3" spans="1:33" s="17" customFormat="1" ht="39.950000000000003" customHeight="1" x14ac:dyDescent="0.5">
      <c r="A3" s="123" t="s">
        <v>0</v>
      </c>
      <c r="B3" s="123"/>
      <c r="C3" s="123"/>
      <c r="D3" s="123"/>
      <c r="E3" s="123"/>
      <c r="F3" s="123"/>
      <c r="G3" s="123"/>
      <c r="H3" s="123"/>
      <c r="I3" s="123"/>
      <c r="J3" s="123"/>
      <c r="K3" s="123"/>
      <c r="L3" s="123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24" t="s">
        <v>48</v>
      </c>
      <c r="B5" s="124"/>
      <c r="C5" s="124"/>
      <c r="D5" s="124"/>
      <c r="E5" s="72" t="s">
        <v>79</v>
      </c>
      <c r="F5" s="15"/>
      <c r="G5" s="16" t="s">
        <v>49</v>
      </c>
      <c r="H5" s="125" t="s">
        <v>58</v>
      </c>
      <c r="I5" s="125"/>
      <c r="J5" s="126" t="s">
        <v>50</v>
      </c>
      <c r="K5" s="126"/>
      <c r="L5" s="73" t="s">
        <v>59</v>
      </c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</row>
    <row r="6" spans="1:33" ht="12" customHeight="1" thickBot="1" x14ac:dyDescent="0.55000000000000004">
      <c r="A6" s="1"/>
      <c r="B6" s="1"/>
      <c r="C6" s="2"/>
      <c r="D6" s="2"/>
      <c r="E6" s="2"/>
      <c r="F6" s="23"/>
      <c r="G6" s="23"/>
      <c r="H6" s="127"/>
      <c r="I6" s="127"/>
      <c r="J6" s="127"/>
      <c r="K6" s="127"/>
      <c r="L6" s="17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</row>
    <row r="7" spans="1:33" s="18" customFormat="1" ht="20.100000000000001" customHeight="1" x14ac:dyDescent="0.35">
      <c r="A7" s="11"/>
      <c r="B7" s="11"/>
      <c r="C7" s="11"/>
      <c r="D7" s="128" t="s">
        <v>31</v>
      </c>
      <c r="E7" s="129"/>
      <c r="F7" s="130" t="s">
        <v>1</v>
      </c>
      <c r="G7" s="131"/>
      <c r="H7" s="129"/>
      <c r="I7" s="132" t="s">
        <v>2</v>
      </c>
      <c r="J7" s="132"/>
      <c r="K7" s="132"/>
      <c r="L7" s="12" t="s">
        <v>3</v>
      </c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</row>
    <row r="8" spans="1:33" ht="21.95" customHeight="1" x14ac:dyDescent="0.25">
      <c r="A8" s="15" t="s">
        <v>28</v>
      </c>
      <c r="B8" s="15"/>
      <c r="C8" s="15"/>
      <c r="D8" s="133" t="s">
        <v>60</v>
      </c>
      <c r="E8" s="134"/>
      <c r="F8" s="135" t="s">
        <v>61</v>
      </c>
      <c r="G8" s="136"/>
      <c r="H8" s="134"/>
      <c r="I8" s="137" t="s">
        <v>62</v>
      </c>
      <c r="J8" s="138"/>
      <c r="K8" s="138"/>
      <c r="L8" s="76" t="s">
        <v>64</v>
      </c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</row>
    <row r="9" spans="1:33" ht="21.95" customHeight="1" thickBot="1" x14ac:dyDescent="0.3">
      <c r="A9" s="15" t="s">
        <v>29</v>
      </c>
      <c r="B9" s="15"/>
      <c r="C9" s="15"/>
      <c r="D9" s="161" t="s">
        <v>60</v>
      </c>
      <c r="E9" s="141"/>
      <c r="F9" s="139" t="s">
        <v>63</v>
      </c>
      <c r="G9" s="140"/>
      <c r="H9" s="141"/>
      <c r="I9" s="142" t="s">
        <v>62</v>
      </c>
      <c r="J9" s="143"/>
      <c r="K9" s="143"/>
      <c r="L9" s="77" t="s">
        <v>64</v>
      </c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</row>
    <row r="11" spans="1:33" ht="39.75" customHeight="1" thickTop="1" thickBot="1" x14ac:dyDescent="0.3">
      <c r="A11" s="4"/>
      <c r="B11" s="4"/>
      <c r="C11" s="4"/>
      <c r="D11" s="4"/>
      <c r="E11" s="4"/>
      <c r="F11" s="144" t="s">
        <v>34</v>
      </c>
      <c r="G11" s="145"/>
      <c r="H11" s="28" t="s">
        <v>33</v>
      </c>
      <c r="I11" s="28" t="s">
        <v>32</v>
      </c>
      <c r="J11" s="32" t="s">
        <v>39</v>
      </c>
      <c r="K11" s="32" t="s">
        <v>4</v>
      </c>
      <c r="L11" s="146" t="s">
        <v>30</v>
      </c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</row>
    <row r="12" spans="1:33" s="18" customFormat="1" ht="20.100000000000001" customHeight="1" thickTop="1" thickBot="1" x14ac:dyDescent="0.4">
      <c r="A12" s="148" t="s">
        <v>5</v>
      </c>
      <c r="B12" s="149"/>
      <c r="C12" s="149"/>
      <c r="D12" s="149"/>
      <c r="E12" s="150"/>
      <c r="F12" s="151">
        <v>1</v>
      </c>
      <c r="G12" s="152"/>
      <c r="H12" s="29">
        <v>3</v>
      </c>
      <c r="I12" s="29">
        <v>5</v>
      </c>
      <c r="J12" s="29">
        <v>0.5</v>
      </c>
      <c r="K12" s="29">
        <v>10</v>
      </c>
      <c r="L12" s="147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</row>
    <row r="13" spans="1:33" ht="27" customHeight="1" thickBot="1" x14ac:dyDescent="0.3">
      <c r="A13" s="5">
        <v>1</v>
      </c>
      <c r="B13" s="26"/>
      <c r="C13" s="22"/>
      <c r="D13" s="162" t="s">
        <v>6</v>
      </c>
      <c r="E13" s="163"/>
      <c r="F13" s="49" t="s">
        <v>40</v>
      </c>
      <c r="G13" s="50"/>
      <c r="H13" s="51"/>
      <c r="I13" s="51"/>
      <c r="J13" s="52"/>
      <c r="K13" s="52"/>
      <c r="L13" s="3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4" t="s">
        <v>45</v>
      </c>
      <c r="O13" s="74"/>
      <c r="P13" s="74" t="s">
        <v>40</v>
      </c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</row>
    <row r="14" spans="1:33" ht="27" customHeight="1" x14ac:dyDescent="0.25">
      <c r="A14" s="6">
        <v>2</v>
      </c>
      <c r="B14" s="6"/>
      <c r="C14" s="153" t="s">
        <v>7</v>
      </c>
      <c r="D14" s="164" t="s">
        <v>8</v>
      </c>
      <c r="E14" s="165"/>
      <c r="F14" s="37" t="s">
        <v>40</v>
      </c>
      <c r="G14" s="38" t="s">
        <v>40</v>
      </c>
      <c r="H14" s="39"/>
      <c r="I14" s="39"/>
      <c r="J14" s="40"/>
      <c r="K14" s="40"/>
      <c r="L14" s="78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74" t="s">
        <v>43</v>
      </c>
      <c r="O14" s="74"/>
      <c r="P14" s="74" t="s">
        <v>41</v>
      </c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</row>
    <row r="15" spans="1:33" ht="27" customHeight="1" x14ac:dyDescent="0.25">
      <c r="A15" s="7">
        <v>3</v>
      </c>
      <c r="B15" s="6"/>
      <c r="C15" s="154"/>
      <c r="D15" s="166" t="s">
        <v>9</v>
      </c>
      <c r="E15" s="167"/>
      <c r="F15" s="41"/>
      <c r="G15" s="42"/>
      <c r="H15" s="43" t="s">
        <v>40</v>
      </c>
      <c r="I15" s="43"/>
      <c r="J15" s="44"/>
      <c r="K15" s="44"/>
      <c r="L15" s="79">
        <f t="shared" si="0"/>
        <v>7</v>
      </c>
      <c r="N15" s="74" t="s">
        <v>44</v>
      </c>
      <c r="O15" s="74"/>
      <c r="P15" s="74" t="s">
        <v>42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</row>
    <row r="16" spans="1:33" ht="27" customHeight="1" thickBot="1" x14ac:dyDescent="0.3">
      <c r="A16" s="8">
        <v>4</v>
      </c>
      <c r="B16" s="6"/>
      <c r="C16" s="154"/>
      <c r="D16" s="168" t="s">
        <v>10</v>
      </c>
      <c r="E16" s="169"/>
      <c r="F16" s="45" t="s">
        <v>40</v>
      </c>
      <c r="G16" s="46"/>
      <c r="H16" s="47" t="s">
        <v>40</v>
      </c>
      <c r="I16" s="47"/>
      <c r="J16" s="48"/>
      <c r="K16" s="48"/>
      <c r="L16" s="80">
        <f t="shared" si="0"/>
        <v>6</v>
      </c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</row>
    <row r="17" spans="1:33" ht="27" customHeight="1" x14ac:dyDescent="0.25">
      <c r="A17" s="6">
        <v>5</v>
      </c>
      <c r="B17" s="6"/>
      <c r="C17" s="153" t="s">
        <v>11</v>
      </c>
      <c r="D17" s="155" t="s">
        <v>12</v>
      </c>
      <c r="E17" s="156"/>
      <c r="F17" s="49" t="s">
        <v>40</v>
      </c>
      <c r="G17" s="50" t="s">
        <v>40</v>
      </c>
      <c r="H17" s="51" t="s">
        <v>40</v>
      </c>
      <c r="I17" s="51"/>
      <c r="J17" s="52"/>
      <c r="K17" s="52"/>
      <c r="L17" s="34">
        <f t="shared" si="0"/>
        <v>5</v>
      </c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</row>
    <row r="18" spans="1:33" ht="27" customHeight="1" x14ac:dyDescent="0.25">
      <c r="A18" s="7">
        <v>6</v>
      </c>
      <c r="B18" s="6"/>
      <c r="C18" s="154"/>
      <c r="D18" s="157" t="s">
        <v>13</v>
      </c>
      <c r="E18" s="158"/>
      <c r="F18" s="53"/>
      <c r="G18" s="54"/>
      <c r="H18" s="55"/>
      <c r="I18" s="55" t="s">
        <v>40</v>
      </c>
      <c r="J18" s="56"/>
      <c r="K18" s="56"/>
      <c r="L18" s="35">
        <f t="shared" si="0"/>
        <v>5</v>
      </c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</row>
    <row r="19" spans="1:33" ht="27" customHeight="1" thickBot="1" x14ac:dyDescent="0.3">
      <c r="A19" s="8">
        <v>7</v>
      </c>
      <c r="B19" s="6"/>
      <c r="C19" s="154"/>
      <c r="D19" s="159" t="s">
        <v>14</v>
      </c>
      <c r="E19" s="160"/>
      <c r="F19" s="57" t="s">
        <v>40</v>
      </c>
      <c r="G19" s="58"/>
      <c r="H19" s="59"/>
      <c r="I19" s="59" t="s">
        <v>40</v>
      </c>
      <c r="J19" s="60"/>
      <c r="K19" s="60"/>
      <c r="L19" s="81">
        <f t="shared" si="0"/>
        <v>4</v>
      </c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</row>
    <row r="20" spans="1:33" ht="27" customHeight="1" x14ac:dyDescent="0.25">
      <c r="A20" s="9">
        <v>8</v>
      </c>
      <c r="B20" s="24"/>
      <c r="C20" s="153" t="s">
        <v>15</v>
      </c>
      <c r="D20" s="164" t="s">
        <v>16</v>
      </c>
      <c r="E20" s="165"/>
      <c r="F20" s="37" t="s">
        <v>40</v>
      </c>
      <c r="G20" s="38" t="s">
        <v>40</v>
      </c>
      <c r="H20" s="39"/>
      <c r="I20" s="39" t="s">
        <v>40</v>
      </c>
      <c r="J20" s="40"/>
      <c r="K20" s="40"/>
      <c r="L20" s="78">
        <f t="shared" si="0"/>
        <v>3</v>
      </c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</row>
    <row r="21" spans="1:33" ht="27" customHeight="1" x14ac:dyDescent="0.25">
      <c r="A21" s="7">
        <v>9</v>
      </c>
      <c r="B21" s="6"/>
      <c r="C21" s="154"/>
      <c r="D21" s="166" t="s">
        <v>17</v>
      </c>
      <c r="E21" s="167"/>
      <c r="F21" s="41"/>
      <c r="G21" s="42"/>
      <c r="H21" s="43" t="s">
        <v>40</v>
      </c>
      <c r="I21" s="43" t="s">
        <v>40</v>
      </c>
      <c r="J21" s="44"/>
      <c r="K21" s="44"/>
      <c r="L21" s="79">
        <f t="shared" si="0"/>
        <v>2</v>
      </c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</row>
    <row r="22" spans="1:33" ht="27" customHeight="1" thickBot="1" x14ac:dyDescent="0.3">
      <c r="A22" s="8">
        <v>10</v>
      </c>
      <c r="B22" s="6"/>
      <c r="C22" s="154"/>
      <c r="D22" s="168" t="s">
        <v>18</v>
      </c>
      <c r="E22" s="169"/>
      <c r="F22" s="45" t="s">
        <v>40</v>
      </c>
      <c r="G22" s="46"/>
      <c r="H22" s="47" t="s">
        <v>40</v>
      </c>
      <c r="I22" s="47" t="s">
        <v>40</v>
      </c>
      <c r="J22" s="48"/>
      <c r="K22" s="48"/>
      <c r="L22" s="80">
        <f t="shared" si="0"/>
        <v>1</v>
      </c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</row>
    <row r="23" spans="1:33" ht="27" customHeight="1" x14ac:dyDescent="0.25">
      <c r="A23" s="9">
        <v>11</v>
      </c>
      <c r="B23" s="24"/>
      <c r="C23" s="153" t="s">
        <v>19</v>
      </c>
      <c r="D23" s="155" t="s">
        <v>20</v>
      </c>
      <c r="E23" s="156"/>
      <c r="F23" s="49" t="s">
        <v>40</v>
      </c>
      <c r="G23" s="50" t="s">
        <v>40</v>
      </c>
      <c r="H23" s="51" t="s">
        <v>40</v>
      </c>
      <c r="I23" s="51" t="s">
        <v>40</v>
      </c>
      <c r="J23" s="52"/>
      <c r="K23" s="52"/>
      <c r="L23" s="34">
        <f t="shared" si="0"/>
        <v>1</v>
      </c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</row>
    <row r="24" spans="1:33" ht="27" customHeight="1" x14ac:dyDescent="0.25">
      <c r="A24" s="7">
        <v>12</v>
      </c>
      <c r="B24" s="6"/>
      <c r="C24" s="154"/>
      <c r="D24" s="157" t="s">
        <v>21</v>
      </c>
      <c r="E24" s="158"/>
      <c r="F24" s="53"/>
      <c r="G24" s="54"/>
      <c r="H24" s="55"/>
      <c r="I24" s="55"/>
      <c r="J24" s="56" t="s">
        <v>41</v>
      </c>
      <c r="K24" s="56"/>
      <c r="L24" s="35">
        <f t="shared" si="0"/>
        <v>10</v>
      </c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</row>
    <row r="25" spans="1:33" ht="27" customHeight="1" thickBot="1" x14ac:dyDescent="0.3">
      <c r="A25" s="8">
        <v>13</v>
      </c>
      <c r="B25" s="6"/>
      <c r="C25" s="154"/>
      <c r="D25" s="159" t="s">
        <v>22</v>
      </c>
      <c r="E25" s="160"/>
      <c r="F25" s="57" t="s">
        <v>40</v>
      </c>
      <c r="G25" s="58" t="s">
        <v>40</v>
      </c>
      <c r="H25" s="59" t="s">
        <v>40</v>
      </c>
      <c r="I25" s="59" t="s">
        <v>40</v>
      </c>
      <c r="J25" s="60" t="s">
        <v>42</v>
      </c>
      <c r="K25" s="60"/>
      <c r="L25" s="81">
        <f t="shared" si="0"/>
        <v>1</v>
      </c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</row>
    <row r="26" spans="1:33" ht="27" customHeight="1" x14ac:dyDescent="0.25">
      <c r="A26" s="9">
        <v>14</v>
      </c>
      <c r="B26" s="24"/>
      <c r="C26" s="153" t="s">
        <v>23</v>
      </c>
      <c r="D26" s="164" t="s">
        <v>24</v>
      </c>
      <c r="E26" s="165"/>
      <c r="F26" s="37" t="s">
        <v>40</v>
      </c>
      <c r="G26" s="38" t="s">
        <v>40</v>
      </c>
      <c r="H26" s="39"/>
      <c r="I26" s="39"/>
      <c r="J26" s="40" t="s">
        <v>41</v>
      </c>
      <c r="K26" s="40"/>
      <c r="L26" s="78">
        <f t="shared" si="0"/>
        <v>8.5</v>
      </c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</row>
    <row r="27" spans="1:33" ht="27" customHeight="1" x14ac:dyDescent="0.25">
      <c r="A27" s="6">
        <v>15</v>
      </c>
      <c r="B27" s="6"/>
      <c r="C27" s="154"/>
      <c r="D27" s="166" t="s">
        <v>25</v>
      </c>
      <c r="E27" s="167"/>
      <c r="F27" s="41" t="s">
        <v>40</v>
      </c>
      <c r="G27" s="42" t="s">
        <v>40</v>
      </c>
      <c r="H27" s="43"/>
      <c r="I27" s="43"/>
      <c r="J27" s="44" t="s">
        <v>42</v>
      </c>
      <c r="K27" s="44"/>
      <c r="L27" s="79">
        <f t="shared" si="0"/>
        <v>7.5</v>
      </c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</row>
    <row r="28" spans="1:33" ht="27" customHeight="1" thickBot="1" x14ac:dyDescent="0.3">
      <c r="A28" s="8">
        <v>16</v>
      </c>
      <c r="B28" s="6"/>
      <c r="C28" s="154"/>
      <c r="D28" s="168" t="s">
        <v>26</v>
      </c>
      <c r="E28" s="169"/>
      <c r="F28" s="61"/>
      <c r="G28" s="62"/>
      <c r="H28" s="63" t="s">
        <v>40</v>
      </c>
      <c r="I28" s="63"/>
      <c r="J28" s="64"/>
      <c r="K28" s="64"/>
      <c r="L28" s="36">
        <f t="shared" si="0"/>
        <v>7</v>
      </c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</row>
    <row r="29" spans="1:33" ht="27" hidden="1" customHeight="1" x14ac:dyDescent="0.25">
      <c r="A29" s="74"/>
      <c r="B29" s="74"/>
      <c r="C29" s="74"/>
      <c r="D29" s="74"/>
      <c r="E29" s="74"/>
      <c r="F29" s="83"/>
      <c r="G29" s="83"/>
      <c r="H29" s="83"/>
      <c r="I29" s="83"/>
      <c r="J29" s="83"/>
      <c r="K29" s="83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</row>
    <row r="30" spans="1:33" ht="27" hidden="1" customHeight="1" x14ac:dyDescent="0.25">
      <c r="A30" s="74"/>
      <c r="B30" s="74"/>
      <c r="C30" s="74"/>
      <c r="D30" s="74"/>
      <c r="E30" s="74"/>
      <c r="F30" s="83"/>
      <c r="G30" s="83"/>
      <c r="H30" s="83"/>
      <c r="I30" s="83"/>
      <c r="J30" s="83"/>
      <c r="K30" s="83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</row>
    <row r="31" spans="1:33" ht="27" hidden="1" customHeight="1" x14ac:dyDescent="0.25">
      <c r="A31" s="74"/>
      <c r="B31" s="74"/>
      <c r="C31" s="74"/>
      <c r="D31" s="74"/>
      <c r="E31" s="74"/>
      <c r="F31" s="83"/>
      <c r="G31" s="83"/>
      <c r="H31" s="83"/>
      <c r="I31" s="83"/>
      <c r="J31" s="83"/>
      <c r="K31" s="83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</row>
    <row r="32" spans="1:33" ht="27" hidden="1" customHeight="1" x14ac:dyDescent="0.25">
      <c r="A32" s="74"/>
      <c r="B32" s="74"/>
      <c r="C32" s="74"/>
      <c r="D32" s="74"/>
      <c r="E32" s="74"/>
      <c r="F32" s="83"/>
      <c r="G32" s="83"/>
      <c r="H32" s="83"/>
      <c r="I32" s="83"/>
      <c r="J32" s="83"/>
      <c r="K32" s="83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</row>
    <row r="33" spans="1:33" ht="27" hidden="1" customHeight="1" x14ac:dyDescent="0.25">
      <c r="A33" s="74"/>
      <c r="B33" s="74"/>
      <c r="C33" s="74"/>
      <c r="D33" s="74"/>
      <c r="E33" s="74"/>
      <c r="F33" s="83"/>
      <c r="G33" s="83"/>
      <c r="H33" s="83"/>
      <c r="I33" s="83"/>
      <c r="J33" s="83"/>
      <c r="K33" s="83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</row>
    <row r="34" spans="1:33" ht="27" hidden="1" customHeight="1" thickBot="1" x14ac:dyDescent="0.3">
      <c r="A34" s="74"/>
      <c r="B34" s="74"/>
      <c r="C34" s="74"/>
      <c r="D34" s="74"/>
      <c r="E34" s="74"/>
      <c r="F34" s="83"/>
      <c r="G34" s="83"/>
      <c r="H34" s="83"/>
      <c r="I34" s="83"/>
      <c r="J34" s="83"/>
      <c r="K34" s="83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</row>
    <row r="35" spans="1:33" ht="27" customHeight="1" thickBot="1" x14ac:dyDescent="0.3">
      <c r="A35" s="10">
        <v>17</v>
      </c>
      <c r="B35" s="27"/>
      <c r="C35" s="21"/>
      <c r="D35" s="177" t="s">
        <v>27</v>
      </c>
      <c r="E35" s="178"/>
      <c r="F35" s="65"/>
      <c r="G35" s="66"/>
      <c r="H35" s="67"/>
      <c r="I35" s="67"/>
      <c r="J35" s="68"/>
      <c r="K35" s="68" t="s">
        <v>40</v>
      </c>
      <c r="L35" s="82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0</v>
      </c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</row>
    <row r="36" spans="1:33" ht="21.95" customHeight="1" thickTop="1" thickBot="1" x14ac:dyDescent="0.3">
      <c r="A36" s="179" t="s">
        <v>35</v>
      </c>
      <c r="B36" s="180"/>
      <c r="C36" s="180"/>
      <c r="D36" s="180"/>
      <c r="E36" s="181"/>
      <c r="F36" s="170">
        <f>IF($L$37&lt;&gt;"",SUMPRODUCT(--(TRIM(F13:G35)&lt;&gt;"")),"")</f>
        <v>18</v>
      </c>
      <c r="G36" s="171">
        <f t="shared" ref="G36" si="2">IF($L$37&lt;&gt;"",COUNTIF(G13:G29,"x"))</f>
        <v>7</v>
      </c>
      <c r="H36" s="69">
        <f>IF($L$37&lt;&gt;"",SUMPRODUCT(--(TRIM(H13:H35)&lt;&gt;"")),"")</f>
        <v>8</v>
      </c>
      <c r="I36" s="69">
        <f>IF($L$37&lt;&gt;"",SUMPRODUCT(--(TRIM(I13:I35)&lt;&gt;"")),"")</f>
        <v>7</v>
      </c>
      <c r="J36" s="71">
        <f>IF($L$37&lt;&gt;"",(COUNTIFS(J13:J35,"+")-COUNTIFS(J13:J35,"-"))*0.5,"")</f>
        <v>0</v>
      </c>
      <c r="K36" s="70">
        <f>IF($L$37&lt;&gt;"",SUMPRODUCT(--(TRIM(K13:K35)&lt;&gt;"")),"")</f>
        <v>1</v>
      </c>
      <c r="L36" s="33">
        <f>IF(L37&lt;&gt;"",IF(K36&lt;1,SUM(L13:L35),IF(K36&gt;=1,ROUNDUP(SUM(L13:L35)/2,0),"")),"")</f>
        <v>43</v>
      </c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</row>
    <row r="37" spans="1:33" ht="20.100000000000001" customHeight="1" thickTop="1" thickBot="1" x14ac:dyDescent="0.3">
      <c r="A37" s="172" t="s">
        <v>51</v>
      </c>
      <c r="B37" s="173"/>
      <c r="C37" s="173"/>
      <c r="D37" s="173"/>
      <c r="E37" s="25" t="s">
        <v>80</v>
      </c>
      <c r="F37" s="174" t="s">
        <v>36</v>
      </c>
      <c r="G37" s="175"/>
      <c r="H37" s="175"/>
      <c r="I37" s="175"/>
      <c r="J37" s="175"/>
      <c r="K37" s="176"/>
      <c r="L37" s="84" t="s">
        <v>47</v>
      </c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</row>
    <row r="38" spans="1:33" ht="15.75" thickTop="1" x14ac:dyDescent="0.25"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</row>
    <row r="39" spans="1:33" x14ac:dyDescent="0.25"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</row>
    <row r="40" spans="1:33" x14ac:dyDescent="0.25"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</row>
  </sheetData>
  <sheetProtection algorithmName="SHA-512" hashValue="FmKYjiqzURQeNOmP+RTrW9ZB8DYK1nLjwgJ23dCBzmcNRW+mYbqACO9vW9al/+oGIVn7DHLkPkuoTcMPRe+5Pw==" saltValue="1fsVmtn0eRUdItK+xBsCRg==" spinCount="100000" sheet="1" objects="1" scenarios="1"/>
  <mergeCells count="46"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  <mergeCell ref="C20:C22"/>
    <mergeCell ref="D20:E20"/>
    <mergeCell ref="D21:E21"/>
    <mergeCell ref="D22:E22"/>
    <mergeCell ref="C23:C25"/>
    <mergeCell ref="D23:E23"/>
    <mergeCell ref="D24:E24"/>
    <mergeCell ref="D25:E25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K13:K28 K35 F35:I35 F13:I28" xr:uid="{B49F766A-2549-40AB-A9A9-039B90036C4B}">
      <formula1>$P$13</formula1>
    </dataValidation>
    <dataValidation type="list" allowBlank="1" showDropDown="1" showInputMessage="1" showErrorMessage="1" sqref="J35 J13:J28" xr:uid="{4BCA46DA-DF18-4A0D-B427-3348E9628555}">
      <formula1>$P$14:$P$15</formula1>
    </dataValidation>
    <dataValidation type="textLength" allowBlank="1" showInputMessage="1" showErrorMessage="1" sqref="F29:K34" xr:uid="{37FFF404-FD06-453D-BB05-A2A964094DB3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7"/>
  <dimension ref="A1:AF30"/>
  <sheetViews>
    <sheetView zoomScaleNormal="100" workbookViewId="0"/>
  </sheetViews>
  <sheetFormatPr baseColWidth="10" defaultColWidth="11.5703125" defaultRowHeight="15" customHeight="1" x14ac:dyDescent="0.2"/>
  <cols>
    <col min="1" max="1" width="11.7109375" style="20" customWidth="1"/>
    <col min="2" max="2" width="22.7109375" style="20" customWidth="1"/>
    <col min="3" max="18" width="5.7109375" style="20" customWidth="1"/>
    <col min="19" max="24" width="5.7109375" style="20" hidden="1" customWidth="1"/>
    <col min="25" max="25" width="5.7109375" style="20" customWidth="1"/>
    <col min="26" max="27" width="6.7109375" style="20" customWidth="1"/>
    <col min="28" max="32" width="5.7109375" style="20" customWidth="1"/>
    <col min="33" max="16384" width="11.5703125" style="20"/>
  </cols>
  <sheetData>
    <row r="1" spans="1:32" ht="15" customHeight="1" x14ac:dyDescent="0.2">
      <c r="A1" s="20" t="s">
        <v>52</v>
      </c>
      <c r="B1" s="85" t="str">
        <f ca="1">INDIRECT("'"&amp;$A8&amp;"'!D8") &amp; "-" &amp; INDIRECT("'"&amp;$A8&amp;"'!D9") &amp; " (" &amp; INDIRECT("'"&amp;$A8&amp;"'!L8") &amp;")"</f>
        <v>omitted-omitted (C2)</v>
      </c>
      <c r="AA1" s="86"/>
      <c r="AF1" s="87"/>
    </row>
    <row r="2" spans="1:32" ht="127.9" customHeight="1" x14ac:dyDescent="0.2">
      <c r="A2" s="88" t="s">
        <v>51</v>
      </c>
      <c r="B2" s="88" t="s">
        <v>31</v>
      </c>
      <c r="C2" s="89" t="s">
        <v>6</v>
      </c>
      <c r="D2" s="89" t="s">
        <v>8</v>
      </c>
      <c r="E2" s="89" t="s">
        <v>9</v>
      </c>
      <c r="F2" s="89" t="s">
        <v>10</v>
      </c>
      <c r="G2" s="89" t="s">
        <v>12</v>
      </c>
      <c r="H2" s="89" t="s">
        <v>13</v>
      </c>
      <c r="I2" s="89" t="s">
        <v>14</v>
      </c>
      <c r="J2" s="89" t="s">
        <v>16</v>
      </c>
      <c r="K2" s="89" t="s">
        <v>17</v>
      </c>
      <c r="L2" s="89" t="s">
        <v>18</v>
      </c>
      <c r="M2" s="89" t="s">
        <v>20</v>
      </c>
      <c r="N2" s="89" t="s">
        <v>21</v>
      </c>
      <c r="O2" s="89" t="s">
        <v>22</v>
      </c>
      <c r="P2" s="89" t="s">
        <v>24</v>
      </c>
      <c r="Q2" s="89" t="s">
        <v>25</v>
      </c>
      <c r="R2" s="89" t="s">
        <v>26</v>
      </c>
      <c r="Y2" s="89" t="s">
        <v>27</v>
      </c>
      <c r="Z2" s="89" t="s">
        <v>30</v>
      </c>
      <c r="AA2" s="90" t="s">
        <v>53</v>
      </c>
      <c r="AB2" s="89" t="s">
        <v>34</v>
      </c>
      <c r="AC2" s="89" t="s">
        <v>33</v>
      </c>
      <c r="AD2" s="89" t="s">
        <v>32</v>
      </c>
      <c r="AE2" s="89" t="s">
        <v>39</v>
      </c>
      <c r="AF2" s="89" t="s">
        <v>4</v>
      </c>
    </row>
    <row r="3" spans="1:32" ht="15" customHeight="1" x14ac:dyDescent="0.2">
      <c r="A3" s="182" t="s">
        <v>46</v>
      </c>
      <c r="B3" s="182"/>
      <c r="C3" s="91">
        <f ca="1">IF(COUNTIF(C8:C12,"")&gt;0,SUM(C8:C12),SUM(C8:C12)-MAX(C8:C12)-MIN(C8:C12))</f>
        <v>27</v>
      </c>
      <c r="D3" s="91">
        <f t="shared" ref="D3:Y3" ca="1" si="0">IF(COUNTIF(D8:D12,"")&gt;0,SUM(D8:D12),SUM(D8:D12)-MAX(D8:D12)-MIN(D8:D12))</f>
        <v>24</v>
      </c>
      <c r="E3" s="91">
        <f t="shared" ca="1" si="0"/>
        <v>21</v>
      </c>
      <c r="F3" s="91">
        <f t="shared" ca="1" si="0"/>
        <v>18</v>
      </c>
      <c r="G3" s="91">
        <f t="shared" ca="1" si="0"/>
        <v>15</v>
      </c>
      <c r="H3" s="91">
        <f t="shared" ca="1" si="0"/>
        <v>15</v>
      </c>
      <c r="I3" s="91">
        <f t="shared" ca="1" si="0"/>
        <v>12</v>
      </c>
      <c r="J3" s="91">
        <f t="shared" ca="1" si="0"/>
        <v>9</v>
      </c>
      <c r="K3" s="91">
        <f t="shared" ca="1" si="0"/>
        <v>6</v>
      </c>
      <c r="L3" s="91">
        <f t="shared" ca="1" si="0"/>
        <v>3</v>
      </c>
      <c r="M3" s="91">
        <f t="shared" ca="1" si="0"/>
        <v>7</v>
      </c>
      <c r="N3" s="91">
        <f t="shared" ca="1" si="0"/>
        <v>30</v>
      </c>
      <c r="O3" s="91">
        <f t="shared" ca="1" si="0"/>
        <v>3</v>
      </c>
      <c r="P3" s="91">
        <f t="shared" ca="1" si="0"/>
        <v>25.5</v>
      </c>
      <c r="Q3" s="91">
        <f t="shared" ca="1" si="0"/>
        <v>22.5</v>
      </c>
      <c r="R3" s="91">
        <f t="shared" ca="1" si="0"/>
        <v>21</v>
      </c>
      <c r="Y3" s="91">
        <f t="shared" ca="1" si="0"/>
        <v>0</v>
      </c>
      <c r="Z3" s="92">
        <f ca="1">IF(SUM(AF8:AF12)&gt;0,SUM(C3:Y3)/2,SUM(C3:Y3))</f>
        <v>129.5</v>
      </c>
      <c r="AA3" s="93"/>
      <c r="AB3" s="92">
        <f t="shared" ref="AB3:AF3" ca="1" si="1">IF(COUNTIF(AB8:AB12,"")&gt;0,SUM(AB8:AB12),SUM(AB8:AB12)-MAX(AB8:AB12)-MIN(AB8:AB12))</f>
        <v>57</v>
      </c>
      <c r="AC3" s="92">
        <f t="shared" ca="1" si="1"/>
        <v>25</v>
      </c>
      <c r="AD3" s="92">
        <f t="shared" ca="1" si="1"/>
        <v>19</v>
      </c>
      <c r="AE3" s="91">
        <f t="shared" ca="1" si="1"/>
        <v>0</v>
      </c>
      <c r="AF3" s="92">
        <f t="shared" ca="1" si="1"/>
        <v>3</v>
      </c>
    </row>
    <row r="4" spans="1:32" ht="15" customHeight="1" x14ac:dyDescent="0.2">
      <c r="A4" s="183" t="s">
        <v>54</v>
      </c>
      <c r="B4" s="183"/>
      <c r="C4" s="94">
        <f t="shared" ref="C4:R4" ca="1" si="2">MAX(C8:C12)-MIN(C8:C12)</f>
        <v>0</v>
      </c>
      <c r="D4" s="94">
        <f t="shared" ca="1" si="2"/>
        <v>3</v>
      </c>
      <c r="E4" s="94">
        <f t="shared" ca="1" si="2"/>
        <v>2</v>
      </c>
      <c r="F4" s="94">
        <f t="shared" ca="1" si="2"/>
        <v>0</v>
      </c>
      <c r="G4" s="94">
        <f t="shared" ca="1" si="2"/>
        <v>0</v>
      </c>
      <c r="H4" s="94">
        <f t="shared" ca="1" si="2"/>
        <v>0</v>
      </c>
      <c r="I4" s="94">
        <f t="shared" ca="1" si="2"/>
        <v>0</v>
      </c>
      <c r="J4" s="94">
        <f t="shared" ca="1" si="2"/>
        <v>1</v>
      </c>
      <c r="K4" s="94">
        <f t="shared" ca="1" si="2"/>
        <v>5</v>
      </c>
      <c r="L4" s="94">
        <f t="shared" ca="1" si="2"/>
        <v>0</v>
      </c>
      <c r="M4" s="94">
        <f t="shared" ca="1" si="2"/>
        <v>4</v>
      </c>
      <c r="N4" s="94">
        <f t="shared" ca="1" si="2"/>
        <v>4.5</v>
      </c>
      <c r="O4" s="94">
        <f t="shared" ca="1" si="2"/>
        <v>1.5</v>
      </c>
      <c r="P4" s="94">
        <f t="shared" ca="1" si="2"/>
        <v>0</v>
      </c>
      <c r="Q4" s="94">
        <f t="shared" ca="1" si="2"/>
        <v>0</v>
      </c>
      <c r="R4" s="94">
        <f t="shared" ca="1" si="2"/>
        <v>0</v>
      </c>
      <c r="Y4" s="94">
        <f ca="1">MAX(Y8:Y12)-MIN(Y8:Y12)</f>
        <v>10</v>
      </c>
      <c r="Z4" s="95">
        <f ca="1">MAX(Z8:Z12)-MIN(Z8:Z12)</f>
        <v>48.5</v>
      </c>
      <c r="AA4" s="96"/>
      <c r="AB4" s="95">
        <f ca="1">MAX(AB8:AB12)-MIN(AB8:AB12)</f>
        <v>3</v>
      </c>
      <c r="AC4" s="95">
        <f ca="1">MAX(AC8:AC12)-MIN(AC8:AC12)</f>
        <v>1</v>
      </c>
      <c r="AD4" s="95">
        <f ca="1">MAX(AD8:AD12)-MIN(AD8:AD12)</f>
        <v>1</v>
      </c>
      <c r="AE4" s="94">
        <f ca="1">MAX(AE8:AE12)-MIN(AE8:AE12)</f>
        <v>0</v>
      </c>
      <c r="AF4" s="95">
        <f ca="1">MAX(AF8:AF12)-MIN(AF8:AF12)</f>
        <v>1</v>
      </c>
    </row>
    <row r="5" spans="1:32" ht="15" customHeight="1" x14ac:dyDescent="0.2">
      <c r="A5" s="183" t="s">
        <v>55</v>
      </c>
      <c r="B5" s="183"/>
      <c r="C5" s="94">
        <f ca="1">C3/3</f>
        <v>9</v>
      </c>
      <c r="D5" s="94">
        <f t="shared" ref="D5:AF5" ca="1" si="3">D3/3</f>
        <v>8</v>
      </c>
      <c r="E5" s="94">
        <f t="shared" ca="1" si="3"/>
        <v>7</v>
      </c>
      <c r="F5" s="94">
        <f t="shared" ca="1" si="3"/>
        <v>6</v>
      </c>
      <c r="G5" s="94">
        <f t="shared" ca="1" si="3"/>
        <v>5</v>
      </c>
      <c r="H5" s="94">
        <f t="shared" ca="1" si="3"/>
        <v>5</v>
      </c>
      <c r="I5" s="94">
        <f t="shared" ca="1" si="3"/>
        <v>4</v>
      </c>
      <c r="J5" s="94">
        <f t="shared" ca="1" si="3"/>
        <v>3</v>
      </c>
      <c r="K5" s="94">
        <f t="shared" ca="1" si="3"/>
        <v>2</v>
      </c>
      <c r="L5" s="94">
        <f t="shared" ca="1" si="3"/>
        <v>1</v>
      </c>
      <c r="M5" s="94">
        <f t="shared" ca="1" si="3"/>
        <v>2.3333333333333335</v>
      </c>
      <c r="N5" s="94">
        <f t="shared" ca="1" si="3"/>
        <v>10</v>
      </c>
      <c r="O5" s="94">
        <f t="shared" ca="1" si="3"/>
        <v>1</v>
      </c>
      <c r="P5" s="94">
        <f t="shared" ca="1" si="3"/>
        <v>8.5</v>
      </c>
      <c r="Q5" s="94">
        <f t="shared" ca="1" si="3"/>
        <v>7.5</v>
      </c>
      <c r="R5" s="94">
        <f t="shared" ca="1" si="3"/>
        <v>7</v>
      </c>
      <c r="Y5" s="94">
        <f t="shared" ca="1" si="3"/>
        <v>0</v>
      </c>
      <c r="Z5" s="95">
        <f t="shared" ca="1" si="3"/>
        <v>43.166666666666664</v>
      </c>
      <c r="AA5" s="97"/>
      <c r="AB5" s="95">
        <f t="shared" ca="1" si="3"/>
        <v>19</v>
      </c>
      <c r="AC5" s="95">
        <f t="shared" ca="1" si="3"/>
        <v>8.3333333333333339</v>
      </c>
      <c r="AD5" s="95">
        <f t="shared" ca="1" si="3"/>
        <v>6.333333333333333</v>
      </c>
      <c r="AE5" s="94">
        <f t="shared" ca="1" si="3"/>
        <v>0</v>
      </c>
      <c r="AF5" s="95">
        <f t="shared" ca="1" si="3"/>
        <v>1</v>
      </c>
    </row>
    <row r="6" spans="1:32" ht="15" hidden="1" customHeight="1" x14ac:dyDescent="0.2">
      <c r="A6" s="183" t="s">
        <v>56</v>
      </c>
      <c r="B6" s="183"/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94"/>
      <c r="R6" s="94"/>
      <c r="Y6" s="94"/>
      <c r="Z6" s="98"/>
      <c r="AA6" s="99"/>
      <c r="AB6" s="98"/>
      <c r="AC6" s="98"/>
      <c r="AD6" s="98"/>
      <c r="AE6" s="94"/>
      <c r="AF6" s="98"/>
    </row>
    <row r="7" spans="1:32" ht="15" customHeight="1" x14ac:dyDescent="0.2">
      <c r="A7" s="100" t="s">
        <v>78</v>
      </c>
      <c r="B7" s="100" t="str">
        <f ca="1">IF(A7&lt;&gt;"",INDIRECT("'"&amp;$A7&amp;"'!E5"),"")</f>
        <v>super(CG)</v>
      </c>
      <c r="C7" s="101">
        <f ca="1">IF($A7&lt;&gt;"",INDIRECT("'"&amp;$A7&amp;"'!L13"),"")</f>
        <v>9</v>
      </c>
      <c r="D7" s="101">
        <f ca="1">IF($A7&lt;&gt;"",INDIRECT("'"&amp;$A7&amp;"'!L14"),"")</f>
        <v>8</v>
      </c>
      <c r="E7" s="101">
        <f ca="1">IF($A7&lt;&gt;"",INDIRECT("'"&amp;$A7&amp;"'!L15"),"")</f>
        <v>7</v>
      </c>
      <c r="F7" s="101">
        <f ca="1">IF($A7&lt;&gt;"",INDIRECT("'"&amp;$A7&amp;"'!L16"),"")</f>
        <v>6</v>
      </c>
      <c r="G7" s="101">
        <f ca="1">IF($A7&lt;&gt;"",INDIRECT("'"&amp;$A7&amp;"'!L17"),"")</f>
        <v>5</v>
      </c>
      <c r="H7" s="101">
        <f ca="1">IF($A7&lt;&gt;"",INDIRECT("'"&amp;$A7&amp;"'!L18"),"")</f>
        <v>5</v>
      </c>
      <c r="I7" s="101">
        <f ca="1">IF($A7&lt;&gt;"",INDIRECT("'"&amp;$A7&amp;"'!L19"),"")</f>
        <v>4</v>
      </c>
      <c r="J7" s="101">
        <f ca="1">IF($A7&lt;&gt;"",INDIRECT("'"&amp;$A7&amp;"'!L20"),"")</f>
        <v>3</v>
      </c>
      <c r="K7" s="101">
        <f ca="1">IF($A7&lt;&gt;"",INDIRECT("'"&amp;$A7&amp;"'!L21"),"")</f>
        <v>2</v>
      </c>
      <c r="L7" s="101">
        <f ca="1">IF($A7&lt;&gt;"",INDIRECT("'"&amp;$A7&amp;"'!L22"),"")</f>
        <v>1</v>
      </c>
      <c r="M7" s="101">
        <f ca="1">IF($A7&lt;&gt;"",INDIRECT("'"&amp;$A7&amp;"'!L23"),"")</f>
        <v>1</v>
      </c>
      <c r="N7" s="101">
        <f ca="1">IF($A7&lt;&gt;"",INDIRECT("'"&amp;$A7&amp;"'!L24"),"")</f>
        <v>10</v>
      </c>
      <c r="O7" s="101">
        <f ca="1">IF($A7&lt;&gt;"",INDIRECT("'"&amp;$A7&amp;"'!L25"),"")</f>
        <v>1</v>
      </c>
      <c r="P7" s="101">
        <f ca="1">IF($A7&lt;&gt;"",INDIRECT("'"&amp;$A7&amp;"'!L26"),"")</f>
        <v>8.5</v>
      </c>
      <c r="Q7" s="101">
        <f ca="1">IF($A7&lt;&gt;"",INDIRECT("'"&amp;$A7&amp;"'!L27"),"")</f>
        <v>7.5</v>
      </c>
      <c r="R7" s="101">
        <f ca="1">IF($A7&lt;&gt;"",INDIRECT("'"&amp;$A7&amp;"'!L28"),"")</f>
        <v>7</v>
      </c>
      <c r="Y7" s="101">
        <f ca="1">IF($A7&lt;&gt;"",INDIRECT("'"&amp;$A7&amp;"'!L35"),"")</f>
        <v>0</v>
      </c>
      <c r="Z7" s="102">
        <f ca="1">IF($A7&lt;&gt;"",INDIRECT("'"&amp;$A7&amp;"'!L36"),"")</f>
        <v>43</v>
      </c>
      <c r="AA7" s="103">
        <f t="shared" ref="AA7" ca="1" si="4">IF($A7&lt;&gt;"",SUM(C21:Y21)/COUNT(C7:Y7),"")</f>
        <v>0</v>
      </c>
      <c r="AB7" s="102">
        <f ca="1">IF($A7&lt;&gt;"",INDIRECT("'"&amp;$A7&amp;"'!F36"),"")</f>
        <v>18</v>
      </c>
      <c r="AC7" s="102">
        <f ca="1">IF($A7&lt;&gt;"",INDIRECT("'"&amp;$A7&amp;"'!H36"),"")</f>
        <v>8</v>
      </c>
      <c r="AD7" s="102">
        <f ca="1">IF($A7&lt;&gt;"",INDIRECT("'"&amp;$A7&amp;"'!I36"),"")</f>
        <v>7</v>
      </c>
      <c r="AE7" s="101">
        <f ca="1">IF($A7&lt;&gt;"",INDIRECT("'"&amp;$A7&amp;"'!J36"),"")</f>
        <v>0</v>
      </c>
      <c r="AF7" s="102">
        <f ca="1">IF($A7&lt;&gt;"",INDIRECT("'"&amp;$A7&amp;"'!K36"),"")</f>
        <v>1</v>
      </c>
    </row>
    <row r="8" spans="1:32" ht="15" customHeight="1" x14ac:dyDescent="0.2">
      <c r="A8" s="20" t="s">
        <v>66</v>
      </c>
      <c r="B8" s="20" t="str">
        <f t="shared" ref="B8:B13" ca="1" si="5">IF(A8&lt;&gt;"",INDIRECT("'"&amp;$A8&amp;"'!E5"),"")</f>
        <v>one(CA)</v>
      </c>
      <c r="C8" s="94">
        <f t="shared" ref="C8:C13" ca="1" si="6">IF($A8&lt;&gt;"",INDIRECT("'"&amp;$A8&amp;"'!L13"),"")</f>
        <v>9</v>
      </c>
      <c r="D8" s="94">
        <f t="shared" ref="D8:D13" ca="1" si="7">IF($A8&lt;&gt;"",INDIRECT("'"&amp;$A8&amp;"'!L14"),"")</f>
        <v>8</v>
      </c>
      <c r="E8" s="94">
        <f t="shared" ref="E8:E13" ca="1" si="8">IF($A8&lt;&gt;"",INDIRECT("'"&amp;$A8&amp;"'!L15"),"")</f>
        <v>5</v>
      </c>
      <c r="F8" s="94">
        <f t="shared" ref="F8:F13" ca="1" si="9">IF($A8&lt;&gt;"",INDIRECT("'"&amp;$A8&amp;"'!L16"),"")</f>
        <v>6</v>
      </c>
      <c r="G8" s="94">
        <f t="shared" ref="G8:G13" ca="1" si="10">IF($A8&lt;&gt;"",INDIRECT("'"&amp;$A8&amp;"'!L17"),"")</f>
        <v>5</v>
      </c>
      <c r="H8" s="94">
        <f t="shared" ref="H8:H13" ca="1" si="11">IF($A8&lt;&gt;"",INDIRECT("'"&amp;$A8&amp;"'!L18"),"")</f>
        <v>5</v>
      </c>
      <c r="I8" s="94">
        <f t="shared" ref="I8:I13" ca="1" si="12">IF($A8&lt;&gt;"",INDIRECT("'"&amp;$A8&amp;"'!L19"),"")</f>
        <v>4</v>
      </c>
      <c r="J8" s="94">
        <f t="shared" ref="J8:J13" ca="1" si="13">IF($A8&lt;&gt;"",INDIRECT("'"&amp;$A8&amp;"'!L20"),"")</f>
        <v>3</v>
      </c>
      <c r="K8" s="94">
        <f t="shared" ref="K8:K13" ca="1" si="14">IF($A8&lt;&gt;"",INDIRECT("'"&amp;$A8&amp;"'!L21"),"")</f>
        <v>7</v>
      </c>
      <c r="L8" s="94">
        <f t="shared" ref="L8:L13" ca="1" si="15">IF($A8&lt;&gt;"",INDIRECT("'"&amp;$A8&amp;"'!L22"),"")</f>
        <v>1</v>
      </c>
      <c r="M8" s="94">
        <f t="shared" ref="M8:M13" ca="1" si="16">IF($A8&lt;&gt;"",INDIRECT("'"&amp;$A8&amp;"'!L23"),"")</f>
        <v>1</v>
      </c>
      <c r="N8" s="94">
        <f t="shared" ref="N8:N13" ca="1" si="17">IF($A8&lt;&gt;"",INDIRECT("'"&amp;$A8&amp;"'!L24"),"")</f>
        <v>10</v>
      </c>
      <c r="O8" s="94">
        <f t="shared" ref="O8:O13" ca="1" si="18">IF($A8&lt;&gt;"",INDIRECT("'"&amp;$A8&amp;"'!L25"),"")</f>
        <v>1</v>
      </c>
      <c r="P8" s="94">
        <f t="shared" ref="P8:P13" ca="1" si="19">IF($A8&lt;&gt;"",INDIRECT("'"&amp;$A8&amp;"'!L26"),"")</f>
        <v>8.5</v>
      </c>
      <c r="Q8" s="94">
        <f t="shared" ref="Q8:Q13" ca="1" si="20">IF($A8&lt;&gt;"",INDIRECT("'"&amp;$A8&amp;"'!L27"),"")</f>
        <v>7.5</v>
      </c>
      <c r="R8" s="94">
        <f t="shared" ref="R8:R13" ca="1" si="21">IF($A8&lt;&gt;"",INDIRECT("'"&amp;$A8&amp;"'!L28"),"")</f>
        <v>7</v>
      </c>
      <c r="Y8" s="94">
        <f t="shared" ref="Y8:Y13" ca="1" si="22">IF($A8&lt;&gt;"",INDIRECT("'"&amp;$A8&amp;"'!L35"),"")</f>
        <v>0</v>
      </c>
      <c r="Z8" s="95">
        <f t="shared" ref="Z8:Z13" ca="1" si="23">IF($A8&lt;&gt;"",INDIRECT("'"&amp;$A8&amp;"'!L36"),"")</f>
        <v>44</v>
      </c>
      <c r="AA8" s="104">
        <f t="shared" ref="AA8:AA13" ca="1" si="24">IF($A8&lt;&gt;"",SUM(C22:Y22)/COUNT(C8:Y8),"")</f>
        <v>0.82352941176470584</v>
      </c>
      <c r="AB8" s="95">
        <f t="shared" ref="AB8:AB13" ca="1" si="25">IF($A8&lt;&gt;"",INDIRECT("'"&amp;$A8&amp;"'!F36"),"")</f>
        <v>20</v>
      </c>
      <c r="AC8" s="95">
        <f t="shared" ref="AC8:AC13" ca="1" si="26">IF($A8&lt;&gt;"",INDIRECT("'"&amp;$A8&amp;"'!H36"),"")</f>
        <v>8</v>
      </c>
      <c r="AD8" s="95">
        <f t="shared" ref="AD8:AD13" ca="1" si="27">IF($A8&lt;&gt;"",INDIRECT("'"&amp;$A8&amp;"'!I36"),"")</f>
        <v>6</v>
      </c>
      <c r="AE8" s="94">
        <f t="shared" ref="AE8:AE13" ca="1" si="28">IF($A8&lt;&gt;"",INDIRECT("'"&amp;$A8&amp;"'!J36"),"")</f>
        <v>0</v>
      </c>
      <c r="AF8" s="95">
        <f t="shared" ref="AF8:AF13" ca="1" si="29">IF($A8&lt;&gt;"",INDIRECT("'"&amp;$A8&amp;"'!K36"),"")</f>
        <v>1</v>
      </c>
    </row>
    <row r="9" spans="1:32" ht="15" customHeight="1" x14ac:dyDescent="0.2">
      <c r="A9" s="20" t="s">
        <v>68</v>
      </c>
      <c r="B9" s="20" t="str">
        <f t="shared" ca="1" si="5"/>
        <v>two(CB)</v>
      </c>
      <c r="C9" s="94">
        <f t="shared" ca="1" si="6"/>
        <v>9</v>
      </c>
      <c r="D9" s="94">
        <f t="shared" ca="1" si="7"/>
        <v>8</v>
      </c>
      <c r="E9" s="94">
        <f t="shared" ca="1" si="8"/>
        <v>7</v>
      </c>
      <c r="F9" s="94">
        <f t="shared" ca="1" si="9"/>
        <v>6</v>
      </c>
      <c r="G9" s="94">
        <f t="shared" ca="1" si="10"/>
        <v>5</v>
      </c>
      <c r="H9" s="94">
        <f t="shared" ca="1" si="11"/>
        <v>5</v>
      </c>
      <c r="I9" s="94">
        <f t="shared" ca="1" si="12"/>
        <v>4</v>
      </c>
      <c r="J9" s="94">
        <f t="shared" ca="1" si="13"/>
        <v>4</v>
      </c>
      <c r="K9" s="94">
        <f t="shared" ca="1" si="14"/>
        <v>2</v>
      </c>
      <c r="L9" s="94">
        <f t="shared" ca="1" si="15"/>
        <v>1</v>
      </c>
      <c r="M9" s="94">
        <f t="shared" ca="1" si="16"/>
        <v>5</v>
      </c>
      <c r="N9" s="94">
        <f t="shared" ca="1" si="17"/>
        <v>10</v>
      </c>
      <c r="O9" s="94">
        <f t="shared" ca="1" si="18"/>
        <v>1</v>
      </c>
      <c r="P9" s="94">
        <f t="shared" ca="1" si="19"/>
        <v>8.5</v>
      </c>
      <c r="Q9" s="94">
        <f t="shared" ca="1" si="20"/>
        <v>7.5</v>
      </c>
      <c r="R9" s="94">
        <f t="shared" ca="1" si="21"/>
        <v>7</v>
      </c>
      <c r="Y9" s="94">
        <f t="shared" ca="1" si="22"/>
        <v>0</v>
      </c>
      <c r="Z9" s="95">
        <f t="shared" ca="1" si="23"/>
        <v>45</v>
      </c>
      <c r="AA9" s="105">
        <f t="shared" ca="1" si="24"/>
        <v>0.88235294117647056</v>
      </c>
      <c r="AB9" s="95">
        <f t="shared" ca="1" si="25"/>
        <v>17</v>
      </c>
      <c r="AC9" s="95">
        <f t="shared" ca="1" si="26"/>
        <v>8</v>
      </c>
      <c r="AD9" s="95">
        <f t="shared" ca="1" si="27"/>
        <v>6</v>
      </c>
      <c r="AE9" s="94">
        <f t="shared" ca="1" si="28"/>
        <v>0</v>
      </c>
      <c r="AF9" s="95">
        <f t="shared" ca="1" si="29"/>
        <v>1</v>
      </c>
    </row>
    <row r="10" spans="1:32" ht="15" customHeight="1" x14ac:dyDescent="0.2">
      <c r="A10" s="20" t="s">
        <v>70</v>
      </c>
      <c r="B10" s="20" t="str">
        <f t="shared" ca="1" si="5"/>
        <v>head(CC)</v>
      </c>
      <c r="C10" s="94">
        <f t="shared" ca="1" si="6"/>
        <v>9</v>
      </c>
      <c r="D10" s="94">
        <f t="shared" ca="1" si="7"/>
        <v>8</v>
      </c>
      <c r="E10" s="94">
        <f t="shared" ca="1" si="8"/>
        <v>7</v>
      </c>
      <c r="F10" s="94">
        <f t="shared" ca="1" si="9"/>
        <v>6</v>
      </c>
      <c r="G10" s="94">
        <f t="shared" ca="1" si="10"/>
        <v>5</v>
      </c>
      <c r="H10" s="94">
        <f t="shared" ca="1" si="11"/>
        <v>5</v>
      </c>
      <c r="I10" s="94">
        <f t="shared" ca="1" si="12"/>
        <v>4</v>
      </c>
      <c r="J10" s="94">
        <f t="shared" ca="1" si="13"/>
        <v>3</v>
      </c>
      <c r="K10" s="94">
        <f t="shared" ca="1" si="14"/>
        <v>2</v>
      </c>
      <c r="L10" s="94">
        <f t="shared" ca="1" si="15"/>
        <v>1</v>
      </c>
      <c r="M10" s="94">
        <f t="shared" ca="1" si="16"/>
        <v>5</v>
      </c>
      <c r="N10" s="94">
        <f t="shared" ca="1" si="17"/>
        <v>10</v>
      </c>
      <c r="O10" s="94">
        <f t="shared" ca="1" si="18"/>
        <v>1</v>
      </c>
      <c r="P10" s="94">
        <f t="shared" ca="1" si="19"/>
        <v>8.5</v>
      </c>
      <c r="Q10" s="94">
        <f t="shared" ca="1" si="20"/>
        <v>7.5</v>
      </c>
      <c r="R10" s="94">
        <f t="shared" ca="1" si="21"/>
        <v>7</v>
      </c>
      <c r="Y10" s="94">
        <f t="shared" ca="1" si="22"/>
        <v>0</v>
      </c>
      <c r="Z10" s="95">
        <f t="shared" ca="1" si="23"/>
        <v>45</v>
      </c>
      <c r="AA10" s="105">
        <f t="shared" ca="1" si="24"/>
        <v>0.94117647058823528</v>
      </c>
      <c r="AB10" s="95">
        <f t="shared" ca="1" si="25"/>
        <v>18</v>
      </c>
      <c r="AC10" s="95">
        <f t="shared" ca="1" si="26"/>
        <v>8</v>
      </c>
      <c r="AD10" s="95">
        <f t="shared" ca="1" si="27"/>
        <v>6</v>
      </c>
      <c r="AE10" s="94">
        <f t="shared" ca="1" si="28"/>
        <v>0</v>
      </c>
      <c r="AF10" s="95">
        <f t="shared" ca="1" si="29"/>
        <v>1</v>
      </c>
    </row>
    <row r="11" spans="1:32" ht="15" customHeight="1" x14ac:dyDescent="0.2">
      <c r="A11" s="20" t="s">
        <v>72</v>
      </c>
      <c r="B11" s="20" t="str">
        <f t="shared" ca="1" si="5"/>
        <v>four-out(C3)</v>
      </c>
      <c r="C11" s="94">
        <f t="shared" ca="1" si="6"/>
        <v>9</v>
      </c>
      <c r="D11" s="94">
        <f t="shared" ca="1" si="7"/>
        <v>8</v>
      </c>
      <c r="E11" s="94">
        <f t="shared" ca="1" si="8"/>
        <v>7</v>
      </c>
      <c r="F11" s="94">
        <f t="shared" ca="1" si="9"/>
        <v>6</v>
      </c>
      <c r="G11" s="94">
        <f t="shared" ca="1" si="10"/>
        <v>5</v>
      </c>
      <c r="H11" s="94">
        <f t="shared" ca="1" si="11"/>
        <v>5</v>
      </c>
      <c r="I11" s="94">
        <f t="shared" ca="1" si="12"/>
        <v>4</v>
      </c>
      <c r="J11" s="94">
        <f t="shared" ca="1" si="13"/>
        <v>3</v>
      </c>
      <c r="K11" s="94">
        <f t="shared" ca="1" si="14"/>
        <v>2</v>
      </c>
      <c r="L11" s="94">
        <f t="shared" ca="1" si="15"/>
        <v>1</v>
      </c>
      <c r="M11" s="94">
        <f t="shared" ca="1" si="16"/>
        <v>1</v>
      </c>
      <c r="N11" s="94">
        <f t="shared" ca="1" si="17"/>
        <v>5.5</v>
      </c>
      <c r="O11" s="94">
        <f t="shared" ca="1" si="18"/>
        <v>1</v>
      </c>
      <c r="P11" s="94">
        <f t="shared" ca="1" si="19"/>
        <v>8.5</v>
      </c>
      <c r="Q11" s="94">
        <f t="shared" ca="1" si="20"/>
        <v>7.5</v>
      </c>
      <c r="R11" s="94">
        <f t="shared" ca="1" si="21"/>
        <v>7</v>
      </c>
      <c r="Y11" s="94">
        <f t="shared" ca="1" si="22"/>
        <v>10</v>
      </c>
      <c r="Z11" s="95">
        <f t="shared" ca="1" si="23"/>
        <v>90.5</v>
      </c>
      <c r="AA11" s="105">
        <f t="shared" ca="1" si="24"/>
        <v>0.82352941176470584</v>
      </c>
      <c r="AB11" s="95">
        <f t="shared" ca="1" si="25"/>
        <v>20</v>
      </c>
      <c r="AC11" s="95">
        <f t="shared" ca="1" si="26"/>
        <v>9</v>
      </c>
      <c r="AD11" s="95">
        <f t="shared" ca="1" si="27"/>
        <v>7</v>
      </c>
      <c r="AE11" s="94">
        <f t="shared" ca="1" si="28"/>
        <v>0</v>
      </c>
      <c r="AF11" s="95">
        <f t="shared" ca="1" si="29"/>
        <v>0</v>
      </c>
    </row>
    <row r="12" spans="1:32" ht="15" customHeight="1" thickBot="1" x14ac:dyDescent="0.25">
      <c r="A12" s="20" t="s">
        <v>74</v>
      </c>
      <c r="B12" s="106" t="str">
        <f t="shared" ca="1" si="5"/>
        <v>five(CE)</v>
      </c>
      <c r="C12" s="107">
        <f t="shared" ca="1" si="6"/>
        <v>9</v>
      </c>
      <c r="D12" s="107">
        <f t="shared" ca="1" si="7"/>
        <v>5</v>
      </c>
      <c r="E12" s="107">
        <f t="shared" ca="1" si="8"/>
        <v>7</v>
      </c>
      <c r="F12" s="107">
        <f t="shared" ca="1" si="9"/>
        <v>6</v>
      </c>
      <c r="G12" s="107">
        <f t="shared" ca="1" si="10"/>
        <v>5</v>
      </c>
      <c r="H12" s="107">
        <f t="shared" ca="1" si="11"/>
        <v>5</v>
      </c>
      <c r="I12" s="107">
        <f t="shared" ca="1" si="12"/>
        <v>4</v>
      </c>
      <c r="J12" s="107">
        <f t="shared" ca="1" si="13"/>
        <v>3</v>
      </c>
      <c r="K12" s="107">
        <f t="shared" ca="1" si="14"/>
        <v>2</v>
      </c>
      <c r="L12" s="107">
        <f t="shared" ca="1" si="15"/>
        <v>1</v>
      </c>
      <c r="M12" s="107">
        <f t="shared" ca="1" si="16"/>
        <v>1</v>
      </c>
      <c r="N12" s="107">
        <f t="shared" ca="1" si="17"/>
        <v>10</v>
      </c>
      <c r="O12" s="107">
        <f t="shared" ca="1" si="18"/>
        <v>2.5</v>
      </c>
      <c r="P12" s="107">
        <f t="shared" ca="1" si="19"/>
        <v>8.5</v>
      </c>
      <c r="Q12" s="107">
        <f t="shared" ca="1" si="20"/>
        <v>7.5</v>
      </c>
      <c r="R12" s="107">
        <f t="shared" ca="1" si="21"/>
        <v>7</v>
      </c>
      <c r="Y12" s="107">
        <f t="shared" ca="1" si="22"/>
        <v>0</v>
      </c>
      <c r="Z12" s="108">
        <f t="shared" ca="1" si="23"/>
        <v>42</v>
      </c>
      <c r="AA12" s="105">
        <f t="shared" ca="1" si="24"/>
        <v>0.82352941176470584</v>
      </c>
      <c r="AB12" s="108">
        <f t="shared" ca="1" si="25"/>
        <v>19</v>
      </c>
      <c r="AC12" s="108">
        <f t="shared" ca="1" si="26"/>
        <v>9</v>
      </c>
      <c r="AD12" s="108">
        <f t="shared" ca="1" si="27"/>
        <v>7</v>
      </c>
      <c r="AE12" s="107">
        <f t="shared" ca="1" si="28"/>
        <v>0</v>
      </c>
      <c r="AF12" s="108">
        <f t="shared" ca="1" si="29"/>
        <v>1</v>
      </c>
    </row>
    <row r="13" spans="1:32" ht="15" customHeight="1" thickBot="1" x14ac:dyDescent="0.25">
      <c r="A13" s="109" t="s">
        <v>76</v>
      </c>
      <c r="B13" s="109" t="str">
        <f t="shared" ca="1" si="5"/>
        <v>springer(CF)</v>
      </c>
      <c r="C13" s="110">
        <f t="shared" ca="1" si="6"/>
        <v>9</v>
      </c>
      <c r="D13" s="110">
        <f t="shared" ca="1" si="7"/>
        <v>8</v>
      </c>
      <c r="E13" s="110">
        <f t="shared" ca="1" si="8"/>
        <v>7</v>
      </c>
      <c r="F13" s="110">
        <f t="shared" ca="1" si="9"/>
        <v>6</v>
      </c>
      <c r="G13" s="110">
        <f t="shared" ca="1" si="10"/>
        <v>5</v>
      </c>
      <c r="H13" s="110">
        <f t="shared" ca="1" si="11"/>
        <v>2</v>
      </c>
      <c r="I13" s="110">
        <f t="shared" ca="1" si="12"/>
        <v>4</v>
      </c>
      <c r="J13" s="110">
        <f t="shared" ca="1" si="13"/>
        <v>3</v>
      </c>
      <c r="K13" s="110">
        <f t="shared" ca="1" si="14"/>
        <v>2</v>
      </c>
      <c r="L13" s="110">
        <f t="shared" ca="1" si="15"/>
        <v>1</v>
      </c>
      <c r="M13" s="110">
        <f t="shared" ca="1" si="16"/>
        <v>3</v>
      </c>
      <c r="N13" s="110">
        <f t="shared" ca="1" si="17"/>
        <v>7.5</v>
      </c>
      <c r="O13" s="110">
        <f t="shared" ca="1" si="18"/>
        <v>1</v>
      </c>
      <c r="P13" s="110">
        <f t="shared" ca="1" si="19"/>
        <v>8.5</v>
      </c>
      <c r="Q13" s="110">
        <f t="shared" ca="1" si="20"/>
        <v>7.5</v>
      </c>
      <c r="R13" s="110">
        <f t="shared" ca="1" si="21"/>
        <v>7</v>
      </c>
      <c r="Y13" s="110">
        <f t="shared" ca="1" si="22"/>
        <v>0</v>
      </c>
      <c r="Z13" s="111">
        <f t="shared" ca="1" si="23"/>
        <v>41</v>
      </c>
      <c r="AA13" s="112">
        <f t="shared" ca="1" si="24"/>
        <v>0.88235294117647056</v>
      </c>
      <c r="AB13" s="111">
        <f t="shared" ca="1" si="25"/>
        <v>19</v>
      </c>
      <c r="AC13" s="111">
        <f t="shared" ca="1" si="26"/>
        <v>10</v>
      </c>
      <c r="AD13" s="111">
        <f t="shared" ca="1" si="27"/>
        <v>7</v>
      </c>
      <c r="AE13" s="110">
        <f t="shared" ca="1" si="28"/>
        <v>0</v>
      </c>
      <c r="AF13" s="111">
        <f t="shared" ca="1" si="29"/>
        <v>1</v>
      </c>
    </row>
    <row r="14" spans="1:32" ht="15" customHeight="1" x14ac:dyDescent="0.2">
      <c r="A14" s="113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Y14" s="114"/>
      <c r="Z14" s="115"/>
      <c r="AA14" s="116"/>
      <c r="AB14" s="117"/>
      <c r="AC14" s="117"/>
      <c r="AD14" s="117"/>
      <c r="AE14" s="114"/>
      <c r="AF14" s="117"/>
    </row>
    <row r="15" spans="1:32" ht="15" customHeight="1" x14ac:dyDescent="0.2">
      <c r="A15" s="113" t="s">
        <v>80</v>
      </c>
      <c r="B15" s="113" t="str">
        <f t="shared" ref="B15:B16" ca="1" si="30">IF(A15&lt;&gt;"",INDIRECT("'"&amp;$A15&amp;"'!E5"),"")</f>
        <v>trainee1(CH)</v>
      </c>
      <c r="C15" s="114">
        <f t="shared" ref="C15:C16" ca="1" si="31">IF($A15&lt;&gt;"",INDIRECT("'"&amp;$A15&amp;"'!L13"),"")</f>
        <v>9</v>
      </c>
      <c r="D15" s="114">
        <f t="shared" ref="D15:D16" ca="1" si="32">IF($A15&lt;&gt;"",INDIRECT("'"&amp;$A15&amp;"'!L14"),"")</f>
        <v>8</v>
      </c>
      <c r="E15" s="114">
        <f t="shared" ref="E15:E16" ca="1" si="33">IF($A15&lt;&gt;"",INDIRECT("'"&amp;$A15&amp;"'!L15"),"")</f>
        <v>7</v>
      </c>
      <c r="F15" s="114">
        <f t="shared" ref="F15:F16" ca="1" si="34">IF($A15&lt;&gt;"",INDIRECT("'"&amp;$A15&amp;"'!L16"),"")</f>
        <v>6</v>
      </c>
      <c r="G15" s="114">
        <f t="shared" ref="G15:G16" ca="1" si="35">IF($A15&lt;&gt;"",INDIRECT("'"&amp;$A15&amp;"'!L17"),"")</f>
        <v>5</v>
      </c>
      <c r="H15" s="114">
        <f t="shared" ref="H15:H16" ca="1" si="36">IF($A15&lt;&gt;"",INDIRECT("'"&amp;$A15&amp;"'!L18"),"")</f>
        <v>5</v>
      </c>
      <c r="I15" s="114">
        <f t="shared" ref="I15:I16" ca="1" si="37">IF($A15&lt;&gt;"",INDIRECT("'"&amp;$A15&amp;"'!L19"),"")</f>
        <v>4</v>
      </c>
      <c r="J15" s="114">
        <f t="shared" ref="J15:J16" ca="1" si="38">IF($A15&lt;&gt;"",INDIRECT("'"&amp;$A15&amp;"'!L20"),"")</f>
        <v>3</v>
      </c>
      <c r="K15" s="114">
        <f t="shared" ref="K15:K16" ca="1" si="39">IF($A15&lt;&gt;"",INDIRECT("'"&amp;$A15&amp;"'!L21"),"")</f>
        <v>2</v>
      </c>
      <c r="L15" s="114">
        <f t="shared" ref="L15:L16" ca="1" si="40">IF($A15&lt;&gt;"",INDIRECT("'"&amp;$A15&amp;"'!L22"),"")</f>
        <v>1</v>
      </c>
      <c r="M15" s="114">
        <f t="shared" ref="M15:M16" ca="1" si="41">IF($A15&lt;&gt;"",INDIRECT("'"&amp;$A15&amp;"'!L23"),"")</f>
        <v>1</v>
      </c>
      <c r="N15" s="114">
        <f t="shared" ref="N15:N16" ca="1" si="42">IF($A15&lt;&gt;"",INDIRECT("'"&amp;$A15&amp;"'!L24"),"")</f>
        <v>10</v>
      </c>
      <c r="O15" s="114">
        <f t="shared" ref="O15:O16" ca="1" si="43">IF($A15&lt;&gt;"",INDIRECT("'"&amp;$A15&amp;"'!L25"),"")</f>
        <v>1</v>
      </c>
      <c r="P15" s="114">
        <f t="shared" ref="P15:P16" ca="1" si="44">IF($A15&lt;&gt;"",INDIRECT("'"&amp;$A15&amp;"'!L26"),"")</f>
        <v>8.5</v>
      </c>
      <c r="Q15" s="114">
        <f t="shared" ref="Q15:Q16" ca="1" si="45">IF($A15&lt;&gt;"",INDIRECT("'"&amp;$A15&amp;"'!L27"),"")</f>
        <v>7.5</v>
      </c>
      <c r="R15" s="114">
        <f t="shared" ref="R15:R16" ca="1" si="46">IF($A15&lt;&gt;"",INDIRECT("'"&amp;$A15&amp;"'!L28"),"")</f>
        <v>7</v>
      </c>
      <c r="Y15" s="114">
        <f t="shared" ref="Y15:Y16" ca="1" si="47">IF($A15&lt;&gt;"",INDIRECT("'"&amp;$A15&amp;"'!L35"),"")</f>
        <v>0</v>
      </c>
      <c r="Z15" s="117">
        <f t="shared" ref="Z15:Z16" ca="1" si="48">IF($A15&lt;&gt;"",INDIRECT("'"&amp;$A15&amp;"'!L36"),"")</f>
        <v>43</v>
      </c>
      <c r="AA15" s="118">
        <f t="shared" ref="AA15:AA16" ca="1" si="49">IF($A15&lt;&gt;"",SUM(C29:Y29)/COUNT(C15:Y15),"")</f>
        <v>0.94117647058823528</v>
      </c>
      <c r="AB15" s="117">
        <f t="shared" ref="AB15:AB16" ca="1" si="50">IF($A15&lt;&gt;"",INDIRECT("'"&amp;$A15&amp;"'!F36"),"")</f>
        <v>18</v>
      </c>
      <c r="AC15" s="117">
        <f t="shared" ref="AC15:AC16" ca="1" si="51">IF($A15&lt;&gt;"",INDIRECT("'"&amp;$A15&amp;"'!H36"),"")</f>
        <v>8</v>
      </c>
      <c r="AD15" s="117">
        <f t="shared" ref="AD15:AD16" ca="1" si="52">IF($A15&lt;&gt;"",INDIRECT("'"&amp;$A15&amp;"'!I36"),"")</f>
        <v>7</v>
      </c>
      <c r="AE15" s="114">
        <f t="shared" ref="AE15:AE16" ca="1" si="53">IF($A15&lt;&gt;"",INDIRECT("'"&amp;$A15&amp;"'!J36"),"")</f>
        <v>0</v>
      </c>
      <c r="AF15" s="117">
        <f t="shared" ref="AF15:AF16" ca="1" si="54">IF($A15&lt;&gt;"",INDIRECT("'"&amp;$A15&amp;"'!K36"),"")</f>
        <v>1</v>
      </c>
    </row>
    <row r="16" spans="1:32" ht="15" customHeight="1" x14ac:dyDescent="0.2">
      <c r="A16" s="113"/>
      <c r="B16" s="113" t="str">
        <f t="shared" ca="1" si="30"/>
        <v/>
      </c>
      <c r="C16" s="114" t="str">
        <f t="shared" ca="1" si="31"/>
        <v/>
      </c>
      <c r="D16" s="114" t="str">
        <f t="shared" ca="1" si="32"/>
        <v/>
      </c>
      <c r="E16" s="114" t="str">
        <f t="shared" ca="1" si="33"/>
        <v/>
      </c>
      <c r="F16" s="114" t="str">
        <f t="shared" ca="1" si="34"/>
        <v/>
      </c>
      <c r="G16" s="114" t="str">
        <f t="shared" ca="1" si="35"/>
        <v/>
      </c>
      <c r="H16" s="114" t="str">
        <f t="shared" ca="1" si="36"/>
        <v/>
      </c>
      <c r="I16" s="114" t="str">
        <f t="shared" ca="1" si="37"/>
        <v/>
      </c>
      <c r="J16" s="114" t="str">
        <f t="shared" ca="1" si="38"/>
        <v/>
      </c>
      <c r="K16" s="114" t="str">
        <f t="shared" ca="1" si="39"/>
        <v/>
      </c>
      <c r="L16" s="114" t="str">
        <f t="shared" ca="1" si="40"/>
        <v/>
      </c>
      <c r="M16" s="114" t="str">
        <f t="shared" ca="1" si="41"/>
        <v/>
      </c>
      <c r="N16" s="114" t="str">
        <f t="shared" ca="1" si="42"/>
        <v/>
      </c>
      <c r="O16" s="114" t="str">
        <f t="shared" ca="1" si="43"/>
        <v/>
      </c>
      <c r="P16" s="114" t="str">
        <f t="shared" ca="1" si="44"/>
        <v/>
      </c>
      <c r="Q16" s="114" t="str">
        <f t="shared" ca="1" si="45"/>
        <v/>
      </c>
      <c r="R16" s="114" t="str">
        <f t="shared" ca="1" si="46"/>
        <v/>
      </c>
      <c r="Y16" s="114" t="str">
        <f t="shared" ca="1" si="47"/>
        <v/>
      </c>
      <c r="Z16" s="117" t="str">
        <f t="shared" ca="1" si="48"/>
        <v/>
      </c>
      <c r="AA16" s="118" t="str">
        <f t="shared" si="49"/>
        <v/>
      </c>
      <c r="AB16" s="117" t="str">
        <f t="shared" ca="1" si="50"/>
        <v/>
      </c>
      <c r="AC16" s="117" t="str">
        <f t="shared" ca="1" si="51"/>
        <v/>
      </c>
      <c r="AD16" s="117" t="str">
        <f t="shared" ca="1" si="52"/>
        <v/>
      </c>
      <c r="AE16" s="114" t="str">
        <f t="shared" ca="1" si="53"/>
        <v/>
      </c>
      <c r="AF16" s="117" t="str">
        <f t="shared" ca="1" si="54"/>
        <v/>
      </c>
    </row>
    <row r="17" spans="1:32" ht="15" customHeight="1" x14ac:dyDescent="0.2">
      <c r="AF17" s="119"/>
    </row>
    <row r="18" spans="1:32" ht="15" customHeight="1" x14ac:dyDescent="0.2">
      <c r="AF18" s="120"/>
    </row>
    <row r="21" spans="1:32" ht="15" hidden="1" customHeight="1" x14ac:dyDescent="0.2">
      <c r="A21" s="20" t="s">
        <v>37</v>
      </c>
    </row>
    <row r="22" spans="1:32" ht="15" hidden="1" customHeight="1" x14ac:dyDescent="0.2">
      <c r="A22" s="20" t="str">
        <f t="shared" ref="A22:B27" si="55">A8</f>
        <v>Wertung 1</v>
      </c>
      <c r="B22" s="20" t="str">
        <f t="shared" ca="1" si="55"/>
        <v>one(CA)</v>
      </c>
      <c r="C22" s="20">
        <f t="shared" ref="C22:Y22" ca="1" si="56">IF($A8&lt;&gt;"",IF(ABS(C$3/3-C8)&lt;=0.75,1,0),"")</f>
        <v>1</v>
      </c>
      <c r="D22" s="20">
        <f t="shared" ca="1" si="56"/>
        <v>1</v>
      </c>
      <c r="E22" s="20">
        <f t="shared" ca="1" si="56"/>
        <v>0</v>
      </c>
      <c r="F22" s="20">
        <f t="shared" ca="1" si="56"/>
        <v>1</v>
      </c>
      <c r="G22" s="20">
        <f t="shared" ca="1" si="56"/>
        <v>1</v>
      </c>
      <c r="H22" s="20">
        <f t="shared" ca="1" si="56"/>
        <v>1</v>
      </c>
      <c r="I22" s="20">
        <f t="shared" ca="1" si="56"/>
        <v>1</v>
      </c>
      <c r="J22" s="20">
        <f t="shared" ca="1" si="56"/>
        <v>1</v>
      </c>
      <c r="K22" s="20">
        <f t="shared" ca="1" si="56"/>
        <v>0</v>
      </c>
      <c r="L22" s="20">
        <f t="shared" ca="1" si="56"/>
        <v>1</v>
      </c>
      <c r="M22" s="20">
        <f t="shared" ca="1" si="56"/>
        <v>0</v>
      </c>
      <c r="N22" s="20">
        <f t="shared" ca="1" si="56"/>
        <v>1</v>
      </c>
      <c r="O22" s="20">
        <f t="shared" ca="1" si="56"/>
        <v>1</v>
      </c>
      <c r="P22" s="20">
        <f t="shared" ca="1" si="56"/>
        <v>1</v>
      </c>
      <c r="Q22" s="20">
        <f t="shared" ca="1" si="56"/>
        <v>1</v>
      </c>
      <c r="R22" s="20">
        <f t="shared" ca="1" si="56"/>
        <v>1</v>
      </c>
      <c r="Y22" s="20">
        <f t="shared" ca="1" si="56"/>
        <v>1</v>
      </c>
    </row>
    <row r="23" spans="1:32" ht="15" hidden="1" customHeight="1" x14ac:dyDescent="0.2">
      <c r="A23" s="20" t="str">
        <f t="shared" si="55"/>
        <v>Wertung 2</v>
      </c>
      <c r="B23" s="20" t="str">
        <f t="shared" ca="1" si="55"/>
        <v>two(CB)</v>
      </c>
      <c r="C23" s="20">
        <f t="shared" ref="C23:Y23" ca="1" si="57">IF($A9&lt;&gt;"",IF(ABS(C$3/3-C9)&lt;=0.75,1,0),"")</f>
        <v>1</v>
      </c>
      <c r="D23" s="20">
        <f t="shared" ca="1" si="57"/>
        <v>1</v>
      </c>
      <c r="E23" s="20">
        <f t="shared" ca="1" si="57"/>
        <v>1</v>
      </c>
      <c r="F23" s="20">
        <f t="shared" ca="1" si="57"/>
        <v>1</v>
      </c>
      <c r="G23" s="20">
        <f t="shared" ca="1" si="57"/>
        <v>1</v>
      </c>
      <c r="H23" s="20">
        <f t="shared" ca="1" si="57"/>
        <v>1</v>
      </c>
      <c r="I23" s="20">
        <f t="shared" ca="1" si="57"/>
        <v>1</v>
      </c>
      <c r="J23" s="20">
        <f t="shared" ca="1" si="57"/>
        <v>0</v>
      </c>
      <c r="K23" s="20">
        <f t="shared" ca="1" si="57"/>
        <v>1</v>
      </c>
      <c r="L23" s="20">
        <f t="shared" ca="1" si="57"/>
        <v>1</v>
      </c>
      <c r="M23" s="20">
        <f t="shared" ca="1" si="57"/>
        <v>0</v>
      </c>
      <c r="N23" s="20">
        <f t="shared" ca="1" si="57"/>
        <v>1</v>
      </c>
      <c r="O23" s="20">
        <f t="shared" ca="1" si="57"/>
        <v>1</v>
      </c>
      <c r="P23" s="20">
        <f t="shared" ca="1" si="57"/>
        <v>1</v>
      </c>
      <c r="Q23" s="20">
        <f t="shared" ca="1" si="57"/>
        <v>1</v>
      </c>
      <c r="R23" s="20">
        <f t="shared" ca="1" si="57"/>
        <v>1</v>
      </c>
      <c r="Y23" s="20">
        <f t="shared" ca="1" si="57"/>
        <v>1</v>
      </c>
    </row>
    <row r="24" spans="1:32" ht="15" hidden="1" customHeight="1" x14ac:dyDescent="0.2">
      <c r="A24" s="20" t="str">
        <f t="shared" si="55"/>
        <v>Wertung 3 (H)</v>
      </c>
      <c r="B24" s="20" t="str">
        <f t="shared" ca="1" si="55"/>
        <v>head(CC)</v>
      </c>
      <c r="C24" s="20">
        <f t="shared" ref="C24:Y24" ca="1" si="58">IF($A10&lt;&gt;"",IF(ABS(C$3/3-C10)&lt;=0.75,1,0),"")</f>
        <v>1</v>
      </c>
      <c r="D24" s="20">
        <f t="shared" ca="1" si="58"/>
        <v>1</v>
      </c>
      <c r="E24" s="20">
        <f t="shared" ca="1" si="58"/>
        <v>1</v>
      </c>
      <c r="F24" s="20">
        <f t="shared" ca="1" si="58"/>
        <v>1</v>
      </c>
      <c r="G24" s="20">
        <f t="shared" ca="1" si="58"/>
        <v>1</v>
      </c>
      <c r="H24" s="20">
        <f t="shared" ca="1" si="58"/>
        <v>1</v>
      </c>
      <c r="I24" s="20">
        <f t="shared" ca="1" si="58"/>
        <v>1</v>
      </c>
      <c r="J24" s="20">
        <f t="shared" ca="1" si="58"/>
        <v>1</v>
      </c>
      <c r="K24" s="20">
        <f t="shared" ca="1" si="58"/>
        <v>1</v>
      </c>
      <c r="L24" s="20">
        <f t="shared" ca="1" si="58"/>
        <v>1</v>
      </c>
      <c r="M24" s="20">
        <f t="shared" ca="1" si="58"/>
        <v>0</v>
      </c>
      <c r="N24" s="20">
        <f t="shared" ca="1" si="58"/>
        <v>1</v>
      </c>
      <c r="O24" s="20">
        <f t="shared" ca="1" si="58"/>
        <v>1</v>
      </c>
      <c r="P24" s="20">
        <f t="shared" ca="1" si="58"/>
        <v>1</v>
      </c>
      <c r="Q24" s="20">
        <f t="shared" ca="1" si="58"/>
        <v>1</v>
      </c>
      <c r="R24" s="20">
        <f t="shared" ca="1" si="58"/>
        <v>1</v>
      </c>
      <c r="Y24" s="20">
        <f t="shared" ca="1" si="58"/>
        <v>1</v>
      </c>
    </row>
    <row r="25" spans="1:32" ht="15" hidden="1" customHeight="1" x14ac:dyDescent="0.2">
      <c r="A25" s="20" t="str">
        <f t="shared" si="55"/>
        <v>Wertung 4</v>
      </c>
      <c r="B25" s="20" t="str">
        <f t="shared" ca="1" si="55"/>
        <v>four-out(C3)</v>
      </c>
      <c r="C25" s="20">
        <f t="shared" ref="C25:Y25" ca="1" si="59">IF($A11&lt;&gt;"",IF(ABS(C$3/3-C11)&lt;=0.75,1,0),"")</f>
        <v>1</v>
      </c>
      <c r="D25" s="20">
        <f t="shared" ca="1" si="59"/>
        <v>1</v>
      </c>
      <c r="E25" s="20">
        <f t="shared" ca="1" si="59"/>
        <v>1</v>
      </c>
      <c r="F25" s="20">
        <f t="shared" ca="1" si="59"/>
        <v>1</v>
      </c>
      <c r="G25" s="20">
        <f t="shared" ca="1" si="59"/>
        <v>1</v>
      </c>
      <c r="H25" s="20">
        <f t="shared" ca="1" si="59"/>
        <v>1</v>
      </c>
      <c r="I25" s="20">
        <f t="shared" ca="1" si="59"/>
        <v>1</v>
      </c>
      <c r="J25" s="20">
        <f t="shared" ca="1" si="59"/>
        <v>1</v>
      </c>
      <c r="K25" s="20">
        <f t="shared" ca="1" si="59"/>
        <v>1</v>
      </c>
      <c r="L25" s="20">
        <f t="shared" ca="1" si="59"/>
        <v>1</v>
      </c>
      <c r="M25" s="20">
        <f t="shared" ca="1" si="59"/>
        <v>0</v>
      </c>
      <c r="N25" s="20">
        <f t="shared" ca="1" si="59"/>
        <v>0</v>
      </c>
      <c r="O25" s="20">
        <f t="shared" ca="1" si="59"/>
        <v>1</v>
      </c>
      <c r="P25" s="20">
        <f t="shared" ca="1" si="59"/>
        <v>1</v>
      </c>
      <c r="Q25" s="20">
        <f t="shared" ca="1" si="59"/>
        <v>1</v>
      </c>
      <c r="R25" s="20">
        <f t="shared" ca="1" si="59"/>
        <v>1</v>
      </c>
      <c r="Y25" s="20">
        <f t="shared" ca="1" si="59"/>
        <v>0</v>
      </c>
    </row>
    <row r="26" spans="1:32" ht="15" hidden="1" customHeight="1" x14ac:dyDescent="0.2">
      <c r="A26" s="20" t="str">
        <f t="shared" si="55"/>
        <v>Wertung 5</v>
      </c>
      <c r="B26" s="20" t="str">
        <f t="shared" ca="1" si="55"/>
        <v>five(CE)</v>
      </c>
      <c r="C26" s="20">
        <f t="shared" ref="C26:Y26" ca="1" si="60">IF($A12&lt;&gt;"",IF(ABS(C$3/3-C12)&lt;=0.75,1,0),"")</f>
        <v>1</v>
      </c>
      <c r="D26" s="20">
        <f t="shared" ca="1" si="60"/>
        <v>0</v>
      </c>
      <c r="E26" s="20">
        <f t="shared" ca="1" si="60"/>
        <v>1</v>
      </c>
      <c r="F26" s="20">
        <f t="shared" ca="1" si="60"/>
        <v>1</v>
      </c>
      <c r="G26" s="20">
        <f t="shared" ca="1" si="60"/>
        <v>1</v>
      </c>
      <c r="H26" s="20">
        <f t="shared" ca="1" si="60"/>
        <v>1</v>
      </c>
      <c r="I26" s="20">
        <f t="shared" ca="1" si="60"/>
        <v>1</v>
      </c>
      <c r="J26" s="20">
        <f t="shared" ca="1" si="60"/>
        <v>1</v>
      </c>
      <c r="K26" s="20">
        <f t="shared" ca="1" si="60"/>
        <v>1</v>
      </c>
      <c r="L26" s="20">
        <f t="shared" ca="1" si="60"/>
        <v>1</v>
      </c>
      <c r="M26" s="20">
        <f t="shared" ca="1" si="60"/>
        <v>0</v>
      </c>
      <c r="N26" s="20">
        <f t="shared" ca="1" si="60"/>
        <v>1</v>
      </c>
      <c r="O26" s="20">
        <f t="shared" ca="1" si="60"/>
        <v>0</v>
      </c>
      <c r="P26" s="20">
        <f t="shared" ca="1" si="60"/>
        <v>1</v>
      </c>
      <c r="Q26" s="20">
        <f t="shared" ca="1" si="60"/>
        <v>1</v>
      </c>
      <c r="R26" s="20">
        <f t="shared" ca="1" si="60"/>
        <v>1</v>
      </c>
      <c r="Y26" s="20">
        <f t="shared" ca="1" si="60"/>
        <v>1</v>
      </c>
    </row>
    <row r="27" spans="1:32" ht="15" hidden="1" customHeight="1" x14ac:dyDescent="0.2">
      <c r="A27" s="20" t="str">
        <f t="shared" si="55"/>
        <v>Springer</v>
      </c>
      <c r="B27" s="20" t="str">
        <f t="shared" ca="1" si="55"/>
        <v>springer(CF)</v>
      </c>
      <c r="C27" s="20">
        <f t="shared" ref="C27:Y27" ca="1" si="61">IF($A13&lt;&gt;"",IF(ABS(C$3/3-C13)&lt;=0.75,1,0),"")</f>
        <v>1</v>
      </c>
      <c r="D27" s="20">
        <f t="shared" ca="1" si="61"/>
        <v>1</v>
      </c>
      <c r="E27" s="20">
        <f t="shared" ca="1" si="61"/>
        <v>1</v>
      </c>
      <c r="F27" s="20">
        <f t="shared" ca="1" si="61"/>
        <v>1</v>
      </c>
      <c r="G27" s="20">
        <f t="shared" ca="1" si="61"/>
        <v>1</v>
      </c>
      <c r="H27" s="20">
        <f t="shared" ca="1" si="61"/>
        <v>0</v>
      </c>
      <c r="I27" s="20">
        <f t="shared" ca="1" si="61"/>
        <v>1</v>
      </c>
      <c r="J27" s="20">
        <f t="shared" ca="1" si="61"/>
        <v>1</v>
      </c>
      <c r="K27" s="20">
        <f t="shared" ca="1" si="61"/>
        <v>1</v>
      </c>
      <c r="L27" s="20">
        <f t="shared" ca="1" si="61"/>
        <v>1</v>
      </c>
      <c r="M27" s="20">
        <f t="shared" ca="1" si="61"/>
        <v>1</v>
      </c>
      <c r="N27" s="20">
        <f t="shared" ca="1" si="61"/>
        <v>0</v>
      </c>
      <c r="O27" s="20">
        <f t="shared" ca="1" si="61"/>
        <v>1</v>
      </c>
      <c r="P27" s="20">
        <f t="shared" ca="1" si="61"/>
        <v>1</v>
      </c>
      <c r="Q27" s="20">
        <f t="shared" ca="1" si="61"/>
        <v>1</v>
      </c>
      <c r="R27" s="20">
        <f t="shared" ca="1" si="61"/>
        <v>1</v>
      </c>
      <c r="Y27" s="20">
        <f t="shared" ca="1" si="61"/>
        <v>1</v>
      </c>
    </row>
    <row r="28" spans="1:32" ht="15" hidden="1" customHeight="1" x14ac:dyDescent="0.2"/>
    <row r="29" spans="1:32" ht="15" hidden="1" customHeight="1" x14ac:dyDescent="0.2">
      <c r="A29" s="20" t="str">
        <f>A15</f>
        <v>Hospitant 1</v>
      </c>
      <c r="B29" s="20" t="str">
        <f ca="1">B15</f>
        <v>trainee1(CH)</v>
      </c>
      <c r="C29" s="20">
        <f t="shared" ref="C29:Y29" ca="1" si="62">IF($A15&lt;&gt;"",IF(ABS(C$3/3-C15)&lt;=0.75,1,0),"")</f>
        <v>1</v>
      </c>
      <c r="D29" s="20">
        <f t="shared" ca="1" si="62"/>
        <v>1</v>
      </c>
      <c r="E29" s="20">
        <f t="shared" ca="1" si="62"/>
        <v>1</v>
      </c>
      <c r="F29" s="20">
        <f t="shared" ca="1" si="62"/>
        <v>1</v>
      </c>
      <c r="G29" s="20">
        <f t="shared" ca="1" si="62"/>
        <v>1</v>
      </c>
      <c r="H29" s="20">
        <f t="shared" ca="1" si="62"/>
        <v>1</v>
      </c>
      <c r="I29" s="20">
        <f t="shared" ca="1" si="62"/>
        <v>1</v>
      </c>
      <c r="J29" s="20">
        <f t="shared" ca="1" si="62"/>
        <v>1</v>
      </c>
      <c r="K29" s="20">
        <f t="shared" ca="1" si="62"/>
        <v>1</v>
      </c>
      <c r="L29" s="20">
        <f t="shared" ca="1" si="62"/>
        <v>1</v>
      </c>
      <c r="M29" s="20">
        <f t="shared" ca="1" si="62"/>
        <v>0</v>
      </c>
      <c r="N29" s="20">
        <f t="shared" ca="1" si="62"/>
        <v>1</v>
      </c>
      <c r="O29" s="20">
        <f t="shared" ca="1" si="62"/>
        <v>1</v>
      </c>
      <c r="P29" s="20">
        <f t="shared" ca="1" si="62"/>
        <v>1</v>
      </c>
      <c r="Q29" s="20">
        <f t="shared" ca="1" si="62"/>
        <v>1</v>
      </c>
      <c r="R29" s="20">
        <f t="shared" ca="1" si="62"/>
        <v>1</v>
      </c>
      <c r="Y29" s="20">
        <f t="shared" ca="1" si="62"/>
        <v>1</v>
      </c>
    </row>
    <row r="30" spans="1:32" ht="15" hidden="1" customHeight="1" x14ac:dyDescent="0.2">
      <c r="A30" s="20">
        <f>A16</f>
        <v>0</v>
      </c>
      <c r="B30" s="20" t="str">
        <f ca="1">B16</f>
        <v/>
      </c>
      <c r="C30" s="20" t="str">
        <f t="shared" ref="C30:Y30" si="63">IF($A16&lt;&gt;"",IF(ABS(C$3/3-C16)&lt;=0.75,1,0),"")</f>
        <v/>
      </c>
      <c r="D30" s="20" t="str">
        <f t="shared" si="63"/>
        <v/>
      </c>
      <c r="E30" s="20" t="str">
        <f t="shared" si="63"/>
        <v/>
      </c>
      <c r="F30" s="20" t="str">
        <f t="shared" si="63"/>
        <v/>
      </c>
      <c r="G30" s="20" t="str">
        <f t="shared" si="63"/>
        <v/>
      </c>
      <c r="H30" s="20" t="str">
        <f t="shared" si="63"/>
        <v/>
      </c>
      <c r="I30" s="20" t="str">
        <f t="shared" si="63"/>
        <v/>
      </c>
      <c r="J30" s="20" t="str">
        <f t="shared" si="63"/>
        <v/>
      </c>
      <c r="K30" s="20" t="str">
        <f t="shared" si="63"/>
        <v/>
      </c>
      <c r="L30" s="20" t="str">
        <f t="shared" si="63"/>
        <v/>
      </c>
      <c r="M30" s="20" t="str">
        <f t="shared" si="63"/>
        <v/>
      </c>
      <c r="N30" s="20" t="str">
        <f t="shared" si="63"/>
        <v/>
      </c>
      <c r="O30" s="20" t="str">
        <f t="shared" si="63"/>
        <v/>
      </c>
      <c r="P30" s="20" t="str">
        <f t="shared" si="63"/>
        <v/>
      </c>
      <c r="Q30" s="20" t="str">
        <f t="shared" si="63"/>
        <v/>
      </c>
      <c r="R30" s="20" t="str">
        <f t="shared" si="63"/>
        <v/>
      </c>
      <c r="Y30" s="20" t="str">
        <f t="shared" si="63"/>
        <v/>
      </c>
    </row>
  </sheetData>
  <sheetProtection algorithmName="SHA-512" hashValue="6Ah1WjmKwdvvlCf1rewMiDlBw5Z2OxBOupON8fL7t6or9X0wyCV5W9/e4l90TEmJ5VQtQEK6bEiRknqy0Cgrmw==" saltValue="9ltBnJH3uMs8BPKutn6vxw==" spinCount="100000" sheet="1" objects="1" scenarios="1" selectLockedCells="1" selectUnlockedCells="1"/>
  <mergeCells count="4">
    <mergeCell ref="A3:B3"/>
    <mergeCell ref="A5:B5"/>
    <mergeCell ref="A6:B6"/>
    <mergeCell ref="A4:B4"/>
  </mergeCells>
  <conditionalFormatting sqref="C4:R4 Y4">
    <cfRule type="expression" dxfId="9" priority="25">
      <formula>C4&gt;3</formula>
    </cfRule>
    <cfRule type="expression" dxfId="8" priority="26">
      <formula>AND(C4&gt;2,C4&lt;=3)</formula>
    </cfRule>
    <cfRule type="expression" dxfId="7" priority="27">
      <formula>AND(C4&gt;1,C4&lt;=2)</formula>
    </cfRule>
    <cfRule type="expression" dxfId="6" priority="30">
      <formula>C4&lt;=1</formula>
    </cfRule>
  </conditionalFormatting>
  <conditionalFormatting sqref="C8:R10 C12:R13 Y12:Y13 Y8:Y10">
    <cfRule type="expression" dxfId="5" priority="19">
      <formula>C$3/3-C8&lt;-0.75</formula>
    </cfRule>
    <cfRule type="expression" dxfId="4" priority="20">
      <formula>C$3/3-C8&gt;0.75</formula>
    </cfRule>
  </conditionalFormatting>
  <conditionalFormatting sqref="C11:D11">
    <cfRule type="expression" dxfId="3" priority="17">
      <formula>C$3/3-C11&lt;-0.75</formula>
    </cfRule>
    <cfRule type="expression" dxfId="2" priority="18">
      <formula>C$3/3-C11&gt;0.75</formula>
    </cfRule>
  </conditionalFormatting>
  <conditionalFormatting sqref="E11:R11 Y11">
    <cfRule type="expression" dxfId="1" priority="15">
      <formula>E$3/3-E11&lt;-0.75</formula>
    </cfRule>
    <cfRule type="expression" dxfId="0" priority="16">
      <formula>E$3/3-E11&gt;0.75</formula>
    </cfRule>
  </conditionalFormatting>
  <pageMargins left="0.7" right="0.7" top="0.78740157499999996" bottom="0.78740157499999996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9</vt:i4>
      </vt:variant>
    </vt:vector>
  </HeadingPairs>
  <TitlesOfParts>
    <vt:vector size="18" baseType="lpstr">
      <vt:lpstr>Wertung 1</vt:lpstr>
      <vt:lpstr>Wertung 2</vt:lpstr>
      <vt:lpstr>Wertung 3 (H)</vt:lpstr>
      <vt:lpstr>Wertung 4</vt:lpstr>
      <vt:lpstr>Wertung 5</vt:lpstr>
      <vt:lpstr>Springer</vt:lpstr>
      <vt:lpstr>Beobachter</vt:lpstr>
      <vt:lpstr>Hospitant 1</vt:lpstr>
      <vt:lpstr>Auswertung</vt:lpstr>
      <vt:lpstr>Auswertung!Druckbereich</vt:lpstr>
      <vt:lpstr>Beobachter!Druckbereich</vt:lpstr>
      <vt:lpstr>'Hospitant 1'!Druckbereich</vt:lpstr>
      <vt:lpstr>Springer!Druckbereich</vt:lpstr>
      <vt:lpstr>'Wertung 1'!Druckbereich</vt:lpstr>
      <vt:lpstr>'Wertung 2'!Druckbereich</vt:lpstr>
      <vt:lpstr>'Wertung 3 (H)'!Druckbereich</vt:lpstr>
      <vt:lpstr>'Wertung 4'!Druckbereich</vt:lpstr>
      <vt:lpstr>'Wertung 5'!Druckbereich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2019-03-31T22:24:11Z</cp:lastPrinted>
  <dcterms:created xsi:type="dcterms:W3CDTF">2016-05-27T20:14:04Z</dcterms:created>
  <dcterms:modified xsi:type="dcterms:W3CDTF">2019-03-31T23:30:40Z</dcterms:modified>
</cp:coreProperties>
</file>