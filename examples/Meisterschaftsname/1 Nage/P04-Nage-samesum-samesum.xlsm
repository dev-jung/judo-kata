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44A532A3-607F-4950-969C-45ADEF17D9FC}" xr6:coauthVersionLast="41" xr6:coauthVersionMax="41" xr10:uidLastSave="{00000000-0000-0000-0000-000000000000}"/>
  <bookViews>
    <workbookView xWindow="25044" yWindow="-10824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Hospitant 1" sheetId="31" r:id="rId8"/>
    <sheet name="Auswertung" sheetId="17" r:id="rId9"/>
  </sheets>
  <definedNames>
    <definedName name="_xlnm.Print_Area" localSheetId="8">Auswertung!$A$1:$AF$16</definedName>
    <definedName name="_xlnm.Print_Area" localSheetId="6">Beobachter!$A$1:$L$37</definedName>
    <definedName name="_xlnm.Print_Area" localSheetId="7">'Hospitant 1'!$A$1:$L$37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1" l="1"/>
  <c r="J36" i="31"/>
  <c r="I36" i="31"/>
  <c r="H36" i="31"/>
  <c r="G36" i="31"/>
  <c r="F36" i="31"/>
  <c r="L35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K36" i="30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l="1"/>
  <c r="L36" i="25"/>
  <c r="L36" i="26"/>
  <c r="L36" i="27"/>
  <c r="L36" i="28"/>
  <c r="L36" i="29"/>
  <c r="L36" i="30"/>
  <c r="L36" i="31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D8" i="17"/>
  <c r="AD15" i="17"/>
  <c r="N12" i="17"/>
  <c r="N8" i="17"/>
  <c r="R15" i="17"/>
  <c r="G9" i="17"/>
  <c r="I8" i="17"/>
  <c r="D9" i="17"/>
  <c r="AF11" i="17"/>
  <c r="D13" i="17"/>
  <c r="AE15" i="17"/>
  <c r="N10" i="17"/>
  <c r="L9" i="17"/>
  <c r="E13" i="17"/>
  <c r="AE11" i="17"/>
  <c r="Q11" i="17"/>
  <c r="N13" i="17"/>
  <c r="P8" i="17"/>
  <c r="J10" i="17"/>
  <c r="AF9" i="17"/>
  <c r="H9" i="17"/>
  <c r="E15" i="17"/>
  <c r="Y11" i="17"/>
  <c r="Q15" i="17"/>
  <c r="M13" i="17"/>
  <c r="Z10" i="17"/>
  <c r="J15" i="17"/>
  <c r="B9" i="17"/>
  <c r="Q10" i="17"/>
  <c r="K10" i="17"/>
  <c r="O10" i="17"/>
  <c r="K12" i="17"/>
  <c r="B15" i="17"/>
  <c r="L11" i="17"/>
  <c r="B11" i="17"/>
  <c r="Q8" i="17"/>
  <c r="B13" i="17"/>
  <c r="N11" i="17"/>
  <c r="AC9" i="17"/>
  <c r="K11" i="17"/>
  <c r="C13" i="17"/>
  <c r="F11" i="17"/>
  <c r="E12" i="17"/>
  <c r="AF15" i="17"/>
  <c r="F8" i="17"/>
  <c r="L8" i="17"/>
  <c r="G13" i="17"/>
  <c r="M9" i="17"/>
  <c r="AB15" i="17"/>
  <c r="H15" i="17"/>
  <c r="H8" i="17"/>
  <c r="C12" i="17"/>
  <c r="Y12" i="17"/>
  <c r="AD8" i="17"/>
  <c r="R9" i="17"/>
  <c r="B12" i="17"/>
  <c r="F10" i="17"/>
  <c r="AE13" i="17"/>
  <c r="AC12" i="17"/>
  <c r="AC15" i="17"/>
  <c r="AB12" i="17"/>
  <c r="J11" i="17"/>
  <c r="E9" i="17"/>
  <c r="P15" i="17"/>
  <c r="M8" i="17"/>
  <c r="P12" i="17"/>
  <c r="Y8" i="17"/>
  <c r="F13" i="17"/>
  <c r="R12" i="17"/>
  <c r="AC10" i="17"/>
  <c r="Z8" i="17"/>
  <c r="H12" i="17"/>
  <c r="F9" i="17"/>
  <c r="P13" i="17"/>
  <c r="I9" i="17"/>
  <c r="AD13" i="17"/>
  <c r="I10" i="17"/>
  <c r="M10" i="17"/>
  <c r="C10" i="17"/>
  <c r="AD12" i="17"/>
  <c r="Z13" i="17"/>
  <c r="G8" i="17"/>
  <c r="J12" i="17"/>
  <c r="O15" i="17"/>
  <c r="H13" i="17"/>
  <c r="AE10" i="17"/>
  <c r="Q12" i="17"/>
  <c r="R10" i="17"/>
  <c r="O9" i="17"/>
  <c r="N9" i="17"/>
  <c r="E11" i="17"/>
  <c r="AC8" i="17"/>
  <c r="I13" i="17"/>
  <c r="I11" i="17"/>
  <c r="G12" i="17"/>
  <c r="AF13" i="17"/>
  <c r="I12" i="17"/>
  <c r="Y15" i="17"/>
  <c r="G11" i="17"/>
  <c r="D10" i="17"/>
  <c r="L10" i="17"/>
  <c r="L15" i="17"/>
  <c r="AE8" i="17"/>
  <c r="Q13" i="17"/>
  <c r="Y9" i="17"/>
  <c r="AB11" i="17"/>
  <c r="D11" i="17"/>
  <c r="AE12" i="17"/>
  <c r="Q9" i="17"/>
  <c r="H10" i="17"/>
  <c r="C11" i="17"/>
  <c r="C9" i="17"/>
  <c r="E8" i="17"/>
  <c r="P9" i="17"/>
  <c r="AD10" i="17"/>
  <c r="AD9" i="17"/>
  <c r="M11" i="17"/>
  <c r="O13" i="17"/>
  <c r="G15" i="17"/>
  <c r="L12" i="17"/>
  <c r="K13" i="17"/>
  <c r="R11" i="17"/>
  <c r="B8" i="17"/>
  <c r="P11" i="17"/>
  <c r="AC11" i="17"/>
  <c r="C15" i="17"/>
  <c r="AB8" i="17"/>
  <c r="M12" i="17"/>
  <c r="N15" i="17"/>
  <c r="Y10" i="17"/>
  <c r="O12" i="17"/>
  <c r="I15" i="17"/>
  <c r="Z11" i="17"/>
  <c r="AE9" i="17"/>
  <c r="AC13" i="17"/>
  <c r="B10" i="17"/>
  <c r="AB13" i="17"/>
  <c r="AF8" i="17"/>
  <c r="F12" i="17"/>
  <c r="D15" i="17"/>
  <c r="K9" i="17"/>
  <c r="AB9" i="17"/>
  <c r="AF10" i="17"/>
  <c r="K15" i="17"/>
  <c r="AD11" i="17"/>
  <c r="J9" i="17"/>
  <c r="G10" i="17"/>
  <c r="AF12" i="17"/>
  <c r="E10" i="17"/>
  <c r="O8" i="17"/>
  <c r="R13" i="17"/>
  <c r="L13" i="17"/>
  <c r="M15" i="17"/>
  <c r="D12" i="17"/>
  <c r="C8" i="17"/>
  <c r="H11" i="17"/>
  <c r="Y13" i="17"/>
  <c r="Z9" i="17"/>
  <c r="Z12" i="17"/>
  <c r="O11" i="17"/>
  <c r="Y7" i="17"/>
  <c r="J8" i="17"/>
  <c r="AB10" i="17"/>
  <c r="F15" i="17"/>
  <c r="J13" i="17"/>
  <c r="Z15" i="17"/>
  <c r="R8" i="17"/>
  <c r="P10" i="17"/>
  <c r="K8" i="17"/>
  <c r="Y30" i="17" l="1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AD7" i="17"/>
  <c r="D7" i="17"/>
  <c r="J7" i="17"/>
  <c r="K7" i="17"/>
  <c r="O7" i="17"/>
  <c r="G7" i="17"/>
  <c r="P7" i="17"/>
  <c r="Q7" i="17"/>
  <c r="AB7" i="17"/>
  <c r="C7" i="17"/>
  <c r="AF7" i="17"/>
  <c r="L7" i="17"/>
  <c r="AE7" i="17"/>
  <c r="F7" i="17"/>
  <c r="AC7" i="17"/>
  <c r="M7" i="17"/>
  <c r="B7" i="17"/>
  <c r="I7" i="17"/>
  <c r="H7" i="17"/>
  <c r="R7" i="17"/>
  <c r="Z7" i="17"/>
  <c r="N7" i="17"/>
  <c r="E7" i="17"/>
  <c r="AA7" i="17" l="1"/>
  <c r="AE3" i="17"/>
  <c r="AE5" i="17" s="1"/>
  <c r="B1" i="17"/>
  <c r="E3" i="17" l="1"/>
  <c r="E29" i="17" s="1"/>
  <c r="M3" i="17"/>
  <c r="M29" i="17" s="1"/>
  <c r="F3" i="17"/>
  <c r="F29" i="17" s="1"/>
  <c r="N3" i="17"/>
  <c r="N29" i="17" s="1"/>
  <c r="C3" i="17"/>
  <c r="C29" i="17" s="1"/>
  <c r="G3" i="17"/>
  <c r="G29" i="17" s="1"/>
  <c r="O3" i="17"/>
  <c r="O29" i="17" s="1"/>
  <c r="H3" i="17"/>
  <c r="H29" i="17" s="1"/>
  <c r="P3" i="17"/>
  <c r="P29" i="17" s="1"/>
  <c r="I3" i="17"/>
  <c r="I29" i="17" s="1"/>
  <c r="Q3" i="17"/>
  <c r="Q29" i="17" s="1"/>
  <c r="J3" i="17"/>
  <c r="J29" i="17" s="1"/>
  <c r="R3" i="17"/>
  <c r="R29" i="17" s="1"/>
  <c r="K3" i="17"/>
  <c r="K29" i="17" s="1"/>
  <c r="Y3" i="17"/>
  <c r="Y29" i="17" s="1"/>
  <c r="D3" i="17"/>
  <c r="D29" i="17" s="1"/>
  <c r="L3" i="17"/>
  <c r="L29" i="17" s="1"/>
  <c r="AA15" i="17" l="1"/>
  <c r="M26" i="17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<sst xmlns="http://schemas.openxmlformats.org/spreadsheetml/2006/main" count="825" uniqueCount="81">
  <si>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</si>
  <si>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</si>
  <si>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</si>
  <si>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</si>
  <si>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</si>
  <si>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</si>
  <si>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</si>
  <si>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</si>
  <si>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</si>
  <si>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</si>
  <si>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</si>
  <si>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</si>
  <si>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</si>
  <si>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</si>
  <si>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</si>
  <si>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</si>
  <si>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</si>
  <si>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</si>
  <si>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</si>
  <si>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</si>
  <si>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</si>
  <si>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</si>
  <si>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</si>
  <si>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</si>
  <si>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</si>
  <si>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</si>
  <si>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</si>
  <si>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</si>
  <si>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</si>
  <si>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</si>
  <si>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</si>
  <si>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</si>
  <si>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</si>
  <si>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</si>
  <si>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</si>
  <si>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</si>
  <si>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</si>
  <si>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</si>
  <si>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</si>
  <si>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</si>
  <si>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</si>
  <si>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</si>
  <si>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</si>
  <si>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</si>
  <si>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</si>
  <si>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</si>
  <si>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</si>
  <si>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</si>
  <si>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</si>
  <si>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</si>
  <si>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</si>
  <si>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</si>
  <si>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</si>
  <si>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</si>
  <si>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</si>
  <si>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</si>
  <si>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</si>
  <si>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</si>
  <si>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</si>
  <si>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04</t>
  </si>
  <si>
    <t>samesum</t>
  </si>
  <si>
    <t>nagetori</t>
  </si>
  <si>
    <t>nage club</t>
  </si>
  <si>
    <t>nageuke</t>
  </si>
  <si>
    <t>C4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</si>
  <si>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</si>
  <si>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</si>
  <si>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</si>
  <si>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</si>
  <si>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</si>
  <si>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</si>
  <si>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</si>
  <si>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</si>
  <si>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</si>
  <si>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</si>
  <si>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</si>
  <si>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</si>
  <si>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</si>
  <si>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</si>
  <si>
    <t>trainee1(CH)</t>
  </si>
  <si>
    <t>Hospitant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</si>
</sst>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84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Border="1" applyAlignment="1" applyProtection="1">
      <alignment horizontal="center" vertical="center"/>
      <protection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Border="1" applyAlignment="1" applyProtection="1">
      <alignment horizontal="center" vertical="center"/>
      <protection hidden="1"/>
    </xf>
    <xf numFmtId="0" fontId="34" fillId="0" borderId="39" xfId="0" applyFont="1" applyBorder="1" applyAlignment="1" applyProtection="1">
      <alignment horizontal="center" vertical="center"/>
      <protection hidden="1"/>
    </xf>
    <xf numFmtId="164" fontId="34" fillId="0" borderId="40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67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67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67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67" xfId="0" applyNumberFormat="1" applyFont="1" applyBorder="1" applyAlignment="1">
      <alignment horizontal="right"/>
    </xf>
    <xf numFmtId="1" fontId="29" fillId="0" borderId="67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67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66" xfId="2" applyFont="1" applyBorder="1" applyAlignment="1">
      <alignment horizontal="right"/>
    </xf>
    <xf numFmtId="9" fontId="29" fillId="0" borderId="67" xfId="2" applyFont="1" applyBorder="1" applyAlignment="1">
      <alignment horizontal="right"/>
    </xf>
    <xf numFmtId="0" fontId="18" fillId="0" borderId="59" xfId="0" applyFont="1" applyBorder="1"/>
    <xf numFmtId="164" fontId="29" fillId="0" borderId="59" xfId="0" applyNumberFormat="1" applyFont="1" applyBorder="1" applyAlignment="1">
      <alignment horizontal="right"/>
    </xf>
    <xf numFmtId="1" fontId="29" fillId="0" borderId="59" xfId="0" applyNumberFormat="1" applyFont="1" applyBorder="1" applyAlignment="1">
      <alignment horizontal="right"/>
    </xf>
    <xf numFmtId="0" fontId="28" fillId="0" borderId="41" xfId="0" applyFont="1" applyBorder="1"/>
    <xf numFmtId="164" fontId="32" fillId="0" borderId="41" xfId="0" applyNumberFormat="1" applyFont="1" applyBorder="1" applyAlignment="1">
      <alignment horizontal="right"/>
    </xf>
    <xf numFmtId="1" fontId="32" fillId="0" borderId="41" xfId="0" applyNumberFormat="1" applyFont="1" applyBorder="1" applyAlignment="1">
      <alignment horizontal="right"/>
    </xf>
    <xf numFmtId="9" fontId="32" fillId="0" borderId="68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67" xfId="0" applyFont="1" applyBorder="1"/>
    <xf numFmtId="1" fontId="32" fillId="0" borderId="0" xfId="0" applyNumberFormat="1" applyFont="1" applyAlignment="1">
      <alignment horizontal="right"/>
    </xf>
    <xf numFmtId="9" fontId="32" fillId="0" borderId="67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0" fontId="34" fillId="0" borderId="37" xfId="0" applyFont="1" applyBorder="1" applyAlignment="1" applyProtection="1">
      <alignment horizontal="center" vertical="center"/>
      <protection hidden="1"/>
    </xf>
    <xf numFmtId="0" fontId="34" fillId="0" borderId="38" xfId="0" applyFont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23" fillId="0" borderId="0" xfId="0" applyFont="1" applyAlignment="1">
      <alignment horizontal="right" indent="1"/>
    </xf>
    <xf numFmtId="0" fontId="18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C251E34-334F-40E6-A5C9-14F540D47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DADA213-5095-470E-AD69-85A8708D1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6C8698-1E9D-42B9-972A-0A983D151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4BE6DB9A-D1AA-47F1-970F-576EA8692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03B2402-3EF6-4E8B-9C46-80BE652FA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5FDC13E-379F-4E8C-ADC4-CF6E9B5A0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30C96AA-C290-466F-955F-B07D038D5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8AAAC2A0-FCF4-49CF-94FE-E5AEF36AE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ED4A516-2CB3-4DE5-998F-1D7ACAE14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24ABDBCB-08B1-4F13-BFC0-C1FC1E8B4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D9D5FB6-753A-45BB-8537-E7C7CB5FB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33FB0D1C-DEA2-4F31-AB2C-46B28CDD7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685D840-5388-4D83-8946-73DAB49D6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2DA358D8-C45E-4FD4-B306-EAA27207B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DF74637-BF39-40DC-B609-CFF404DE7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42D2767-EB12-434B-8EAA-B936CEBC7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B94B-4F4A-4702-96FD-734A3928EC7F}">
  <sheetPr codeName="Tabelle2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65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/>
      <c r="H17" s="51" t="s">
        <v>40</v>
      </c>
      <c r="I17" s="51"/>
      <c r="J17" s="52"/>
      <c r="K17" s="52"/>
      <c r="L17" s="34">
        <f t="shared" si="0"/>
        <v>6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 t="s">
        <v>40</v>
      </c>
      <c r="G18" s="54"/>
      <c r="H18" s="55"/>
      <c r="I18" s="55" t="s">
        <v>40</v>
      </c>
      <c r="J18" s="56"/>
      <c r="K18" s="56"/>
      <c r="L18" s="35">
        <f t="shared" si="0"/>
        <v>4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/>
      <c r="H27" s="43"/>
      <c r="I27" s="43"/>
      <c r="J27" s="44" t="s">
        <v>42</v>
      </c>
      <c r="K27" s="44"/>
      <c r="L27" s="79">
        <f t="shared" si="0"/>
        <v>8.5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15</v>
      </c>
      <c r="G36" s="122">
        <f t="shared" ref="G36" si="2">IF($L$37&lt;&gt;"",COUNTIF(G13:G29,"x"))</f>
        <v>4</v>
      </c>
      <c r="H36" s="69">
        <f>IF($L$37&lt;&gt;"",SUMPRODUCT(--(TRIM(H13:H35)&lt;&gt;"")),"")</f>
        <v>9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100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66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qThZ4yWB0U5kDua2Jyp0fm/yBAGLCnscYKhKrM1ntZ1S6nIasIOmHABYL45Eb4KGDzSraimOorx/AbCIR+nY8g==" saltValue="KT6MQW3dGp/jBwtdZvacH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F2FC3DA0-303A-445A-9961-8B2DDB29F111}">
      <formula1>$P$13</formula1>
    </dataValidation>
    <dataValidation type="list" allowBlank="1" showDropDown="1" showInputMessage="1" showErrorMessage="1" sqref="J35 J13:J28" xr:uid="{FAC1E14A-D28B-4F59-B7CE-684B7D4F059E}">
      <formula1>$P$14:$P$15</formula1>
    </dataValidation>
    <dataValidation type="textLength" allowBlank="1" showInputMessage="1" showErrorMessage="1" sqref="F29:K34" xr:uid="{799EED3B-400A-4D7F-A968-886F2AD4D64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B14CD-0529-4534-928B-EF266D4FFC4D}">
  <sheetPr codeName="Tabelle3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67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/>
      <c r="H20" s="39"/>
      <c r="I20" s="39" t="s">
        <v>40</v>
      </c>
      <c r="J20" s="40"/>
      <c r="K20" s="40"/>
      <c r="L20" s="78">
        <f t="shared" si="0"/>
        <v>4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/>
      <c r="H27" s="43"/>
      <c r="I27" s="43"/>
      <c r="J27" s="44" t="s">
        <v>42</v>
      </c>
      <c r="K27" s="44"/>
      <c r="L27" s="79">
        <f t="shared" si="0"/>
        <v>8.5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14</v>
      </c>
      <c r="G36" s="122">
        <f t="shared" ref="G36" si="2">IF($L$37&lt;&gt;"",COUNTIF(G13:G29,"x"))</f>
        <v>4</v>
      </c>
      <c r="H36" s="69">
        <f>IF($L$37&lt;&gt;"",SUMPRODUCT(--(TRIM(H13:H35)&lt;&gt;"")),"")</f>
        <v>9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100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68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lYMR0JoO/LPApiz6kSuH99UnMPBOK8sll/GUs2t4qJVBDlUI20k4osJc4EJ9pWYFfBG9BcJrShsZwaRKevGYEw==" saltValue="aw0gRuatKeq34wvRUiqCw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FE5960C6-AE94-44AD-8265-6ABBC696C333}">
      <formula1>$P$13</formula1>
    </dataValidation>
    <dataValidation type="list" allowBlank="1" showDropDown="1" showInputMessage="1" showErrorMessage="1" sqref="J35 J13:J28" xr:uid="{CC5084DE-047A-4E13-9142-8B7D4EB49B5E}">
      <formula1>$P$14:$P$15</formula1>
    </dataValidation>
    <dataValidation type="textLength" allowBlank="1" showInputMessage="1" showErrorMessage="1" sqref="F29:K34" xr:uid="{EFBE28CD-B7B8-488F-8A2C-A3A82340808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7071-9581-492A-B984-0BD0202E43C4}">
  <sheetPr codeName="Tabelle4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69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 t="shared" ref="L13:L28" si="0"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si="0"/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/>
      <c r="H27" s="43"/>
      <c r="I27" s="43"/>
      <c r="J27" s="44" t="s">
        <v>42</v>
      </c>
      <c r="K27" s="44"/>
      <c r="L27" s="79">
        <f t="shared" si="0"/>
        <v>8.5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15</v>
      </c>
      <c r="G36" s="122">
        <f>IF($L$37&lt;&gt;"",COUNTIF(G13:G29,"x"))</f>
        <v>5</v>
      </c>
      <c r="H36" s="69">
        <f>IF($L$37&lt;&gt;"",SUMPRODUCT(--(TRIM(H13:H35)&lt;&gt;"")),"")</f>
        <v>9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99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70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ZVj27lGa/44iCByt0Kex+D6RSEs6NLxiKksYrM5k2TSMtuwDI/MkWSdQIGEG/XVHtz25PjiaOiG8eZjgXfmSlQ==" saltValue="bJiOGfZ+kx10izde5AlWx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F1279C15-A1A1-4C1A-9228-AB7460085AF0}">
      <formula1>$P$13</formula1>
    </dataValidation>
    <dataValidation type="list" allowBlank="1" showDropDown="1" showInputMessage="1" showErrorMessage="1" sqref="J35 J13:J28" xr:uid="{A43F97A5-6AF4-4300-B0B0-D6CADFAF2BD1}">
      <formula1>$P$14:$P$15</formula1>
    </dataValidation>
    <dataValidation type="textLength" allowBlank="1" showInputMessage="1" showErrorMessage="1" sqref="F29:K34" xr:uid="{D959BE35-BBE8-49D1-9973-891F1E841A9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93A9-D577-477E-A85A-23355006749F}">
  <sheetPr codeName="Tabelle5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71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/>
      <c r="J18" s="56"/>
      <c r="K18" s="56"/>
      <c r="L18" s="35">
        <f t="shared" si="0"/>
        <v>10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/>
      <c r="J19" s="60"/>
      <c r="K19" s="60"/>
      <c r="L19" s="81">
        <f t="shared" si="0"/>
        <v>9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/>
      <c r="J20" s="40"/>
      <c r="K20" s="40"/>
      <c r="L20" s="78">
        <f t="shared" si="0"/>
        <v>8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/>
      <c r="J22" s="48"/>
      <c r="K22" s="48"/>
      <c r="L22" s="80">
        <f t="shared" si="0"/>
        <v>6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 t="s">
        <v>40</v>
      </c>
      <c r="G24" s="54" t="s">
        <v>40</v>
      </c>
      <c r="H24" s="55" t="s">
        <v>40</v>
      </c>
      <c r="I24" s="55"/>
      <c r="J24" s="56" t="s">
        <v>41</v>
      </c>
      <c r="K24" s="56"/>
      <c r="L24" s="35">
        <f t="shared" si="0"/>
        <v>5.5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20</v>
      </c>
      <c r="G36" s="122">
        <f t="shared" ref="G36" si="2">IF($L$37&lt;&gt;"",COUNTIF(G13:G29,"x"))</f>
        <v>8</v>
      </c>
      <c r="H36" s="69">
        <f>IF($L$37&lt;&gt;"",SUMPRODUCT(--(TRIM(H13:H35)&lt;&gt;"")),"")</f>
        <v>9</v>
      </c>
      <c r="I36" s="69">
        <f>IF($L$37&lt;&gt;"",SUMPRODUCT(--(TRIM(I13:I35)&lt;&gt;"")),"")</f>
        <v>2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115.5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72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khsWzOdg1clIjiFSqCT8siQV1mTNl+jb2MotH/aKwhFRgE9fsCy4+uU26TRqg3IJQz5PpTkHDRHcJi0IBsL+Ug==" saltValue="K9oTQM2vTMABKnuXuIOWl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D20B653D-18FE-4C3B-87D5-B4824D0F24B4}">
      <formula1>$P$13</formula1>
    </dataValidation>
    <dataValidation type="list" allowBlank="1" showDropDown="1" showInputMessage="1" showErrorMessage="1" sqref="J35 J13:J28" xr:uid="{6EA213E2-1EE9-4781-99BC-3287BF125750}">
      <formula1>$P$14:$P$15</formula1>
    </dataValidation>
    <dataValidation type="textLength" allowBlank="1" showInputMessage="1" showErrorMessage="1" sqref="F29:K34" xr:uid="{F741B206-D3C8-4DD0-AF5F-1040788596B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9F443-D33C-4929-A1E7-810699290E38}">
  <sheetPr codeName="Tabelle6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73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/>
      <c r="I25" s="59" t="s">
        <v>40</v>
      </c>
      <c r="J25" s="60" t="s">
        <v>42</v>
      </c>
      <c r="K25" s="60"/>
      <c r="L25" s="81">
        <f t="shared" si="0"/>
        <v>2.5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 t="s">
        <v>40</v>
      </c>
      <c r="H35" s="67" t="s">
        <v>40</v>
      </c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6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17</v>
      </c>
      <c r="G36" s="122">
        <f t="shared" ref="G36" si="2">IF($L$37&lt;&gt;"",COUNTIF(G13:G29,"x"))</f>
        <v>6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91.5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74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uTgPbbV6zdCenwd8t8c7XhhUD7tju6Ai4D8HlbjRUpoi+vsOOip0ELASQ1dh8936vLB8EY+eYAdj0HmjoywklA==" saltValue="fVa/SgfRzUwOywSpI85KIw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D2E0066D-4AB4-48DB-A1E2-D49456C5AE99}">
      <formula1>$P$13</formula1>
    </dataValidation>
    <dataValidation type="list" allowBlank="1" showDropDown="1" showInputMessage="1" showErrorMessage="1" sqref="J35 J13:J28" xr:uid="{D3B7DBD5-190E-4A48-A6CE-ED1F1B3E3405}">
      <formula1>$P$14:$P$15</formula1>
    </dataValidation>
    <dataValidation type="textLength" allowBlank="1" showInputMessage="1" showErrorMessage="1" sqref="F29:K34" xr:uid="{D3E63173-C54F-4751-BFC2-BA2A0DA6313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E7E99-6AB5-4D53-AF22-ECC60474E426}">
  <sheetPr codeName="Tabelle7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75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 t="s">
        <v>40</v>
      </c>
      <c r="I18" s="55" t="s">
        <v>40</v>
      </c>
      <c r="J18" s="56"/>
      <c r="K18" s="56"/>
      <c r="L18" s="35">
        <f t="shared" si="0"/>
        <v>2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/>
      <c r="H20" s="39"/>
      <c r="I20" s="39" t="s">
        <v>40</v>
      </c>
      <c r="J20" s="40"/>
      <c r="K20" s="40"/>
      <c r="L20" s="78">
        <f t="shared" si="0"/>
        <v>4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/>
      <c r="I23" s="51" t="s">
        <v>40</v>
      </c>
      <c r="J23" s="52"/>
      <c r="K23" s="52"/>
      <c r="L23" s="34">
        <f t="shared" si="0"/>
        <v>3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 t="s">
        <v>40</v>
      </c>
      <c r="I24" s="55"/>
      <c r="J24" s="56" t="s">
        <v>41</v>
      </c>
      <c r="K24" s="56"/>
      <c r="L24" s="35">
        <f t="shared" si="0"/>
        <v>7.5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 t="s">
        <v>40</v>
      </c>
      <c r="H35" s="67" t="s">
        <v>40</v>
      </c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6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16</v>
      </c>
      <c r="G36" s="122">
        <f t="shared" ref="G36" si="2">IF($L$37&lt;&gt;"",COUNTIF(G13:G29,"x"))</f>
        <v>5</v>
      </c>
      <c r="H36" s="69">
        <f>IF($L$37&lt;&gt;"",SUMPRODUCT(--(TRIM(H13:H35)&lt;&gt;"")),"")</f>
        <v>11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87.5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76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gU//yh04ZdM9St42YPYSQhIjGofiqZlSR5Fw9Iz3YQk6mXxaJQrO3KRay4IfGETjE7dSITlV41FVazG/M5kBGQ==" saltValue="CAZ5JXbu7mHvZHdYc7lWT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18FA0079-F491-4CB9-879A-AE73A7333124}">
      <formula1>$P$13</formula1>
    </dataValidation>
    <dataValidation type="list" allowBlank="1" showDropDown="1" showInputMessage="1" showErrorMessage="1" sqref="J35 J13:J28" xr:uid="{1DD90939-3386-477D-8FFA-9C22F8AC936B}">
      <formula1>$P$14:$P$15</formula1>
    </dataValidation>
    <dataValidation type="textLength" allowBlank="1" showInputMessage="1" showErrorMessage="1" sqref="F29:K34" xr:uid="{298EC14F-59A8-4FD3-8100-2E0E9F542BE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F5AB0-9474-4230-9084-C9AB97D08CB2}">
  <sheetPr codeName="Tabelle8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77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/>
      <c r="H17" s="51" t="s">
        <v>40</v>
      </c>
      <c r="I17" s="51"/>
      <c r="J17" s="52"/>
      <c r="K17" s="52"/>
      <c r="L17" s="34">
        <f t="shared" si="0"/>
        <v>6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15</v>
      </c>
      <c r="G36" s="122">
        <f t="shared" ref="G36" si="2">IF($L$37&lt;&gt;"",COUNTIF(G13:G29,"x"))</f>
        <v>5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78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LFjaN+CaFayemaxOwj0e2Xxrq72zQUwcVyQBGsa8vL/mOqABenj9I9AfWLA9TrZP+wGLXk7PTj+tWlN2TvnwCg==" saltValue="/aXACzYx9IfyvjcROZ+W4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81C9BC7B-EC33-45EA-BB61-35C99186E347}">
      <formula1>$P$13</formula1>
    </dataValidation>
    <dataValidation type="list" allowBlank="1" showDropDown="1" showInputMessage="1" showErrorMessage="1" sqref="J35 J13:J28" xr:uid="{7A4ACA04-DF86-48EB-A5CF-C9BC876FB207}">
      <formula1>$P$14:$P$15</formula1>
    </dataValidation>
    <dataValidation type="textLength" allowBlank="1" showInputMessage="1" showErrorMessage="1" sqref="F29:K34" xr:uid="{75677171-CF6F-4038-94C6-AA61A51BEA4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2FA-7361-4BBD-A41B-C413C7F80657}">
  <sheetPr codeName="Tabelle9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79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60</v>
      </c>
      <c r="E9" s="148"/>
      <c r="F9" s="151" t="s">
        <v>63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/>
      <c r="G14" s="38"/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/>
      <c r="H17" s="51" t="s">
        <v>40</v>
      </c>
      <c r="I17" s="51"/>
      <c r="J17" s="52"/>
      <c r="K17" s="52"/>
      <c r="L17" s="34">
        <f t="shared" si="0"/>
        <v>6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15</v>
      </c>
      <c r="G36" s="122">
        <f t="shared" ref="G36" si="2">IF($L$37&lt;&gt;"",COUNTIF(G13:G29,"x"))</f>
        <v>5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80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hf1YJRBSfY7Y0SGjxyfKZg20azM6dNPp6g0XD4fTt2hP/DaLDsMtfAwQKROp3iWX9p/DBLjW7zyqG+GegvjtaA==" saltValue="rrL5ykM//ofh/NCnESNBTw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864157C5-07DC-482E-9A39-27994BDEE505}">
      <formula1>$P$13</formula1>
    </dataValidation>
    <dataValidation type="list" allowBlank="1" showDropDown="1" showInputMessage="1" showErrorMessage="1" sqref="J35 J13:J28" xr:uid="{DD21CBCD-2BF9-4108-81FB-B64D375421B2}">
      <formula1>$P$14:$P$15</formula1>
    </dataValidation>
    <dataValidation type="textLength" allowBlank="1" showInputMessage="1" showErrorMessage="1" sqref="F29:K34" xr:uid="{2794D7AD-836A-4C55-8ED1-6CA00F09428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0" customWidth="1"/>
    <col min="2" max="2" width="22.7109375" style="20" customWidth="1"/>
    <col min="3" max="18" width="5.7109375" style="20" customWidth="1"/>
    <col min="19" max="24" width="5.7109375" style="20" hidden="1" customWidth="1"/>
    <col min="25" max="25" width="5.7109375" style="20" customWidth="1"/>
    <col min="26" max="27" width="6.7109375" style="20" customWidth="1"/>
    <col min="28" max="32" width="5.7109375" style="20" customWidth="1"/>
    <col min="33" max="16384" width="11.5703125" style="20"/>
  </cols>
  <sheetData>
    <row r="1" spans="1:32" ht="15" customHeight="1" x14ac:dyDescent="0.2">
      <c r="A1" s="20" t="s">
        <v>52</v>
      </c>
      <c r="B1" s="85" t="str">
        <f ca="1">INDIRECT("'"&amp;$A8&amp;"'!D8") &amp; "-" &amp; INDIRECT("'"&amp;$A8&amp;"'!D9") &amp; " (" &amp; INDIRECT("'"&amp;$A8&amp;"'!L8") &amp;")"</f>
        <v>samesum-samesum (C4)</v>
      </c>
      <c r="AA1" s="86"/>
      <c r="AF1" s="87"/>
    </row>
    <row r="2" spans="1:32" ht="127.9" customHeight="1" x14ac:dyDescent="0.2">
      <c r="A2" s="88" t="s">
        <v>51</v>
      </c>
      <c r="B2" s="88" t="s">
        <v>31</v>
      </c>
      <c r="C2" s="89" t="s">
        <v>6</v>
      </c>
      <c r="D2" s="89" t="s">
        <v>8</v>
      </c>
      <c r="E2" s="89" t="s">
        <v>9</v>
      </c>
      <c r="F2" s="89" t="s">
        <v>10</v>
      </c>
      <c r="G2" s="89" t="s">
        <v>12</v>
      </c>
      <c r="H2" s="89" t="s">
        <v>13</v>
      </c>
      <c r="I2" s="89" t="s">
        <v>14</v>
      </c>
      <c r="J2" s="89" t="s">
        <v>16</v>
      </c>
      <c r="K2" s="89" t="s">
        <v>17</v>
      </c>
      <c r="L2" s="89" t="s">
        <v>18</v>
      </c>
      <c r="M2" s="89" t="s">
        <v>20</v>
      </c>
      <c r="N2" s="89" t="s">
        <v>21</v>
      </c>
      <c r="O2" s="89" t="s">
        <v>22</v>
      </c>
      <c r="P2" s="89" t="s">
        <v>24</v>
      </c>
      <c r="Q2" s="89" t="s">
        <v>25</v>
      </c>
      <c r="R2" s="89" t="s">
        <v>26</v>
      </c>
      <c r="Y2" s="89" t="s">
        <v>27</v>
      </c>
      <c r="Z2" s="89" t="s">
        <v>30</v>
      </c>
      <c r="AA2" s="90" t="s">
        <v>53</v>
      </c>
      <c r="AB2" s="89" t="s">
        <v>34</v>
      </c>
      <c r="AC2" s="89" t="s">
        <v>33</v>
      </c>
      <c r="AD2" s="89" t="s">
        <v>32</v>
      </c>
      <c r="AE2" s="89" t="s">
        <v>39</v>
      </c>
      <c r="AF2" s="89" t="s">
        <v>4</v>
      </c>
    </row>
    <row r="3" spans="1:32" ht="15" customHeight="1" x14ac:dyDescent="0.2">
      <c r="A3" s="182" t="s">
        <v>46</v>
      </c>
      <c r="B3" s="182"/>
      <c r="C3" s="91">
        <f ca="1">IF(COUNTIF(C8:C12,"")&gt;0,SUM(C8:C12),SUM(C8:C12)-MAX(C8:C12)-MIN(C8:C12))</f>
        <v>27</v>
      </c>
      <c r="D3" s="91">
        <f t="shared" ref="D3:Y3" ca="1" si="0">IF(COUNTIF(D8:D12,"")&gt;0,SUM(D8:D12),SUM(D8:D12)-MAX(D8:D12)-MIN(D8:D12))</f>
        <v>21</v>
      </c>
      <c r="E3" s="91">
        <f t="shared" ca="1" si="0"/>
        <v>21</v>
      </c>
      <c r="F3" s="91">
        <f t="shared" ca="1" si="0"/>
        <v>18</v>
      </c>
      <c r="G3" s="91">
        <f t="shared" ca="1" si="0"/>
        <v>15</v>
      </c>
      <c r="H3" s="91">
        <f t="shared" ca="1" si="0"/>
        <v>15</v>
      </c>
      <c r="I3" s="91">
        <f t="shared" ca="1" si="0"/>
        <v>12</v>
      </c>
      <c r="J3" s="91">
        <f t="shared" ca="1" si="0"/>
        <v>10</v>
      </c>
      <c r="K3" s="91">
        <f t="shared" ca="1" si="0"/>
        <v>11</v>
      </c>
      <c r="L3" s="91">
        <f t="shared" ca="1" si="0"/>
        <v>3</v>
      </c>
      <c r="M3" s="91">
        <f t="shared" ca="1" si="0"/>
        <v>7</v>
      </c>
      <c r="N3" s="91">
        <f t="shared" ca="1" si="0"/>
        <v>30</v>
      </c>
      <c r="O3" s="91">
        <f t="shared" ca="1" si="0"/>
        <v>3</v>
      </c>
      <c r="P3" s="91">
        <f t="shared" ca="1" si="0"/>
        <v>25.5</v>
      </c>
      <c r="Q3" s="91">
        <f t="shared" ca="1" si="0"/>
        <v>24.5</v>
      </c>
      <c r="R3" s="91">
        <f t="shared" ca="1" si="0"/>
        <v>21</v>
      </c>
      <c r="Y3" s="91">
        <f t="shared" ca="1" si="0"/>
        <v>30</v>
      </c>
      <c r="Z3" s="92">
        <f ca="1">IF(SUM(AF8:AF12)&gt;0,SUM(C3:Y3)/2,SUM(C3:Y3))</f>
        <v>294</v>
      </c>
      <c r="AA3" s="93"/>
      <c r="AB3" s="92">
        <f t="shared" ref="AB3:AF3" ca="1" si="1">IF(COUNTIF(AB8:AB12,"")&gt;0,SUM(AB8:AB12),SUM(AB8:AB12)-MAX(AB8:AB12)-MIN(AB8:AB12))</f>
        <v>47</v>
      </c>
      <c r="AC3" s="92">
        <f t="shared" ca="1" si="1"/>
        <v>27</v>
      </c>
      <c r="AD3" s="92">
        <f t="shared" ca="1" si="1"/>
        <v>18</v>
      </c>
      <c r="AE3" s="91">
        <f t="shared" ca="1" si="1"/>
        <v>0</v>
      </c>
      <c r="AF3" s="92">
        <f t="shared" ca="1" si="1"/>
        <v>0</v>
      </c>
    </row>
    <row r="4" spans="1:32" ht="15" customHeight="1" x14ac:dyDescent="0.2">
      <c r="A4" s="183" t="s">
        <v>54</v>
      </c>
      <c r="B4" s="183"/>
      <c r="C4" s="94">
        <f t="shared" ref="C4:R4" ca="1" si="2">MAX(C8:C12)-MIN(C8:C12)</f>
        <v>0</v>
      </c>
      <c r="D4" s="94">
        <f t="shared" ca="1" si="2"/>
        <v>1</v>
      </c>
      <c r="E4" s="94">
        <f t="shared" ca="1" si="2"/>
        <v>0</v>
      </c>
      <c r="F4" s="94">
        <f t="shared" ca="1" si="2"/>
        <v>0</v>
      </c>
      <c r="G4" s="94">
        <f t="shared" ca="1" si="2"/>
        <v>1</v>
      </c>
      <c r="H4" s="94">
        <f t="shared" ca="1" si="2"/>
        <v>6</v>
      </c>
      <c r="I4" s="94">
        <f t="shared" ca="1" si="2"/>
        <v>5</v>
      </c>
      <c r="J4" s="94">
        <f t="shared" ca="1" si="2"/>
        <v>5</v>
      </c>
      <c r="K4" s="94">
        <f t="shared" ca="1" si="2"/>
        <v>5</v>
      </c>
      <c r="L4" s="94">
        <f t="shared" ca="1" si="2"/>
        <v>5</v>
      </c>
      <c r="M4" s="94">
        <f t="shared" ca="1" si="2"/>
        <v>4</v>
      </c>
      <c r="N4" s="94">
        <f t="shared" ca="1" si="2"/>
        <v>4.5</v>
      </c>
      <c r="O4" s="94">
        <f t="shared" ca="1" si="2"/>
        <v>1.5</v>
      </c>
      <c r="P4" s="94">
        <f t="shared" ca="1" si="2"/>
        <v>0</v>
      </c>
      <c r="Q4" s="94">
        <f t="shared" ca="1" si="2"/>
        <v>1</v>
      </c>
      <c r="R4" s="94">
        <f t="shared" ca="1" si="2"/>
        <v>0</v>
      </c>
      <c r="Y4" s="94">
        <f ca="1">MAX(Y8:Y12)-MIN(Y8:Y12)</f>
        <v>4</v>
      </c>
      <c r="Z4" s="95">
        <f ca="1">MAX(Z8:Z12)-MIN(Z8:Z12)</f>
        <v>24</v>
      </c>
      <c r="AA4" s="96"/>
      <c r="AB4" s="95">
        <f ca="1">MAX(AB8:AB12)-MIN(AB8:AB12)</f>
        <v>6</v>
      </c>
      <c r="AC4" s="95">
        <f ca="1">MAX(AC8:AC12)-MIN(AC8:AC12)</f>
        <v>0</v>
      </c>
      <c r="AD4" s="95">
        <f ca="1">MAX(AD8:AD12)-MIN(AD8:AD12)</f>
        <v>5</v>
      </c>
      <c r="AE4" s="94">
        <f ca="1">MAX(AE8:AE12)-MIN(AE8:AE12)</f>
        <v>0</v>
      </c>
      <c r="AF4" s="95">
        <f ca="1">MAX(AF8:AF12)-MIN(AF8:AF12)</f>
        <v>0</v>
      </c>
    </row>
    <row r="5" spans="1:32" ht="15" customHeight="1" x14ac:dyDescent="0.2">
      <c r="A5" s="183" t="s">
        <v>55</v>
      </c>
      <c r="B5" s="183"/>
      <c r="C5" s="94">
        <f ca="1">C3/3</f>
        <v>9</v>
      </c>
      <c r="D5" s="94">
        <f t="shared" ref="D5:AF5" ca="1" si="3">D3/3</f>
        <v>7</v>
      </c>
      <c r="E5" s="94">
        <f t="shared" ca="1" si="3"/>
        <v>7</v>
      </c>
      <c r="F5" s="94">
        <f t="shared" ca="1" si="3"/>
        <v>6</v>
      </c>
      <c r="G5" s="94">
        <f t="shared" ca="1" si="3"/>
        <v>5</v>
      </c>
      <c r="H5" s="94">
        <f t="shared" ca="1" si="3"/>
        <v>5</v>
      </c>
      <c r="I5" s="94">
        <f t="shared" ca="1" si="3"/>
        <v>4</v>
      </c>
      <c r="J5" s="94">
        <f t="shared" ca="1" si="3"/>
        <v>3.3333333333333335</v>
      </c>
      <c r="K5" s="94">
        <f t="shared" ca="1" si="3"/>
        <v>3.6666666666666665</v>
      </c>
      <c r="L5" s="94">
        <f t="shared" ca="1" si="3"/>
        <v>1</v>
      </c>
      <c r="M5" s="94">
        <f t="shared" ca="1" si="3"/>
        <v>2.3333333333333335</v>
      </c>
      <c r="N5" s="94">
        <f t="shared" ca="1" si="3"/>
        <v>10</v>
      </c>
      <c r="O5" s="94">
        <f t="shared" ca="1" si="3"/>
        <v>1</v>
      </c>
      <c r="P5" s="94">
        <f t="shared" ca="1" si="3"/>
        <v>8.5</v>
      </c>
      <c r="Q5" s="94">
        <f t="shared" ca="1" si="3"/>
        <v>8.1666666666666661</v>
      </c>
      <c r="R5" s="94">
        <f t="shared" ca="1" si="3"/>
        <v>7</v>
      </c>
      <c r="Y5" s="94">
        <f t="shared" ca="1" si="3"/>
        <v>10</v>
      </c>
      <c r="Z5" s="95">
        <f t="shared" ca="1" si="3"/>
        <v>98</v>
      </c>
      <c r="AA5" s="97"/>
      <c r="AB5" s="95">
        <f t="shared" ca="1" si="3"/>
        <v>15.666666666666666</v>
      </c>
      <c r="AC5" s="95">
        <f t="shared" ca="1" si="3"/>
        <v>9</v>
      </c>
      <c r="AD5" s="95">
        <f t="shared" ca="1" si="3"/>
        <v>6</v>
      </c>
      <c r="AE5" s="94">
        <f t="shared" ca="1" si="3"/>
        <v>0</v>
      </c>
      <c r="AF5" s="95">
        <f t="shared" ca="1" si="3"/>
        <v>0</v>
      </c>
    </row>
    <row r="6" spans="1:32" ht="15" hidden="1" customHeight="1" x14ac:dyDescent="0.2">
      <c r="A6" s="183" t="s">
        <v>56</v>
      </c>
      <c r="B6" s="18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Y6" s="94"/>
      <c r="Z6" s="98"/>
      <c r="AA6" s="99"/>
      <c r="AB6" s="98"/>
      <c r="AC6" s="98"/>
      <c r="AD6" s="98"/>
      <c r="AE6" s="94"/>
      <c r="AF6" s="98"/>
    </row>
    <row r="7" spans="1:32" ht="15" customHeight="1" x14ac:dyDescent="0.2">
      <c r="A7" s="100" t="s">
        <v>78</v>
      </c>
      <c r="B7" s="100" t="str">
        <f ca="1">IF(A7&lt;&gt;"",INDIRECT("'"&amp;$A7&amp;"'!E5"),"")</f>
        <v>super(CG)</v>
      </c>
      <c r="C7" s="101">
        <f ca="1">IF($A7&lt;&gt;"",INDIRECT("'"&amp;$A7&amp;"'!L13"),"")</f>
        <v>9</v>
      </c>
      <c r="D7" s="101">
        <f ca="1">IF($A7&lt;&gt;"",INDIRECT("'"&amp;$A7&amp;"'!L14"),"")</f>
        <v>7</v>
      </c>
      <c r="E7" s="101">
        <f ca="1">IF($A7&lt;&gt;"",INDIRECT("'"&amp;$A7&amp;"'!L15"),"")</f>
        <v>7</v>
      </c>
      <c r="F7" s="101">
        <f ca="1">IF($A7&lt;&gt;"",INDIRECT("'"&amp;$A7&amp;"'!L16"),"")</f>
        <v>6</v>
      </c>
      <c r="G7" s="101">
        <f ca="1">IF($A7&lt;&gt;"",INDIRECT("'"&amp;$A7&amp;"'!L17"),"")</f>
        <v>6</v>
      </c>
      <c r="H7" s="101">
        <f ca="1">IF($A7&lt;&gt;"",INDIRECT("'"&amp;$A7&amp;"'!L18"),"")</f>
        <v>5</v>
      </c>
      <c r="I7" s="101">
        <f ca="1">IF($A7&lt;&gt;"",INDIRECT("'"&amp;$A7&amp;"'!L19"),"")</f>
        <v>4</v>
      </c>
      <c r="J7" s="101">
        <f ca="1">IF($A7&lt;&gt;"",INDIRECT("'"&amp;$A7&amp;"'!L20"),"")</f>
        <v>3</v>
      </c>
      <c r="K7" s="101">
        <f ca="1">IF($A7&lt;&gt;"",INDIRECT("'"&amp;$A7&amp;"'!L21"),"")</f>
        <v>2</v>
      </c>
      <c r="L7" s="101">
        <f ca="1">IF($A7&lt;&gt;"",INDIRECT("'"&amp;$A7&amp;"'!L22"),"")</f>
        <v>1</v>
      </c>
      <c r="M7" s="101">
        <f ca="1">IF($A7&lt;&gt;"",INDIRECT("'"&amp;$A7&amp;"'!L23"),"")</f>
        <v>1</v>
      </c>
      <c r="N7" s="101">
        <f ca="1">IF($A7&lt;&gt;"",INDIRECT("'"&amp;$A7&amp;"'!L24"),"")</f>
        <v>10</v>
      </c>
      <c r="O7" s="101">
        <f ca="1">IF($A7&lt;&gt;"",INDIRECT("'"&amp;$A7&amp;"'!L25"),"")</f>
        <v>1</v>
      </c>
      <c r="P7" s="101">
        <f ca="1">IF($A7&lt;&gt;"",INDIRECT("'"&amp;$A7&amp;"'!L26"),"")</f>
        <v>8.5</v>
      </c>
      <c r="Q7" s="101">
        <f ca="1">IF($A7&lt;&gt;"",INDIRECT("'"&amp;$A7&amp;"'!L27"),"")</f>
        <v>7.5</v>
      </c>
      <c r="R7" s="101">
        <f ca="1">IF($A7&lt;&gt;"",INDIRECT("'"&amp;$A7&amp;"'!L28"),"")</f>
        <v>7</v>
      </c>
      <c r="Y7" s="101">
        <f ca="1">IF($A7&lt;&gt;"",INDIRECT("'"&amp;$A7&amp;"'!L35"),"")</f>
        <v>10</v>
      </c>
      <c r="Z7" s="102">
        <f ca="1">IF($A7&lt;&gt;"",INDIRECT("'"&amp;$A7&amp;"'!L36"),"")</f>
        <v>95</v>
      </c>
      <c r="AA7" s="103">
        <f t="shared" ref="AA7" ca="1" si="4">IF($A7&lt;&gt;"",SUM(C21:Y21)/COUNT(C7:Y7),"")</f>
        <v>0</v>
      </c>
      <c r="AB7" s="102">
        <f ca="1">IF($A7&lt;&gt;"",INDIRECT("'"&amp;$A7&amp;"'!F36"),"")</f>
        <v>15</v>
      </c>
      <c r="AC7" s="102">
        <f ca="1">IF($A7&lt;&gt;"",INDIRECT("'"&amp;$A7&amp;"'!H36"),"")</f>
        <v>9</v>
      </c>
      <c r="AD7" s="102">
        <f ca="1">IF($A7&lt;&gt;"",INDIRECT("'"&amp;$A7&amp;"'!I36"),"")</f>
        <v>7</v>
      </c>
      <c r="AE7" s="101">
        <f ca="1">IF($A7&lt;&gt;"",INDIRECT("'"&amp;$A7&amp;"'!J36"),"")</f>
        <v>0</v>
      </c>
      <c r="AF7" s="102">
        <f ca="1">IF($A7&lt;&gt;"",INDIRECT("'"&amp;$A7&amp;"'!K36"),"")</f>
        <v>0</v>
      </c>
    </row>
    <row r="8" spans="1:32" ht="15" customHeight="1" x14ac:dyDescent="0.2">
      <c r="A8" s="20" t="s">
        <v>66</v>
      </c>
      <c r="B8" s="20" t="str">
        <f t="shared" ref="B8:B13" ca="1" si="5">IF(A8&lt;&gt;"",INDIRECT("'"&amp;$A8&amp;"'!E5"),"")</f>
        <v>one(CA)</v>
      </c>
      <c r="C8" s="94">
        <f t="shared" ref="C8:C13" ca="1" si="6">IF($A8&lt;&gt;"",INDIRECT("'"&amp;$A8&amp;"'!L13"),"")</f>
        <v>9</v>
      </c>
      <c r="D8" s="94">
        <f t="shared" ref="D8:D13" ca="1" si="7">IF($A8&lt;&gt;"",INDIRECT("'"&amp;$A8&amp;"'!L14"),"")</f>
        <v>7</v>
      </c>
      <c r="E8" s="94">
        <f t="shared" ref="E8:E13" ca="1" si="8">IF($A8&lt;&gt;"",INDIRECT("'"&amp;$A8&amp;"'!L15"),"")</f>
        <v>7</v>
      </c>
      <c r="F8" s="94">
        <f t="shared" ref="F8:F13" ca="1" si="9">IF($A8&lt;&gt;"",INDIRECT("'"&amp;$A8&amp;"'!L16"),"")</f>
        <v>6</v>
      </c>
      <c r="G8" s="94">
        <f t="shared" ref="G8:G13" ca="1" si="10">IF($A8&lt;&gt;"",INDIRECT("'"&amp;$A8&amp;"'!L17"),"")</f>
        <v>6</v>
      </c>
      <c r="H8" s="94">
        <f t="shared" ref="H8:H13" ca="1" si="11">IF($A8&lt;&gt;"",INDIRECT("'"&amp;$A8&amp;"'!L18"),"")</f>
        <v>4</v>
      </c>
      <c r="I8" s="94">
        <f t="shared" ref="I8:I13" ca="1" si="12">IF($A8&lt;&gt;"",INDIRECT("'"&amp;$A8&amp;"'!L19"),"")</f>
        <v>4</v>
      </c>
      <c r="J8" s="94">
        <f t="shared" ref="J8:J13" ca="1" si="13">IF($A8&lt;&gt;"",INDIRECT("'"&amp;$A8&amp;"'!L20"),"")</f>
        <v>3</v>
      </c>
      <c r="K8" s="94">
        <f t="shared" ref="K8:K13" ca="1" si="14">IF($A8&lt;&gt;"",INDIRECT("'"&amp;$A8&amp;"'!L21"),"")</f>
        <v>7</v>
      </c>
      <c r="L8" s="94">
        <f t="shared" ref="L8:L13" ca="1" si="15">IF($A8&lt;&gt;"",INDIRECT("'"&amp;$A8&amp;"'!L22"),"")</f>
        <v>1</v>
      </c>
      <c r="M8" s="94">
        <f t="shared" ref="M8:M13" ca="1" si="16">IF($A8&lt;&gt;"",INDIRECT("'"&amp;$A8&amp;"'!L23"),"")</f>
        <v>1</v>
      </c>
      <c r="N8" s="94">
        <f t="shared" ref="N8:N13" ca="1" si="17">IF($A8&lt;&gt;"",INDIRECT("'"&amp;$A8&amp;"'!L24"),"")</f>
        <v>10</v>
      </c>
      <c r="O8" s="94">
        <f t="shared" ref="O8:O13" ca="1" si="18">IF($A8&lt;&gt;"",INDIRECT("'"&amp;$A8&amp;"'!L25"),"")</f>
        <v>1</v>
      </c>
      <c r="P8" s="94">
        <f t="shared" ref="P8:P13" ca="1" si="19">IF($A8&lt;&gt;"",INDIRECT("'"&amp;$A8&amp;"'!L26"),"")</f>
        <v>8.5</v>
      </c>
      <c r="Q8" s="94">
        <f t="shared" ref="Q8:Q13" ca="1" si="20">IF($A8&lt;&gt;"",INDIRECT("'"&amp;$A8&amp;"'!L27"),"")</f>
        <v>8.5</v>
      </c>
      <c r="R8" s="94">
        <f t="shared" ref="R8:R13" ca="1" si="21">IF($A8&lt;&gt;"",INDIRECT("'"&amp;$A8&amp;"'!L28"),"")</f>
        <v>7</v>
      </c>
      <c r="Y8" s="94">
        <f t="shared" ref="Y8:Y13" ca="1" si="22">IF($A8&lt;&gt;"",INDIRECT("'"&amp;$A8&amp;"'!L35"),"")</f>
        <v>10</v>
      </c>
      <c r="Z8" s="95">
        <f t="shared" ref="Z8:Z13" ca="1" si="23">IF($A8&lt;&gt;"",INDIRECT("'"&amp;$A8&amp;"'!L36"),"")</f>
        <v>100</v>
      </c>
      <c r="AA8" s="104">
        <f t="shared" ref="AA8:AA13" ca="1" si="24">IF($A8&lt;&gt;"",SUM(C22:Y22)/COUNT(C8:Y8),"")</f>
        <v>0.76470588235294112</v>
      </c>
      <c r="AB8" s="95">
        <f t="shared" ref="AB8:AB13" ca="1" si="25">IF($A8&lt;&gt;"",INDIRECT("'"&amp;$A8&amp;"'!F36"),"")</f>
        <v>15</v>
      </c>
      <c r="AC8" s="95">
        <f t="shared" ref="AC8:AC13" ca="1" si="26">IF($A8&lt;&gt;"",INDIRECT("'"&amp;$A8&amp;"'!H36"),"")</f>
        <v>9</v>
      </c>
      <c r="AD8" s="95">
        <f t="shared" ref="AD8:AD13" ca="1" si="27">IF($A8&lt;&gt;"",INDIRECT("'"&amp;$A8&amp;"'!I36"),"")</f>
        <v>6</v>
      </c>
      <c r="AE8" s="94">
        <f t="shared" ref="AE8:AE13" ca="1" si="28">IF($A8&lt;&gt;"",INDIRECT("'"&amp;$A8&amp;"'!J36"),"")</f>
        <v>0</v>
      </c>
      <c r="AF8" s="95">
        <f t="shared" ref="AF8:AF13" ca="1" si="29">IF($A8&lt;&gt;"",INDIRECT("'"&amp;$A8&amp;"'!K36"),"")</f>
        <v>0</v>
      </c>
    </row>
    <row r="9" spans="1:32" ht="15" customHeight="1" x14ac:dyDescent="0.2">
      <c r="A9" s="20" t="s">
        <v>68</v>
      </c>
      <c r="B9" s="20" t="str">
        <f t="shared" ca="1" si="5"/>
        <v>two(CB)</v>
      </c>
      <c r="C9" s="94">
        <f t="shared" ca="1" si="6"/>
        <v>9</v>
      </c>
      <c r="D9" s="94">
        <f t="shared" ca="1" si="7"/>
        <v>7</v>
      </c>
      <c r="E9" s="94">
        <f t="shared" ca="1" si="8"/>
        <v>7</v>
      </c>
      <c r="F9" s="94">
        <f t="shared" ca="1" si="9"/>
        <v>6</v>
      </c>
      <c r="G9" s="94">
        <f t="shared" ca="1" si="10"/>
        <v>5</v>
      </c>
      <c r="H9" s="94">
        <f t="shared" ca="1" si="11"/>
        <v>5</v>
      </c>
      <c r="I9" s="94">
        <f t="shared" ca="1" si="12"/>
        <v>4</v>
      </c>
      <c r="J9" s="94">
        <f t="shared" ca="1" si="13"/>
        <v>4</v>
      </c>
      <c r="K9" s="94">
        <f t="shared" ca="1" si="14"/>
        <v>2</v>
      </c>
      <c r="L9" s="94">
        <f t="shared" ca="1" si="15"/>
        <v>1</v>
      </c>
      <c r="M9" s="94">
        <f t="shared" ca="1" si="16"/>
        <v>5</v>
      </c>
      <c r="N9" s="94">
        <f t="shared" ca="1" si="17"/>
        <v>10</v>
      </c>
      <c r="O9" s="94">
        <f t="shared" ca="1" si="18"/>
        <v>1</v>
      </c>
      <c r="P9" s="94">
        <f t="shared" ca="1" si="19"/>
        <v>8.5</v>
      </c>
      <c r="Q9" s="94">
        <f t="shared" ca="1" si="20"/>
        <v>8.5</v>
      </c>
      <c r="R9" s="94">
        <f t="shared" ca="1" si="21"/>
        <v>7</v>
      </c>
      <c r="Y9" s="94">
        <f t="shared" ca="1" si="22"/>
        <v>10</v>
      </c>
      <c r="Z9" s="95">
        <f t="shared" ca="1" si="23"/>
        <v>100</v>
      </c>
      <c r="AA9" s="105">
        <f t="shared" ca="1" si="24"/>
        <v>0.88235294117647056</v>
      </c>
      <c r="AB9" s="95">
        <f t="shared" ca="1" si="25"/>
        <v>14</v>
      </c>
      <c r="AC9" s="95">
        <f t="shared" ca="1" si="26"/>
        <v>9</v>
      </c>
      <c r="AD9" s="95">
        <f t="shared" ca="1" si="27"/>
        <v>6</v>
      </c>
      <c r="AE9" s="94">
        <f t="shared" ca="1" si="28"/>
        <v>0</v>
      </c>
      <c r="AF9" s="95">
        <f t="shared" ca="1" si="29"/>
        <v>0</v>
      </c>
    </row>
    <row r="10" spans="1:32" ht="15" customHeight="1" x14ac:dyDescent="0.2">
      <c r="A10" s="20" t="s">
        <v>70</v>
      </c>
      <c r="B10" s="20" t="str">
        <f t="shared" ca="1" si="5"/>
        <v>head(CC)</v>
      </c>
      <c r="C10" s="94">
        <f t="shared" ca="1" si="6"/>
        <v>9</v>
      </c>
      <c r="D10" s="94">
        <f t="shared" ca="1" si="7"/>
        <v>7</v>
      </c>
      <c r="E10" s="94">
        <f t="shared" ca="1" si="8"/>
        <v>7</v>
      </c>
      <c r="F10" s="94">
        <f t="shared" ca="1" si="9"/>
        <v>6</v>
      </c>
      <c r="G10" s="94">
        <f t="shared" ca="1" si="10"/>
        <v>5</v>
      </c>
      <c r="H10" s="94">
        <f t="shared" ca="1" si="11"/>
        <v>5</v>
      </c>
      <c r="I10" s="94">
        <f t="shared" ca="1" si="12"/>
        <v>4</v>
      </c>
      <c r="J10" s="94">
        <f t="shared" ca="1" si="13"/>
        <v>3</v>
      </c>
      <c r="K10" s="94">
        <f t="shared" ca="1" si="14"/>
        <v>2</v>
      </c>
      <c r="L10" s="94">
        <f t="shared" ca="1" si="15"/>
        <v>1</v>
      </c>
      <c r="M10" s="94">
        <f t="shared" ca="1" si="16"/>
        <v>5</v>
      </c>
      <c r="N10" s="94">
        <f t="shared" ca="1" si="17"/>
        <v>10</v>
      </c>
      <c r="O10" s="94">
        <f t="shared" ca="1" si="18"/>
        <v>1</v>
      </c>
      <c r="P10" s="94">
        <f t="shared" ca="1" si="19"/>
        <v>8.5</v>
      </c>
      <c r="Q10" s="94">
        <f t="shared" ca="1" si="20"/>
        <v>8.5</v>
      </c>
      <c r="R10" s="94">
        <f t="shared" ca="1" si="21"/>
        <v>7</v>
      </c>
      <c r="Y10" s="94">
        <f t="shared" ca="1" si="22"/>
        <v>10</v>
      </c>
      <c r="Z10" s="95">
        <f t="shared" ca="1" si="23"/>
        <v>99</v>
      </c>
      <c r="AA10" s="105">
        <f t="shared" ca="1" si="24"/>
        <v>0.88235294117647056</v>
      </c>
      <c r="AB10" s="95">
        <f t="shared" ca="1" si="25"/>
        <v>15</v>
      </c>
      <c r="AC10" s="95">
        <f t="shared" ca="1" si="26"/>
        <v>9</v>
      </c>
      <c r="AD10" s="95">
        <f t="shared" ca="1" si="27"/>
        <v>6</v>
      </c>
      <c r="AE10" s="94">
        <f t="shared" ca="1" si="28"/>
        <v>0</v>
      </c>
      <c r="AF10" s="95">
        <f t="shared" ca="1" si="29"/>
        <v>0</v>
      </c>
    </row>
    <row r="11" spans="1:32" ht="15" customHeight="1" x14ac:dyDescent="0.2">
      <c r="A11" s="20" t="s">
        <v>72</v>
      </c>
      <c r="B11" s="20" t="str">
        <f t="shared" ca="1" si="5"/>
        <v>four-out(C3)</v>
      </c>
      <c r="C11" s="94">
        <f t="shared" ca="1" si="6"/>
        <v>9</v>
      </c>
      <c r="D11" s="94">
        <f t="shared" ca="1" si="7"/>
        <v>8</v>
      </c>
      <c r="E11" s="94">
        <f t="shared" ca="1" si="8"/>
        <v>7</v>
      </c>
      <c r="F11" s="94">
        <f t="shared" ca="1" si="9"/>
        <v>6</v>
      </c>
      <c r="G11" s="94">
        <f t="shared" ca="1" si="10"/>
        <v>5</v>
      </c>
      <c r="H11" s="94">
        <f t="shared" ca="1" si="11"/>
        <v>10</v>
      </c>
      <c r="I11" s="94">
        <f t="shared" ca="1" si="12"/>
        <v>9</v>
      </c>
      <c r="J11" s="94">
        <f t="shared" ca="1" si="13"/>
        <v>8</v>
      </c>
      <c r="K11" s="94">
        <f t="shared" ca="1" si="14"/>
        <v>7</v>
      </c>
      <c r="L11" s="94">
        <f t="shared" ca="1" si="15"/>
        <v>6</v>
      </c>
      <c r="M11" s="94">
        <f t="shared" ca="1" si="16"/>
        <v>1</v>
      </c>
      <c r="N11" s="94">
        <f t="shared" ca="1" si="17"/>
        <v>5.5</v>
      </c>
      <c r="O11" s="94">
        <f t="shared" ca="1" si="18"/>
        <v>1</v>
      </c>
      <c r="P11" s="94">
        <f t="shared" ca="1" si="19"/>
        <v>8.5</v>
      </c>
      <c r="Q11" s="94">
        <f t="shared" ca="1" si="20"/>
        <v>7.5</v>
      </c>
      <c r="R11" s="94">
        <f t="shared" ca="1" si="21"/>
        <v>7</v>
      </c>
      <c r="Y11" s="94">
        <f t="shared" ca="1" si="22"/>
        <v>10</v>
      </c>
      <c r="Z11" s="95">
        <f t="shared" ca="1" si="23"/>
        <v>115.5</v>
      </c>
      <c r="AA11" s="105">
        <f t="shared" ca="1" si="24"/>
        <v>0.52941176470588236</v>
      </c>
      <c r="AB11" s="95">
        <f t="shared" ca="1" si="25"/>
        <v>20</v>
      </c>
      <c r="AC11" s="95">
        <f t="shared" ca="1" si="26"/>
        <v>9</v>
      </c>
      <c r="AD11" s="95">
        <f t="shared" ca="1" si="27"/>
        <v>2</v>
      </c>
      <c r="AE11" s="94">
        <f t="shared" ca="1" si="28"/>
        <v>0</v>
      </c>
      <c r="AF11" s="95">
        <f t="shared" ca="1" si="29"/>
        <v>0</v>
      </c>
    </row>
    <row r="12" spans="1:32" ht="15" customHeight="1" thickBot="1" x14ac:dyDescent="0.25">
      <c r="A12" s="20" t="s">
        <v>74</v>
      </c>
      <c r="B12" s="106" t="str">
        <f t="shared" ca="1" si="5"/>
        <v>five(CE)</v>
      </c>
      <c r="C12" s="107">
        <f t="shared" ca="1" si="6"/>
        <v>9</v>
      </c>
      <c r="D12" s="107">
        <f t="shared" ca="1" si="7"/>
        <v>7</v>
      </c>
      <c r="E12" s="107">
        <f t="shared" ca="1" si="8"/>
        <v>7</v>
      </c>
      <c r="F12" s="107">
        <f t="shared" ca="1" si="9"/>
        <v>6</v>
      </c>
      <c r="G12" s="107">
        <f t="shared" ca="1" si="10"/>
        <v>5</v>
      </c>
      <c r="H12" s="107">
        <f t="shared" ca="1" si="11"/>
        <v>5</v>
      </c>
      <c r="I12" s="107">
        <f t="shared" ca="1" si="12"/>
        <v>4</v>
      </c>
      <c r="J12" s="107">
        <f t="shared" ca="1" si="13"/>
        <v>3</v>
      </c>
      <c r="K12" s="107">
        <f t="shared" ca="1" si="14"/>
        <v>2</v>
      </c>
      <c r="L12" s="107">
        <f t="shared" ca="1" si="15"/>
        <v>1</v>
      </c>
      <c r="M12" s="107">
        <f t="shared" ca="1" si="16"/>
        <v>1</v>
      </c>
      <c r="N12" s="107">
        <f t="shared" ca="1" si="17"/>
        <v>10</v>
      </c>
      <c r="O12" s="107">
        <f t="shared" ca="1" si="18"/>
        <v>2.5</v>
      </c>
      <c r="P12" s="107">
        <f t="shared" ca="1" si="19"/>
        <v>8.5</v>
      </c>
      <c r="Q12" s="107">
        <f t="shared" ca="1" si="20"/>
        <v>7.5</v>
      </c>
      <c r="R12" s="107">
        <f t="shared" ca="1" si="21"/>
        <v>7</v>
      </c>
      <c r="Y12" s="107">
        <f t="shared" ca="1" si="22"/>
        <v>6</v>
      </c>
      <c r="Z12" s="108">
        <f t="shared" ca="1" si="23"/>
        <v>91.5</v>
      </c>
      <c r="AA12" s="105">
        <f t="shared" ca="1" si="24"/>
        <v>0.76470588235294112</v>
      </c>
      <c r="AB12" s="108">
        <f t="shared" ca="1" si="25"/>
        <v>17</v>
      </c>
      <c r="AC12" s="108">
        <f t="shared" ca="1" si="26"/>
        <v>9</v>
      </c>
      <c r="AD12" s="108">
        <f t="shared" ca="1" si="27"/>
        <v>7</v>
      </c>
      <c r="AE12" s="107">
        <f t="shared" ca="1" si="28"/>
        <v>0</v>
      </c>
      <c r="AF12" s="108">
        <f t="shared" ca="1" si="29"/>
        <v>0</v>
      </c>
    </row>
    <row r="13" spans="1:32" ht="15" customHeight="1" thickBot="1" x14ac:dyDescent="0.25">
      <c r="A13" s="109" t="s">
        <v>76</v>
      </c>
      <c r="B13" s="109" t="str">
        <f t="shared" ca="1" si="5"/>
        <v>springer(CF)</v>
      </c>
      <c r="C13" s="110">
        <f t="shared" ca="1" si="6"/>
        <v>9</v>
      </c>
      <c r="D13" s="110">
        <f t="shared" ca="1" si="7"/>
        <v>7</v>
      </c>
      <c r="E13" s="110">
        <f t="shared" ca="1" si="8"/>
        <v>7</v>
      </c>
      <c r="F13" s="110">
        <f t="shared" ca="1" si="9"/>
        <v>6</v>
      </c>
      <c r="G13" s="110">
        <f t="shared" ca="1" si="10"/>
        <v>5</v>
      </c>
      <c r="H13" s="110">
        <f t="shared" ca="1" si="11"/>
        <v>2</v>
      </c>
      <c r="I13" s="110">
        <f t="shared" ca="1" si="12"/>
        <v>4</v>
      </c>
      <c r="J13" s="110">
        <f t="shared" ca="1" si="13"/>
        <v>4</v>
      </c>
      <c r="K13" s="110">
        <f t="shared" ca="1" si="14"/>
        <v>2</v>
      </c>
      <c r="L13" s="110">
        <f t="shared" ca="1" si="15"/>
        <v>1</v>
      </c>
      <c r="M13" s="110">
        <f t="shared" ca="1" si="16"/>
        <v>3</v>
      </c>
      <c r="N13" s="110">
        <f t="shared" ca="1" si="17"/>
        <v>7.5</v>
      </c>
      <c r="O13" s="110">
        <f t="shared" ca="1" si="18"/>
        <v>1</v>
      </c>
      <c r="P13" s="110">
        <f t="shared" ca="1" si="19"/>
        <v>8.5</v>
      </c>
      <c r="Q13" s="110">
        <f t="shared" ca="1" si="20"/>
        <v>7.5</v>
      </c>
      <c r="R13" s="110">
        <f t="shared" ca="1" si="21"/>
        <v>7</v>
      </c>
      <c r="Y13" s="110">
        <f t="shared" ca="1" si="22"/>
        <v>6</v>
      </c>
      <c r="Z13" s="111">
        <f t="shared" ca="1" si="23"/>
        <v>87.5</v>
      </c>
      <c r="AA13" s="112">
        <f t="shared" ca="1" si="24"/>
        <v>0.76470588235294112</v>
      </c>
      <c r="AB13" s="111">
        <f t="shared" ca="1" si="25"/>
        <v>16</v>
      </c>
      <c r="AC13" s="111">
        <f t="shared" ca="1" si="26"/>
        <v>11</v>
      </c>
      <c r="AD13" s="111">
        <f t="shared" ca="1" si="27"/>
        <v>7</v>
      </c>
      <c r="AE13" s="110">
        <f t="shared" ca="1" si="28"/>
        <v>0</v>
      </c>
      <c r="AF13" s="111">
        <f t="shared" ca="1" si="29"/>
        <v>0</v>
      </c>
    </row>
    <row r="14" spans="1:3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Y14" s="114"/>
      <c r="Z14" s="115"/>
      <c r="AA14" s="116"/>
      <c r="AB14" s="117"/>
      <c r="AC14" s="117"/>
      <c r="AD14" s="117"/>
      <c r="AE14" s="114"/>
      <c r="AF14" s="117"/>
    </row>
    <row r="15" spans="1:32" ht="15" customHeight="1" x14ac:dyDescent="0.2">
      <c r="A15" s="113" t="s">
        <v>80</v>
      </c>
      <c r="B15" s="113" t="str">
        <f t="shared" ref="B15:B16" ca="1" si="30">IF(A15&lt;&gt;"",INDIRECT("'"&amp;$A15&amp;"'!E5"),"")</f>
        <v>trainee1(CH)</v>
      </c>
      <c r="C15" s="114">
        <f t="shared" ref="C15:C16" ca="1" si="31">IF($A15&lt;&gt;"",INDIRECT("'"&amp;$A15&amp;"'!L13"),"")</f>
        <v>9</v>
      </c>
      <c r="D15" s="114">
        <f t="shared" ref="D15:D16" ca="1" si="32">IF($A15&lt;&gt;"",INDIRECT("'"&amp;$A15&amp;"'!L14"),"")</f>
        <v>7</v>
      </c>
      <c r="E15" s="114">
        <f t="shared" ref="E15:E16" ca="1" si="33">IF($A15&lt;&gt;"",INDIRECT("'"&amp;$A15&amp;"'!L15"),"")</f>
        <v>7</v>
      </c>
      <c r="F15" s="114">
        <f t="shared" ref="F15:F16" ca="1" si="34">IF($A15&lt;&gt;"",INDIRECT("'"&amp;$A15&amp;"'!L16"),"")</f>
        <v>6</v>
      </c>
      <c r="G15" s="114">
        <f t="shared" ref="G15:G16" ca="1" si="35">IF($A15&lt;&gt;"",INDIRECT("'"&amp;$A15&amp;"'!L17"),"")</f>
        <v>6</v>
      </c>
      <c r="H15" s="114">
        <f t="shared" ref="H15:H16" ca="1" si="36">IF($A15&lt;&gt;"",INDIRECT("'"&amp;$A15&amp;"'!L18"),"")</f>
        <v>5</v>
      </c>
      <c r="I15" s="114">
        <f t="shared" ref="I15:I16" ca="1" si="37">IF($A15&lt;&gt;"",INDIRECT("'"&amp;$A15&amp;"'!L19"),"")</f>
        <v>4</v>
      </c>
      <c r="J15" s="114">
        <f t="shared" ref="J15:J16" ca="1" si="38">IF($A15&lt;&gt;"",INDIRECT("'"&amp;$A15&amp;"'!L20"),"")</f>
        <v>3</v>
      </c>
      <c r="K15" s="114">
        <f t="shared" ref="K15:K16" ca="1" si="39">IF($A15&lt;&gt;"",INDIRECT("'"&amp;$A15&amp;"'!L21"),"")</f>
        <v>2</v>
      </c>
      <c r="L15" s="114">
        <f t="shared" ref="L15:L16" ca="1" si="40">IF($A15&lt;&gt;"",INDIRECT("'"&amp;$A15&amp;"'!L22"),"")</f>
        <v>1</v>
      </c>
      <c r="M15" s="114">
        <f t="shared" ref="M15:M16" ca="1" si="41">IF($A15&lt;&gt;"",INDIRECT("'"&amp;$A15&amp;"'!L23"),"")</f>
        <v>1</v>
      </c>
      <c r="N15" s="114">
        <f t="shared" ref="N15:N16" ca="1" si="42">IF($A15&lt;&gt;"",INDIRECT("'"&amp;$A15&amp;"'!L24"),"")</f>
        <v>10</v>
      </c>
      <c r="O15" s="114">
        <f t="shared" ref="O15:O16" ca="1" si="43">IF($A15&lt;&gt;"",INDIRECT("'"&amp;$A15&amp;"'!L25"),"")</f>
        <v>1</v>
      </c>
      <c r="P15" s="114">
        <f t="shared" ref="P15:P16" ca="1" si="44">IF($A15&lt;&gt;"",INDIRECT("'"&amp;$A15&amp;"'!L26"),"")</f>
        <v>8.5</v>
      </c>
      <c r="Q15" s="114">
        <f t="shared" ref="Q15:Q16" ca="1" si="45">IF($A15&lt;&gt;"",INDIRECT("'"&amp;$A15&amp;"'!L27"),"")</f>
        <v>7.5</v>
      </c>
      <c r="R15" s="114">
        <f t="shared" ref="R15:R16" ca="1" si="46">IF($A15&lt;&gt;"",INDIRECT("'"&amp;$A15&amp;"'!L28"),"")</f>
        <v>7</v>
      </c>
      <c r="Y15" s="114">
        <f t="shared" ref="Y15:Y16" ca="1" si="47">IF($A15&lt;&gt;"",INDIRECT("'"&amp;$A15&amp;"'!L35"),"")</f>
        <v>10</v>
      </c>
      <c r="Z15" s="117">
        <f t="shared" ref="Z15:Z16" ca="1" si="48">IF($A15&lt;&gt;"",INDIRECT("'"&amp;$A15&amp;"'!L36"),"")</f>
        <v>95</v>
      </c>
      <c r="AA15" s="118">
        <f t="shared" ref="AA15:AA16" ca="1" si="49">IF($A15&lt;&gt;"",SUM(C29:Y29)/COUNT(C15:Y15),"")</f>
        <v>0.82352941176470584</v>
      </c>
      <c r="AB15" s="117">
        <f t="shared" ref="AB15:AB16" ca="1" si="50">IF($A15&lt;&gt;"",INDIRECT("'"&amp;$A15&amp;"'!F36"),"")</f>
        <v>15</v>
      </c>
      <c r="AC15" s="117">
        <f t="shared" ref="AC15:AC16" ca="1" si="51">IF($A15&lt;&gt;"",INDIRECT("'"&amp;$A15&amp;"'!H36"),"")</f>
        <v>9</v>
      </c>
      <c r="AD15" s="117">
        <f t="shared" ref="AD15:AD16" ca="1" si="52">IF($A15&lt;&gt;"",INDIRECT("'"&amp;$A15&amp;"'!I36"),"")</f>
        <v>7</v>
      </c>
      <c r="AE15" s="114">
        <f t="shared" ref="AE15:AE16" ca="1" si="53">IF($A15&lt;&gt;"",INDIRECT("'"&amp;$A15&amp;"'!J36"),"")</f>
        <v>0</v>
      </c>
      <c r="AF15" s="117">
        <f t="shared" ref="AF15:AF16" ca="1" si="54">IF($A15&lt;&gt;"",INDIRECT("'"&amp;$A15&amp;"'!K36"),"")</f>
        <v>0</v>
      </c>
    </row>
    <row r="16" spans="1:32" ht="15" customHeight="1" x14ac:dyDescent="0.2">
      <c r="A16" s="113"/>
      <c r="B16" s="113" t="str">
        <f t="shared" ca="1" si="30"/>
        <v/>
      </c>
      <c r="C16" s="114" t="str">
        <f t="shared" ca="1" si="31"/>
        <v/>
      </c>
      <c r="D16" s="114" t="str">
        <f t="shared" ca="1" si="32"/>
        <v/>
      </c>
      <c r="E16" s="114" t="str">
        <f t="shared" ca="1" si="33"/>
        <v/>
      </c>
      <c r="F16" s="114" t="str">
        <f t="shared" ca="1" si="34"/>
        <v/>
      </c>
      <c r="G16" s="114" t="str">
        <f t="shared" ca="1" si="35"/>
        <v/>
      </c>
      <c r="H16" s="114" t="str">
        <f t="shared" ca="1" si="36"/>
        <v/>
      </c>
      <c r="I16" s="114" t="str">
        <f t="shared" ca="1" si="37"/>
        <v/>
      </c>
      <c r="J16" s="114" t="str">
        <f t="shared" ca="1" si="38"/>
        <v/>
      </c>
      <c r="K16" s="114" t="str">
        <f t="shared" ca="1" si="39"/>
        <v/>
      </c>
      <c r="L16" s="114" t="str">
        <f t="shared" ca="1" si="40"/>
        <v/>
      </c>
      <c r="M16" s="114" t="str">
        <f t="shared" ca="1" si="41"/>
        <v/>
      </c>
      <c r="N16" s="114" t="str">
        <f t="shared" ca="1" si="42"/>
        <v/>
      </c>
      <c r="O16" s="114" t="str">
        <f t="shared" ca="1" si="43"/>
        <v/>
      </c>
      <c r="P16" s="114" t="str">
        <f t="shared" ca="1" si="44"/>
        <v/>
      </c>
      <c r="Q16" s="114" t="str">
        <f t="shared" ca="1" si="45"/>
        <v/>
      </c>
      <c r="R16" s="114" t="str">
        <f t="shared" ca="1" si="46"/>
        <v/>
      </c>
      <c r="Y16" s="114" t="str">
        <f t="shared" ca="1" si="47"/>
        <v/>
      </c>
      <c r="Z16" s="117" t="str">
        <f t="shared" ca="1" si="48"/>
        <v/>
      </c>
      <c r="AA16" s="118" t="str">
        <f t="shared" si="49"/>
        <v/>
      </c>
      <c r="AB16" s="117" t="str">
        <f t="shared" ca="1" si="50"/>
        <v/>
      </c>
      <c r="AC16" s="117" t="str">
        <f t="shared" ca="1" si="51"/>
        <v/>
      </c>
      <c r="AD16" s="117" t="str">
        <f t="shared" ca="1" si="52"/>
        <v/>
      </c>
      <c r="AE16" s="114" t="str">
        <f t="shared" ca="1" si="53"/>
        <v/>
      </c>
      <c r="AF16" s="117" t="str">
        <f t="shared" ca="1" si="54"/>
        <v/>
      </c>
    </row>
    <row r="17" spans="1:32" ht="15" customHeight="1" x14ac:dyDescent="0.2">
      <c r="AF17" s="119"/>
    </row>
    <row r="18" spans="1:32" ht="15" customHeight="1" x14ac:dyDescent="0.2">
      <c r="AF18" s="120"/>
    </row>
    <row r="21" spans="1:32" ht="15" hidden="1" customHeight="1" x14ac:dyDescent="0.2">
      <c r="A21" s="20" t="s">
        <v>37</v>
      </c>
    </row>
    <row r="22" spans="1:32" ht="15" hidden="1" customHeight="1" x14ac:dyDescent="0.2">
      <c r="A22" s="20" t="str">
        <f t="shared" ref="A22:B27" si="55">A8</f>
        <v>Wertung 1</v>
      </c>
      <c r="B22" s="20" t="str">
        <f t="shared" ca="1" si="55"/>
        <v>one(CA)</v>
      </c>
      <c r="C22" s="20">
        <f t="shared" ref="C22:Y22" ca="1" si="56">IF($A8&lt;&gt;"",IF(ABS(C$3/3-C8)&lt;=0.75,1,0),"")</f>
        <v>1</v>
      </c>
      <c r="D22" s="20">
        <f t="shared" ca="1" si="56"/>
        <v>1</v>
      </c>
      <c r="E22" s="20">
        <f t="shared" ca="1" si="56"/>
        <v>1</v>
      </c>
      <c r="F22" s="20">
        <f t="shared" ca="1" si="56"/>
        <v>1</v>
      </c>
      <c r="G22" s="20">
        <f t="shared" ca="1" si="56"/>
        <v>0</v>
      </c>
      <c r="H22" s="20">
        <f t="shared" ca="1" si="56"/>
        <v>0</v>
      </c>
      <c r="I22" s="20">
        <f t="shared" ca="1" si="56"/>
        <v>1</v>
      </c>
      <c r="J22" s="20">
        <f t="shared" ca="1" si="56"/>
        <v>1</v>
      </c>
      <c r="K22" s="20">
        <f t="shared" ca="1" si="56"/>
        <v>0</v>
      </c>
      <c r="L22" s="20">
        <f t="shared" ca="1" si="56"/>
        <v>1</v>
      </c>
      <c r="M22" s="20">
        <f t="shared" ca="1" si="56"/>
        <v>0</v>
      </c>
      <c r="N22" s="20">
        <f t="shared" ca="1" si="56"/>
        <v>1</v>
      </c>
      <c r="O22" s="20">
        <f t="shared" ca="1" si="56"/>
        <v>1</v>
      </c>
      <c r="P22" s="20">
        <f t="shared" ca="1" si="56"/>
        <v>1</v>
      </c>
      <c r="Q22" s="20">
        <f t="shared" ca="1" si="56"/>
        <v>1</v>
      </c>
      <c r="R22" s="20">
        <f t="shared" ca="1" si="56"/>
        <v>1</v>
      </c>
      <c r="Y22" s="20">
        <f t="shared" ca="1" si="56"/>
        <v>1</v>
      </c>
    </row>
    <row r="23" spans="1:32" ht="15" hidden="1" customHeight="1" x14ac:dyDescent="0.2">
      <c r="A23" s="20" t="str">
        <f t="shared" si="55"/>
        <v>Wertung 2</v>
      </c>
      <c r="B23" s="20" t="str">
        <f t="shared" ca="1" si="55"/>
        <v>two(CB)</v>
      </c>
      <c r="C23" s="20">
        <f t="shared" ref="C23:Y23" ca="1" si="57">IF($A9&lt;&gt;"",IF(ABS(C$3/3-C9)&lt;=0.75,1,0),"")</f>
        <v>1</v>
      </c>
      <c r="D23" s="20">
        <f t="shared" ca="1" si="57"/>
        <v>1</v>
      </c>
      <c r="E23" s="20">
        <f t="shared" ca="1" si="57"/>
        <v>1</v>
      </c>
      <c r="F23" s="20">
        <f t="shared" ca="1" si="57"/>
        <v>1</v>
      </c>
      <c r="G23" s="20">
        <f t="shared" ca="1" si="57"/>
        <v>1</v>
      </c>
      <c r="H23" s="20">
        <f t="shared" ca="1" si="57"/>
        <v>1</v>
      </c>
      <c r="I23" s="20">
        <f t="shared" ca="1" si="57"/>
        <v>1</v>
      </c>
      <c r="J23" s="20">
        <f t="shared" ca="1" si="57"/>
        <v>1</v>
      </c>
      <c r="K23" s="20">
        <f t="shared" ca="1" si="57"/>
        <v>0</v>
      </c>
      <c r="L23" s="20">
        <f t="shared" ca="1" si="57"/>
        <v>1</v>
      </c>
      <c r="M23" s="20">
        <f t="shared" ca="1" si="57"/>
        <v>0</v>
      </c>
      <c r="N23" s="20">
        <f t="shared" ca="1" si="57"/>
        <v>1</v>
      </c>
      <c r="O23" s="20">
        <f t="shared" ca="1" si="57"/>
        <v>1</v>
      </c>
      <c r="P23" s="20">
        <f t="shared" ca="1" si="57"/>
        <v>1</v>
      </c>
      <c r="Q23" s="20">
        <f t="shared" ca="1" si="57"/>
        <v>1</v>
      </c>
      <c r="R23" s="20">
        <f t="shared" ca="1" si="57"/>
        <v>1</v>
      </c>
      <c r="Y23" s="20">
        <f t="shared" ca="1" si="57"/>
        <v>1</v>
      </c>
    </row>
    <row r="24" spans="1:32" ht="15" hidden="1" customHeight="1" x14ac:dyDescent="0.2">
      <c r="A24" s="20" t="str">
        <f t="shared" si="55"/>
        <v>Wertung 3 (H)</v>
      </c>
      <c r="B24" s="20" t="str">
        <f t="shared" ca="1" si="55"/>
        <v>head(CC)</v>
      </c>
      <c r="C24" s="20">
        <f t="shared" ref="C24:Y24" ca="1" si="58">IF($A10&lt;&gt;"",IF(ABS(C$3/3-C10)&lt;=0.75,1,0),"")</f>
        <v>1</v>
      </c>
      <c r="D24" s="20">
        <f t="shared" ca="1" si="58"/>
        <v>1</v>
      </c>
      <c r="E24" s="20">
        <f t="shared" ca="1" si="58"/>
        <v>1</v>
      </c>
      <c r="F24" s="20">
        <f t="shared" ca="1" si="58"/>
        <v>1</v>
      </c>
      <c r="G24" s="20">
        <f t="shared" ca="1" si="58"/>
        <v>1</v>
      </c>
      <c r="H24" s="20">
        <f t="shared" ca="1" si="58"/>
        <v>1</v>
      </c>
      <c r="I24" s="20">
        <f t="shared" ca="1" si="58"/>
        <v>1</v>
      </c>
      <c r="J24" s="20">
        <f t="shared" ca="1" si="58"/>
        <v>1</v>
      </c>
      <c r="K24" s="20">
        <f t="shared" ca="1" si="58"/>
        <v>0</v>
      </c>
      <c r="L24" s="20">
        <f t="shared" ca="1" si="58"/>
        <v>1</v>
      </c>
      <c r="M24" s="20">
        <f t="shared" ca="1" si="58"/>
        <v>0</v>
      </c>
      <c r="N24" s="20">
        <f t="shared" ca="1" si="58"/>
        <v>1</v>
      </c>
      <c r="O24" s="20">
        <f t="shared" ca="1" si="58"/>
        <v>1</v>
      </c>
      <c r="P24" s="20">
        <f t="shared" ca="1" si="58"/>
        <v>1</v>
      </c>
      <c r="Q24" s="20">
        <f t="shared" ca="1" si="58"/>
        <v>1</v>
      </c>
      <c r="R24" s="20">
        <f t="shared" ca="1" si="58"/>
        <v>1</v>
      </c>
      <c r="Y24" s="20">
        <f t="shared" ca="1" si="58"/>
        <v>1</v>
      </c>
    </row>
    <row r="25" spans="1:32" ht="15" hidden="1" customHeight="1" x14ac:dyDescent="0.2">
      <c r="A25" s="20" t="str">
        <f t="shared" si="55"/>
        <v>Wertung 4</v>
      </c>
      <c r="B25" s="20" t="str">
        <f t="shared" ca="1" si="55"/>
        <v>four-out(C3)</v>
      </c>
      <c r="C25" s="20">
        <f t="shared" ref="C25:Y25" ca="1" si="59">IF($A11&lt;&gt;"",IF(ABS(C$3/3-C11)&lt;=0.75,1,0),"")</f>
        <v>1</v>
      </c>
      <c r="D25" s="20">
        <f t="shared" ca="1" si="59"/>
        <v>0</v>
      </c>
      <c r="E25" s="20">
        <f t="shared" ca="1" si="59"/>
        <v>1</v>
      </c>
      <c r="F25" s="20">
        <f t="shared" ca="1" si="59"/>
        <v>1</v>
      </c>
      <c r="G25" s="20">
        <f t="shared" ca="1" si="59"/>
        <v>1</v>
      </c>
      <c r="H25" s="20">
        <f t="shared" ca="1" si="59"/>
        <v>0</v>
      </c>
      <c r="I25" s="20">
        <f t="shared" ca="1" si="59"/>
        <v>0</v>
      </c>
      <c r="J25" s="20">
        <f t="shared" ca="1" si="59"/>
        <v>0</v>
      </c>
      <c r="K25" s="20">
        <f t="shared" ca="1" si="59"/>
        <v>0</v>
      </c>
      <c r="L25" s="20">
        <f t="shared" ca="1" si="59"/>
        <v>0</v>
      </c>
      <c r="M25" s="20">
        <f t="shared" ca="1" si="59"/>
        <v>0</v>
      </c>
      <c r="N25" s="20">
        <f t="shared" ca="1" si="59"/>
        <v>0</v>
      </c>
      <c r="O25" s="20">
        <f t="shared" ca="1" si="59"/>
        <v>1</v>
      </c>
      <c r="P25" s="20">
        <f t="shared" ca="1" si="59"/>
        <v>1</v>
      </c>
      <c r="Q25" s="20">
        <f t="shared" ca="1" si="59"/>
        <v>1</v>
      </c>
      <c r="R25" s="20">
        <f t="shared" ca="1" si="59"/>
        <v>1</v>
      </c>
      <c r="Y25" s="20">
        <f t="shared" ca="1" si="59"/>
        <v>1</v>
      </c>
    </row>
    <row r="26" spans="1:32" ht="15" hidden="1" customHeight="1" x14ac:dyDescent="0.2">
      <c r="A26" s="20" t="str">
        <f t="shared" si="55"/>
        <v>Wertung 5</v>
      </c>
      <c r="B26" s="20" t="str">
        <f t="shared" ca="1" si="55"/>
        <v>five(CE)</v>
      </c>
      <c r="C26" s="20">
        <f t="shared" ref="C26:Y26" ca="1" si="60">IF($A12&lt;&gt;"",IF(ABS(C$3/3-C12)&lt;=0.75,1,0),"")</f>
        <v>1</v>
      </c>
      <c r="D26" s="20">
        <f t="shared" ca="1" si="60"/>
        <v>1</v>
      </c>
      <c r="E26" s="20">
        <f t="shared" ca="1" si="60"/>
        <v>1</v>
      </c>
      <c r="F26" s="20">
        <f t="shared" ca="1" si="60"/>
        <v>1</v>
      </c>
      <c r="G26" s="20">
        <f t="shared" ca="1" si="60"/>
        <v>1</v>
      </c>
      <c r="H26" s="20">
        <f t="shared" ca="1" si="60"/>
        <v>1</v>
      </c>
      <c r="I26" s="20">
        <f t="shared" ca="1" si="60"/>
        <v>1</v>
      </c>
      <c r="J26" s="20">
        <f t="shared" ca="1" si="60"/>
        <v>1</v>
      </c>
      <c r="K26" s="20">
        <f t="shared" ca="1" si="60"/>
        <v>0</v>
      </c>
      <c r="L26" s="20">
        <f t="shared" ca="1" si="60"/>
        <v>1</v>
      </c>
      <c r="M26" s="20">
        <f t="shared" ca="1" si="60"/>
        <v>0</v>
      </c>
      <c r="N26" s="20">
        <f t="shared" ca="1" si="60"/>
        <v>1</v>
      </c>
      <c r="O26" s="20">
        <f t="shared" ca="1" si="60"/>
        <v>0</v>
      </c>
      <c r="P26" s="20">
        <f t="shared" ca="1" si="60"/>
        <v>1</v>
      </c>
      <c r="Q26" s="20">
        <f t="shared" ca="1" si="60"/>
        <v>1</v>
      </c>
      <c r="R26" s="20">
        <f t="shared" ca="1" si="60"/>
        <v>1</v>
      </c>
      <c r="Y26" s="20">
        <f t="shared" ca="1" si="60"/>
        <v>0</v>
      </c>
    </row>
    <row r="27" spans="1:32" ht="15" hidden="1" customHeight="1" x14ac:dyDescent="0.2">
      <c r="A27" s="20" t="str">
        <f t="shared" si="55"/>
        <v>Springer</v>
      </c>
      <c r="B27" s="20" t="str">
        <f t="shared" ca="1" si="55"/>
        <v>springer(CF)</v>
      </c>
      <c r="C27" s="20">
        <f t="shared" ref="C27:Y27" ca="1" si="61">IF($A13&lt;&gt;"",IF(ABS(C$3/3-C13)&lt;=0.75,1,0),"")</f>
        <v>1</v>
      </c>
      <c r="D27" s="20">
        <f t="shared" ca="1" si="61"/>
        <v>1</v>
      </c>
      <c r="E27" s="20">
        <f t="shared" ca="1" si="61"/>
        <v>1</v>
      </c>
      <c r="F27" s="20">
        <f t="shared" ca="1" si="61"/>
        <v>1</v>
      </c>
      <c r="G27" s="20">
        <f t="shared" ca="1" si="61"/>
        <v>1</v>
      </c>
      <c r="H27" s="20">
        <f t="shared" ca="1" si="61"/>
        <v>0</v>
      </c>
      <c r="I27" s="20">
        <f t="shared" ca="1" si="61"/>
        <v>1</v>
      </c>
      <c r="J27" s="20">
        <f t="shared" ca="1" si="61"/>
        <v>1</v>
      </c>
      <c r="K27" s="20">
        <f t="shared" ca="1" si="61"/>
        <v>0</v>
      </c>
      <c r="L27" s="20">
        <f t="shared" ca="1" si="61"/>
        <v>1</v>
      </c>
      <c r="M27" s="20">
        <f t="shared" ca="1" si="61"/>
        <v>1</v>
      </c>
      <c r="N27" s="20">
        <f t="shared" ca="1" si="61"/>
        <v>0</v>
      </c>
      <c r="O27" s="20">
        <f t="shared" ca="1" si="61"/>
        <v>1</v>
      </c>
      <c r="P27" s="20">
        <f t="shared" ca="1" si="61"/>
        <v>1</v>
      </c>
      <c r="Q27" s="20">
        <f t="shared" ca="1" si="61"/>
        <v>1</v>
      </c>
      <c r="R27" s="20">
        <f t="shared" ca="1" si="61"/>
        <v>1</v>
      </c>
      <c r="Y27" s="20">
        <f t="shared" ca="1" si="61"/>
        <v>0</v>
      </c>
    </row>
    <row r="28" spans="1:32" ht="15" hidden="1" customHeight="1" x14ac:dyDescent="0.2"/>
    <row r="29" spans="1:32" ht="15" hidden="1" customHeight="1" x14ac:dyDescent="0.2">
      <c r="A29" s="20" t="str">
        <f>A15</f>
        <v>Hospitant 1</v>
      </c>
      <c r="B29" s="20" t="str">
        <f ca="1">B15</f>
        <v>trainee1(CH)</v>
      </c>
      <c r="C29" s="20">
        <f t="shared" ref="C29:Y29" ca="1" si="62">IF($A15&lt;&gt;"",IF(ABS(C$3/3-C15)&lt;=0.75,1,0),"")</f>
        <v>1</v>
      </c>
      <c r="D29" s="20">
        <f t="shared" ca="1" si="62"/>
        <v>1</v>
      </c>
      <c r="E29" s="20">
        <f t="shared" ca="1" si="62"/>
        <v>1</v>
      </c>
      <c r="F29" s="20">
        <f t="shared" ca="1" si="62"/>
        <v>1</v>
      </c>
      <c r="G29" s="20">
        <f t="shared" ca="1" si="62"/>
        <v>0</v>
      </c>
      <c r="H29" s="20">
        <f t="shared" ca="1" si="62"/>
        <v>1</v>
      </c>
      <c r="I29" s="20">
        <f t="shared" ca="1" si="62"/>
        <v>1</v>
      </c>
      <c r="J29" s="20">
        <f t="shared" ca="1" si="62"/>
        <v>1</v>
      </c>
      <c r="K29" s="20">
        <f t="shared" ca="1" si="62"/>
        <v>0</v>
      </c>
      <c r="L29" s="20">
        <f t="shared" ca="1" si="62"/>
        <v>1</v>
      </c>
      <c r="M29" s="20">
        <f t="shared" ca="1" si="62"/>
        <v>0</v>
      </c>
      <c r="N29" s="20">
        <f t="shared" ca="1" si="62"/>
        <v>1</v>
      </c>
      <c r="O29" s="20">
        <f t="shared" ca="1" si="62"/>
        <v>1</v>
      </c>
      <c r="P29" s="20">
        <f t="shared" ca="1" si="62"/>
        <v>1</v>
      </c>
      <c r="Q29" s="20">
        <f t="shared" ca="1" si="62"/>
        <v>1</v>
      </c>
      <c r="R29" s="20">
        <f t="shared" ca="1" si="62"/>
        <v>1</v>
      </c>
      <c r="Y29" s="20">
        <f t="shared" ca="1" si="62"/>
        <v>1</v>
      </c>
    </row>
    <row r="30" spans="1:32" ht="15" hidden="1" customHeight="1" x14ac:dyDescent="0.2">
      <c r="A30" s="20">
        <f>A16</f>
        <v>0</v>
      </c>
      <c r="B30" s="20" t="str">
        <f ca="1">B16</f>
        <v/>
      </c>
      <c r="C30" s="20" t="str">
        <f t="shared" ref="C30:Y30" si="63">IF($A16&lt;&gt;"",IF(ABS(C$3/3-C16)&lt;=0.75,1,0),"")</f>
        <v/>
      </c>
      <c r="D30" s="20" t="str">
        <f t="shared" si="63"/>
        <v/>
      </c>
      <c r="E30" s="20" t="str">
        <f t="shared" si="63"/>
        <v/>
      </c>
      <c r="F30" s="20" t="str">
        <f t="shared" si="63"/>
        <v/>
      </c>
      <c r="G30" s="20" t="str">
        <f t="shared" si="63"/>
        <v/>
      </c>
      <c r="H30" s="20" t="str">
        <f t="shared" si="63"/>
        <v/>
      </c>
      <c r="I30" s="20" t="str">
        <f t="shared" si="63"/>
        <v/>
      </c>
      <c r="J30" s="20" t="str">
        <f t="shared" si="63"/>
        <v/>
      </c>
      <c r="K30" s="20" t="str">
        <f t="shared" si="63"/>
        <v/>
      </c>
      <c r="L30" s="20" t="str">
        <f t="shared" si="63"/>
        <v/>
      </c>
      <c r="M30" s="20" t="str">
        <f t="shared" si="63"/>
        <v/>
      </c>
      <c r="N30" s="20" t="str">
        <f t="shared" si="63"/>
        <v/>
      </c>
      <c r="O30" s="20" t="str">
        <f t="shared" si="63"/>
        <v/>
      </c>
      <c r="P30" s="20" t="str">
        <f t="shared" si="63"/>
        <v/>
      </c>
      <c r="Q30" s="20" t="str">
        <f t="shared" si="63"/>
        <v/>
      </c>
      <c r="R30" s="20" t="str">
        <f t="shared" si="63"/>
        <v/>
      </c>
      <c r="Y30" s="20" t="str">
        <f t="shared" si="63"/>
        <v/>
      </c>
    </row>
  </sheetData>
  <sheetProtection algorithmName="SHA-512" hashValue="qOh5CqPV0tlu9r0Sho6ZKcTpmCZrA36TpvKoPKkB12eXcGgtGglDEH2qmIyc+19gv+LlxgHge8A9wd7zLfhCkA==" saltValue="gYIrG3ixO3+4ggDsWpG3xw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" priority="25">
      <formula>C4&gt;3</formula>
    </cfRule>
    <cfRule type="expression" dxfId="8" priority="26">
      <formula>AND(C4&gt;2,C4&lt;=3)</formula>
    </cfRule>
    <cfRule type="expression" dxfId="7" priority="27">
      <formula>AND(C4&gt;1,C4&lt;=2)</formula>
    </cfRule>
    <cfRule type="expression" dxfId="6" priority="30">
      <formula>C4&lt;=1</formula>
    </cfRule>
  </conditionalFormatting>
  <conditionalFormatting sqref="C8:R10 C12:R13 Y12:Y13 Y8:Y10">
    <cfRule type="expression" dxfId="5" priority="19">
      <formula>C$3/3-C8&lt;-0.75</formula>
    </cfRule>
    <cfRule type="expression" dxfId="4" priority="20">
      <formula>C$3/3-C8&gt;0.75</formula>
    </cfRule>
  </conditionalFormatting>
  <conditionalFormatting sqref="C11:D11">
    <cfRule type="expression" dxfId="3" priority="17">
      <formula>C$3/3-C11&lt;-0.75</formula>
    </cfRule>
    <cfRule type="expression" dxfId="2" priority="18">
      <formula>C$3/3-C11&gt;0.75</formula>
    </cfRule>
  </conditionalFormatting>
  <conditionalFormatting sqref="E11:R11 Y11">
    <cfRule type="expression" dxfId="1" priority="15">
      <formula>E$3/3-E11&lt;-0.75</formula>
    </cfRule>
    <cfRule type="expression" dxfId="0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9</vt:i4>
      </vt:variant>
    </vt:vector>
  </HeadingPairs>
  <TitlesOfParts>
    <vt:vector size="18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Hospitant 1</vt:lpstr>
      <vt:lpstr>Auswertung</vt:lpstr>
      <vt:lpstr>Auswertung!Druckbereich</vt:lpstr>
      <vt:lpstr>Beobachter!Druckbereich</vt:lpstr>
      <vt:lpstr>'Hospitant 1'!Druckbereich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2019-03-31T23:37:23Z</dcterms:modified>
</cp:coreProperties>
</file>