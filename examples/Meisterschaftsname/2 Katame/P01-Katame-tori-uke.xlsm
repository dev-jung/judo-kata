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2 Katame\"/>
    </mc:Choice>
  </mc:AlternateContent>
  <xr:revisionPtr revIDLastSave="0" documentId="13_ncr:1_{CB1FE235-D14C-4103-8DC0-4E7837CB0BF9}" xr6:coauthVersionLast="41" xr6:coauthVersionMax="41" xr10:uidLastSave="{00000000-0000-0000-0000-000000000000}"/>
  <bookViews>
    <workbookView xWindow="24768" yWindow="-11100" windowWidth="38508" windowHeight="222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9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36" i="30" s="1"/>
  <c r="K36" i="29"/>
  <c r="L36" i="29" s="1"/>
  <c r="J36" i="29"/>
  <c r="I36" i="29"/>
  <c r="H36" i="29"/>
  <c r="G36" i="29"/>
  <c r="F36" i="29"/>
  <c r="L35" i="29"/>
  <c r="L34" i="29"/>
  <c r="L33" i="29"/>
  <c r="L32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36" i="28" s="1"/>
  <c r="K36" i="27"/>
  <c r="L36" i="27" s="1"/>
  <c r="J36" i="27"/>
  <c r="I36" i="27"/>
  <c r="H36" i="27"/>
  <c r="G36" i="27"/>
  <c r="F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34" i="26"/>
  <c r="L33" i="26"/>
  <c r="L32" i="26"/>
  <c r="L31" i="26"/>
  <c r="L30" i="26"/>
  <c r="L29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L36" i="26" s="1"/>
  <c r="K36" i="25"/>
  <c r="L36" i="25" s="1"/>
  <c r="J36" i="25"/>
  <c r="I36" i="25"/>
  <c r="H36" i="25"/>
  <c r="G36" i="25"/>
  <c r="F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4" s="1"/>
  <c r="AF16" i="19" l="1"/>
  <c r="AE16" i="19"/>
  <c r="AD16" i="19"/>
  <c r="AC16" i="19"/>
  <c r="AB16" i="19"/>
  <c r="AA16" i="19"/>
  <c r="Z16" i="19"/>
  <c r="Y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Y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Q12" i="19"/>
  <c r="D13" i="19"/>
  <c r="J13" i="19"/>
  <c r="E12" i="19"/>
  <c r="F12" i="19"/>
  <c r="F11" i="19"/>
  <c r="H11" i="19"/>
  <c r="G10" i="19"/>
  <c r="C10" i="19"/>
  <c r="G9" i="19"/>
  <c r="B9" i="19"/>
  <c r="H8" i="19"/>
  <c r="R8" i="19"/>
  <c r="J7" i="19"/>
  <c r="AD7" i="19"/>
  <c r="K12" i="19"/>
  <c r="AE9" i="19"/>
  <c r="AF9" i="19"/>
  <c r="I8" i="19"/>
  <c r="M13" i="19"/>
  <c r="AE13" i="19"/>
  <c r="D12" i="19"/>
  <c r="AF12" i="19"/>
  <c r="C11" i="19"/>
  <c r="AF11" i="19"/>
  <c r="N10" i="19"/>
  <c r="M10" i="19"/>
  <c r="O9" i="19"/>
  <c r="AD9" i="19"/>
  <c r="G8" i="19"/>
  <c r="F8" i="19"/>
  <c r="Z7" i="19"/>
  <c r="P7" i="19"/>
  <c r="F10" i="19"/>
  <c r="R12" i="19"/>
  <c r="I9" i="19"/>
  <c r="AD11" i="19"/>
  <c r="I13" i="19"/>
  <c r="AC13" i="19"/>
  <c r="C12" i="19"/>
  <c r="J12" i="19"/>
  <c r="AE11" i="19"/>
  <c r="B11" i="19"/>
  <c r="AE10" i="19"/>
  <c r="AB10" i="19"/>
  <c r="M9" i="19"/>
  <c r="AC9" i="19"/>
  <c r="E8" i="19"/>
  <c r="B8" i="19"/>
  <c r="I7" i="19"/>
  <c r="N7" i="19"/>
  <c r="M11" i="19"/>
  <c r="M8" i="19"/>
  <c r="Y8" i="19"/>
  <c r="AC8" i="19"/>
  <c r="R13" i="19"/>
  <c r="Z13" i="19"/>
  <c r="B12" i="19"/>
  <c r="AE12" i="19"/>
  <c r="Q11" i="19"/>
  <c r="K11" i="19"/>
  <c r="AC10" i="19"/>
  <c r="L10" i="19"/>
  <c r="R9" i="19"/>
  <c r="AB9" i="19"/>
  <c r="D8" i="19"/>
  <c r="K8" i="19"/>
  <c r="F7" i="19"/>
  <c r="O7" i="19"/>
  <c r="AD13" i="19"/>
  <c r="AC11" i="19"/>
  <c r="AF10" i="19"/>
  <c r="Z8" i="19"/>
  <c r="AF7" i="19"/>
  <c r="H13" i="19"/>
  <c r="D9" i="19"/>
  <c r="O13" i="19"/>
  <c r="G13" i="19"/>
  <c r="AD12" i="19"/>
  <c r="L12" i="19"/>
  <c r="E11" i="19"/>
  <c r="AB11" i="19"/>
  <c r="R10" i="19"/>
  <c r="O10" i="19"/>
  <c r="F9" i="19"/>
  <c r="Z9" i="19"/>
  <c r="AD8" i="19"/>
  <c r="N8" i="19"/>
  <c r="L7" i="19"/>
  <c r="C7" i="19"/>
  <c r="C13" i="19"/>
  <c r="P12" i="19"/>
  <c r="N9" i="19"/>
  <c r="Y7" i="19"/>
  <c r="L11" i="19"/>
  <c r="D7" i="19"/>
  <c r="AB7" i="19"/>
  <c r="AE7" i="19"/>
  <c r="E13" i="19"/>
  <c r="AB13" i="19"/>
  <c r="N12" i="19"/>
  <c r="AB12" i="19"/>
  <c r="P11" i="19"/>
  <c r="I11" i="19"/>
  <c r="D10" i="19"/>
  <c r="AD10" i="19"/>
  <c r="Q9" i="19"/>
  <c r="K9" i="19"/>
  <c r="Q8" i="19"/>
  <c r="AE8" i="19"/>
  <c r="G7" i="19"/>
  <c r="AC7" i="19"/>
  <c r="K10" i="19"/>
  <c r="AF13" i="19"/>
  <c r="F13" i="19"/>
  <c r="O12" i="19"/>
  <c r="Z12" i="19"/>
  <c r="D11" i="19"/>
  <c r="J11" i="19"/>
  <c r="I10" i="19"/>
  <c r="B10" i="19"/>
  <c r="E9" i="19"/>
  <c r="L9" i="19"/>
  <c r="P8" i="19"/>
  <c r="AF8" i="19"/>
  <c r="Q7" i="19"/>
  <c r="K7" i="19"/>
  <c r="H10" i="19"/>
  <c r="J9" i="19"/>
  <c r="L8" i="19"/>
  <c r="H7" i="19"/>
  <c r="B13" i="19"/>
  <c r="G11" i="19"/>
  <c r="R7" i="19"/>
  <c r="Y10" i="19"/>
  <c r="N13" i="19"/>
  <c r="Y13" i="19"/>
  <c r="M12" i="19"/>
  <c r="Y12" i="19"/>
  <c r="N11" i="19"/>
  <c r="Z11" i="19"/>
  <c r="J10" i="19"/>
  <c r="C9" i="19"/>
  <c r="O8" i="19"/>
  <c r="E7" i="19"/>
  <c r="AC12" i="19"/>
  <c r="Q10" i="19"/>
  <c r="J8" i="19"/>
  <c r="Y9" i="19"/>
  <c r="L13" i="19"/>
  <c r="Q13" i="19"/>
  <c r="I12" i="19"/>
  <c r="H12" i="19"/>
  <c r="O11" i="19"/>
  <c r="Y11" i="19"/>
  <c r="E10" i="19"/>
  <c r="Z10" i="19"/>
  <c r="P9" i="19"/>
  <c r="H9" i="19"/>
  <c r="C8" i="19"/>
  <c r="AB8" i="19"/>
  <c r="B7" i="19"/>
  <c r="M7" i="19"/>
  <c r="P13" i="19"/>
  <c r="K13" i="19"/>
  <c r="G12" i="19"/>
  <c r="R11" i="19"/>
  <c r="P10" i="19"/>
  <c r="B27" i="19" l="1"/>
  <c r="B26" i="19"/>
  <c r="B25" i="19"/>
  <c r="B24" i="19"/>
  <c r="B23" i="19"/>
  <c r="B22" i="19"/>
  <c r="AA7" i="19"/>
  <c r="E4" i="19"/>
  <c r="M4" i="19"/>
  <c r="AF3" i="19"/>
  <c r="AF5" i="19" s="1"/>
  <c r="Q4" i="19"/>
  <c r="Y4" i="19"/>
  <c r="J3" i="19"/>
  <c r="J27" i="19" s="1"/>
  <c r="R3" i="19"/>
  <c r="R27" i="19" s="1"/>
  <c r="Z4" i="19"/>
  <c r="C3" i="19"/>
  <c r="C27" i="19" s="1"/>
  <c r="K3" i="19"/>
  <c r="K27" i="19" s="1"/>
  <c r="AB3" i="19"/>
  <c r="AB5" i="19" s="1"/>
  <c r="AD4" i="19"/>
  <c r="C4" i="19"/>
  <c r="K4" i="19"/>
  <c r="D4" i="19"/>
  <c r="L4" i="19"/>
  <c r="AB4" i="19"/>
  <c r="E3" i="19"/>
  <c r="E27" i="19" s="1"/>
  <c r="M3" i="19"/>
  <c r="M27" i="19" s="1"/>
  <c r="AC4" i="19"/>
  <c r="F3" i="19"/>
  <c r="F27" i="19" s="1"/>
  <c r="N3" i="19"/>
  <c r="N27" i="19" s="1"/>
  <c r="AD3" i="19"/>
  <c r="AD5" i="19" s="1"/>
  <c r="G4" i="19"/>
  <c r="O4" i="19"/>
  <c r="AE3" i="19"/>
  <c r="AE5" i="19" s="1"/>
  <c r="H3" i="19"/>
  <c r="H27" i="19" s="1"/>
  <c r="P3" i="19"/>
  <c r="P27" i="19" s="1"/>
  <c r="I3" i="19"/>
  <c r="I27" i="19" s="1"/>
  <c r="Q3" i="19"/>
  <c r="Q27" i="19" s="1"/>
  <c r="Y3" i="19"/>
  <c r="Y27" i="19" s="1"/>
  <c r="G3" i="19"/>
  <c r="G27" i="19" s="1"/>
  <c r="I4" i="19"/>
  <c r="O3" i="19"/>
  <c r="O27" i="19" s="1"/>
  <c r="D3" i="19"/>
  <c r="D27" i="19" s="1"/>
  <c r="L3" i="19"/>
  <c r="L27" i="19" s="1"/>
  <c r="AC3" i="19"/>
  <c r="AC5" i="19" s="1"/>
  <c r="F4" i="19"/>
  <c r="N4" i="19"/>
  <c r="AE4" i="19"/>
  <c r="AF4" i="19"/>
  <c r="H4" i="19"/>
  <c r="P4" i="19"/>
  <c r="J4" i="19"/>
  <c r="R4" i="19"/>
  <c r="AA13" i="19" l="1"/>
  <c r="J25" i="19"/>
  <c r="J26" i="19"/>
  <c r="I25" i="19"/>
  <c r="I26" i="19"/>
  <c r="E25" i="19"/>
  <c r="E26" i="19"/>
  <c r="N25" i="19"/>
  <c r="N26" i="19"/>
  <c r="K25" i="19"/>
  <c r="K26" i="19"/>
  <c r="P25" i="19"/>
  <c r="P26" i="19"/>
  <c r="D25" i="19"/>
  <c r="D26" i="19"/>
  <c r="F25" i="19"/>
  <c r="F26" i="19"/>
  <c r="C25" i="19"/>
  <c r="C26" i="19"/>
  <c r="H25" i="19"/>
  <c r="H26" i="19"/>
  <c r="L25" i="19"/>
  <c r="L26" i="19"/>
  <c r="O25" i="19"/>
  <c r="O26" i="19"/>
  <c r="G25" i="19"/>
  <c r="G26" i="19"/>
  <c r="Q25" i="19"/>
  <c r="Q26" i="19"/>
  <c r="Y25" i="19"/>
  <c r="Y26" i="19"/>
  <c r="M25" i="19"/>
  <c r="M26" i="19"/>
  <c r="R25" i="19"/>
  <c r="R26" i="19"/>
  <c r="E23" i="19"/>
  <c r="E24" i="19"/>
  <c r="R23" i="19"/>
  <c r="R24" i="19"/>
  <c r="Y23" i="19"/>
  <c r="Y24" i="19"/>
  <c r="I23" i="19"/>
  <c r="I24" i="19"/>
  <c r="M23" i="19"/>
  <c r="M24" i="19"/>
  <c r="P23" i="19"/>
  <c r="P24" i="19"/>
  <c r="L23" i="19"/>
  <c r="L24" i="19"/>
  <c r="J23" i="19"/>
  <c r="J24" i="19"/>
  <c r="N23" i="19"/>
  <c r="N24" i="19"/>
  <c r="K23" i="19"/>
  <c r="K24" i="19"/>
  <c r="G23" i="19"/>
  <c r="G24" i="19"/>
  <c r="Q23" i="19"/>
  <c r="Q24" i="19"/>
  <c r="H23" i="19"/>
  <c r="H24" i="19"/>
  <c r="D23" i="19"/>
  <c r="D24" i="19"/>
  <c r="O23" i="19"/>
  <c r="O24" i="19"/>
  <c r="F23" i="19"/>
  <c r="F24" i="19"/>
  <c r="C23" i="19"/>
  <c r="C24" i="19"/>
  <c r="K5" i="19"/>
  <c r="K22" i="19"/>
  <c r="O5" i="19"/>
  <c r="O22" i="19"/>
  <c r="G5" i="19"/>
  <c r="G22" i="19"/>
  <c r="E5" i="19"/>
  <c r="E22" i="19"/>
  <c r="F5" i="19"/>
  <c r="F22" i="19"/>
  <c r="R5" i="19"/>
  <c r="R22" i="19"/>
  <c r="N5" i="19"/>
  <c r="N22" i="19"/>
  <c r="Y5" i="19"/>
  <c r="Y22" i="19"/>
  <c r="Q5" i="19"/>
  <c r="Q22" i="19"/>
  <c r="H5" i="19"/>
  <c r="H22" i="19"/>
  <c r="C5" i="19"/>
  <c r="C22" i="19"/>
  <c r="M5" i="19"/>
  <c r="M22" i="19"/>
  <c r="J5" i="19"/>
  <c r="J22" i="19"/>
  <c r="P5" i="19"/>
  <c r="P22" i="19"/>
  <c r="I5" i="19"/>
  <c r="I22" i="19"/>
  <c r="L5" i="19"/>
  <c r="L22" i="19"/>
  <c r="D5" i="19"/>
  <c r="D22" i="19"/>
  <c r="Z3" i="19"/>
  <c r="Z5" i="19" s="1"/>
  <c r="B1" i="19"/>
  <c r="AA11" i="19" l="1"/>
  <c r="AA12" i="19"/>
  <c r="AA9" i="19"/>
  <c r="AA10" i="19"/>
  <c r="AA8" i="19"/>
  <c r="A30" i="19"/>
  <c r="A29" i="19"/>
  <c r="A27" i="19"/>
  <c r="A26" i="19"/>
  <c r="A25" i="19"/>
  <c r="A24" i="19"/>
  <c r="A23" i="19"/>
  <c r="A22" i="19"/>
</calcChain>
</file>

<file path=xl/sharedStrings.xml><?xml version="1.0" encoding="utf-8"?>
<sst xmlns="http://schemas.openxmlformats.org/spreadsheetml/2006/main" count="725" uniqueCount="77">
  <si>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</si>
  <si>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</si>
  <si>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</si>
  <si>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</si>
  <si>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</si>
  <si>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</si>
  <si>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</si>
  <si>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</si>
  <si>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</si>
  <si>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</si>
  <si>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</si>
  <si>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</si>
  <si>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</si>
  <si>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</si>
  <si>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</si>
  <si>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</si>
  <si>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</si>
  <si>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</si>
  <si>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</si>
  <si>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</si>
  <si>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</si>
  <si>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</si>
  <si>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</si>
  <si>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</si>
  <si>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</si>
  <si>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</si>
  <si>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</si>
  <si>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</si>
  <si>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</si>
  <si>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</si>
  <si>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</si>
  <si>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</si>
  <si>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</si>
  <si>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</si>
  <si>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</si>
  <si>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</si>
  <si>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</si>
  <si>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</si>
  <si>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</si>
  <si>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</si>
  <si>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</si>
  <si>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</si>
  <si>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</si>
  <si>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</si>
  <si>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</si>
  <si>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</si>
  <si>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</si>
  <si>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</si>
  <si>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</si>
  <si>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</si>
  <si>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</si>
  <si>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</si>
  <si>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</si>
  <si>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</si>
  <si>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</si>
  <si>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</si>
  <si>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</si>
  <si>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</si>
  <si>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tori</t>
  </si>
  <si>
    <t>katame</t>
  </si>
  <si>
    <t>club</t>
  </si>
  <si>
    <t>uke</t>
  </si>
  <si>
    <t>C1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</si>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</sst>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0" fillId="0" borderId="0"/>
    <xf numFmtId="9" fontId="22" fillId="0" borderId="0" applyFont="0" applyFill="0" applyBorder="0" applyAlignment="0" applyProtection="0"/>
  </cellStyleXfs>
  <cellXfs count="172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7" fillId="2" borderId="54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7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7" fillId="2" borderId="60" xfId="0" applyFont="1" applyFill="1" applyBorder="1" applyAlignment="1" applyProtection="1">
      <alignment horizontal="center" vertical="center"/>
      <protection hidden="1"/>
    </xf>
    <xf numFmtId="0" fontId="14" fillId="2" borderId="66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164" fontId="23" fillId="0" borderId="38" xfId="0" applyNumberFormat="1" applyFont="1" applyBorder="1" applyAlignment="1" applyProtection="1">
      <alignment horizontal="center" vertical="center"/>
      <protection hidden="1"/>
    </xf>
    <xf numFmtId="164" fontId="23" fillId="5" borderId="29" xfId="0" applyNumberFormat="1" applyFont="1" applyFill="1" applyBorder="1" applyAlignment="1" applyProtection="1">
      <alignment horizontal="center" vertical="center"/>
      <protection hidden="1"/>
    </xf>
    <xf numFmtId="164" fontId="23" fillId="3" borderId="59" xfId="0" applyNumberFormat="1" applyFont="1" applyFill="1" applyBorder="1" applyAlignment="1" applyProtection="1">
      <alignment horizontal="center" vertical="center"/>
      <protection hidden="1"/>
    </xf>
    <xf numFmtId="0" fontId="23" fillId="3" borderId="25" xfId="0" applyFont="1" applyFill="1" applyBorder="1" applyAlignment="1" applyProtection="1">
      <alignment horizontal="center" vertical="center"/>
      <protection locked="0" hidden="1"/>
    </xf>
    <xf numFmtId="0" fontId="23" fillId="3" borderId="29" xfId="0" applyFont="1" applyFill="1" applyBorder="1" applyAlignment="1" applyProtection="1">
      <alignment horizontal="center" vertical="center"/>
      <protection locked="0" hidden="1"/>
    </xf>
    <xf numFmtId="0" fontId="23" fillId="5" borderId="47" xfId="0" applyFont="1" applyFill="1" applyBorder="1" applyAlignment="1" applyProtection="1">
      <alignment horizontal="center" vertical="center"/>
      <protection locked="0" hidden="1"/>
    </xf>
    <xf numFmtId="0" fontId="23" fillId="5" borderId="46" xfId="0" applyFont="1" applyFill="1" applyBorder="1" applyAlignment="1" applyProtection="1">
      <alignment horizontal="center" vertical="center"/>
      <protection locked="0" hidden="1"/>
    </xf>
    <xf numFmtId="0" fontId="23" fillId="3" borderId="44" xfId="0" applyFont="1" applyFill="1" applyBorder="1" applyAlignment="1" applyProtection="1">
      <alignment horizontal="center" vertical="center"/>
      <protection locked="0" hidden="1"/>
    </xf>
    <xf numFmtId="0" fontId="23" fillId="3" borderId="65" xfId="0" applyFont="1" applyFill="1" applyBorder="1" applyAlignment="1" applyProtection="1">
      <alignment horizontal="center" vertical="center"/>
      <protection locked="0" hidden="1"/>
    </xf>
    <xf numFmtId="0" fontId="23" fillId="5" borderId="25" xfId="0" applyFont="1" applyFill="1" applyBorder="1" applyAlignment="1" applyProtection="1">
      <alignment horizontal="center" vertical="center"/>
      <protection locked="0" hidden="1"/>
    </xf>
    <xf numFmtId="0" fontId="23" fillId="5" borderId="29" xfId="0" applyFont="1" applyFill="1" applyBorder="1" applyAlignment="1" applyProtection="1">
      <alignment horizontal="center" vertical="center"/>
      <protection locked="0" hidden="1"/>
    </xf>
    <xf numFmtId="0" fontId="23" fillId="5" borderId="44" xfId="0" applyFont="1" applyFill="1" applyBorder="1" applyAlignment="1" applyProtection="1">
      <alignment horizontal="center" vertical="center"/>
      <protection locked="0" hidden="1"/>
    </xf>
    <xf numFmtId="0" fontId="23" fillId="5" borderId="65" xfId="0" applyFont="1" applyFill="1" applyBorder="1" applyAlignment="1" applyProtection="1">
      <alignment horizontal="center" vertical="center"/>
      <protection locked="0" hidden="1"/>
    </xf>
    <xf numFmtId="0" fontId="23" fillId="3" borderId="48" xfId="0" applyFont="1" applyFill="1" applyBorder="1" applyAlignment="1" applyProtection="1">
      <alignment horizontal="center" vertical="center"/>
      <protection locked="0" hidden="1"/>
    </xf>
    <xf numFmtId="0" fontId="23" fillId="3" borderId="59" xfId="0" applyFont="1" applyFill="1" applyBorder="1" applyAlignment="1" applyProtection="1">
      <alignment horizontal="center" vertical="center"/>
      <protection locked="0" hidden="1"/>
    </xf>
    <xf numFmtId="0" fontId="23" fillId="5" borderId="34" xfId="0" applyFont="1" applyFill="1" applyBorder="1" applyAlignment="1" applyProtection="1">
      <alignment horizontal="center" vertical="center"/>
      <protection locked="0" hidden="1"/>
    </xf>
    <xf numFmtId="0" fontId="23" fillId="5" borderId="35" xfId="0" applyFont="1" applyFill="1" applyBorder="1" applyAlignment="1" applyProtection="1">
      <alignment horizontal="center" vertical="center"/>
      <protection locked="0" hidden="1"/>
    </xf>
    <xf numFmtId="0" fontId="35" fillId="0" borderId="39" xfId="0" applyFont="1" applyBorder="1" applyAlignment="1" applyProtection="1">
      <alignment horizontal="center" vertical="center"/>
      <protection hidden="1"/>
    </xf>
    <xf numFmtId="0" fontId="35" fillId="0" borderId="38" xfId="0" applyFont="1" applyBorder="1" applyAlignment="1" applyProtection="1">
      <alignment horizontal="center" vertical="center"/>
      <protection hidden="1"/>
    </xf>
    <xf numFmtId="164" fontId="35" fillId="0" borderId="39" xfId="0" applyNumberFormat="1" applyFont="1" applyBorder="1" applyAlignment="1" applyProtection="1">
      <alignment horizontal="center" vertical="center"/>
      <protection hidden="1"/>
    </xf>
    <xf numFmtId="0" fontId="23" fillId="5" borderId="56" xfId="0" applyFont="1" applyFill="1" applyBorder="1" applyAlignment="1" applyProtection="1">
      <alignment horizontal="center" vertical="center"/>
      <protection locked="0" hidden="1"/>
    </xf>
    <xf numFmtId="0" fontId="23" fillId="5" borderId="61" xfId="0" applyFont="1" applyFill="1" applyBorder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17" fillId="0" borderId="0" xfId="0" applyFont="1"/>
    <xf numFmtId="0" fontId="10" fillId="0" borderId="0" xfId="0" applyFont="1"/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164" fontId="23" fillId="3" borderId="29" xfId="0" applyNumberFormat="1" applyFont="1" applyFill="1" applyBorder="1" applyAlignment="1" applyProtection="1">
      <alignment horizontal="center" vertical="center"/>
      <protection hidden="1"/>
    </xf>
    <xf numFmtId="164" fontId="23" fillId="5" borderId="46" xfId="0" applyNumberFormat="1" applyFont="1" applyFill="1" applyBorder="1" applyAlignment="1" applyProtection="1">
      <alignment horizontal="center" vertical="center"/>
      <protection hidden="1"/>
    </xf>
    <xf numFmtId="164" fontId="23" fillId="3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61" xfId="0" applyNumberFormat="1" applyFont="1" applyFill="1" applyBorder="1" applyAlignment="1" applyProtection="1">
      <alignment horizontal="center" vertical="center"/>
      <protection hidden="1"/>
    </xf>
    <xf numFmtId="164" fontId="23" fillId="5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23" fillId="4" borderId="39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Alignment="1">
      <alignment horizontal="left"/>
    </xf>
    <xf numFmtId="0" fontId="18" fillId="0" borderId="52" xfId="0" applyFont="1" applyBorder="1"/>
    <xf numFmtId="0" fontId="27" fillId="0" borderId="0" xfId="0" applyFont="1"/>
    <xf numFmtId="0" fontId="24" fillId="0" borderId="0" xfId="0" applyFont="1"/>
    <xf numFmtId="0" fontId="24" fillId="0" borderId="0" xfId="0" applyFont="1" applyAlignment="1">
      <alignment textRotation="90"/>
    </xf>
    <xf numFmtId="0" fontId="24" fillId="0" borderId="52" xfId="0" applyFont="1" applyBorder="1" applyAlignment="1">
      <alignment textRotation="90"/>
    </xf>
    <xf numFmtId="164" fontId="31" fillId="0" borderId="0" xfId="0" applyNumberFormat="1" applyFont="1" applyAlignment="1">
      <alignment horizontal="right"/>
    </xf>
    <xf numFmtId="1" fontId="31" fillId="0" borderId="0" xfId="0" applyNumberFormat="1" applyFont="1" applyAlignment="1">
      <alignment horizontal="right"/>
    </xf>
    <xf numFmtId="1" fontId="31" fillId="0" borderId="68" xfId="0" applyNumberFormat="1" applyFont="1" applyBorder="1" applyAlignment="1">
      <alignment horizontal="right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64" fontId="30" fillId="0" borderId="68" xfId="0" applyNumberFormat="1" applyFont="1" applyBorder="1" applyAlignment="1">
      <alignment horizontal="right"/>
    </xf>
    <xf numFmtId="1" fontId="30" fillId="0" borderId="68" xfId="0" applyNumberFormat="1" applyFont="1" applyBorder="1" applyAlignment="1">
      <alignment horizontal="right"/>
    </xf>
    <xf numFmtId="0" fontId="30" fillId="0" borderId="0" xfId="0" applyFont="1" applyAlignment="1">
      <alignment horizontal="right"/>
    </xf>
    <xf numFmtId="0" fontId="30" fillId="0" borderId="68" xfId="0" applyFont="1" applyBorder="1" applyAlignment="1">
      <alignment horizontal="right"/>
    </xf>
    <xf numFmtId="0" fontId="28" fillId="0" borderId="8" xfId="0" applyFont="1" applyBorder="1"/>
    <xf numFmtId="164" fontId="32" fillId="0" borderId="8" xfId="0" applyNumberFormat="1" applyFont="1" applyBorder="1" applyAlignment="1">
      <alignment horizontal="right"/>
    </xf>
    <xf numFmtId="1" fontId="32" fillId="0" borderId="8" xfId="0" applyNumberFormat="1" applyFont="1" applyBorder="1" applyAlignment="1">
      <alignment horizontal="right"/>
    </xf>
    <xf numFmtId="1" fontId="32" fillId="0" borderId="6" xfId="0" applyNumberFormat="1" applyFont="1" applyBorder="1" applyAlignment="1">
      <alignment horizontal="right"/>
    </xf>
    <xf numFmtId="9" fontId="30" fillId="0" borderId="67" xfId="2" applyFont="1" applyBorder="1" applyAlignment="1">
      <alignment horizontal="right"/>
    </xf>
    <xf numFmtId="9" fontId="30" fillId="0" borderId="68" xfId="2" applyFont="1" applyBorder="1" applyAlignment="1">
      <alignment horizontal="right"/>
    </xf>
    <xf numFmtId="0" fontId="18" fillId="0" borderId="63" xfId="0" applyFont="1" applyBorder="1"/>
    <xf numFmtId="164" fontId="30" fillId="0" borderId="63" xfId="0" applyNumberFormat="1" applyFont="1" applyBorder="1" applyAlignment="1">
      <alignment horizontal="right"/>
    </xf>
    <xf numFmtId="1" fontId="30" fillId="0" borderId="63" xfId="0" applyNumberFormat="1" applyFont="1" applyBorder="1" applyAlignment="1">
      <alignment horizontal="right"/>
    </xf>
    <xf numFmtId="0" fontId="29" fillId="0" borderId="40" xfId="0" applyFont="1" applyBorder="1"/>
    <xf numFmtId="164" fontId="33" fillId="0" borderId="40" xfId="0" applyNumberFormat="1" applyFont="1" applyBorder="1" applyAlignment="1">
      <alignment horizontal="right"/>
    </xf>
    <xf numFmtId="1" fontId="33" fillId="0" borderId="40" xfId="0" applyNumberFormat="1" applyFont="1" applyBorder="1" applyAlignment="1">
      <alignment horizontal="right"/>
    </xf>
    <xf numFmtId="9" fontId="33" fillId="0" borderId="69" xfId="2" applyFont="1" applyBorder="1" applyAlignment="1">
      <alignment horizontal="right"/>
    </xf>
    <xf numFmtId="0" fontId="29" fillId="0" borderId="0" xfId="0" applyFont="1"/>
    <xf numFmtId="164" fontId="33" fillId="0" borderId="0" xfId="0" applyNumberFormat="1" applyFont="1" applyAlignment="1">
      <alignment horizontal="right"/>
    </xf>
    <xf numFmtId="0" fontId="34" fillId="0" borderId="0" xfId="0" applyFont="1"/>
    <xf numFmtId="0" fontId="34" fillId="0" borderId="68" xfId="0" applyFont="1" applyBorder="1"/>
    <xf numFmtId="1" fontId="33" fillId="0" borderId="0" xfId="0" applyNumberFormat="1" applyFont="1" applyAlignment="1">
      <alignment horizontal="right"/>
    </xf>
    <xf numFmtId="9" fontId="33" fillId="0" borderId="68" xfId="2" applyFont="1" applyBorder="1" applyAlignment="1">
      <alignment horizontal="right"/>
    </xf>
    <xf numFmtId="0" fontId="26" fillId="0" borderId="0" xfId="0" applyFont="1" applyAlignment="1">
      <alignment horizontal="right"/>
    </xf>
    <xf numFmtId="1" fontId="25" fillId="0" borderId="0" xfId="0" applyNumberFormat="1" applyFont="1" applyAlignment="1">
      <alignment horizontal="right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Border="1" applyAlignment="1" applyProtection="1">
      <alignment horizontal="center" vertical="center" wrapText="1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35" fillId="0" borderId="36" xfId="0" applyFont="1" applyBorder="1" applyAlignment="1" applyProtection="1">
      <alignment horizontal="center" vertical="center"/>
      <protection hidden="1"/>
    </xf>
    <xf numFmtId="0" fontId="35" fillId="0" borderId="37" xfId="0" applyFont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8" xfId="0" applyFont="1" applyFill="1" applyBorder="1" applyAlignment="1" applyProtection="1">
      <alignment horizontal="center" vertical="center" textRotation="90"/>
      <protection hidden="1"/>
    </xf>
    <xf numFmtId="0" fontId="19" fillId="3" borderId="42" xfId="0" applyFont="1" applyFill="1" applyBorder="1" applyAlignment="1" applyProtection="1">
      <alignment horizontal="right" vertical="center" indent="1"/>
      <protection hidden="1"/>
    </xf>
    <xf numFmtId="0" fontId="19" fillId="3" borderId="43" xfId="0" applyFont="1" applyFill="1" applyBorder="1" applyAlignment="1" applyProtection="1">
      <alignment horizontal="right" vertical="center" indent="1"/>
      <protection hidden="1"/>
    </xf>
    <xf numFmtId="0" fontId="19" fillId="5" borderId="45" xfId="0" applyFont="1" applyFill="1" applyBorder="1" applyAlignment="1" applyProtection="1">
      <alignment horizontal="right" vertical="center" indent="1"/>
      <protection hidden="1"/>
    </xf>
    <xf numFmtId="0" fontId="19" fillId="5" borderId="46" xfId="0" applyFont="1" applyFill="1" applyBorder="1" applyAlignment="1" applyProtection="1">
      <alignment horizontal="right" vertical="center" indent="1"/>
      <protection hidden="1"/>
    </xf>
    <xf numFmtId="0" fontId="19" fillId="3" borderId="58" xfId="0" applyFont="1" applyFill="1" applyBorder="1" applyAlignment="1" applyProtection="1">
      <alignment horizontal="right" vertical="center" indent="1"/>
      <protection hidden="1"/>
    </xf>
    <xf numFmtId="0" fontId="19" fillId="3" borderId="59" xfId="0" applyFont="1" applyFill="1" applyBorder="1" applyAlignment="1" applyProtection="1">
      <alignment horizontal="right" vertical="center" indent="1"/>
      <protection hidden="1"/>
    </xf>
    <xf numFmtId="0" fontId="19" fillId="5" borderId="28" xfId="0" applyFont="1" applyFill="1" applyBorder="1" applyAlignment="1" applyProtection="1">
      <alignment horizontal="right" vertical="center" indent="1"/>
      <protection hidden="1"/>
    </xf>
    <xf numFmtId="0" fontId="19" fillId="5" borderId="29" xfId="0" applyFont="1" applyFill="1" applyBorder="1" applyAlignment="1" applyProtection="1">
      <alignment horizontal="right" vertical="center" indent="1"/>
      <protection hidden="1"/>
    </xf>
    <xf numFmtId="0" fontId="19" fillId="3" borderId="45" xfId="0" applyFont="1" applyFill="1" applyBorder="1" applyAlignment="1" applyProtection="1">
      <alignment horizontal="right" vertical="center" indent="1"/>
      <protection hidden="1"/>
    </xf>
    <xf numFmtId="0" fontId="19" fillId="3" borderId="46" xfId="0" applyFont="1" applyFill="1" applyBorder="1" applyAlignment="1" applyProtection="1">
      <alignment horizontal="right" vertical="center" indent="1"/>
      <protection hidden="1"/>
    </xf>
    <xf numFmtId="0" fontId="19" fillId="5" borderId="58" xfId="0" applyFont="1" applyFill="1" applyBorder="1" applyAlignment="1" applyProtection="1">
      <alignment horizontal="right" vertical="center" indent="1"/>
      <protection hidden="1"/>
    </xf>
    <xf numFmtId="0" fontId="19" fillId="5" borderId="59" xfId="0" applyFont="1" applyFill="1" applyBorder="1" applyAlignment="1" applyProtection="1">
      <alignment horizontal="right" vertical="center" indent="1"/>
      <protection hidden="1"/>
    </xf>
    <xf numFmtId="0" fontId="7" fillId="5" borderId="40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9" fillId="3" borderId="28" xfId="0" applyFont="1" applyFill="1" applyBorder="1" applyAlignment="1" applyProtection="1">
      <alignment horizontal="right" vertical="center" indent="1"/>
      <protection hidden="1"/>
    </xf>
    <xf numFmtId="0" fontId="19" fillId="3" borderId="29" xfId="0" applyFont="1" applyFill="1" applyBorder="1" applyAlignment="1" applyProtection="1">
      <alignment horizontal="right" vertical="center" indent="1"/>
      <protection hidden="1"/>
    </xf>
    <xf numFmtId="0" fontId="4" fillId="0" borderId="51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49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0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1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24" fillId="0" borderId="0" xfId="0" applyFont="1" applyAlignment="1">
      <alignment horizontal="right" indent="1"/>
    </xf>
    <xf numFmtId="0" fontId="18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B07B57B4-207F-4837-AF21-CEFBA28E7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75C389-4BDB-4C4C-85D8-2CD9B7275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663086CF-347F-4A7D-8483-77C57BCA4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05C5124-DB88-435C-8A30-94FEDB29A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202F6A3-4974-445F-814F-C9D2FABAC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B3AB70-B6C7-4AA9-99C8-53265CB94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6A30FE6C-4565-41C6-A823-D246807D1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B498CF-B3A2-4549-892C-C3E21DB95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E057B3EE-C59B-458A-81C8-A2F783F7A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CC25AA-3057-475A-B817-11D59DCED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CF854F2F-251E-4C7B-9A6D-F9FE85620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E27C08-68F4-47A1-A769-C6689F9B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955D2EB8-A718-4822-A2DD-214EE0FE0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32F5FCE-F95B-420A-A606-799B3B1E5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3DC3-4411-40AC-9FFF-DA05CCEC6D85}">
  <sheetPr codeName="Tabelle16"/>
  <dimension ref="A1:AG40"/>
  <sheetViews>
    <sheetView tabSelected="1"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6" customFormat="1" ht="24.95" customHeight="1" x14ac:dyDescent="0.5">
      <c r="A1" s="32"/>
      <c r="B1" s="32"/>
      <c r="C1" s="32"/>
      <c r="D1" s="32"/>
      <c r="E1" s="164" t="s">
        <v>36</v>
      </c>
      <c r="F1" s="164"/>
      <c r="G1" s="164"/>
      <c r="H1" s="164"/>
      <c r="I1" s="164"/>
      <c r="J1" s="33"/>
      <c r="K1" s="32"/>
      <c r="L1" s="32"/>
    </row>
    <row r="2" spans="1:33" s="18" customFormat="1" ht="20.100000000000001" customHeight="1" x14ac:dyDescent="0.45">
      <c r="A2" s="165" t="s">
        <v>55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</row>
    <row r="3" spans="1:33" s="16" customFormat="1" ht="39.950000000000003" customHeight="1" x14ac:dyDescent="0.5">
      <c r="A3" s="166" t="s">
        <v>11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67" t="s">
        <v>46</v>
      </c>
      <c r="B5" s="167"/>
      <c r="C5" s="167"/>
      <c r="D5" s="167"/>
      <c r="E5" s="56" t="s">
        <v>63</v>
      </c>
      <c r="F5" s="14"/>
      <c r="G5" s="15" t="s">
        <v>47</v>
      </c>
      <c r="H5" s="168" t="s">
        <v>56</v>
      </c>
      <c r="I5" s="168"/>
      <c r="J5" s="169" t="s">
        <v>48</v>
      </c>
      <c r="K5" s="169"/>
      <c r="L5" s="57" t="s">
        <v>57</v>
      </c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52"/>
      <c r="I6" s="152"/>
      <c r="J6" s="152"/>
      <c r="K6" s="152"/>
      <c r="L6" s="16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</row>
    <row r="7" spans="1:33" s="17" customFormat="1" ht="20.100000000000001" customHeight="1" x14ac:dyDescent="0.35">
      <c r="A7" s="10"/>
      <c r="B7" s="10"/>
      <c r="C7" s="10"/>
      <c r="D7" s="153" t="s">
        <v>10</v>
      </c>
      <c r="E7" s="154"/>
      <c r="F7" s="155" t="s">
        <v>0</v>
      </c>
      <c r="G7" s="156"/>
      <c r="H7" s="154"/>
      <c r="I7" s="157" t="s">
        <v>1</v>
      </c>
      <c r="J7" s="157"/>
      <c r="K7" s="157"/>
      <c r="L7" s="11" t="s">
        <v>2</v>
      </c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</row>
    <row r="8" spans="1:33" ht="21.95" customHeight="1" x14ac:dyDescent="0.25">
      <c r="A8" s="14" t="s">
        <v>7</v>
      </c>
      <c r="B8" s="14"/>
      <c r="C8" s="14"/>
      <c r="D8" s="158" t="s">
        <v>58</v>
      </c>
      <c r="E8" s="159"/>
      <c r="F8" s="160" t="s">
        <v>59</v>
      </c>
      <c r="G8" s="161"/>
      <c r="H8" s="159"/>
      <c r="I8" s="162" t="s">
        <v>60</v>
      </c>
      <c r="J8" s="163"/>
      <c r="K8" s="163"/>
      <c r="L8" s="60" t="s">
        <v>62</v>
      </c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</row>
    <row r="9" spans="1:33" ht="21.95" customHeight="1" thickBot="1" x14ac:dyDescent="0.3">
      <c r="A9" s="14" t="s">
        <v>8</v>
      </c>
      <c r="B9" s="14"/>
      <c r="C9" s="14"/>
      <c r="D9" s="137" t="s">
        <v>61</v>
      </c>
      <c r="E9" s="138"/>
      <c r="F9" s="139" t="s">
        <v>59</v>
      </c>
      <c r="G9" s="140"/>
      <c r="H9" s="138"/>
      <c r="I9" s="141" t="s">
        <v>60</v>
      </c>
      <c r="J9" s="142"/>
      <c r="K9" s="142"/>
      <c r="L9" s="61" t="s">
        <v>62</v>
      </c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</row>
    <row r="11" spans="1:33" ht="39.75" customHeight="1" thickTop="1" thickBot="1" x14ac:dyDescent="0.3">
      <c r="A11" s="4"/>
      <c r="B11" s="4"/>
      <c r="C11" s="4"/>
      <c r="D11" s="4"/>
      <c r="E11" s="4"/>
      <c r="F11" s="143" t="s">
        <v>32</v>
      </c>
      <c r="G11" s="144"/>
      <c r="H11" s="30" t="s">
        <v>31</v>
      </c>
      <c r="I11" s="30" t="s">
        <v>30</v>
      </c>
      <c r="J11" s="30" t="s">
        <v>37</v>
      </c>
      <c r="K11" s="30" t="s">
        <v>3</v>
      </c>
      <c r="L11" s="145" t="s">
        <v>9</v>
      </c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</row>
    <row r="12" spans="1:33" s="17" customFormat="1" ht="20.100000000000001" customHeight="1" thickTop="1" thickBot="1" x14ac:dyDescent="0.4">
      <c r="A12" s="147" t="s">
        <v>4</v>
      </c>
      <c r="B12" s="148"/>
      <c r="C12" s="148"/>
      <c r="D12" s="148"/>
      <c r="E12" s="149"/>
      <c r="F12" s="150">
        <v>1</v>
      </c>
      <c r="G12" s="151"/>
      <c r="H12" s="31">
        <v>3</v>
      </c>
      <c r="I12" s="31">
        <v>5</v>
      </c>
      <c r="J12" s="31">
        <v>0.5</v>
      </c>
      <c r="K12" s="31">
        <v>10</v>
      </c>
      <c r="L12" s="146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</row>
    <row r="13" spans="1:33" ht="27" customHeight="1" thickBot="1" x14ac:dyDescent="0.3">
      <c r="A13" s="5">
        <v>1</v>
      </c>
      <c r="B13" s="27"/>
      <c r="C13" s="21"/>
      <c r="D13" s="132" t="s">
        <v>5</v>
      </c>
      <c r="E13" s="133"/>
      <c r="F13" s="43" t="s">
        <v>38</v>
      </c>
      <c r="G13" s="44"/>
      <c r="H13" s="44"/>
      <c r="I13" s="44"/>
      <c r="J13" s="44"/>
      <c r="K13" s="44"/>
      <c r="L13" s="3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8" t="s">
        <v>43</v>
      </c>
      <c r="O13" s="58"/>
      <c r="P13" s="58" t="s">
        <v>38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</row>
    <row r="14" spans="1:33" ht="27" customHeight="1" x14ac:dyDescent="0.25">
      <c r="A14" s="6">
        <v>2</v>
      </c>
      <c r="B14" s="6"/>
      <c r="C14" s="134" t="s">
        <v>12</v>
      </c>
      <c r="D14" s="135" t="s">
        <v>13</v>
      </c>
      <c r="E14" s="136"/>
      <c r="F14" s="37" t="s">
        <v>38</v>
      </c>
      <c r="G14" s="38" t="s">
        <v>38</v>
      </c>
      <c r="H14" s="38"/>
      <c r="I14" s="38"/>
      <c r="J14" s="38"/>
      <c r="K14" s="38"/>
      <c r="L14" s="62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8" t="s">
        <v>41</v>
      </c>
      <c r="O14" s="58"/>
      <c r="P14" s="58" t="s">
        <v>39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</row>
    <row r="15" spans="1:33" ht="27" customHeight="1" x14ac:dyDescent="0.25">
      <c r="A15" s="7">
        <v>3</v>
      </c>
      <c r="B15" s="6"/>
      <c r="C15" s="118"/>
      <c r="D15" s="122" t="s">
        <v>14</v>
      </c>
      <c r="E15" s="123"/>
      <c r="F15" s="39"/>
      <c r="G15" s="40"/>
      <c r="H15" s="40" t="s">
        <v>38</v>
      </c>
      <c r="I15" s="40"/>
      <c r="J15" s="40"/>
      <c r="K15" s="40"/>
      <c r="L15" s="63">
        <f t="shared" si="0"/>
        <v>7</v>
      </c>
      <c r="N15" s="58" t="s">
        <v>42</v>
      </c>
      <c r="O15" s="58"/>
      <c r="P15" s="58" t="s">
        <v>40</v>
      </c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</row>
    <row r="16" spans="1:33" ht="27" customHeight="1" x14ac:dyDescent="0.25">
      <c r="A16" s="22">
        <v>4</v>
      </c>
      <c r="B16" s="6"/>
      <c r="C16" s="118"/>
      <c r="D16" s="128" t="s">
        <v>15</v>
      </c>
      <c r="E16" s="129"/>
      <c r="F16" s="41" t="s">
        <v>38</v>
      </c>
      <c r="G16" s="42"/>
      <c r="H16" s="42" t="s">
        <v>38</v>
      </c>
      <c r="I16" s="42"/>
      <c r="J16" s="42"/>
      <c r="K16" s="42"/>
      <c r="L16" s="64">
        <f t="shared" si="0"/>
        <v>6</v>
      </c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</row>
    <row r="17" spans="1:33" ht="27" customHeight="1" x14ac:dyDescent="0.25">
      <c r="A17" s="7">
        <v>5</v>
      </c>
      <c r="B17" s="6"/>
      <c r="C17" s="118"/>
      <c r="D17" s="122" t="s">
        <v>16</v>
      </c>
      <c r="E17" s="123"/>
      <c r="F17" s="39" t="s">
        <v>38</v>
      </c>
      <c r="G17" s="40" t="s">
        <v>38</v>
      </c>
      <c r="H17" s="40" t="s">
        <v>38</v>
      </c>
      <c r="I17" s="40"/>
      <c r="J17" s="40"/>
      <c r="K17" s="40"/>
      <c r="L17" s="63">
        <f t="shared" si="0"/>
        <v>5</v>
      </c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</row>
    <row r="18" spans="1:33" ht="27" customHeight="1" thickBot="1" x14ac:dyDescent="0.3">
      <c r="A18" s="8">
        <v>6</v>
      </c>
      <c r="B18" s="29"/>
      <c r="C18" s="119"/>
      <c r="D18" s="120" t="s">
        <v>17</v>
      </c>
      <c r="E18" s="121"/>
      <c r="F18" s="41"/>
      <c r="G18" s="42"/>
      <c r="H18" s="42"/>
      <c r="I18" s="42" t="s">
        <v>38</v>
      </c>
      <c r="J18" s="42"/>
      <c r="K18" s="42"/>
      <c r="L18" s="64">
        <f t="shared" si="0"/>
        <v>5</v>
      </c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</row>
    <row r="19" spans="1:33" ht="27" customHeight="1" x14ac:dyDescent="0.25">
      <c r="A19" s="23">
        <v>7</v>
      </c>
      <c r="B19" s="6"/>
      <c r="C19" s="118" t="s">
        <v>18</v>
      </c>
      <c r="D19" s="126" t="s">
        <v>19</v>
      </c>
      <c r="E19" s="127"/>
      <c r="F19" s="54" t="s">
        <v>38</v>
      </c>
      <c r="G19" s="55"/>
      <c r="H19" s="55"/>
      <c r="I19" s="55" t="s">
        <v>38</v>
      </c>
      <c r="J19" s="55"/>
      <c r="K19" s="55"/>
      <c r="L19" s="65">
        <f t="shared" si="0"/>
        <v>4</v>
      </c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</row>
    <row r="20" spans="1:33" ht="27" customHeight="1" x14ac:dyDescent="0.25">
      <c r="A20" s="23">
        <v>8</v>
      </c>
      <c r="B20" s="6"/>
      <c r="C20" s="118"/>
      <c r="D20" s="128" t="s">
        <v>20</v>
      </c>
      <c r="E20" s="129"/>
      <c r="F20" s="41" t="s">
        <v>38</v>
      </c>
      <c r="G20" s="42" t="s">
        <v>38</v>
      </c>
      <c r="H20" s="42"/>
      <c r="I20" s="42" t="s">
        <v>38</v>
      </c>
      <c r="J20" s="42"/>
      <c r="K20" s="42"/>
      <c r="L20" s="64">
        <f t="shared" si="0"/>
        <v>3</v>
      </c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</row>
    <row r="21" spans="1:33" ht="27" customHeight="1" x14ac:dyDescent="0.25">
      <c r="A21" s="7">
        <v>9</v>
      </c>
      <c r="B21" s="6"/>
      <c r="C21" s="118"/>
      <c r="D21" s="122" t="s">
        <v>21</v>
      </c>
      <c r="E21" s="123"/>
      <c r="F21" s="39"/>
      <c r="G21" s="40"/>
      <c r="H21" s="40" t="s">
        <v>38</v>
      </c>
      <c r="I21" s="40" t="s">
        <v>38</v>
      </c>
      <c r="J21" s="40"/>
      <c r="K21" s="40"/>
      <c r="L21" s="63">
        <f t="shared" si="0"/>
        <v>2</v>
      </c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</row>
    <row r="22" spans="1:33" ht="27" customHeight="1" x14ac:dyDescent="0.25">
      <c r="A22" s="24">
        <v>10</v>
      </c>
      <c r="B22" s="6"/>
      <c r="C22" s="118"/>
      <c r="D22" s="128" t="s">
        <v>22</v>
      </c>
      <c r="E22" s="129"/>
      <c r="F22" s="41" t="s">
        <v>38</v>
      </c>
      <c r="G22" s="42"/>
      <c r="H22" s="42" t="s">
        <v>38</v>
      </c>
      <c r="I22" s="42" t="s">
        <v>38</v>
      </c>
      <c r="J22" s="42"/>
      <c r="K22" s="42"/>
      <c r="L22" s="64">
        <f t="shared" si="0"/>
        <v>1</v>
      </c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</row>
    <row r="23" spans="1:33" ht="27" customHeight="1" thickBot="1" x14ac:dyDescent="0.3">
      <c r="A23" s="8">
        <v>11</v>
      </c>
      <c r="B23" s="29"/>
      <c r="C23" s="119"/>
      <c r="D23" s="130" t="s">
        <v>23</v>
      </c>
      <c r="E23" s="131"/>
      <c r="F23" s="45" t="s">
        <v>38</v>
      </c>
      <c r="G23" s="46" t="s">
        <v>38</v>
      </c>
      <c r="H23" s="46" t="s">
        <v>38</v>
      </c>
      <c r="I23" s="46" t="s">
        <v>38</v>
      </c>
      <c r="J23" s="46"/>
      <c r="K23" s="46"/>
      <c r="L23" s="66">
        <f t="shared" si="0"/>
        <v>1</v>
      </c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</row>
    <row r="24" spans="1:33" ht="27" customHeight="1" x14ac:dyDescent="0.25">
      <c r="A24" s="6">
        <v>12</v>
      </c>
      <c r="B24" s="6"/>
      <c r="C24" s="118" t="s">
        <v>24</v>
      </c>
      <c r="D24" s="120" t="s">
        <v>25</v>
      </c>
      <c r="E24" s="121"/>
      <c r="F24" s="37"/>
      <c r="G24" s="38"/>
      <c r="H24" s="38"/>
      <c r="I24" s="38"/>
      <c r="J24" s="38" t="s">
        <v>39</v>
      </c>
      <c r="K24" s="38"/>
      <c r="L24" s="62">
        <f t="shared" si="0"/>
        <v>10</v>
      </c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1:33" ht="27" customHeight="1" x14ac:dyDescent="0.25">
      <c r="A25" s="22">
        <v>13</v>
      </c>
      <c r="B25" s="6"/>
      <c r="C25" s="118"/>
      <c r="D25" s="122" t="s">
        <v>26</v>
      </c>
      <c r="E25" s="123"/>
      <c r="F25" s="39" t="s">
        <v>38</v>
      </c>
      <c r="G25" s="40" t="s">
        <v>38</v>
      </c>
      <c r="H25" s="40" t="s">
        <v>38</v>
      </c>
      <c r="I25" s="40" t="s">
        <v>38</v>
      </c>
      <c r="J25" s="40" t="s">
        <v>40</v>
      </c>
      <c r="K25" s="40"/>
      <c r="L25" s="63">
        <f t="shared" si="0"/>
        <v>1</v>
      </c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1:33" ht="27" customHeight="1" x14ac:dyDescent="0.25">
      <c r="A26" s="23">
        <v>14</v>
      </c>
      <c r="B26" s="6"/>
      <c r="C26" s="118"/>
      <c r="D26" s="120" t="s">
        <v>27</v>
      </c>
      <c r="E26" s="121"/>
      <c r="F26" s="41" t="s">
        <v>38</v>
      </c>
      <c r="G26" s="42" t="s">
        <v>38</v>
      </c>
      <c r="H26" s="42"/>
      <c r="I26" s="42"/>
      <c r="J26" s="42" t="s">
        <v>39</v>
      </c>
      <c r="K26" s="42"/>
      <c r="L26" s="64">
        <f t="shared" si="0"/>
        <v>8.5</v>
      </c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1:33" ht="27" customHeight="1" x14ac:dyDescent="0.25">
      <c r="A27" s="6">
        <v>15</v>
      </c>
      <c r="B27" s="6"/>
      <c r="C27" s="118"/>
      <c r="D27" s="122" t="s">
        <v>28</v>
      </c>
      <c r="E27" s="123"/>
      <c r="F27" s="39" t="s">
        <v>38</v>
      </c>
      <c r="G27" s="40" t="s">
        <v>38</v>
      </c>
      <c r="H27" s="40"/>
      <c r="I27" s="40"/>
      <c r="J27" s="40" t="s">
        <v>40</v>
      </c>
      <c r="K27" s="40"/>
      <c r="L27" s="63">
        <f t="shared" si="0"/>
        <v>7.5</v>
      </c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1:33" ht="27" customHeight="1" thickBot="1" x14ac:dyDescent="0.3">
      <c r="A28" s="8">
        <v>16</v>
      </c>
      <c r="B28" s="29"/>
      <c r="C28" s="119"/>
      <c r="D28" s="124" t="s">
        <v>29</v>
      </c>
      <c r="E28" s="125"/>
      <c r="F28" s="47"/>
      <c r="G28" s="48"/>
      <c r="H28" s="48" t="s">
        <v>38</v>
      </c>
      <c r="I28" s="48"/>
      <c r="J28" s="48"/>
      <c r="K28" s="48"/>
      <c r="L28" s="36">
        <f t="shared" si="0"/>
        <v>7</v>
      </c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1:33" ht="27" hidden="1" customHeight="1" x14ac:dyDescent="0.25">
      <c r="A29" s="58"/>
      <c r="B29" s="58"/>
      <c r="C29" s="58"/>
      <c r="D29" s="58"/>
      <c r="E29" s="58"/>
      <c r="F29" s="68"/>
      <c r="G29" s="68"/>
      <c r="H29" s="68"/>
      <c r="I29" s="68"/>
      <c r="J29" s="68"/>
      <c r="K29" s="68"/>
      <c r="L29" s="58">
        <f t="shared" si="0"/>
        <v>10</v>
      </c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1:33" ht="27" hidden="1" customHeight="1" x14ac:dyDescent="0.25">
      <c r="A30" s="58"/>
      <c r="B30" s="58"/>
      <c r="C30" s="58"/>
      <c r="D30" s="58"/>
      <c r="E30" s="58"/>
      <c r="F30" s="68"/>
      <c r="G30" s="68"/>
      <c r="H30" s="68"/>
      <c r="I30" s="68"/>
      <c r="J30" s="68"/>
      <c r="K30" s="68"/>
      <c r="L30" s="58">
        <f t="shared" si="0"/>
        <v>10</v>
      </c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1:33" ht="27" hidden="1" customHeight="1" x14ac:dyDescent="0.25">
      <c r="A31" s="58"/>
      <c r="B31" s="58"/>
      <c r="C31" s="58"/>
      <c r="D31" s="58"/>
      <c r="E31" s="58"/>
      <c r="F31" s="68"/>
      <c r="G31" s="68"/>
      <c r="H31" s="68"/>
      <c r="I31" s="68"/>
      <c r="J31" s="68"/>
      <c r="K31" s="68"/>
      <c r="L31" s="58">
        <f t="shared" si="0"/>
        <v>10</v>
      </c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1:33" ht="27" hidden="1" customHeight="1" x14ac:dyDescent="0.25">
      <c r="A32" s="58"/>
      <c r="B32" s="58"/>
      <c r="C32" s="58"/>
      <c r="D32" s="58"/>
      <c r="E32" s="58"/>
      <c r="F32" s="68"/>
      <c r="G32" s="68"/>
      <c r="H32" s="68"/>
      <c r="I32" s="68"/>
      <c r="J32" s="68"/>
      <c r="K32" s="68"/>
      <c r="L32" s="58">
        <f t="shared" si="0"/>
        <v>10</v>
      </c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1:33" ht="27" hidden="1" customHeight="1" x14ac:dyDescent="0.25">
      <c r="A33" s="58"/>
      <c r="B33" s="58"/>
      <c r="C33" s="58"/>
      <c r="D33" s="58"/>
      <c r="E33" s="58"/>
      <c r="F33" s="68"/>
      <c r="G33" s="68"/>
      <c r="H33" s="68"/>
      <c r="I33" s="68"/>
      <c r="J33" s="68"/>
      <c r="K33" s="68"/>
      <c r="L33" s="58">
        <f t="shared" si="0"/>
        <v>10</v>
      </c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1:33" ht="27" hidden="1" customHeight="1" thickBot="1" x14ac:dyDescent="0.3">
      <c r="A34" s="58"/>
      <c r="B34" s="58"/>
      <c r="C34" s="58"/>
      <c r="D34" s="58"/>
      <c r="E34" s="58"/>
      <c r="F34" s="68"/>
      <c r="G34" s="68"/>
      <c r="H34" s="68"/>
      <c r="I34" s="68"/>
      <c r="J34" s="68"/>
      <c r="K34" s="68"/>
      <c r="L34" s="58">
        <f t="shared" si="0"/>
        <v>10</v>
      </c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1:33" ht="27" customHeight="1" thickBot="1" x14ac:dyDescent="0.3">
      <c r="A35" s="9">
        <v>17</v>
      </c>
      <c r="B35" s="28"/>
      <c r="C35" s="20"/>
      <c r="D35" s="106" t="s">
        <v>6</v>
      </c>
      <c r="E35" s="107"/>
      <c r="F35" s="49"/>
      <c r="G35" s="50"/>
      <c r="H35" s="50"/>
      <c r="I35" s="50"/>
      <c r="J35" s="50"/>
      <c r="K35" s="50"/>
      <c r="L35" s="67">
        <f t="shared" si="0"/>
        <v>10</v>
      </c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1:33" ht="21.95" customHeight="1" thickTop="1" thickBot="1" x14ac:dyDescent="0.3">
      <c r="A36" s="108" t="s">
        <v>33</v>
      </c>
      <c r="B36" s="109"/>
      <c r="C36" s="109"/>
      <c r="D36" s="109"/>
      <c r="E36" s="110"/>
      <c r="F36" s="111">
        <f>IF($L$37&lt;&gt;"",SUMPRODUCT(--(TRIM(F13:G35)&lt;&gt;"")),"")</f>
        <v>18</v>
      </c>
      <c r="G36" s="112">
        <f t="shared" ref="G36" si="1">IF($L$37&lt;&gt;"",COUNTIF(G13:G29,"x"))</f>
        <v>7</v>
      </c>
      <c r="H36" s="51">
        <f>IF($L$37&lt;&gt;"",SUMPRODUCT(--(TRIM(H13:H35)&lt;&gt;"")),"")</f>
        <v>8</v>
      </c>
      <c r="I36" s="51">
        <f>IF($L$37&lt;&gt;"",SUMPRODUCT(--(TRIM(I13:I35)&lt;&gt;"")),"")</f>
        <v>7</v>
      </c>
      <c r="J36" s="53">
        <f>IF($L$37&lt;&gt;"",(COUNTIFS(J13:J35,"+")-COUNTIFS(J13:J35,"-"))*0.5,"")</f>
        <v>0</v>
      </c>
      <c r="K36" s="52">
        <f>IF($L$37&lt;&gt;"",SUMPRODUCT(--(TRIM(K13:K35)&lt;&gt;"")),"")</f>
        <v>0</v>
      </c>
      <c r="L36" s="34">
        <f>IF(L37&lt;&gt;"",IF(K36&lt;1,SUM(L13:L35),IF(K36&gt;=1,ROUNDUP(SUM(L13:L35)/2,0),"")),"")</f>
        <v>155</v>
      </c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1:33" ht="20.100000000000001" customHeight="1" thickTop="1" thickBot="1" x14ac:dyDescent="0.3">
      <c r="A37" s="113" t="s">
        <v>49</v>
      </c>
      <c r="B37" s="114"/>
      <c r="C37" s="114"/>
      <c r="D37" s="114"/>
      <c r="E37" s="26" t="s">
        <v>64</v>
      </c>
      <c r="F37" s="115" t="s">
        <v>34</v>
      </c>
      <c r="G37" s="116"/>
      <c r="H37" s="116"/>
      <c r="I37" s="116"/>
      <c r="J37" s="116"/>
      <c r="K37" s="117"/>
      <c r="L37" s="69" t="s">
        <v>45</v>
      </c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1:33" ht="15.75" thickTop="1" x14ac:dyDescent="0.25"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1:33" x14ac:dyDescent="0.25"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  <row r="40" spans="1:33" x14ac:dyDescent="0.25"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</row>
  </sheetData>
  <sheetProtection algorithmName="SHA-512" hashValue="/E1brnNKgBPodslnGfCTlnTJIbekJm2maZVbb0HczmVIchmFrA0n2y7ovJpq+IHBCmzSLMFD53eTzf6KLq2IAA==" saltValue="I7fcLBZUUTTy8x+O9rlb0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3A00DFDF-AEA5-4498-AECF-D1BD50BE39B3}">
      <formula1>$P$14:$P$15</formula1>
    </dataValidation>
    <dataValidation type="list" allowBlank="1" showDropDown="1" showInputMessage="1" showErrorMessage="1" sqref="K13:K28 K35 F35:I35 F13:I28" xr:uid="{4B385291-8BDD-41DF-88DD-12DBD14ADCFD}">
      <formula1>$P$13</formula1>
    </dataValidation>
    <dataValidation type="textLength" allowBlank="1" showInputMessage="1" showErrorMessage="1" sqref="F29:K34" xr:uid="{4302C87B-50E4-4E14-86C0-352932C44F1E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B3C87-B527-449A-BCB8-AA73F71D1C8B}">
  <sheetPr codeName="Tabelle17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6" customFormat="1" ht="24.95" customHeight="1" x14ac:dyDescent="0.5">
      <c r="A1" s="32"/>
      <c r="B1" s="32"/>
      <c r="C1" s="32"/>
      <c r="D1" s="32"/>
      <c r="E1" s="164" t="s">
        <v>36</v>
      </c>
      <c r="F1" s="164"/>
      <c r="G1" s="164"/>
      <c r="H1" s="164"/>
      <c r="I1" s="164"/>
      <c r="J1" s="33"/>
      <c r="K1" s="32"/>
      <c r="L1" s="32"/>
    </row>
    <row r="2" spans="1:33" s="18" customFormat="1" ht="20.100000000000001" customHeight="1" x14ac:dyDescent="0.45">
      <c r="A2" s="165" t="s">
        <v>55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</row>
    <row r="3" spans="1:33" s="16" customFormat="1" ht="39.950000000000003" customHeight="1" x14ac:dyDescent="0.5">
      <c r="A3" s="166" t="s">
        <v>11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67" t="s">
        <v>46</v>
      </c>
      <c r="B5" s="167"/>
      <c r="C5" s="167"/>
      <c r="D5" s="167"/>
      <c r="E5" s="56" t="s">
        <v>65</v>
      </c>
      <c r="F5" s="14"/>
      <c r="G5" s="15" t="s">
        <v>47</v>
      </c>
      <c r="H5" s="168" t="s">
        <v>56</v>
      </c>
      <c r="I5" s="168"/>
      <c r="J5" s="169" t="s">
        <v>48</v>
      </c>
      <c r="K5" s="169"/>
      <c r="L5" s="57" t="s">
        <v>57</v>
      </c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52"/>
      <c r="I6" s="152"/>
      <c r="J6" s="152"/>
      <c r="K6" s="152"/>
      <c r="L6" s="16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</row>
    <row r="7" spans="1:33" s="17" customFormat="1" ht="20.100000000000001" customHeight="1" x14ac:dyDescent="0.35">
      <c r="A7" s="10"/>
      <c r="B7" s="10"/>
      <c r="C7" s="10"/>
      <c r="D7" s="153" t="s">
        <v>10</v>
      </c>
      <c r="E7" s="154"/>
      <c r="F7" s="155" t="s">
        <v>0</v>
      </c>
      <c r="G7" s="156"/>
      <c r="H7" s="154"/>
      <c r="I7" s="157" t="s">
        <v>1</v>
      </c>
      <c r="J7" s="157"/>
      <c r="K7" s="157"/>
      <c r="L7" s="11" t="s">
        <v>2</v>
      </c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</row>
    <row r="8" spans="1:33" ht="21.95" customHeight="1" x14ac:dyDescent="0.25">
      <c r="A8" s="14" t="s">
        <v>7</v>
      </c>
      <c r="B8" s="14"/>
      <c r="C8" s="14"/>
      <c r="D8" s="158" t="s">
        <v>58</v>
      </c>
      <c r="E8" s="159"/>
      <c r="F8" s="160" t="s">
        <v>59</v>
      </c>
      <c r="G8" s="161"/>
      <c r="H8" s="159"/>
      <c r="I8" s="162" t="s">
        <v>60</v>
      </c>
      <c r="J8" s="163"/>
      <c r="K8" s="163"/>
      <c r="L8" s="60" t="s">
        <v>62</v>
      </c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</row>
    <row r="9" spans="1:33" ht="21.95" customHeight="1" thickBot="1" x14ac:dyDescent="0.3">
      <c r="A9" s="14" t="s">
        <v>8</v>
      </c>
      <c r="B9" s="14"/>
      <c r="C9" s="14"/>
      <c r="D9" s="137" t="s">
        <v>61</v>
      </c>
      <c r="E9" s="138"/>
      <c r="F9" s="139" t="s">
        <v>59</v>
      </c>
      <c r="G9" s="140"/>
      <c r="H9" s="138"/>
      <c r="I9" s="141" t="s">
        <v>60</v>
      </c>
      <c r="J9" s="142"/>
      <c r="K9" s="142"/>
      <c r="L9" s="61" t="s">
        <v>62</v>
      </c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</row>
    <row r="11" spans="1:33" ht="39.75" customHeight="1" thickTop="1" thickBot="1" x14ac:dyDescent="0.3">
      <c r="A11" s="4"/>
      <c r="B11" s="4"/>
      <c r="C11" s="4"/>
      <c r="D11" s="4"/>
      <c r="E11" s="4"/>
      <c r="F11" s="143" t="s">
        <v>32</v>
      </c>
      <c r="G11" s="144"/>
      <c r="H11" s="30" t="s">
        <v>31</v>
      </c>
      <c r="I11" s="30" t="s">
        <v>30</v>
      </c>
      <c r="J11" s="30" t="s">
        <v>37</v>
      </c>
      <c r="K11" s="30" t="s">
        <v>3</v>
      </c>
      <c r="L11" s="145" t="s">
        <v>9</v>
      </c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</row>
    <row r="12" spans="1:33" s="17" customFormat="1" ht="20.100000000000001" customHeight="1" thickTop="1" thickBot="1" x14ac:dyDescent="0.4">
      <c r="A12" s="147" t="s">
        <v>4</v>
      </c>
      <c r="B12" s="148"/>
      <c r="C12" s="148"/>
      <c r="D12" s="148"/>
      <c r="E12" s="149"/>
      <c r="F12" s="150">
        <v>1</v>
      </c>
      <c r="G12" s="151"/>
      <c r="H12" s="31">
        <v>3</v>
      </c>
      <c r="I12" s="31">
        <v>5</v>
      </c>
      <c r="J12" s="31">
        <v>0.5</v>
      </c>
      <c r="K12" s="31">
        <v>10</v>
      </c>
      <c r="L12" s="146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</row>
    <row r="13" spans="1:33" ht="27" customHeight="1" thickBot="1" x14ac:dyDescent="0.3">
      <c r="A13" s="5">
        <v>1</v>
      </c>
      <c r="B13" s="27"/>
      <c r="C13" s="21"/>
      <c r="D13" s="132" t="s">
        <v>5</v>
      </c>
      <c r="E13" s="133"/>
      <c r="F13" s="43" t="s">
        <v>38</v>
      </c>
      <c r="G13" s="44"/>
      <c r="H13" s="44"/>
      <c r="I13" s="44"/>
      <c r="J13" s="44"/>
      <c r="K13" s="44"/>
      <c r="L13" s="3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8" t="s">
        <v>43</v>
      </c>
      <c r="O13" s="58"/>
      <c r="P13" s="58" t="s">
        <v>38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</row>
    <row r="14" spans="1:33" ht="27" customHeight="1" x14ac:dyDescent="0.25">
      <c r="A14" s="6">
        <v>2</v>
      </c>
      <c r="B14" s="6"/>
      <c r="C14" s="134" t="s">
        <v>12</v>
      </c>
      <c r="D14" s="135" t="s">
        <v>13</v>
      </c>
      <c r="E14" s="136"/>
      <c r="F14" s="37" t="s">
        <v>38</v>
      </c>
      <c r="G14" s="38" t="s">
        <v>38</v>
      </c>
      <c r="H14" s="38"/>
      <c r="I14" s="38"/>
      <c r="J14" s="38"/>
      <c r="K14" s="38"/>
      <c r="L14" s="62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8" t="s">
        <v>41</v>
      </c>
      <c r="O14" s="58"/>
      <c r="P14" s="58" t="s">
        <v>39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</row>
    <row r="15" spans="1:33" ht="27" customHeight="1" x14ac:dyDescent="0.25">
      <c r="A15" s="7">
        <v>3</v>
      </c>
      <c r="B15" s="6"/>
      <c r="C15" s="118"/>
      <c r="D15" s="122" t="s">
        <v>14</v>
      </c>
      <c r="E15" s="123"/>
      <c r="F15" s="39"/>
      <c r="G15" s="40"/>
      <c r="H15" s="40" t="s">
        <v>38</v>
      </c>
      <c r="I15" s="40"/>
      <c r="J15" s="40"/>
      <c r="K15" s="40"/>
      <c r="L15" s="63">
        <f t="shared" si="0"/>
        <v>7</v>
      </c>
      <c r="N15" s="58" t="s">
        <v>42</v>
      </c>
      <c r="O15" s="58"/>
      <c r="P15" s="58" t="s">
        <v>40</v>
      </c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</row>
    <row r="16" spans="1:33" ht="27" customHeight="1" x14ac:dyDescent="0.25">
      <c r="A16" s="22">
        <v>4</v>
      </c>
      <c r="B16" s="6"/>
      <c r="C16" s="118"/>
      <c r="D16" s="128" t="s">
        <v>15</v>
      </c>
      <c r="E16" s="129"/>
      <c r="F16" s="41" t="s">
        <v>38</v>
      </c>
      <c r="G16" s="42"/>
      <c r="H16" s="42" t="s">
        <v>38</v>
      </c>
      <c r="I16" s="42"/>
      <c r="J16" s="42"/>
      <c r="K16" s="42"/>
      <c r="L16" s="64">
        <f t="shared" si="0"/>
        <v>6</v>
      </c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</row>
    <row r="17" spans="1:33" ht="27" customHeight="1" x14ac:dyDescent="0.25">
      <c r="A17" s="7">
        <v>5</v>
      </c>
      <c r="B17" s="6"/>
      <c r="C17" s="118"/>
      <c r="D17" s="122" t="s">
        <v>16</v>
      </c>
      <c r="E17" s="123"/>
      <c r="F17" s="39" t="s">
        <v>38</v>
      </c>
      <c r="G17" s="40" t="s">
        <v>38</v>
      </c>
      <c r="H17" s="40" t="s">
        <v>38</v>
      </c>
      <c r="I17" s="40"/>
      <c r="J17" s="40"/>
      <c r="K17" s="40"/>
      <c r="L17" s="63">
        <f t="shared" si="0"/>
        <v>5</v>
      </c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</row>
    <row r="18" spans="1:33" ht="27" customHeight="1" thickBot="1" x14ac:dyDescent="0.3">
      <c r="A18" s="8">
        <v>6</v>
      </c>
      <c r="B18" s="29"/>
      <c r="C18" s="119"/>
      <c r="D18" s="120" t="s">
        <v>17</v>
      </c>
      <c r="E18" s="121"/>
      <c r="F18" s="41"/>
      <c r="G18" s="42"/>
      <c r="H18" s="42"/>
      <c r="I18" s="42" t="s">
        <v>38</v>
      </c>
      <c r="J18" s="42"/>
      <c r="K18" s="42"/>
      <c r="L18" s="64">
        <f t="shared" si="0"/>
        <v>5</v>
      </c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</row>
    <row r="19" spans="1:33" ht="27" customHeight="1" x14ac:dyDescent="0.25">
      <c r="A19" s="23">
        <v>7</v>
      </c>
      <c r="B19" s="6"/>
      <c r="C19" s="118" t="s">
        <v>18</v>
      </c>
      <c r="D19" s="126" t="s">
        <v>19</v>
      </c>
      <c r="E19" s="127"/>
      <c r="F19" s="54" t="s">
        <v>38</v>
      </c>
      <c r="G19" s="55"/>
      <c r="H19" s="55"/>
      <c r="I19" s="55" t="s">
        <v>38</v>
      </c>
      <c r="J19" s="55"/>
      <c r="K19" s="55"/>
      <c r="L19" s="65">
        <f t="shared" si="0"/>
        <v>4</v>
      </c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</row>
    <row r="20" spans="1:33" ht="27" customHeight="1" x14ac:dyDescent="0.25">
      <c r="A20" s="23">
        <v>8</v>
      </c>
      <c r="B20" s="6"/>
      <c r="C20" s="118"/>
      <c r="D20" s="128" t="s">
        <v>20</v>
      </c>
      <c r="E20" s="129"/>
      <c r="F20" s="41" t="s">
        <v>38</v>
      </c>
      <c r="G20" s="42" t="s">
        <v>38</v>
      </c>
      <c r="H20" s="42"/>
      <c r="I20" s="42" t="s">
        <v>38</v>
      </c>
      <c r="J20" s="42"/>
      <c r="K20" s="42"/>
      <c r="L20" s="64">
        <f t="shared" si="0"/>
        <v>3</v>
      </c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</row>
    <row r="21" spans="1:33" ht="27" customHeight="1" x14ac:dyDescent="0.25">
      <c r="A21" s="7">
        <v>9</v>
      </c>
      <c r="B21" s="6"/>
      <c r="C21" s="118"/>
      <c r="D21" s="122" t="s">
        <v>21</v>
      </c>
      <c r="E21" s="123"/>
      <c r="F21" s="39"/>
      <c r="G21" s="40"/>
      <c r="H21" s="40" t="s">
        <v>38</v>
      </c>
      <c r="I21" s="40" t="s">
        <v>38</v>
      </c>
      <c r="J21" s="40"/>
      <c r="K21" s="40"/>
      <c r="L21" s="63">
        <f t="shared" si="0"/>
        <v>2</v>
      </c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</row>
    <row r="22" spans="1:33" ht="27" customHeight="1" x14ac:dyDescent="0.25">
      <c r="A22" s="24">
        <v>10</v>
      </c>
      <c r="B22" s="6"/>
      <c r="C22" s="118"/>
      <c r="D22" s="128" t="s">
        <v>22</v>
      </c>
      <c r="E22" s="129"/>
      <c r="F22" s="41" t="s">
        <v>38</v>
      </c>
      <c r="G22" s="42"/>
      <c r="H22" s="42" t="s">
        <v>38</v>
      </c>
      <c r="I22" s="42" t="s">
        <v>38</v>
      </c>
      <c r="J22" s="42"/>
      <c r="K22" s="42"/>
      <c r="L22" s="64">
        <f t="shared" si="0"/>
        <v>1</v>
      </c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</row>
    <row r="23" spans="1:33" ht="27" customHeight="1" thickBot="1" x14ac:dyDescent="0.3">
      <c r="A23" s="8">
        <v>11</v>
      </c>
      <c r="B23" s="29"/>
      <c r="C23" s="119"/>
      <c r="D23" s="130" t="s">
        <v>23</v>
      </c>
      <c r="E23" s="131"/>
      <c r="F23" s="45" t="s">
        <v>38</v>
      </c>
      <c r="G23" s="46" t="s">
        <v>38</v>
      </c>
      <c r="H23" s="46" t="s">
        <v>38</v>
      </c>
      <c r="I23" s="46" t="s">
        <v>38</v>
      </c>
      <c r="J23" s="46"/>
      <c r="K23" s="46"/>
      <c r="L23" s="66">
        <f t="shared" si="0"/>
        <v>1</v>
      </c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</row>
    <row r="24" spans="1:33" ht="27" customHeight="1" x14ac:dyDescent="0.25">
      <c r="A24" s="6">
        <v>12</v>
      </c>
      <c r="B24" s="6"/>
      <c r="C24" s="118" t="s">
        <v>24</v>
      </c>
      <c r="D24" s="120" t="s">
        <v>25</v>
      </c>
      <c r="E24" s="121"/>
      <c r="F24" s="37"/>
      <c r="G24" s="38"/>
      <c r="H24" s="38"/>
      <c r="I24" s="38"/>
      <c r="J24" s="38" t="s">
        <v>39</v>
      </c>
      <c r="K24" s="38"/>
      <c r="L24" s="62">
        <f t="shared" si="0"/>
        <v>10</v>
      </c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1:33" ht="27" customHeight="1" x14ac:dyDescent="0.25">
      <c r="A25" s="22">
        <v>13</v>
      </c>
      <c r="B25" s="6"/>
      <c r="C25" s="118"/>
      <c r="D25" s="122" t="s">
        <v>26</v>
      </c>
      <c r="E25" s="123"/>
      <c r="F25" s="39" t="s">
        <v>38</v>
      </c>
      <c r="G25" s="40" t="s">
        <v>38</v>
      </c>
      <c r="H25" s="40" t="s">
        <v>38</v>
      </c>
      <c r="I25" s="40" t="s">
        <v>38</v>
      </c>
      <c r="J25" s="40" t="s">
        <v>40</v>
      </c>
      <c r="K25" s="40"/>
      <c r="L25" s="63">
        <f t="shared" si="0"/>
        <v>1</v>
      </c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1:33" ht="27" customHeight="1" x14ac:dyDescent="0.25">
      <c r="A26" s="23">
        <v>14</v>
      </c>
      <c r="B26" s="6"/>
      <c r="C26" s="118"/>
      <c r="D26" s="120" t="s">
        <v>27</v>
      </c>
      <c r="E26" s="121"/>
      <c r="F26" s="41" t="s">
        <v>38</v>
      </c>
      <c r="G26" s="42" t="s">
        <v>38</v>
      </c>
      <c r="H26" s="42"/>
      <c r="I26" s="42"/>
      <c r="J26" s="42" t="s">
        <v>39</v>
      </c>
      <c r="K26" s="42"/>
      <c r="L26" s="64">
        <f t="shared" si="0"/>
        <v>8.5</v>
      </c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1:33" ht="27" customHeight="1" x14ac:dyDescent="0.25">
      <c r="A27" s="6">
        <v>15</v>
      </c>
      <c r="B27" s="6"/>
      <c r="C27" s="118"/>
      <c r="D27" s="122" t="s">
        <v>28</v>
      </c>
      <c r="E27" s="123"/>
      <c r="F27" s="39" t="s">
        <v>38</v>
      </c>
      <c r="G27" s="40" t="s">
        <v>38</v>
      </c>
      <c r="H27" s="40"/>
      <c r="I27" s="40"/>
      <c r="J27" s="40" t="s">
        <v>40</v>
      </c>
      <c r="K27" s="40"/>
      <c r="L27" s="63">
        <f t="shared" si="0"/>
        <v>7.5</v>
      </c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1:33" ht="27" customHeight="1" thickBot="1" x14ac:dyDescent="0.3">
      <c r="A28" s="8">
        <v>16</v>
      </c>
      <c r="B28" s="29"/>
      <c r="C28" s="119"/>
      <c r="D28" s="124" t="s">
        <v>29</v>
      </c>
      <c r="E28" s="125"/>
      <c r="F28" s="47"/>
      <c r="G28" s="48"/>
      <c r="H28" s="48" t="s">
        <v>38</v>
      </c>
      <c r="I28" s="48"/>
      <c r="J28" s="48"/>
      <c r="K28" s="48"/>
      <c r="L28" s="36">
        <f t="shared" si="0"/>
        <v>7</v>
      </c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1:33" ht="27" hidden="1" customHeight="1" x14ac:dyDescent="0.25">
      <c r="A29" s="58"/>
      <c r="B29" s="58"/>
      <c r="C29" s="58"/>
      <c r="D29" s="58"/>
      <c r="E29" s="58"/>
      <c r="F29" s="68"/>
      <c r="G29" s="68"/>
      <c r="H29" s="68"/>
      <c r="I29" s="68"/>
      <c r="J29" s="68"/>
      <c r="K29" s="68"/>
      <c r="L29" s="58">
        <f t="shared" si="0"/>
        <v>10</v>
      </c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1:33" ht="27" hidden="1" customHeight="1" x14ac:dyDescent="0.25">
      <c r="A30" s="58"/>
      <c r="B30" s="58"/>
      <c r="C30" s="58"/>
      <c r="D30" s="58"/>
      <c r="E30" s="58"/>
      <c r="F30" s="68"/>
      <c r="G30" s="68"/>
      <c r="H30" s="68"/>
      <c r="I30" s="68"/>
      <c r="J30" s="68"/>
      <c r="K30" s="68"/>
      <c r="L30" s="58">
        <f t="shared" si="0"/>
        <v>10</v>
      </c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1:33" ht="27" hidden="1" customHeight="1" x14ac:dyDescent="0.25">
      <c r="A31" s="58"/>
      <c r="B31" s="58"/>
      <c r="C31" s="58"/>
      <c r="D31" s="58"/>
      <c r="E31" s="58"/>
      <c r="F31" s="68"/>
      <c r="G31" s="68"/>
      <c r="H31" s="68"/>
      <c r="I31" s="68"/>
      <c r="J31" s="68"/>
      <c r="K31" s="68"/>
      <c r="L31" s="58">
        <f t="shared" si="0"/>
        <v>10</v>
      </c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1:33" ht="27" hidden="1" customHeight="1" x14ac:dyDescent="0.25">
      <c r="A32" s="58"/>
      <c r="B32" s="58"/>
      <c r="C32" s="58"/>
      <c r="D32" s="58"/>
      <c r="E32" s="58"/>
      <c r="F32" s="68"/>
      <c r="G32" s="68"/>
      <c r="H32" s="68"/>
      <c r="I32" s="68"/>
      <c r="J32" s="68"/>
      <c r="K32" s="68"/>
      <c r="L32" s="58">
        <f t="shared" si="0"/>
        <v>10</v>
      </c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1:33" ht="27" hidden="1" customHeight="1" x14ac:dyDescent="0.25">
      <c r="A33" s="58"/>
      <c r="B33" s="58"/>
      <c r="C33" s="58"/>
      <c r="D33" s="58"/>
      <c r="E33" s="58"/>
      <c r="F33" s="68"/>
      <c r="G33" s="68"/>
      <c r="H33" s="68"/>
      <c r="I33" s="68"/>
      <c r="J33" s="68"/>
      <c r="K33" s="68"/>
      <c r="L33" s="58">
        <f t="shared" si="0"/>
        <v>10</v>
      </c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1:33" ht="27" hidden="1" customHeight="1" thickBot="1" x14ac:dyDescent="0.3">
      <c r="A34" s="58"/>
      <c r="B34" s="58"/>
      <c r="C34" s="58"/>
      <c r="D34" s="58"/>
      <c r="E34" s="58"/>
      <c r="F34" s="68"/>
      <c r="G34" s="68"/>
      <c r="H34" s="68"/>
      <c r="I34" s="68"/>
      <c r="J34" s="68"/>
      <c r="K34" s="68"/>
      <c r="L34" s="58">
        <f t="shared" si="0"/>
        <v>10</v>
      </c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1:33" ht="27" customHeight="1" thickBot="1" x14ac:dyDescent="0.3">
      <c r="A35" s="9">
        <v>17</v>
      </c>
      <c r="B35" s="28"/>
      <c r="C35" s="20"/>
      <c r="D35" s="106" t="s">
        <v>6</v>
      </c>
      <c r="E35" s="107"/>
      <c r="F35" s="49"/>
      <c r="G35" s="50"/>
      <c r="H35" s="50"/>
      <c r="I35" s="50"/>
      <c r="J35" s="50"/>
      <c r="K35" s="50"/>
      <c r="L35" s="67">
        <f t="shared" si="0"/>
        <v>10</v>
      </c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1:33" ht="21.95" customHeight="1" thickTop="1" thickBot="1" x14ac:dyDescent="0.3">
      <c r="A36" s="108" t="s">
        <v>33</v>
      </c>
      <c r="B36" s="109"/>
      <c r="C36" s="109"/>
      <c r="D36" s="109"/>
      <c r="E36" s="110"/>
      <c r="F36" s="111">
        <f>IF($L$37&lt;&gt;"",SUMPRODUCT(--(TRIM(F13:G35)&lt;&gt;"")),"")</f>
        <v>18</v>
      </c>
      <c r="G36" s="112">
        <f t="shared" ref="G36" si="1">IF($L$37&lt;&gt;"",COUNTIF(G13:G29,"x"))</f>
        <v>7</v>
      </c>
      <c r="H36" s="51">
        <f>IF($L$37&lt;&gt;"",SUMPRODUCT(--(TRIM(H13:H35)&lt;&gt;"")),"")</f>
        <v>8</v>
      </c>
      <c r="I36" s="51">
        <f>IF($L$37&lt;&gt;"",SUMPRODUCT(--(TRIM(I13:I35)&lt;&gt;"")),"")</f>
        <v>7</v>
      </c>
      <c r="J36" s="53">
        <f>IF($L$37&lt;&gt;"",(COUNTIFS(J13:J35,"+")-COUNTIFS(J13:J35,"-"))*0.5,"")</f>
        <v>0</v>
      </c>
      <c r="K36" s="52">
        <f>IF($L$37&lt;&gt;"",SUMPRODUCT(--(TRIM(K13:K35)&lt;&gt;"")),"")</f>
        <v>0</v>
      </c>
      <c r="L36" s="34">
        <f>IF(L37&lt;&gt;"",IF(K36&lt;1,SUM(L13:L35),IF(K36&gt;=1,ROUNDUP(SUM(L13:L35)/2,0),"")),"")</f>
        <v>155</v>
      </c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1:33" ht="20.100000000000001" customHeight="1" thickTop="1" thickBot="1" x14ac:dyDescent="0.3">
      <c r="A37" s="113" t="s">
        <v>49</v>
      </c>
      <c r="B37" s="114"/>
      <c r="C37" s="114"/>
      <c r="D37" s="114"/>
      <c r="E37" s="26" t="s">
        <v>66</v>
      </c>
      <c r="F37" s="115" t="s">
        <v>34</v>
      </c>
      <c r="G37" s="116"/>
      <c r="H37" s="116"/>
      <c r="I37" s="116"/>
      <c r="J37" s="116"/>
      <c r="K37" s="117"/>
      <c r="L37" s="69" t="s">
        <v>45</v>
      </c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1:33" ht="15.75" thickTop="1" x14ac:dyDescent="0.25"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1:33" x14ac:dyDescent="0.25"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  <row r="40" spans="1:33" x14ac:dyDescent="0.25"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</row>
  </sheetData>
  <sheetProtection algorithmName="SHA-512" hashValue="e2T8U9ugSgSxj91ebA0hT9NbYRl2Z2yo6gOhwG7AcOKVfjFgB2fkdNlyuCfDprJPlHN3v0yOnhb7q3QyKco+2g==" saltValue="+yocJTIad175+L/SkBuW3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AC322B53-8017-48E7-A52B-5438C587BCC0}">
      <formula1>$P$14:$P$15</formula1>
    </dataValidation>
    <dataValidation type="list" allowBlank="1" showDropDown="1" showInputMessage="1" showErrorMessage="1" sqref="K13:K28 K35 F35:I35 F13:I28" xr:uid="{DB8206DC-00F5-418A-9D8D-C3076F880D6C}">
      <formula1>$P$13</formula1>
    </dataValidation>
    <dataValidation type="textLength" allowBlank="1" showInputMessage="1" showErrorMessage="1" sqref="F29:K34" xr:uid="{E09BFC2F-75A9-4F33-8145-FCE161CD0BFB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144FF-4400-4DB5-8411-B9B6EDF21639}">
  <sheetPr codeName="Tabelle18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6" customFormat="1" ht="24.95" customHeight="1" x14ac:dyDescent="0.5">
      <c r="A1" s="32"/>
      <c r="B1" s="32"/>
      <c r="C1" s="32"/>
      <c r="D1" s="32"/>
      <c r="E1" s="164" t="s">
        <v>36</v>
      </c>
      <c r="F1" s="164"/>
      <c r="G1" s="164"/>
      <c r="H1" s="164"/>
      <c r="I1" s="164"/>
      <c r="J1" s="33"/>
      <c r="K1" s="32"/>
      <c r="L1" s="32"/>
    </row>
    <row r="2" spans="1:33" s="18" customFormat="1" ht="20.100000000000001" customHeight="1" x14ac:dyDescent="0.45">
      <c r="A2" s="165" t="s">
        <v>55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</row>
    <row r="3" spans="1:33" s="16" customFormat="1" ht="39.950000000000003" customHeight="1" x14ac:dyDescent="0.5">
      <c r="A3" s="166" t="s">
        <v>11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67" t="s">
        <v>46</v>
      </c>
      <c r="B5" s="167"/>
      <c r="C5" s="167"/>
      <c r="D5" s="167"/>
      <c r="E5" s="56" t="s">
        <v>67</v>
      </c>
      <c r="F5" s="14"/>
      <c r="G5" s="15" t="s">
        <v>47</v>
      </c>
      <c r="H5" s="168" t="s">
        <v>56</v>
      </c>
      <c r="I5" s="168"/>
      <c r="J5" s="169" t="s">
        <v>48</v>
      </c>
      <c r="K5" s="169"/>
      <c r="L5" s="57" t="s">
        <v>57</v>
      </c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52"/>
      <c r="I6" s="152"/>
      <c r="J6" s="152"/>
      <c r="K6" s="152"/>
      <c r="L6" s="16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</row>
    <row r="7" spans="1:33" s="17" customFormat="1" ht="20.100000000000001" customHeight="1" x14ac:dyDescent="0.35">
      <c r="A7" s="10"/>
      <c r="B7" s="10"/>
      <c r="C7" s="10"/>
      <c r="D7" s="153" t="s">
        <v>10</v>
      </c>
      <c r="E7" s="154"/>
      <c r="F7" s="155" t="s">
        <v>0</v>
      </c>
      <c r="G7" s="156"/>
      <c r="H7" s="154"/>
      <c r="I7" s="157" t="s">
        <v>1</v>
      </c>
      <c r="J7" s="157"/>
      <c r="K7" s="157"/>
      <c r="L7" s="11" t="s">
        <v>2</v>
      </c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</row>
    <row r="8" spans="1:33" ht="21.95" customHeight="1" x14ac:dyDescent="0.25">
      <c r="A8" s="14" t="s">
        <v>7</v>
      </c>
      <c r="B8" s="14"/>
      <c r="C8" s="14"/>
      <c r="D8" s="158" t="s">
        <v>58</v>
      </c>
      <c r="E8" s="159"/>
      <c r="F8" s="160" t="s">
        <v>59</v>
      </c>
      <c r="G8" s="161"/>
      <c r="H8" s="159"/>
      <c r="I8" s="162" t="s">
        <v>60</v>
      </c>
      <c r="J8" s="163"/>
      <c r="K8" s="163"/>
      <c r="L8" s="60" t="s">
        <v>62</v>
      </c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</row>
    <row r="9" spans="1:33" ht="21.95" customHeight="1" thickBot="1" x14ac:dyDescent="0.3">
      <c r="A9" s="14" t="s">
        <v>8</v>
      </c>
      <c r="B9" s="14"/>
      <c r="C9" s="14"/>
      <c r="D9" s="137" t="s">
        <v>61</v>
      </c>
      <c r="E9" s="138"/>
      <c r="F9" s="139" t="s">
        <v>59</v>
      </c>
      <c r="G9" s="140"/>
      <c r="H9" s="138"/>
      <c r="I9" s="141" t="s">
        <v>60</v>
      </c>
      <c r="J9" s="142"/>
      <c r="K9" s="142"/>
      <c r="L9" s="61" t="s">
        <v>62</v>
      </c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</row>
    <row r="11" spans="1:33" ht="39.75" customHeight="1" thickTop="1" thickBot="1" x14ac:dyDescent="0.3">
      <c r="A11" s="4"/>
      <c r="B11" s="4"/>
      <c r="C11" s="4"/>
      <c r="D11" s="4"/>
      <c r="E11" s="4"/>
      <c r="F11" s="143" t="s">
        <v>32</v>
      </c>
      <c r="G11" s="144"/>
      <c r="H11" s="30" t="s">
        <v>31</v>
      </c>
      <c r="I11" s="30" t="s">
        <v>30</v>
      </c>
      <c r="J11" s="30" t="s">
        <v>37</v>
      </c>
      <c r="K11" s="30" t="s">
        <v>3</v>
      </c>
      <c r="L11" s="145" t="s">
        <v>9</v>
      </c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</row>
    <row r="12" spans="1:33" s="17" customFormat="1" ht="20.100000000000001" customHeight="1" thickTop="1" thickBot="1" x14ac:dyDescent="0.4">
      <c r="A12" s="147" t="s">
        <v>4</v>
      </c>
      <c r="B12" s="148"/>
      <c r="C12" s="148"/>
      <c r="D12" s="148"/>
      <c r="E12" s="149"/>
      <c r="F12" s="150">
        <v>1</v>
      </c>
      <c r="G12" s="151"/>
      <c r="H12" s="31">
        <v>3</v>
      </c>
      <c r="I12" s="31">
        <v>5</v>
      </c>
      <c r="J12" s="31">
        <v>0.5</v>
      </c>
      <c r="K12" s="31">
        <v>10</v>
      </c>
      <c r="L12" s="146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</row>
    <row r="13" spans="1:33" ht="27" customHeight="1" thickBot="1" x14ac:dyDescent="0.3">
      <c r="A13" s="5">
        <v>1</v>
      </c>
      <c r="B13" s="27"/>
      <c r="C13" s="21"/>
      <c r="D13" s="132" t="s">
        <v>5</v>
      </c>
      <c r="E13" s="133"/>
      <c r="F13" s="43" t="s">
        <v>38</v>
      </c>
      <c r="G13" s="44"/>
      <c r="H13" s="44"/>
      <c r="I13" s="44"/>
      <c r="J13" s="44"/>
      <c r="K13" s="44"/>
      <c r="L13" s="3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8" t="s">
        <v>43</v>
      </c>
      <c r="O13" s="58"/>
      <c r="P13" s="58" t="s">
        <v>38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</row>
    <row r="14" spans="1:33" ht="27" customHeight="1" x14ac:dyDescent="0.25">
      <c r="A14" s="6">
        <v>2</v>
      </c>
      <c r="B14" s="6"/>
      <c r="C14" s="134" t="s">
        <v>12</v>
      </c>
      <c r="D14" s="135" t="s">
        <v>13</v>
      </c>
      <c r="E14" s="136"/>
      <c r="F14" s="37" t="s">
        <v>38</v>
      </c>
      <c r="G14" s="38" t="s">
        <v>38</v>
      </c>
      <c r="H14" s="38"/>
      <c r="I14" s="38"/>
      <c r="J14" s="38"/>
      <c r="K14" s="38"/>
      <c r="L14" s="62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8" t="s">
        <v>41</v>
      </c>
      <c r="O14" s="58"/>
      <c r="P14" s="58" t="s">
        <v>39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</row>
    <row r="15" spans="1:33" ht="27" customHeight="1" x14ac:dyDescent="0.25">
      <c r="A15" s="7">
        <v>3</v>
      </c>
      <c r="B15" s="6"/>
      <c r="C15" s="118"/>
      <c r="D15" s="122" t="s">
        <v>14</v>
      </c>
      <c r="E15" s="123"/>
      <c r="F15" s="39"/>
      <c r="G15" s="40"/>
      <c r="H15" s="40" t="s">
        <v>38</v>
      </c>
      <c r="I15" s="40"/>
      <c r="J15" s="40"/>
      <c r="K15" s="40"/>
      <c r="L15" s="63">
        <f t="shared" si="0"/>
        <v>7</v>
      </c>
      <c r="N15" s="58" t="s">
        <v>42</v>
      </c>
      <c r="O15" s="58"/>
      <c r="P15" s="58" t="s">
        <v>40</v>
      </c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</row>
    <row r="16" spans="1:33" ht="27" customHeight="1" x14ac:dyDescent="0.25">
      <c r="A16" s="22">
        <v>4</v>
      </c>
      <c r="B16" s="6"/>
      <c r="C16" s="118"/>
      <c r="D16" s="128" t="s">
        <v>15</v>
      </c>
      <c r="E16" s="129"/>
      <c r="F16" s="41" t="s">
        <v>38</v>
      </c>
      <c r="G16" s="42"/>
      <c r="H16" s="42" t="s">
        <v>38</v>
      </c>
      <c r="I16" s="42"/>
      <c r="J16" s="42"/>
      <c r="K16" s="42"/>
      <c r="L16" s="64">
        <f t="shared" si="0"/>
        <v>6</v>
      </c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</row>
    <row r="17" spans="1:33" ht="27" customHeight="1" x14ac:dyDescent="0.25">
      <c r="A17" s="7">
        <v>5</v>
      </c>
      <c r="B17" s="6"/>
      <c r="C17" s="118"/>
      <c r="D17" s="122" t="s">
        <v>16</v>
      </c>
      <c r="E17" s="123"/>
      <c r="F17" s="39" t="s">
        <v>38</v>
      </c>
      <c r="G17" s="40" t="s">
        <v>38</v>
      </c>
      <c r="H17" s="40" t="s">
        <v>38</v>
      </c>
      <c r="I17" s="40"/>
      <c r="J17" s="40"/>
      <c r="K17" s="40"/>
      <c r="L17" s="63">
        <f t="shared" si="0"/>
        <v>5</v>
      </c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</row>
    <row r="18" spans="1:33" ht="27" customHeight="1" thickBot="1" x14ac:dyDescent="0.3">
      <c r="A18" s="8">
        <v>6</v>
      </c>
      <c r="B18" s="29"/>
      <c r="C18" s="119"/>
      <c r="D18" s="120" t="s">
        <v>17</v>
      </c>
      <c r="E18" s="121"/>
      <c r="F18" s="41"/>
      <c r="G18" s="42"/>
      <c r="H18" s="42"/>
      <c r="I18" s="42" t="s">
        <v>38</v>
      </c>
      <c r="J18" s="42"/>
      <c r="K18" s="42"/>
      <c r="L18" s="64">
        <f t="shared" si="0"/>
        <v>5</v>
      </c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</row>
    <row r="19" spans="1:33" ht="27" customHeight="1" x14ac:dyDescent="0.25">
      <c r="A19" s="23">
        <v>7</v>
      </c>
      <c r="B19" s="6"/>
      <c r="C19" s="118" t="s">
        <v>18</v>
      </c>
      <c r="D19" s="126" t="s">
        <v>19</v>
      </c>
      <c r="E19" s="127"/>
      <c r="F19" s="54" t="s">
        <v>38</v>
      </c>
      <c r="G19" s="55"/>
      <c r="H19" s="55"/>
      <c r="I19" s="55" t="s">
        <v>38</v>
      </c>
      <c r="J19" s="55"/>
      <c r="K19" s="55"/>
      <c r="L19" s="65">
        <f t="shared" si="0"/>
        <v>4</v>
      </c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</row>
    <row r="20" spans="1:33" ht="27" customHeight="1" x14ac:dyDescent="0.25">
      <c r="A20" s="23">
        <v>8</v>
      </c>
      <c r="B20" s="6"/>
      <c r="C20" s="118"/>
      <c r="D20" s="128" t="s">
        <v>20</v>
      </c>
      <c r="E20" s="129"/>
      <c r="F20" s="41" t="s">
        <v>38</v>
      </c>
      <c r="G20" s="42" t="s">
        <v>38</v>
      </c>
      <c r="H20" s="42"/>
      <c r="I20" s="42" t="s">
        <v>38</v>
      </c>
      <c r="J20" s="42"/>
      <c r="K20" s="42"/>
      <c r="L20" s="64">
        <f t="shared" si="0"/>
        <v>3</v>
      </c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</row>
    <row r="21" spans="1:33" ht="27" customHeight="1" x14ac:dyDescent="0.25">
      <c r="A21" s="7">
        <v>9</v>
      </c>
      <c r="B21" s="6"/>
      <c r="C21" s="118"/>
      <c r="D21" s="122" t="s">
        <v>21</v>
      </c>
      <c r="E21" s="123"/>
      <c r="F21" s="39"/>
      <c r="G21" s="40"/>
      <c r="H21" s="40" t="s">
        <v>38</v>
      </c>
      <c r="I21" s="40" t="s">
        <v>38</v>
      </c>
      <c r="J21" s="40"/>
      <c r="K21" s="40"/>
      <c r="L21" s="63">
        <f t="shared" si="0"/>
        <v>2</v>
      </c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</row>
    <row r="22" spans="1:33" ht="27" customHeight="1" x14ac:dyDescent="0.25">
      <c r="A22" s="24">
        <v>10</v>
      </c>
      <c r="B22" s="6"/>
      <c r="C22" s="118"/>
      <c r="D22" s="128" t="s">
        <v>22</v>
      </c>
      <c r="E22" s="129"/>
      <c r="F22" s="41" t="s">
        <v>38</v>
      </c>
      <c r="G22" s="42"/>
      <c r="H22" s="42" t="s">
        <v>38</v>
      </c>
      <c r="I22" s="42" t="s">
        <v>38</v>
      </c>
      <c r="J22" s="42"/>
      <c r="K22" s="42"/>
      <c r="L22" s="64">
        <f t="shared" si="0"/>
        <v>1</v>
      </c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</row>
    <row r="23" spans="1:33" ht="27" customHeight="1" thickBot="1" x14ac:dyDescent="0.3">
      <c r="A23" s="8">
        <v>11</v>
      </c>
      <c r="B23" s="29"/>
      <c r="C23" s="119"/>
      <c r="D23" s="130" t="s">
        <v>23</v>
      </c>
      <c r="E23" s="131"/>
      <c r="F23" s="45" t="s">
        <v>38</v>
      </c>
      <c r="G23" s="46" t="s">
        <v>38</v>
      </c>
      <c r="H23" s="46" t="s">
        <v>38</v>
      </c>
      <c r="I23" s="46" t="s">
        <v>38</v>
      </c>
      <c r="J23" s="46"/>
      <c r="K23" s="46"/>
      <c r="L23" s="66">
        <f t="shared" si="0"/>
        <v>1</v>
      </c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</row>
    <row r="24" spans="1:33" ht="27" customHeight="1" x14ac:dyDescent="0.25">
      <c r="A24" s="6">
        <v>12</v>
      </c>
      <c r="B24" s="6"/>
      <c r="C24" s="118" t="s">
        <v>24</v>
      </c>
      <c r="D24" s="120" t="s">
        <v>25</v>
      </c>
      <c r="E24" s="121"/>
      <c r="F24" s="37"/>
      <c r="G24" s="38"/>
      <c r="H24" s="38"/>
      <c r="I24" s="38"/>
      <c r="J24" s="38" t="s">
        <v>39</v>
      </c>
      <c r="K24" s="38"/>
      <c r="L24" s="62">
        <f t="shared" si="0"/>
        <v>10</v>
      </c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1:33" ht="27" customHeight="1" x14ac:dyDescent="0.25">
      <c r="A25" s="22">
        <v>13</v>
      </c>
      <c r="B25" s="6"/>
      <c r="C25" s="118"/>
      <c r="D25" s="122" t="s">
        <v>26</v>
      </c>
      <c r="E25" s="123"/>
      <c r="F25" s="39" t="s">
        <v>38</v>
      </c>
      <c r="G25" s="40" t="s">
        <v>38</v>
      </c>
      <c r="H25" s="40" t="s">
        <v>38</v>
      </c>
      <c r="I25" s="40" t="s">
        <v>38</v>
      </c>
      <c r="J25" s="40" t="s">
        <v>40</v>
      </c>
      <c r="K25" s="40"/>
      <c r="L25" s="63">
        <f t="shared" si="0"/>
        <v>1</v>
      </c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1:33" ht="27" customHeight="1" x14ac:dyDescent="0.25">
      <c r="A26" s="23">
        <v>14</v>
      </c>
      <c r="B26" s="6"/>
      <c r="C26" s="118"/>
      <c r="D26" s="120" t="s">
        <v>27</v>
      </c>
      <c r="E26" s="121"/>
      <c r="F26" s="41" t="s">
        <v>38</v>
      </c>
      <c r="G26" s="42" t="s">
        <v>38</v>
      </c>
      <c r="H26" s="42"/>
      <c r="I26" s="42"/>
      <c r="J26" s="42" t="s">
        <v>39</v>
      </c>
      <c r="K26" s="42"/>
      <c r="L26" s="64">
        <f t="shared" si="0"/>
        <v>8.5</v>
      </c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1:33" ht="27" customHeight="1" x14ac:dyDescent="0.25">
      <c r="A27" s="6">
        <v>15</v>
      </c>
      <c r="B27" s="6"/>
      <c r="C27" s="118"/>
      <c r="D27" s="122" t="s">
        <v>28</v>
      </c>
      <c r="E27" s="123"/>
      <c r="F27" s="39" t="s">
        <v>38</v>
      </c>
      <c r="G27" s="40" t="s">
        <v>38</v>
      </c>
      <c r="H27" s="40"/>
      <c r="I27" s="40"/>
      <c r="J27" s="40" t="s">
        <v>40</v>
      </c>
      <c r="K27" s="40"/>
      <c r="L27" s="63">
        <f t="shared" si="0"/>
        <v>7.5</v>
      </c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1:33" ht="27" customHeight="1" thickBot="1" x14ac:dyDescent="0.3">
      <c r="A28" s="8">
        <v>16</v>
      </c>
      <c r="B28" s="29"/>
      <c r="C28" s="119"/>
      <c r="D28" s="124" t="s">
        <v>29</v>
      </c>
      <c r="E28" s="125"/>
      <c r="F28" s="47"/>
      <c r="G28" s="48"/>
      <c r="H28" s="48" t="s">
        <v>38</v>
      </c>
      <c r="I28" s="48"/>
      <c r="J28" s="48"/>
      <c r="K28" s="48"/>
      <c r="L28" s="36">
        <f t="shared" si="0"/>
        <v>7</v>
      </c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1:33" ht="27" hidden="1" customHeight="1" x14ac:dyDescent="0.25">
      <c r="A29" s="58"/>
      <c r="B29" s="58"/>
      <c r="C29" s="58"/>
      <c r="D29" s="58"/>
      <c r="E29" s="58"/>
      <c r="F29" s="68"/>
      <c r="G29" s="68"/>
      <c r="H29" s="68"/>
      <c r="I29" s="68"/>
      <c r="J29" s="68"/>
      <c r="K29" s="68"/>
      <c r="L29" s="58">
        <f t="shared" si="0"/>
        <v>10</v>
      </c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1:33" ht="27" hidden="1" customHeight="1" x14ac:dyDescent="0.25">
      <c r="A30" s="58"/>
      <c r="B30" s="58"/>
      <c r="C30" s="58"/>
      <c r="D30" s="58"/>
      <c r="E30" s="58"/>
      <c r="F30" s="68"/>
      <c r="G30" s="68"/>
      <c r="H30" s="68"/>
      <c r="I30" s="68"/>
      <c r="J30" s="68"/>
      <c r="K30" s="68"/>
      <c r="L30" s="58">
        <f t="shared" si="0"/>
        <v>10</v>
      </c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1:33" ht="27" hidden="1" customHeight="1" x14ac:dyDescent="0.25">
      <c r="A31" s="58"/>
      <c r="B31" s="58"/>
      <c r="C31" s="58"/>
      <c r="D31" s="58"/>
      <c r="E31" s="58"/>
      <c r="F31" s="68"/>
      <c r="G31" s="68"/>
      <c r="H31" s="68"/>
      <c r="I31" s="68"/>
      <c r="J31" s="68"/>
      <c r="K31" s="68"/>
      <c r="L31" s="58">
        <f t="shared" si="0"/>
        <v>10</v>
      </c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1:33" ht="27" hidden="1" customHeight="1" x14ac:dyDescent="0.25">
      <c r="A32" s="58"/>
      <c r="B32" s="58"/>
      <c r="C32" s="58"/>
      <c r="D32" s="58"/>
      <c r="E32" s="58"/>
      <c r="F32" s="68"/>
      <c r="G32" s="68"/>
      <c r="H32" s="68"/>
      <c r="I32" s="68"/>
      <c r="J32" s="68"/>
      <c r="K32" s="68"/>
      <c r="L32" s="58">
        <f t="shared" si="0"/>
        <v>10</v>
      </c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1:33" ht="27" hidden="1" customHeight="1" x14ac:dyDescent="0.25">
      <c r="A33" s="58"/>
      <c r="B33" s="58"/>
      <c r="C33" s="58"/>
      <c r="D33" s="58"/>
      <c r="E33" s="58"/>
      <c r="F33" s="68"/>
      <c r="G33" s="68"/>
      <c r="H33" s="68"/>
      <c r="I33" s="68"/>
      <c r="J33" s="68"/>
      <c r="K33" s="68"/>
      <c r="L33" s="58">
        <f t="shared" si="0"/>
        <v>10</v>
      </c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1:33" ht="27" hidden="1" customHeight="1" thickBot="1" x14ac:dyDescent="0.3">
      <c r="A34" s="58"/>
      <c r="B34" s="58"/>
      <c r="C34" s="58"/>
      <c r="D34" s="58"/>
      <c r="E34" s="58"/>
      <c r="F34" s="68"/>
      <c r="G34" s="68"/>
      <c r="H34" s="68"/>
      <c r="I34" s="68"/>
      <c r="J34" s="68"/>
      <c r="K34" s="68"/>
      <c r="L34" s="58">
        <f t="shared" si="0"/>
        <v>10</v>
      </c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1:33" ht="27" customHeight="1" thickBot="1" x14ac:dyDescent="0.3">
      <c r="A35" s="9">
        <v>17</v>
      </c>
      <c r="B35" s="28"/>
      <c r="C35" s="20"/>
      <c r="D35" s="106" t="s">
        <v>6</v>
      </c>
      <c r="E35" s="107"/>
      <c r="F35" s="49"/>
      <c r="G35" s="50"/>
      <c r="H35" s="50"/>
      <c r="I35" s="50"/>
      <c r="J35" s="50"/>
      <c r="K35" s="50"/>
      <c r="L35" s="67">
        <f t="shared" si="0"/>
        <v>10</v>
      </c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1:33" ht="21.95" customHeight="1" thickTop="1" thickBot="1" x14ac:dyDescent="0.3">
      <c r="A36" s="108" t="s">
        <v>33</v>
      </c>
      <c r="B36" s="109"/>
      <c r="C36" s="109"/>
      <c r="D36" s="109"/>
      <c r="E36" s="110"/>
      <c r="F36" s="111">
        <f>IF($L$37&lt;&gt;"",SUMPRODUCT(--(TRIM(F13:G35)&lt;&gt;"")),"")</f>
        <v>18</v>
      </c>
      <c r="G36" s="112">
        <f t="shared" ref="G36" si="1">IF($L$37&lt;&gt;"",COUNTIF(G13:G29,"x"))</f>
        <v>7</v>
      </c>
      <c r="H36" s="51">
        <f>IF($L$37&lt;&gt;"",SUMPRODUCT(--(TRIM(H13:H35)&lt;&gt;"")),"")</f>
        <v>8</v>
      </c>
      <c r="I36" s="51">
        <f>IF($L$37&lt;&gt;"",SUMPRODUCT(--(TRIM(I13:I35)&lt;&gt;"")),"")</f>
        <v>7</v>
      </c>
      <c r="J36" s="53">
        <f>IF($L$37&lt;&gt;"",(COUNTIFS(J13:J35,"+")-COUNTIFS(J13:J35,"-"))*0.5,"")</f>
        <v>0</v>
      </c>
      <c r="K36" s="52">
        <f>IF($L$37&lt;&gt;"",SUMPRODUCT(--(TRIM(K13:K35)&lt;&gt;"")),"")</f>
        <v>0</v>
      </c>
      <c r="L36" s="34">
        <f>IF(L37&lt;&gt;"",IF(K36&lt;1,SUM(L13:L35),IF(K36&gt;=1,ROUNDUP(SUM(L13:L35)/2,0),"")),"")</f>
        <v>155</v>
      </c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1:33" ht="20.100000000000001" customHeight="1" thickTop="1" thickBot="1" x14ac:dyDescent="0.3">
      <c r="A37" s="113" t="s">
        <v>49</v>
      </c>
      <c r="B37" s="114"/>
      <c r="C37" s="114"/>
      <c r="D37" s="114"/>
      <c r="E37" s="26" t="s">
        <v>68</v>
      </c>
      <c r="F37" s="115" t="s">
        <v>34</v>
      </c>
      <c r="G37" s="116"/>
      <c r="H37" s="116"/>
      <c r="I37" s="116"/>
      <c r="J37" s="116"/>
      <c r="K37" s="117"/>
      <c r="L37" s="69" t="s">
        <v>45</v>
      </c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1:33" ht="15.75" thickTop="1" x14ac:dyDescent="0.25"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1:33" x14ac:dyDescent="0.25"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  <row r="40" spans="1:33" x14ac:dyDescent="0.25"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</row>
  </sheetData>
  <sheetProtection algorithmName="SHA-512" hashValue="Y6nXvOelOEzvPhRqQ8YlW6zIY8pq8CKRI9hbfw7efvC9H/FGo/FafutbjuclI0U4yvTtsI/gVxyt/s+xNix+MA==" saltValue="vPTKWxqx+kn/ejlkKBx+J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D4134C40-3707-48EC-ADD9-3387D4C29C24}">
      <formula1>$P$14:$P$15</formula1>
    </dataValidation>
    <dataValidation type="list" allowBlank="1" showDropDown="1" showInputMessage="1" showErrorMessage="1" sqref="K13:K28 K35 F35:I35 F13:I28" xr:uid="{1C96328E-2D5F-41D5-849C-91CE6A2E5EA0}">
      <formula1>$P$13</formula1>
    </dataValidation>
    <dataValidation type="textLength" allowBlank="1" showInputMessage="1" showErrorMessage="1" sqref="F29:K34" xr:uid="{8E997431-BBAD-4924-A7C5-2DEC5ED0887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5771-8600-4235-BEFB-1D2548B000F7}">
  <sheetPr codeName="Tabelle19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6" customFormat="1" ht="24.95" customHeight="1" x14ac:dyDescent="0.5">
      <c r="A1" s="32"/>
      <c r="B1" s="32"/>
      <c r="C1" s="32"/>
      <c r="D1" s="32"/>
      <c r="E1" s="164" t="s">
        <v>36</v>
      </c>
      <c r="F1" s="164"/>
      <c r="G1" s="164"/>
      <c r="H1" s="164"/>
      <c r="I1" s="164"/>
      <c r="J1" s="33"/>
      <c r="K1" s="32"/>
      <c r="L1" s="32"/>
    </row>
    <row r="2" spans="1:33" s="18" customFormat="1" ht="20.100000000000001" customHeight="1" x14ac:dyDescent="0.45">
      <c r="A2" s="165" t="s">
        <v>55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</row>
    <row r="3" spans="1:33" s="16" customFormat="1" ht="39.950000000000003" customHeight="1" x14ac:dyDescent="0.5">
      <c r="A3" s="166" t="s">
        <v>11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67" t="s">
        <v>46</v>
      </c>
      <c r="B5" s="167"/>
      <c r="C5" s="167"/>
      <c r="D5" s="167"/>
      <c r="E5" s="56" t="s">
        <v>69</v>
      </c>
      <c r="F5" s="14"/>
      <c r="G5" s="15" t="s">
        <v>47</v>
      </c>
      <c r="H5" s="168" t="s">
        <v>56</v>
      </c>
      <c r="I5" s="168"/>
      <c r="J5" s="169" t="s">
        <v>48</v>
      </c>
      <c r="K5" s="169"/>
      <c r="L5" s="57" t="s">
        <v>57</v>
      </c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52"/>
      <c r="I6" s="152"/>
      <c r="J6" s="152"/>
      <c r="K6" s="152"/>
      <c r="L6" s="16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</row>
    <row r="7" spans="1:33" s="17" customFormat="1" ht="20.100000000000001" customHeight="1" x14ac:dyDescent="0.35">
      <c r="A7" s="10"/>
      <c r="B7" s="10"/>
      <c r="C7" s="10"/>
      <c r="D7" s="153" t="s">
        <v>10</v>
      </c>
      <c r="E7" s="154"/>
      <c r="F7" s="155" t="s">
        <v>0</v>
      </c>
      <c r="G7" s="156"/>
      <c r="H7" s="154"/>
      <c r="I7" s="157" t="s">
        <v>1</v>
      </c>
      <c r="J7" s="157"/>
      <c r="K7" s="157"/>
      <c r="L7" s="11" t="s">
        <v>2</v>
      </c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</row>
    <row r="8" spans="1:33" ht="21.95" customHeight="1" x14ac:dyDescent="0.25">
      <c r="A8" s="14" t="s">
        <v>7</v>
      </c>
      <c r="B8" s="14"/>
      <c r="C8" s="14"/>
      <c r="D8" s="158" t="s">
        <v>58</v>
      </c>
      <c r="E8" s="159"/>
      <c r="F8" s="160" t="s">
        <v>59</v>
      </c>
      <c r="G8" s="161"/>
      <c r="H8" s="159"/>
      <c r="I8" s="162" t="s">
        <v>60</v>
      </c>
      <c r="J8" s="163"/>
      <c r="K8" s="163"/>
      <c r="L8" s="60" t="s">
        <v>62</v>
      </c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</row>
    <row r="9" spans="1:33" ht="21.95" customHeight="1" thickBot="1" x14ac:dyDescent="0.3">
      <c r="A9" s="14" t="s">
        <v>8</v>
      </c>
      <c r="B9" s="14"/>
      <c r="C9" s="14"/>
      <c r="D9" s="137" t="s">
        <v>61</v>
      </c>
      <c r="E9" s="138"/>
      <c r="F9" s="139" t="s">
        <v>59</v>
      </c>
      <c r="G9" s="140"/>
      <c r="H9" s="138"/>
      <c r="I9" s="141" t="s">
        <v>60</v>
      </c>
      <c r="J9" s="142"/>
      <c r="K9" s="142"/>
      <c r="L9" s="61" t="s">
        <v>62</v>
      </c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</row>
    <row r="11" spans="1:33" ht="39.75" customHeight="1" thickTop="1" thickBot="1" x14ac:dyDescent="0.3">
      <c r="A11" s="4"/>
      <c r="B11" s="4"/>
      <c r="C11" s="4"/>
      <c r="D11" s="4"/>
      <c r="E11" s="4"/>
      <c r="F11" s="143" t="s">
        <v>32</v>
      </c>
      <c r="G11" s="144"/>
      <c r="H11" s="30" t="s">
        <v>31</v>
      </c>
      <c r="I11" s="30" t="s">
        <v>30</v>
      </c>
      <c r="J11" s="30" t="s">
        <v>37</v>
      </c>
      <c r="K11" s="30" t="s">
        <v>3</v>
      </c>
      <c r="L11" s="145" t="s">
        <v>9</v>
      </c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</row>
    <row r="12" spans="1:33" s="17" customFormat="1" ht="20.100000000000001" customHeight="1" thickTop="1" thickBot="1" x14ac:dyDescent="0.4">
      <c r="A12" s="147" t="s">
        <v>4</v>
      </c>
      <c r="B12" s="148"/>
      <c r="C12" s="148"/>
      <c r="D12" s="148"/>
      <c r="E12" s="149"/>
      <c r="F12" s="150">
        <v>1</v>
      </c>
      <c r="G12" s="151"/>
      <c r="H12" s="31">
        <v>3</v>
      </c>
      <c r="I12" s="31">
        <v>5</v>
      </c>
      <c r="J12" s="31">
        <v>0.5</v>
      </c>
      <c r="K12" s="31">
        <v>10</v>
      </c>
      <c r="L12" s="146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</row>
    <row r="13" spans="1:33" ht="27" customHeight="1" thickBot="1" x14ac:dyDescent="0.3">
      <c r="A13" s="5">
        <v>1</v>
      </c>
      <c r="B13" s="27"/>
      <c r="C13" s="21"/>
      <c r="D13" s="132" t="s">
        <v>5</v>
      </c>
      <c r="E13" s="133"/>
      <c r="F13" s="43" t="s">
        <v>38</v>
      </c>
      <c r="G13" s="44"/>
      <c r="H13" s="44"/>
      <c r="I13" s="44"/>
      <c r="J13" s="44"/>
      <c r="K13" s="44"/>
      <c r="L13" s="3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8" t="s">
        <v>43</v>
      </c>
      <c r="O13" s="58"/>
      <c r="P13" s="58" t="s">
        <v>38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</row>
    <row r="14" spans="1:33" ht="27" customHeight="1" x14ac:dyDescent="0.25">
      <c r="A14" s="6">
        <v>2</v>
      </c>
      <c r="B14" s="6"/>
      <c r="C14" s="134" t="s">
        <v>12</v>
      </c>
      <c r="D14" s="135" t="s">
        <v>13</v>
      </c>
      <c r="E14" s="136"/>
      <c r="F14" s="37" t="s">
        <v>38</v>
      </c>
      <c r="G14" s="38" t="s">
        <v>38</v>
      </c>
      <c r="H14" s="38"/>
      <c r="I14" s="38"/>
      <c r="J14" s="38"/>
      <c r="K14" s="38"/>
      <c r="L14" s="62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8" t="s">
        <v>41</v>
      </c>
      <c r="O14" s="58"/>
      <c r="P14" s="58" t="s">
        <v>39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</row>
    <row r="15" spans="1:33" ht="27" customHeight="1" x14ac:dyDescent="0.25">
      <c r="A15" s="7">
        <v>3</v>
      </c>
      <c r="B15" s="6"/>
      <c r="C15" s="118"/>
      <c r="D15" s="122" t="s">
        <v>14</v>
      </c>
      <c r="E15" s="123"/>
      <c r="F15" s="39"/>
      <c r="G15" s="40"/>
      <c r="H15" s="40" t="s">
        <v>38</v>
      </c>
      <c r="I15" s="40"/>
      <c r="J15" s="40"/>
      <c r="K15" s="40"/>
      <c r="L15" s="63">
        <f t="shared" si="0"/>
        <v>7</v>
      </c>
      <c r="N15" s="58" t="s">
        <v>42</v>
      </c>
      <c r="O15" s="58"/>
      <c r="P15" s="58" t="s">
        <v>40</v>
      </c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</row>
    <row r="16" spans="1:33" ht="27" customHeight="1" x14ac:dyDescent="0.25">
      <c r="A16" s="22">
        <v>4</v>
      </c>
      <c r="B16" s="6"/>
      <c r="C16" s="118"/>
      <c r="D16" s="128" t="s">
        <v>15</v>
      </c>
      <c r="E16" s="129"/>
      <c r="F16" s="41" t="s">
        <v>38</v>
      </c>
      <c r="G16" s="42"/>
      <c r="H16" s="42" t="s">
        <v>38</v>
      </c>
      <c r="I16" s="42"/>
      <c r="J16" s="42"/>
      <c r="K16" s="42"/>
      <c r="L16" s="64">
        <f t="shared" si="0"/>
        <v>6</v>
      </c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</row>
    <row r="17" spans="1:33" ht="27" customHeight="1" x14ac:dyDescent="0.25">
      <c r="A17" s="7">
        <v>5</v>
      </c>
      <c r="B17" s="6"/>
      <c r="C17" s="118"/>
      <c r="D17" s="122" t="s">
        <v>16</v>
      </c>
      <c r="E17" s="123"/>
      <c r="F17" s="39" t="s">
        <v>38</v>
      </c>
      <c r="G17" s="40" t="s">
        <v>38</v>
      </c>
      <c r="H17" s="40" t="s">
        <v>38</v>
      </c>
      <c r="I17" s="40"/>
      <c r="J17" s="40"/>
      <c r="K17" s="40"/>
      <c r="L17" s="63">
        <f t="shared" si="0"/>
        <v>5</v>
      </c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</row>
    <row r="18" spans="1:33" ht="27" customHeight="1" thickBot="1" x14ac:dyDescent="0.3">
      <c r="A18" s="8">
        <v>6</v>
      </c>
      <c r="B18" s="29"/>
      <c r="C18" s="119"/>
      <c r="D18" s="120" t="s">
        <v>17</v>
      </c>
      <c r="E18" s="121"/>
      <c r="F18" s="41"/>
      <c r="G18" s="42"/>
      <c r="H18" s="42"/>
      <c r="I18" s="42" t="s">
        <v>38</v>
      </c>
      <c r="J18" s="42"/>
      <c r="K18" s="42"/>
      <c r="L18" s="64">
        <f t="shared" si="0"/>
        <v>5</v>
      </c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</row>
    <row r="19" spans="1:33" ht="27" customHeight="1" x14ac:dyDescent="0.25">
      <c r="A19" s="23">
        <v>7</v>
      </c>
      <c r="B19" s="6"/>
      <c r="C19" s="118" t="s">
        <v>18</v>
      </c>
      <c r="D19" s="126" t="s">
        <v>19</v>
      </c>
      <c r="E19" s="127"/>
      <c r="F19" s="54" t="s">
        <v>38</v>
      </c>
      <c r="G19" s="55"/>
      <c r="H19" s="55"/>
      <c r="I19" s="55" t="s">
        <v>38</v>
      </c>
      <c r="J19" s="55"/>
      <c r="K19" s="55"/>
      <c r="L19" s="65">
        <f t="shared" si="0"/>
        <v>4</v>
      </c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</row>
    <row r="20" spans="1:33" ht="27" customHeight="1" x14ac:dyDescent="0.25">
      <c r="A20" s="23">
        <v>8</v>
      </c>
      <c r="B20" s="6"/>
      <c r="C20" s="118"/>
      <c r="D20" s="128" t="s">
        <v>20</v>
      </c>
      <c r="E20" s="129"/>
      <c r="F20" s="41" t="s">
        <v>38</v>
      </c>
      <c r="G20" s="42" t="s">
        <v>38</v>
      </c>
      <c r="H20" s="42"/>
      <c r="I20" s="42" t="s">
        <v>38</v>
      </c>
      <c r="J20" s="42"/>
      <c r="K20" s="42"/>
      <c r="L20" s="64">
        <f t="shared" si="0"/>
        <v>3</v>
      </c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</row>
    <row r="21" spans="1:33" ht="27" customHeight="1" x14ac:dyDescent="0.25">
      <c r="A21" s="7">
        <v>9</v>
      </c>
      <c r="B21" s="6"/>
      <c r="C21" s="118"/>
      <c r="D21" s="122" t="s">
        <v>21</v>
      </c>
      <c r="E21" s="123"/>
      <c r="F21" s="39"/>
      <c r="G21" s="40"/>
      <c r="H21" s="40" t="s">
        <v>38</v>
      </c>
      <c r="I21" s="40" t="s">
        <v>38</v>
      </c>
      <c r="J21" s="40"/>
      <c r="K21" s="40"/>
      <c r="L21" s="63">
        <f t="shared" si="0"/>
        <v>2</v>
      </c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</row>
    <row r="22" spans="1:33" ht="27" customHeight="1" x14ac:dyDescent="0.25">
      <c r="A22" s="24">
        <v>10</v>
      </c>
      <c r="B22" s="6"/>
      <c r="C22" s="118"/>
      <c r="D22" s="128" t="s">
        <v>22</v>
      </c>
      <c r="E22" s="129"/>
      <c r="F22" s="41" t="s">
        <v>38</v>
      </c>
      <c r="G22" s="42"/>
      <c r="H22" s="42" t="s">
        <v>38</v>
      </c>
      <c r="I22" s="42" t="s">
        <v>38</v>
      </c>
      <c r="J22" s="42"/>
      <c r="K22" s="42"/>
      <c r="L22" s="64">
        <f t="shared" si="0"/>
        <v>1</v>
      </c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</row>
    <row r="23" spans="1:33" ht="27" customHeight="1" thickBot="1" x14ac:dyDescent="0.3">
      <c r="A23" s="8">
        <v>11</v>
      </c>
      <c r="B23" s="29"/>
      <c r="C23" s="119"/>
      <c r="D23" s="130" t="s">
        <v>23</v>
      </c>
      <c r="E23" s="131"/>
      <c r="F23" s="45" t="s">
        <v>38</v>
      </c>
      <c r="G23" s="46" t="s">
        <v>38</v>
      </c>
      <c r="H23" s="46" t="s">
        <v>38</v>
      </c>
      <c r="I23" s="46" t="s">
        <v>38</v>
      </c>
      <c r="J23" s="46"/>
      <c r="K23" s="46"/>
      <c r="L23" s="66">
        <f t="shared" si="0"/>
        <v>1</v>
      </c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</row>
    <row r="24" spans="1:33" ht="27" customHeight="1" x14ac:dyDescent="0.25">
      <c r="A24" s="6">
        <v>12</v>
      </c>
      <c r="B24" s="6"/>
      <c r="C24" s="118" t="s">
        <v>24</v>
      </c>
      <c r="D24" s="120" t="s">
        <v>25</v>
      </c>
      <c r="E24" s="121"/>
      <c r="F24" s="37"/>
      <c r="G24" s="38"/>
      <c r="H24" s="38"/>
      <c r="I24" s="38"/>
      <c r="J24" s="38" t="s">
        <v>39</v>
      </c>
      <c r="K24" s="38"/>
      <c r="L24" s="62">
        <f t="shared" si="0"/>
        <v>10</v>
      </c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1:33" ht="27" customHeight="1" x14ac:dyDescent="0.25">
      <c r="A25" s="22">
        <v>13</v>
      </c>
      <c r="B25" s="6"/>
      <c r="C25" s="118"/>
      <c r="D25" s="122" t="s">
        <v>26</v>
      </c>
      <c r="E25" s="123"/>
      <c r="F25" s="39" t="s">
        <v>38</v>
      </c>
      <c r="G25" s="40" t="s">
        <v>38</v>
      </c>
      <c r="H25" s="40" t="s">
        <v>38</v>
      </c>
      <c r="I25" s="40" t="s">
        <v>38</v>
      </c>
      <c r="J25" s="40" t="s">
        <v>40</v>
      </c>
      <c r="K25" s="40"/>
      <c r="L25" s="63">
        <f t="shared" si="0"/>
        <v>1</v>
      </c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1:33" ht="27" customHeight="1" x14ac:dyDescent="0.25">
      <c r="A26" s="23">
        <v>14</v>
      </c>
      <c r="B26" s="6"/>
      <c r="C26" s="118"/>
      <c r="D26" s="120" t="s">
        <v>27</v>
      </c>
      <c r="E26" s="121"/>
      <c r="F26" s="41" t="s">
        <v>38</v>
      </c>
      <c r="G26" s="42" t="s">
        <v>38</v>
      </c>
      <c r="H26" s="42"/>
      <c r="I26" s="42"/>
      <c r="J26" s="42" t="s">
        <v>39</v>
      </c>
      <c r="K26" s="42"/>
      <c r="L26" s="64">
        <f t="shared" si="0"/>
        <v>8.5</v>
      </c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1:33" ht="27" customHeight="1" x14ac:dyDescent="0.25">
      <c r="A27" s="6">
        <v>15</v>
      </c>
      <c r="B27" s="6"/>
      <c r="C27" s="118"/>
      <c r="D27" s="122" t="s">
        <v>28</v>
      </c>
      <c r="E27" s="123"/>
      <c r="F27" s="39" t="s">
        <v>38</v>
      </c>
      <c r="G27" s="40" t="s">
        <v>38</v>
      </c>
      <c r="H27" s="40"/>
      <c r="I27" s="40"/>
      <c r="J27" s="40" t="s">
        <v>40</v>
      </c>
      <c r="K27" s="40"/>
      <c r="L27" s="63">
        <f t="shared" si="0"/>
        <v>7.5</v>
      </c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1:33" ht="27" customHeight="1" thickBot="1" x14ac:dyDescent="0.3">
      <c r="A28" s="8">
        <v>16</v>
      </c>
      <c r="B28" s="29"/>
      <c r="C28" s="119"/>
      <c r="D28" s="124" t="s">
        <v>29</v>
      </c>
      <c r="E28" s="125"/>
      <c r="F28" s="47"/>
      <c r="G28" s="48"/>
      <c r="H28" s="48" t="s">
        <v>38</v>
      </c>
      <c r="I28" s="48"/>
      <c r="J28" s="48"/>
      <c r="K28" s="48"/>
      <c r="L28" s="36">
        <f t="shared" si="0"/>
        <v>7</v>
      </c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1:33" ht="27" hidden="1" customHeight="1" x14ac:dyDescent="0.25">
      <c r="A29" s="58"/>
      <c r="B29" s="58"/>
      <c r="C29" s="58"/>
      <c r="D29" s="58"/>
      <c r="E29" s="58"/>
      <c r="F29" s="68"/>
      <c r="G29" s="68"/>
      <c r="H29" s="68"/>
      <c r="I29" s="68"/>
      <c r="J29" s="68"/>
      <c r="K29" s="68"/>
      <c r="L29" s="58">
        <f t="shared" si="0"/>
        <v>10</v>
      </c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1:33" ht="27" hidden="1" customHeight="1" x14ac:dyDescent="0.25">
      <c r="A30" s="58"/>
      <c r="B30" s="58"/>
      <c r="C30" s="58"/>
      <c r="D30" s="58"/>
      <c r="E30" s="58"/>
      <c r="F30" s="68"/>
      <c r="G30" s="68"/>
      <c r="H30" s="68"/>
      <c r="I30" s="68"/>
      <c r="J30" s="68"/>
      <c r="K30" s="68"/>
      <c r="L30" s="58">
        <f t="shared" si="0"/>
        <v>10</v>
      </c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1:33" ht="27" hidden="1" customHeight="1" x14ac:dyDescent="0.25">
      <c r="A31" s="58"/>
      <c r="B31" s="58"/>
      <c r="C31" s="58"/>
      <c r="D31" s="58"/>
      <c r="E31" s="58"/>
      <c r="F31" s="68"/>
      <c r="G31" s="68"/>
      <c r="H31" s="68"/>
      <c r="I31" s="68"/>
      <c r="J31" s="68"/>
      <c r="K31" s="68"/>
      <c r="L31" s="58">
        <f t="shared" si="0"/>
        <v>10</v>
      </c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1:33" ht="27" hidden="1" customHeight="1" x14ac:dyDescent="0.25">
      <c r="A32" s="58"/>
      <c r="B32" s="58"/>
      <c r="C32" s="58"/>
      <c r="D32" s="58"/>
      <c r="E32" s="58"/>
      <c r="F32" s="68"/>
      <c r="G32" s="68"/>
      <c r="H32" s="68"/>
      <c r="I32" s="68"/>
      <c r="J32" s="68"/>
      <c r="K32" s="68"/>
      <c r="L32" s="58">
        <f t="shared" si="0"/>
        <v>10</v>
      </c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1:33" ht="27" hidden="1" customHeight="1" x14ac:dyDescent="0.25">
      <c r="A33" s="58"/>
      <c r="B33" s="58"/>
      <c r="C33" s="58"/>
      <c r="D33" s="58"/>
      <c r="E33" s="58"/>
      <c r="F33" s="68"/>
      <c r="G33" s="68"/>
      <c r="H33" s="68"/>
      <c r="I33" s="68"/>
      <c r="J33" s="68"/>
      <c r="K33" s="68"/>
      <c r="L33" s="58">
        <f t="shared" si="0"/>
        <v>10</v>
      </c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1:33" ht="27" hidden="1" customHeight="1" thickBot="1" x14ac:dyDescent="0.3">
      <c r="A34" s="58"/>
      <c r="B34" s="58"/>
      <c r="C34" s="58"/>
      <c r="D34" s="58"/>
      <c r="E34" s="58"/>
      <c r="F34" s="68"/>
      <c r="G34" s="68"/>
      <c r="H34" s="68"/>
      <c r="I34" s="68"/>
      <c r="J34" s="68"/>
      <c r="K34" s="68"/>
      <c r="L34" s="58">
        <f t="shared" si="0"/>
        <v>10</v>
      </c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1:33" ht="27" customHeight="1" thickBot="1" x14ac:dyDescent="0.3">
      <c r="A35" s="9">
        <v>17</v>
      </c>
      <c r="B35" s="28"/>
      <c r="C35" s="20"/>
      <c r="D35" s="106" t="s">
        <v>6</v>
      </c>
      <c r="E35" s="107"/>
      <c r="F35" s="49"/>
      <c r="G35" s="50"/>
      <c r="H35" s="50"/>
      <c r="I35" s="50"/>
      <c r="J35" s="50"/>
      <c r="K35" s="50"/>
      <c r="L35" s="67">
        <f t="shared" si="0"/>
        <v>10</v>
      </c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1:33" ht="21.95" customHeight="1" thickTop="1" thickBot="1" x14ac:dyDescent="0.3">
      <c r="A36" s="108" t="s">
        <v>33</v>
      </c>
      <c r="B36" s="109"/>
      <c r="C36" s="109"/>
      <c r="D36" s="109"/>
      <c r="E36" s="110"/>
      <c r="F36" s="111">
        <f>IF($L$37&lt;&gt;"",SUMPRODUCT(--(TRIM(F13:G35)&lt;&gt;"")),"")</f>
        <v>18</v>
      </c>
      <c r="G36" s="112">
        <f t="shared" ref="G36" si="1">IF($L$37&lt;&gt;"",COUNTIF(G13:G29,"x"))</f>
        <v>7</v>
      </c>
      <c r="H36" s="51">
        <f>IF($L$37&lt;&gt;"",SUMPRODUCT(--(TRIM(H13:H35)&lt;&gt;"")),"")</f>
        <v>8</v>
      </c>
      <c r="I36" s="51">
        <f>IF($L$37&lt;&gt;"",SUMPRODUCT(--(TRIM(I13:I35)&lt;&gt;"")),"")</f>
        <v>7</v>
      </c>
      <c r="J36" s="53">
        <f>IF($L$37&lt;&gt;"",(COUNTIFS(J13:J35,"+")-COUNTIFS(J13:J35,"-"))*0.5,"")</f>
        <v>0</v>
      </c>
      <c r="K36" s="52">
        <f>IF($L$37&lt;&gt;"",SUMPRODUCT(--(TRIM(K13:K35)&lt;&gt;"")),"")</f>
        <v>0</v>
      </c>
      <c r="L36" s="34">
        <f>IF(L37&lt;&gt;"",IF(K36&lt;1,SUM(L13:L35),IF(K36&gt;=1,ROUNDUP(SUM(L13:L35)/2,0),"")),"")</f>
        <v>155</v>
      </c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1:33" ht="20.100000000000001" customHeight="1" thickTop="1" thickBot="1" x14ac:dyDescent="0.3">
      <c r="A37" s="113" t="s">
        <v>49</v>
      </c>
      <c r="B37" s="114"/>
      <c r="C37" s="114"/>
      <c r="D37" s="114"/>
      <c r="E37" s="26" t="s">
        <v>70</v>
      </c>
      <c r="F37" s="115" t="s">
        <v>34</v>
      </c>
      <c r="G37" s="116"/>
      <c r="H37" s="116"/>
      <c r="I37" s="116"/>
      <c r="J37" s="116"/>
      <c r="K37" s="117"/>
      <c r="L37" s="69" t="s">
        <v>45</v>
      </c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1:33" ht="15.75" thickTop="1" x14ac:dyDescent="0.25"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1:33" x14ac:dyDescent="0.25"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  <row r="40" spans="1:33" x14ac:dyDescent="0.25"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</row>
  </sheetData>
  <sheetProtection algorithmName="SHA-512" hashValue="h+ay0ksE/POQFYQkjQq2I3cFuAurLdAGDwwzUId0ukNk7voVZaQI7s3WXwg5doWvreWJp3y+C1eWoFX5oN/Lng==" saltValue="wIuPCEzk9zfHiK2GRb6NP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C15CBBF0-9270-4BCC-9F79-E04280A66D8A}">
      <formula1>$P$14:$P$15</formula1>
    </dataValidation>
    <dataValidation type="list" allowBlank="1" showDropDown="1" showInputMessage="1" showErrorMessage="1" sqref="K13:K28 K35 F35:I35 F13:I28" xr:uid="{29FA0953-6F14-4686-8864-ED6FCD05A6BD}">
      <formula1>$P$13</formula1>
    </dataValidation>
    <dataValidation type="textLength" allowBlank="1" showInputMessage="1" showErrorMessage="1" sqref="F29:K34" xr:uid="{EDEBACC1-E3D7-4A2F-AAA8-8020DA56B14A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D1114-B1FD-444A-B64B-DBF31453F758}">
  <sheetPr codeName="Tabelle20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6" customFormat="1" ht="24.95" customHeight="1" x14ac:dyDescent="0.5">
      <c r="A1" s="32"/>
      <c r="B1" s="32"/>
      <c r="C1" s="32"/>
      <c r="D1" s="32"/>
      <c r="E1" s="164" t="s">
        <v>36</v>
      </c>
      <c r="F1" s="164"/>
      <c r="G1" s="164"/>
      <c r="H1" s="164"/>
      <c r="I1" s="164"/>
      <c r="J1" s="33"/>
      <c r="K1" s="32"/>
      <c r="L1" s="32"/>
    </row>
    <row r="2" spans="1:33" s="18" customFormat="1" ht="20.100000000000001" customHeight="1" x14ac:dyDescent="0.45">
      <c r="A2" s="165" t="s">
        <v>55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</row>
    <row r="3" spans="1:33" s="16" customFormat="1" ht="39.950000000000003" customHeight="1" x14ac:dyDescent="0.5">
      <c r="A3" s="166" t="s">
        <v>11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67" t="s">
        <v>46</v>
      </c>
      <c r="B5" s="167"/>
      <c r="C5" s="167"/>
      <c r="D5" s="167"/>
      <c r="E5" s="56" t="s">
        <v>71</v>
      </c>
      <c r="F5" s="14"/>
      <c r="G5" s="15" t="s">
        <v>47</v>
      </c>
      <c r="H5" s="168" t="s">
        <v>56</v>
      </c>
      <c r="I5" s="168"/>
      <c r="J5" s="169" t="s">
        <v>48</v>
      </c>
      <c r="K5" s="169"/>
      <c r="L5" s="57" t="s">
        <v>57</v>
      </c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52"/>
      <c r="I6" s="152"/>
      <c r="J6" s="152"/>
      <c r="K6" s="152"/>
      <c r="L6" s="16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</row>
    <row r="7" spans="1:33" s="17" customFormat="1" ht="20.100000000000001" customHeight="1" x14ac:dyDescent="0.35">
      <c r="A7" s="10"/>
      <c r="B7" s="10"/>
      <c r="C7" s="10"/>
      <c r="D7" s="153" t="s">
        <v>10</v>
      </c>
      <c r="E7" s="154"/>
      <c r="F7" s="155" t="s">
        <v>0</v>
      </c>
      <c r="G7" s="156"/>
      <c r="H7" s="154"/>
      <c r="I7" s="157" t="s">
        <v>1</v>
      </c>
      <c r="J7" s="157"/>
      <c r="K7" s="157"/>
      <c r="L7" s="11" t="s">
        <v>2</v>
      </c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</row>
    <row r="8" spans="1:33" ht="21.95" customHeight="1" x14ac:dyDescent="0.25">
      <c r="A8" s="14" t="s">
        <v>7</v>
      </c>
      <c r="B8" s="14"/>
      <c r="C8" s="14"/>
      <c r="D8" s="158" t="s">
        <v>58</v>
      </c>
      <c r="E8" s="159"/>
      <c r="F8" s="160" t="s">
        <v>59</v>
      </c>
      <c r="G8" s="161"/>
      <c r="H8" s="159"/>
      <c r="I8" s="162" t="s">
        <v>60</v>
      </c>
      <c r="J8" s="163"/>
      <c r="K8" s="163"/>
      <c r="L8" s="60" t="s">
        <v>62</v>
      </c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</row>
    <row r="9" spans="1:33" ht="21.95" customHeight="1" thickBot="1" x14ac:dyDescent="0.3">
      <c r="A9" s="14" t="s">
        <v>8</v>
      </c>
      <c r="B9" s="14"/>
      <c r="C9" s="14"/>
      <c r="D9" s="137" t="s">
        <v>61</v>
      </c>
      <c r="E9" s="138"/>
      <c r="F9" s="139" t="s">
        <v>59</v>
      </c>
      <c r="G9" s="140"/>
      <c r="H9" s="138"/>
      <c r="I9" s="141" t="s">
        <v>60</v>
      </c>
      <c r="J9" s="142"/>
      <c r="K9" s="142"/>
      <c r="L9" s="61" t="s">
        <v>62</v>
      </c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</row>
    <row r="11" spans="1:33" ht="39.75" customHeight="1" thickTop="1" thickBot="1" x14ac:dyDescent="0.3">
      <c r="A11" s="4"/>
      <c r="B11" s="4"/>
      <c r="C11" s="4"/>
      <c r="D11" s="4"/>
      <c r="E11" s="4"/>
      <c r="F11" s="143" t="s">
        <v>32</v>
      </c>
      <c r="G11" s="144"/>
      <c r="H11" s="30" t="s">
        <v>31</v>
      </c>
      <c r="I11" s="30" t="s">
        <v>30</v>
      </c>
      <c r="J11" s="30" t="s">
        <v>37</v>
      </c>
      <c r="K11" s="30" t="s">
        <v>3</v>
      </c>
      <c r="L11" s="145" t="s">
        <v>9</v>
      </c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</row>
    <row r="12" spans="1:33" s="17" customFormat="1" ht="20.100000000000001" customHeight="1" thickTop="1" thickBot="1" x14ac:dyDescent="0.4">
      <c r="A12" s="147" t="s">
        <v>4</v>
      </c>
      <c r="B12" s="148"/>
      <c r="C12" s="148"/>
      <c r="D12" s="148"/>
      <c r="E12" s="149"/>
      <c r="F12" s="150">
        <v>1</v>
      </c>
      <c r="G12" s="151"/>
      <c r="H12" s="31">
        <v>3</v>
      </c>
      <c r="I12" s="31">
        <v>5</v>
      </c>
      <c r="J12" s="31">
        <v>0.5</v>
      </c>
      <c r="K12" s="31">
        <v>10</v>
      </c>
      <c r="L12" s="146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</row>
    <row r="13" spans="1:33" ht="27" customHeight="1" thickBot="1" x14ac:dyDescent="0.3">
      <c r="A13" s="5">
        <v>1</v>
      </c>
      <c r="B13" s="27"/>
      <c r="C13" s="21"/>
      <c r="D13" s="132" t="s">
        <v>5</v>
      </c>
      <c r="E13" s="133"/>
      <c r="F13" s="43" t="s">
        <v>38</v>
      </c>
      <c r="G13" s="44"/>
      <c r="H13" s="44"/>
      <c r="I13" s="44"/>
      <c r="J13" s="44"/>
      <c r="K13" s="44"/>
      <c r="L13" s="3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8" t="s">
        <v>43</v>
      </c>
      <c r="O13" s="58"/>
      <c r="P13" s="58" t="s">
        <v>38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</row>
    <row r="14" spans="1:33" ht="27" customHeight="1" x14ac:dyDescent="0.25">
      <c r="A14" s="6">
        <v>2</v>
      </c>
      <c r="B14" s="6"/>
      <c r="C14" s="134" t="s">
        <v>12</v>
      </c>
      <c r="D14" s="135" t="s">
        <v>13</v>
      </c>
      <c r="E14" s="136"/>
      <c r="F14" s="37" t="s">
        <v>38</v>
      </c>
      <c r="G14" s="38" t="s">
        <v>38</v>
      </c>
      <c r="H14" s="38"/>
      <c r="I14" s="38"/>
      <c r="J14" s="38"/>
      <c r="K14" s="38"/>
      <c r="L14" s="62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8" t="s">
        <v>41</v>
      </c>
      <c r="O14" s="58"/>
      <c r="P14" s="58" t="s">
        <v>39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</row>
    <row r="15" spans="1:33" ht="27" customHeight="1" x14ac:dyDescent="0.25">
      <c r="A15" s="7">
        <v>3</v>
      </c>
      <c r="B15" s="6"/>
      <c r="C15" s="118"/>
      <c r="D15" s="122" t="s">
        <v>14</v>
      </c>
      <c r="E15" s="123"/>
      <c r="F15" s="39"/>
      <c r="G15" s="40"/>
      <c r="H15" s="40" t="s">
        <v>38</v>
      </c>
      <c r="I15" s="40"/>
      <c r="J15" s="40"/>
      <c r="K15" s="40"/>
      <c r="L15" s="63">
        <f t="shared" si="0"/>
        <v>7</v>
      </c>
      <c r="N15" s="58" t="s">
        <v>42</v>
      </c>
      <c r="O15" s="58"/>
      <c r="P15" s="58" t="s">
        <v>40</v>
      </c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</row>
    <row r="16" spans="1:33" ht="27" customHeight="1" x14ac:dyDescent="0.25">
      <c r="A16" s="22">
        <v>4</v>
      </c>
      <c r="B16" s="6"/>
      <c r="C16" s="118"/>
      <c r="D16" s="128" t="s">
        <v>15</v>
      </c>
      <c r="E16" s="129"/>
      <c r="F16" s="41" t="s">
        <v>38</v>
      </c>
      <c r="G16" s="42"/>
      <c r="H16" s="42" t="s">
        <v>38</v>
      </c>
      <c r="I16" s="42"/>
      <c r="J16" s="42"/>
      <c r="K16" s="42"/>
      <c r="L16" s="64">
        <f t="shared" si="0"/>
        <v>6</v>
      </c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</row>
    <row r="17" spans="1:33" ht="27" customHeight="1" x14ac:dyDescent="0.25">
      <c r="A17" s="7">
        <v>5</v>
      </c>
      <c r="B17" s="6"/>
      <c r="C17" s="118"/>
      <c r="D17" s="122" t="s">
        <v>16</v>
      </c>
      <c r="E17" s="123"/>
      <c r="F17" s="39" t="s">
        <v>38</v>
      </c>
      <c r="G17" s="40" t="s">
        <v>38</v>
      </c>
      <c r="H17" s="40" t="s">
        <v>38</v>
      </c>
      <c r="I17" s="40"/>
      <c r="J17" s="40"/>
      <c r="K17" s="40"/>
      <c r="L17" s="63">
        <f t="shared" si="0"/>
        <v>5</v>
      </c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</row>
    <row r="18" spans="1:33" ht="27" customHeight="1" thickBot="1" x14ac:dyDescent="0.3">
      <c r="A18" s="8">
        <v>6</v>
      </c>
      <c r="B18" s="29"/>
      <c r="C18" s="119"/>
      <c r="D18" s="120" t="s">
        <v>17</v>
      </c>
      <c r="E18" s="121"/>
      <c r="F18" s="41"/>
      <c r="G18" s="42"/>
      <c r="H18" s="42"/>
      <c r="I18" s="42" t="s">
        <v>38</v>
      </c>
      <c r="J18" s="42"/>
      <c r="K18" s="42"/>
      <c r="L18" s="64">
        <f t="shared" si="0"/>
        <v>5</v>
      </c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</row>
    <row r="19" spans="1:33" ht="27" customHeight="1" x14ac:dyDescent="0.25">
      <c r="A19" s="23">
        <v>7</v>
      </c>
      <c r="B19" s="6"/>
      <c r="C19" s="118" t="s">
        <v>18</v>
      </c>
      <c r="D19" s="126" t="s">
        <v>19</v>
      </c>
      <c r="E19" s="127"/>
      <c r="F19" s="54" t="s">
        <v>38</v>
      </c>
      <c r="G19" s="55"/>
      <c r="H19" s="55"/>
      <c r="I19" s="55" t="s">
        <v>38</v>
      </c>
      <c r="J19" s="55"/>
      <c r="K19" s="55"/>
      <c r="L19" s="65">
        <f t="shared" si="0"/>
        <v>4</v>
      </c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</row>
    <row r="20" spans="1:33" ht="27" customHeight="1" x14ac:dyDescent="0.25">
      <c r="A20" s="23">
        <v>8</v>
      </c>
      <c r="B20" s="6"/>
      <c r="C20" s="118"/>
      <c r="D20" s="128" t="s">
        <v>20</v>
      </c>
      <c r="E20" s="129"/>
      <c r="F20" s="41" t="s">
        <v>38</v>
      </c>
      <c r="G20" s="42" t="s">
        <v>38</v>
      </c>
      <c r="H20" s="42"/>
      <c r="I20" s="42" t="s">
        <v>38</v>
      </c>
      <c r="J20" s="42"/>
      <c r="K20" s="42"/>
      <c r="L20" s="64">
        <f t="shared" si="0"/>
        <v>3</v>
      </c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</row>
    <row r="21" spans="1:33" ht="27" customHeight="1" x14ac:dyDescent="0.25">
      <c r="A21" s="7">
        <v>9</v>
      </c>
      <c r="B21" s="6"/>
      <c r="C21" s="118"/>
      <c r="D21" s="122" t="s">
        <v>21</v>
      </c>
      <c r="E21" s="123"/>
      <c r="F21" s="39"/>
      <c r="G21" s="40"/>
      <c r="H21" s="40" t="s">
        <v>38</v>
      </c>
      <c r="I21" s="40" t="s">
        <v>38</v>
      </c>
      <c r="J21" s="40"/>
      <c r="K21" s="40"/>
      <c r="L21" s="63">
        <f t="shared" si="0"/>
        <v>2</v>
      </c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</row>
    <row r="22" spans="1:33" ht="27" customHeight="1" x14ac:dyDescent="0.25">
      <c r="A22" s="24">
        <v>10</v>
      </c>
      <c r="B22" s="6"/>
      <c r="C22" s="118"/>
      <c r="D22" s="128" t="s">
        <v>22</v>
      </c>
      <c r="E22" s="129"/>
      <c r="F22" s="41" t="s">
        <v>38</v>
      </c>
      <c r="G22" s="42"/>
      <c r="H22" s="42" t="s">
        <v>38</v>
      </c>
      <c r="I22" s="42" t="s">
        <v>38</v>
      </c>
      <c r="J22" s="42"/>
      <c r="K22" s="42"/>
      <c r="L22" s="64">
        <f t="shared" si="0"/>
        <v>1</v>
      </c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</row>
    <row r="23" spans="1:33" ht="27" customHeight="1" thickBot="1" x14ac:dyDescent="0.3">
      <c r="A23" s="8">
        <v>11</v>
      </c>
      <c r="B23" s="29"/>
      <c r="C23" s="119"/>
      <c r="D23" s="130" t="s">
        <v>23</v>
      </c>
      <c r="E23" s="131"/>
      <c r="F23" s="45" t="s">
        <v>38</v>
      </c>
      <c r="G23" s="46" t="s">
        <v>38</v>
      </c>
      <c r="H23" s="46" t="s">
        <v>38</v>
      </c>
      <c r="I23" s="46" t="s">
        <v>38</v>
      </c>
      <c r="J23" s="46"/>
      <c r="K23" s="46"/>
      <c r="L23" s="66">
        <f t="shared" si="0"/>
        <v>1</v>
      </c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</row>
    <row r="24" spans="1:33" ht="27" customHeight="1" x14ac:dyDescent="0.25">
      <c r="A24" s="6">
        <v>12</v>
      </c>
      <c r="B24" s="6"/>
      <c r="C24" s="118" t="s">
        <v>24</v>
      </c>
      <c r="D24" s="120" t="s">
        <v>25</v>
      </c>
      <c r="E24" s="121"/>
      <c r="F24" s="37"/>
      <c r="G24" s="38"/>
      <c r="H24" s="38"/>
      <c r="I24" s="38"/>
      <c r="J24" s="38" t="s">
        <v>39</v>
      </c>
      <c r="K24" s="38"/>
      <c r="L24" s="62">
        <f t="shared" si="0"/>
        <v>10</v>
      </c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1:33" ht="27" customHeight="1" x14ac:dyDescent="0.25">
      <c r="A25" s="22">
        <v>13</v>
      </c>
      <c r="B25" s="6"/>
      <c r="C25" s="118"/>
      <c r="D25" s="122" t="s">
        <v>26</v>
      </c>
      <c r="E25" s="123"/>
      <c r="F25" s="39" t="s">
        <v>38</v>
      </c>
      <c r="G25" s="40" t="s">
        <v>38</v>
      </c>
      <c r="H25" s="40" t="s">
        <v>38</v>
      </c>
      <c r="I25" s="40" t="s">
        <v>38</v>
      </c>
      <c r="J25" s="40" t="s">
        <v>40</v>
      </c>
      <c r="K25" s="40"/>
      <c r="L25" s="63">
        <f t="shared" si="0"/>
        <v>1</v>
      </c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1:33" ht="27" customHeight="1" x14ac:dyDescent="0.25">
      <c r="A26" s="23">
        <v>14</v>
      </c>
      <c r="B26" s="6"/>
      <c r="C26" s="118"/>
      <c r="D26" s="120" t="s">
        <v>27</v>
      </c>
      <c r="E26" s="121"/>
      <c r="F26" s="41" t="s">
        <v>38</v>
      </c>
      <c r="G26" s="42" t="s">
        <v>38</v>
      </c>
      <c r="H26" s="42"/>
      <c r="I26" s="42"/>
      <c r="J26" s="42" t="s">
        <v>39</v>
      </c>
      <c r="K26" s="42"/>
      <c r="L26" s="64">
        <f t="shared" si="0"/>
        <v>8.5</v>
      </c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1:33" ht="27" customHeight="1" x14ac:dyDescent="0.25">
      <c r="A27" s="6">
        <v>15</v>
      </c>
      <c r="B27" s="6"/>
      <c r="C27" s="118"/>
      <c r="D27" s="122" t="s">
        <v>28</v>
      </c>
      <c r="E27" s="123"/>
      <c r="F27" s="39" t="s">
        <v>38</v>
      </c>
      <c r="G27" s="40" t="s">
        <v>38</v>
      </c>
      <c r="H27" s="40"/>
      <c r="I27" s="40"/>
      <c r="J27" s="40" t="s">
        <v>40</v>
      </c>
      <c r="K27" s="40"/>
      <c r="L27" s="63">
        <f t="shared" si="0"/>
        <v>7.5</v>
      </c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1:33" ht="27" customHeight="1" thickBot="1" x14ac:dyDescent="0.3">
      <c r="A28" s="8">
        <v>16</v>
      </c>
      <c r="B28" s="29"/>
      <c r="C28" s="119"/>
      <c r="D28" s="124" t="s">
        <v>29</v>
      </c>
      <c r="E28" s="125"/>
      <c r="F28" s="47"/>
      <c r="G28" s="48"/>
      <c r="H28" s="48" t="s">
        <v>38</v>
      </c>
      <c r="I28" s="48"/>
      <c r="J28" s="48"/>
      <c r="K28" s="48"/>
      <c r="L28" s="36">
        <f t="shared" si="0"/>
        <v>7</v>
      </c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1:33" ht="27" hidden="1" customHeight="1" x14ac:dyDescent="0.25">
      <c r="A29" s="58"/>
      <c r="B29" s="58"/>
      <c r="C29" s="58"/>
      <c r="D29" s="58"/>
      <c r="E29" s="58"/>
      <c r="F29" s="68"/>
      <c r="G29" s="68"/>
      <c r="H29" s="68"/>
      <c r="I29" s="68"/>
      <c r="J29" s="68"/>
      <c r="K29" s="68"/>
      <c r="L29" s="58">
        <f t="shared" si="0"/>
        <v>10</v>
      </c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1:33" ht="27" hidden="1" customHeight="1" x14ac:dyDescent="0.25">
      <c r="A30" s="58"/>
      <c r="B30" s="58"/>
      <c r="C30" s="58"/>
      <c r="D30" s="58"/>
      <c r="E30" s="58"/>
      <c r="F30" s="68"/>
      <c r="G30" s="68"/>
      <c r="H30" s="68"/>
      <c r="I30" s="68"/>
      <c r="J30" s="68"/>
      <c r="K30" s="68"/>
      <c r="L30" s="58">
        <f t="shared" si="0"/>
        <v>10</v>
      </c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1:33" ht="27" hidden="1" customHeight="1" x14ac:dyDescent="0.25">
      <c r="A31" s="58"/>
      <c r="B31" s="58"/>
      <c r="C31" s="58"/>
      <c r="D31" s="58"/>
      <c r="E31" s="58"/>
      <c r="F31" s="68"/>
      <c r="G31" s="68"/>
      <c r="H31" s="68"/>
      <c r="I31" s="68"/>
      <c r="J31" s="68"/>
      <c r="K31" s="68"/>
      <c r="L31" s="58">
        <f t="shared" si="0"/>
        <v>10</v>
      </c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1:33" ht="27" hidden="1" customHeight="1" x14ac:dyDescent="0.25">
      <c r="A32" s="58"/>
      <c r="B32" s="58"/>
      <c r="C32" s="58"/>
      <c r="D32" s="58"/>
      <c r="E32" s="58"/>
      <c r="F32" s="68"/>
      <c r="G32" s="68"/>
      <c r="H32" s="68"/>
      <c r="I32" s="68"/>
      <c r="J32" s="68"/>
      <c r="K32" s="68"/>
      <c r="L32" s="58">
        <f t="shared" si="0"/>
        <v>10</v>
      </c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1:33" ht="27" hidden="1" customHeight="1" x14ac:dyDescent="0.25">
      <c r="A33" s="58"/>
      <c r="B33" s="58"/>
      <c r="C33" s="58"/>
      <c r="D33" s="58"/>
      <c r="E33" s="58"/>
      <c r="F33" s="68"/>
      <c r="G33" s="68"/>
      <c r="H33" s="68"/>
      <c r="I33" s="68"/>
      <c r="J33" s="68"/>
      <c r="K33" s="68"/>
      <c r="L33" s="58">
        <f t="shared" si="0"/>
        <v>10</v>
      </c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1:33" ht="27" hidden="1" customHeight="1" thickBot="1" x14ac:dyDescent="0.3">
      <c r="A34" s="58"/>
      <c r="B34" s="58"/>
      <c r="C34" s="58"/>
      <c r="D34" s="58"/>
      <c r="E34" s="58"/>
      <c r="F34" s="68"/>
      <c r="G34" s="68"/>
      <c r="H34" s="68"/>
      <c r="I34" s="68"/>
      <c r="J34" s="68"/>
      <c r="K34" s="68"/>
      <c r="L34" s="58">
        <f t="shared" si="0"/>
        <v>10</v>
      </c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1:33" ht="27" customHeight="1" thickBot="1" x14ac:dyDescent="0.3">
      <c r="A35" s="9">
        <v>17</v>
      </c>
      <c r="B35" s="28"/>
      <c r="C35" s="20"/>
      <c r="D35" s="106" t="s">
        <v>6</v>
      </c>
      <c r="E35" s="107"/>
      <c r="F35" s="49"/>
      <c r="G35" s="50"/>
      <c r="H35" s="50"/>
      <c r="I35" s="50"/>
      <c r="J35" s="50"/>
      <c r="K35" s="50"/>
      <c r="L35" s="67">
        <f t="shared" si="0"/>
        <v>10</v>
      </c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1:33" ht="21.95" customHeight="1" thickTop="1" thickBot="1" x14ac:dyDescent="0.3">
      <c r="A36" s="108" t="s">
        <v>33</v>
      </c>
      <c r="B36" s="109"/>
      <c r="C36" s="109"/>
      <c r="D36" s="109"/>
      <c r="E36" s="110"/>
      <c r="F36" s="111">
        <f>IF($L$37&lt;&gt;"",SUMPRODUCT(--(TRIM(F13:G35)&lt;&gt;"")),"")</f>
        <v>18</v>
      </c>
      <c r="G36" s="112">
        <f t="shared" ref="G36" si="1">IF($L$37&lt;&gt;"",COUNTIF(G13:G29,"x"))</f>
        <v>7</v>
      </c>
      <c r="H36" s="51">
        <f>IF($L$37&lt;&gt;"",SUMPRODUCT(--(TRIM(H13:H35)&lt;&gt;"")),"")</f>
        <v>8</v>
      </c>
      <c r="I36" s="51">
        <f>IF($L$37&lt;&gt;"",SUMPRODUCT(--(TRIM(I13:I35)&lt;&gt;"")),"")</f>
        <v>7</v>
      </c>
      <c r="J36" s="53">
        <f>IF($L$37&lt;&gt;"",(COUNTIFS(J13:J35,"+")-COUNTIFS(J13:J35,"-"))*0.5,"")</f>
        <v>0</v>
      </c>
      <c r="K36" s="52">
        <f>IF($L$37&lt;&gt;"",SUMPRODUCT(--(TRIM(K13:K35)&lt;&gt;"")),"")</f>
        <v>0</v>
      </c>
      <c r="L36" s="34">
        <f>IF(L37&lt;&gt;"",IF(K36&lt;1,SUM(L13:L35),IF(K36&gt;=1,ROUNDUP(SUM(L13:L35)/2,0),"")),"")</f>
        <v>155</v>
      </c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1:33" ht="20.100000000000001" customHeight="1" thickTop="1" thickBot="1" x14ac:dyDescent="0.3">
      <c r="A37" s="113" t="s">
        <v>49</v>
      </c>
      <c r="B37" s="114"/>
      <c r="C37" s="114"/>
      <c r="D37" s="114"/>
      <c r="E37" s="26" t="s">
        <v>72</v>
      </c>
      <c r="F37" s="115" t="s">
        <v>34</v>
      </c>
      <c r="G37" s="116"/>
      <c r="H37" s="116"/>
      <c r="I37" s="116"/>
      <c r="J37" s="116"/>
      <c r="K37" s="117"/>
      <c r="L37" s="69" t="s">
        <v>45</v>
      </c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1:33" ht="15.75" thickTop="1" x14ac:dyDescent="0.25"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1:33" x14ac:dyDescent="0.25"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  <row r="40" spans="1:33" x14ac:dyDescent="0.25"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</row>
  </sheetData>
  <sheetProtection algorithmName="SHA-512" hashValue="6WZ8+T0/p9dQr3Y1xJB4q35ZgxW+1+0fNzNWIo7eI3W0U/K4Rz4+ENhgqDbfPFOF5IpstVNtae0aib/HB19YOA==" saltValue="h7iDHweynGDFmRhz2KoB4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CAB255E6-329B-4327-AB42-48616432D3F3}">
      <formula1>$P$14:$P$15</formula1>
    </dataValidation>
    <dataValidation type="list" allowBlank="1" showDropDown="1" showInputMessage="1" showErrorMessage="1" sqref="K13:K28 K35 F35:I35 F13:I28" xr:uid="{E55E11C3-D01B-4F1E-A12E-559B89E9B222}">
      <formula1>$P$13</formula1>
    </dataValidation>
    <dataValidation type="textLength" allowBlank="1" showInputMessage="1" showErrorMessage="1" sqref="F29:K34" xr:uid="{8F87D93C-4DFF-425E-9036-30DEE9460C0D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32662-70B8-4102-AECF-EF2C98DB9B5D}">
  <sheetPr codeName="Tabelle21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6" customFormat="1" ht="24.95" customHeight="1" x14ac:dyDescent="0.5">
      <c r="A1" s="32"/>
      <c r="B1" s="32"/>
      <c r="C1" s="32"/>
      <c r="D1" s="32"/>
      <c r="E1" s="164" t="s">
        <v>36</v>
      </c>
      <c r="F1" s="164"/>
      <c r="G1" s="164"/>
      <c r="H1" s="164"/>
      <c r="I1" s="164"/>
      <c r="J1" s="33"/>
      <c r="K1" s="32"/>
      <c r="L1" s="32"/>
    </row>
    <row r="2" spans="1:33" s="18" customFormat="1" ht="20.100000000000001" customHeight="1" x14ac:dyDescent="0.45">
      <c r="A2" s="165" t="s">
        <v>55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</row>
    <row r="3" spans="1:33" s="16" customFormat="1" ht="39.950000000000003" customHeight="1" x14ac:dyDescent="0.5">
      <c r="A3" s="166" t="s">
        <v>11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67" t="s">
        <v>46</v>
      </c>
      <c r="B5" s="167"/>
      <c r="C5" s="167"/>
      <c r="D5" s="167"/>
      <c r="E5" s="56" t="s">
        <v>73</v>
      </c>
      <c r="F5" s="14"/>
      <c r="G5" s="15" t="s">
        <v>47</v>
      </c>
      <c r="H5" s="168" t="s">
        <v>56</v>
      </c>
      <c r="I5" s="168"/>
      <c r="J5" s="169" t="s">
        <v>48</v>
      </c>
      <c r="K5" s="169"/>
      <c r="L5" s="57" t="s">
        <v>57</v>
      </c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52"/>
      <c r="I6" s="152"/>
      <c r="J6" s="152"/>
      <c r="K6" s="152"/>
      <c r="L6" s="16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</row>
    <row r="7" spans="1:33" s="17" customFormat="1" ht="20.100000000000001" customHeight="1" x14ac:dyDescent="0.35">
      <c r="A7" s="10"/>
      <c r="B7" s="10"/>
      <c r="C7" s="10"/>
      <c r="D7" s="153" t="s">
        <v>10</v>
      </c>
      <c r="E7" s="154"/>
      <c r="F7" s="155" t="s">
        <v>0</v>
      </c>
      <c r="G7" s="156"/>
      <c r="H7" s="154"/>
      <c r="I7" s="157" t="s">
        <v>1</v>
      </c>
      <c r="J7" s="157"/>
      <c r="K7" s="157"/>
      <c r="L7" s="11" t="s">
        <v>2</v>
      </c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</row>
    <row r="8" spans="1:33" ht="21.95" customHeight="1" x14ac:dyDescent="0.25">
      <c r="A8" s="14" t="s">
        <v>7</v>
      </c>
      <c r="B8" s="14"/>
      <c r="C8" s="14"/>
      <c r="D8" s="158" t="s">
        <v>58</v>
      </c>
      <c r="E8" s="159"/>
      <c r="F8" s="160" t="s">
        <v>59</v>
      </c>
      <c r="G8" s="161"/>
      <c r="H8" s="159"/>
      <c r="I8" s="162" t="s">
        <v>60</v>
      </c>
      <c r="J8" s="163"/>
      <c r="K8" s="163"/>
      <c r="L8" s="60" t="s">
        <v>62</v>
      </c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</row>
    <row r="9" spans="1:33" ht="21.95" customHeight="1" thickBot="1" x14ac:dyDescent="0.3">
      <c r="A9" s="14" t="s">
        <v>8</v>
      </c>
      <c r="B9" s="14"/>
      <c r="C9" s="14"/>
      <c r="D9" s="137" t="s">
        <v>61</v>
      </c>
      <c r="E9" s="138"/>
      <c r="F9" s="139" t="s">
        <v>59</v>
      </c>
      <c r="G9" s="140"/>
      <c r="H9" s="138"/>
      <c r="I9" s="141" t="s">
        <v>60</v>
      </c>
      <c r="J9" s="142"/>
      <c r="K9" s="142"/>
      <c r="L9" s="61" t="s">
        <v>62</v>
      </c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</row>
    <row r="11" spans="1:33" ht="39.75" customHeight="1" thickTop="1" thickBot="1" x14ac:dyDescent="0.3">
      <c r="A11" s="4"/>
      <c r="B11" s="4"/>
      <c r="C11" s="4"/>
      <c r="D11" s="4"/>
      <c r="E11" s="4"/>
      <c r="F11" s="143" t="s">
        <v>32</v>
      </c>
      <c r="G11" s="144"/>
      <c r="H11" s="30" t="s">
        <v>31</v>
      </c>
      <c r="I11" s="30" t="s">
        <v>30</v>
      </c>
      <c r="J11" s="30" t="s">
        <v>37</v>
      </c>
      <c r="K11" s="30" t="s">
        <v>3</v>
      </c>
      <c r="L11" s="145" t="s">
        <v>9</v>
      </c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</row>
    <row r="12" spans="1:33" s="17" customFormat="1" ht="20.100000000000001" customHeight="1" thickTop="1" thickBot="1" x14ac:dyDescent="0.4">
      <c r="A12" s="147" t="s">
        <v>4</v>
      </c>
      <c r="B12" s="148"/>
      <c r="C12" s="148"/>
      <c r="D12" s="148"/>
      <c r="E12" s="149"/>
      <c r="F12" s="150">
        <v>1</v>
      </c>
      <c r="G12" s="151"/>
      <c r="H12" s="31">
        <v>3</v>
      </c>
      <c r="I12" s="31">
        <v>5</v>
      </c>
      <c r="J12" s="31">
        <v>0.5</v>
      </c>
      <c r="K12" s="31">
        <v>10</v>
      </c>
      <c r="L12" s="146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</row>
    <row r="13" spans="1:33" ht="27" customHeight="1" thickBot="1" x14ac:dyDescent="0.3">
      <c r="A13" s="5">
        <v>1</v>
      </c>
      <c r="B13" s="27"/>
      <c r="C13" s="21"/>
      <c r="D13" s="132" t="s">
        <v>5</v>
      </c>
      <c r="E13" s="133"/>
      <c r="F13" s="43" t="s">
        <v>38</v>
      </c>
      <c r="G13" s="44"/>
      <c r="H13" s="44"/>
      <c r="I13" s="44"/>
      <c r="J13" s="44"/>
      <c r="K13" s="44"/>
      <c r="L13" s="3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8" t="s">
        <v>43</v>
      </c>
      <c r="O13" s="58"/>
      <c r="P13" s="58" t="s">
        <v>38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</row>
    <row r="14" spans="1:33" ht="27" customHeight="1" x14ac:dyDescent="0.25">
      <c r="A14" s="6">
        <v>2</v>
      </c>
      <c r="B14" s="6"/>
      <c r="C14" s="134" t="s">
        <v>12</v>
      </c>
      <c r="D14" s="135" t="s">
        <v>13</v>
      </c>
      <c r="E14" s="136"/>
      <c r="F14" s="37" t="s">
        <v>38</v>
      </c>
      <c r="G14" s="38" t="s">
        <v>38</v>
      </c>
      <c r="H14" s="38"/>
      <c r="I14" s="38"/>
      <c r="J14" s="38"/>
      <c r="K14" s="38"/>
      <c r="L14" s="62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8" t="s">
        <v>41</v>
      </c>
      <c r="O14" s="58"/>
      <c r="P14" s="58" t="s">
        <v>39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</row>
    <row r="15" spans="1:33" ht="27" customHeight="1" x14ac:dyDescent="0.25">
      <c r="A15" s="7">
        <v>3</v>
      </c>
      <c r="B15" s="6"/>
      <c r="C15" s="118"/>
      <c r="D15" s="122" t="s">
        <v>14</v>
      </c>
      <c r="E15" s="123"/>
      <c r="F15" s="39"/>
      <c r="G15" s="40"/>
      <c r="H15" s="40" t="s">
        <v>38</v>
      </c>
      <c r="I15" s="40"/>
      <c r="J15" s="40"/>
      <c r="K15" s="40"/>
      <c r="L15" s="63">
        <f t="shared" si="0"/>
        <v>7</v>
      </c>
      <c r="N15" s="58" t="s">
        <v>42</v>
      </c>
      <c r="O15" s="58"/>
      <c r="P15" s="58" t="s">
        <v>40</v>
      </c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</row>
    <row r="16" spans="1:33" ht="27" customHeight="1" x14ac:dyDescent="0.25">
      <c r="A16" s="22">
        <v>4</v>
      </c>
      <c r="B16" s="6"/>
      <c r="C16" s="118"/>
      <c r="D16" s="128" t="s">
        <v>15</v>
      </c>
      <c r="E16" s="129"/>
      <c r="F16" s="41" t="s">
        <v>38</v>
      </c>
      <c r="G16" s="42"/>
      <c r="H16" s="42" t="s">
        <v>38</v>
      </c>
      <c r="I16" s="42"/>
      <c r="J16" s="42"/>
      <c r="K16" s="42"/>
      <c r="L16" s="64">
        <f t="shared" si="0"/>
        <v>6</v>
      </c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</row>
    <row r="17" spans="1:33" ht="27" customHeight="1" x14ac:dyDescent="0.25">
      <c r="A17" s="7">
        <v>5</v>
      </c>
      <c r="B17" s="6"/>
      <c r="C17" s="118"/>
      <c r="D17" s="122" t="s">
        <v>16</v>
      </c>
      <c r="E17" s="123"/>
      <c r="F17" s="39" t="s">
        <v>38</v>
      </c>
      <c r="G17" s="40" t="s">
        <v>38</v>
      </c>
      <c r="H17" s="40" t="s">
        <v>38</v>
      </c>
      <c r="I17" s="40"/>
      <c r="J17" s="40"/>
      <c r="K17" s="40"/>
      <c r="L17" s="63">
        <f t="shared" si="0"/>
        <v>5</v>
      </c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</row>
    <row r="18" spans="1:33" ht="27" customHeight="1" thickBot="1" x14ac:dyDescent="0.3">
      <c r="A18" s="8">
        <v>6</v>
      </c>
      <c r="B18" s="29"/>
      <c r="C18" s="119"/>
      <c r="D18" s="120" t="s">
        <v>17</v>
      </c>
      <c r="E18" s="121"/>
      <c r="F18" s="41"/>
      <c r="G18" s="42"/>
      <c r="H18" s="42"/>
      <c r="I18" s="42" t="s">
        <v>38</v>
      </c>
      <c r="J18" s="42"/>
      <c r="K18" s="42"/>
      <c r="L18" s="64">
        <f t="shared" si="0"/>
        <v>5</v>
      </c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</row>
    <row r="19" spans="1:33" ht="27" customHeight="1" x14ac:dyDescent="0.25">
      <c r="A19" s="23">
        <v>7</v>
      </c>
      <c r="B19" s="6"/>
      <c r="C19" s="118" t="s">
        <v>18</v>
      </c>
      <c r="D19" s="126" t="s">
        <v>19</v>
      </c>
      <c r="E19" s="127"/>
      <c r="F19" s="54" t="s">
        <v>38</v>
      </c>
      <c r="G19" s="55"/>
      <c r="H19" s="55"/>
      <c r="I19" s="55" t="s">
        <v>38</v>
      </c>
      <c r="J19" s="55"/>
      <c r="K19" s="55"/>
      <c r="L19" s="65">
        <f t="shared" si="0"/>
        <v>4</v>
      </c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</row>
    <row r="20" spans="1:33" ht="27" customHeight="1" x14ac:dyDescent="0.25">
      <c r="A20" s="23">
        <v>8</v>
      </c>
      <c r="B20" s="6"/>
      <c r="C20" s="118"/>
      <c r="D20" s="128" t="s">
        <v>20</v>
      </c>
      <c r="E20" s="129"/>
      <c r="F20" s="41" t="s">
        <v>38</v>
      </c>
      <c r="G20" s="42" t="s">
        <v>38</v>
      </c>
      <c r="H20" s="42"/>
      <c r="I20" s="42" t="s">
        <v>38</v>
      </c>
      <c r="J20" s="42"/>
      <c r="K20" s="42"/>
      <c r="L20" s="64">
        <f t="shared" si="0"/>
        <v>3</v>
      </c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</row>
    <row r="21" spans="1:33" ht="27" customHeight="1" x14ac:dyDescent="0.25">
      <c r="A21" s="7">
        <v>9</v>
      </c>
      <c r="B21" s="6"/>
      <c r="C21" s="118"/>
      <c r="D21" s="122" t="s">
        <v>21</v>
      </c>
      <c r="E21" s="123"/>
      <c r="F21" s="39"/>
      <c r="G21" s="40"/>
      <c r="H21" s="40" t="s">
        <v>38</v>
      </c>
      <c r="I21" s="40" t="s">
        <v>38</v>
      </c>
      <c r="J21" s="40"/>
      <c r="K21" s="40"/>
      <c r="L21" s="63">
        <f t="shared" si="0"/>
        <v>2</v>
      </c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</row>
    <row r="22" spans="1:33" ht="27" customHeight="1" x14ac:dyDescent="0.25">
      <c r="A22" s="24">
        <v>10</v>
      </c>
      <c r="B22" s="6"/>
      <c r="C22" s="118"/>
      <c r="D22" s="128" t="s">
        <v>22</v>
      </c>
      <c r="E22" s="129"/>
      <c r="F22" s="41" t="s">
        <v>38</v>
      </c>
      <c r="G22" s="42"/>
      <c r="H22" s="42" t="s">
        <v>38</v>
      </c>
      <c r="I22" s="42" t="s">
        <v>38</v>
      </c>
      <c r="J22" s="42"/>
      <c r="K22" s="42"/>
      <c r="L22" s="64">
        <f t="shared" si="0"/>
        <v>1</v>
      </c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</row>
    <row r="23" spans="1:33" ht="27" customHeight="1" thickBot="1" x14ac:dyDescent="0.3">
      <c r="A23" s="8">
        <v>11</v>
      </c>
      <c r="B23" s="29"/>
      <c r="C23" s="119"/>
      <c r="D23" s="130" t="s">
        <v>23</v>
      </c>
      <c r="E23" s="131"/>
      <c r="F23" s="45" t="s">
        <v>38</v>
      </c>
      <c r="G23" s="46" t="s">
        <v>38</v>
      </c>
      <c r="H23" s="46" t="s">
        <v>38</v>
      </c>
      <c r="I23" s="46" t="s">
        <v>38</v>
      </c>
      <c r="J23" s="46"/>
      <c r="K23" s="46"/>
      <c r="L23" s="66">
        <f t="shared" si="0"/>
        <v>1</v>
      </c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</row>
    <row r="24" spans="1:33" ht="27" customHeight="1" x14ac:dyDescent="0.25">
      <c r="A24" s="6">
        <v>12</v>
      </c>
      <c r="B24" s="6"/>
      <c r="C24" s="118" t="s">
        <v>24</v>
      </c>
      <c r="D24" s="120" t="s">
        <v>25</v>
      </c>
      <c r="E24" s="121"/>
      <c r="F24" s="37"/>
      <c r="G24" s="38"/>
      <c r="H24" s="38"/>
      <c r="I24" s="38"/>
      <c r="J24" s="38" t="s">
        <v>39</v>
      </c>
      <c r="K24" s="38"/>
      <c r="L24" s="62">
        <f t="shared" si="0"/>
        <v>10</v>
      </c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1:33" ht="27" customHeight="1" x14ac:dyDescent="0.25">
      <c r="A25" s="22">
        <v>13</v>
      </c>
      <c r="B25" s="6"/>
      <c r="C25" s="118"/>
      <c r="D25" s="122" t="s">
        <v>26</v>
      </c>
      <c r="E25" s="123"/>
      <c r="F25" s="39" t="s">
        <v>38</v>
      </c>
      <c r="G25" s="40" t="s">
        <v>38</v>
      </c>
      <c r="H25" s="40" t="s">
        <v>38</v>
      </c>
      <c r="I25" s="40" t="s">
        <v>38</v>
      </c>
      <c r="J25" s="40" t="s">
        <v>40</v>
      </c>
      <c r="K25" s="40"/>
      <c r="L25" s="63">
        <f t="shared" si="0"/>
        <v>1</v>
      </c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1:33" ht="27" customHeight="1" x14ac:dyDescent="0.25">
      <c r="A26" s="23">
        <v>14</v>
      </c>
      <c r="B26" s="6"/>
      <c r="C26" s="118"/>
      <c r="D26" s="120" t="s">
        <v>27</v>
      </c>
      <c r="E26" s="121"/>
      <c r="F26" s="41" t="s">
        <v>38</v>
      </c>
      <c r="G26" s="42" t="s">
        <v>38</v>
      </c>
      <c r="H26" s="42"/>
      <c r="I26" s="42"/>
      <c r="J26" s="42" t="s">
        <v>39</v>
      </c>
      <c r="K26" s="42"/>
      <c r="L26" s="64">
        <f t="shared" si="0"/>
        <v>8.5</v>
      </c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1:33" ht="27" customHeight="1" x14ac:dyDescent="0.25">
      <c r="A27" s="6">
        <v>15</v>
      </c>
      <c r="B27" s="6"/>
      <c r="C27" s="118"/>
      <c r="D27" s="122" t="s">
        <v>28</v>
      </c>
      <c r="E27" s="123"/>
      <c r="F27" s="39" t="s">
        <v>38</v>
      </c>
      <c r="G27" s="40" t="s">
        <v>38</v>
      </c>
      <c r="H27" s="40"/>
      <c r="I27" s="40"/>
      <c r="J27" s="40" t="s">
        <v>40</v>
      </c>
      <c r="K27" s="40"/>
      <c r="L27" s="63">
        <f t="shared" si="0"/>
        <v>7.5</v>
      </c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1:33" ht="27" customHeight="1" thickBot="1" x14ac:dyDescent="0.3">
      <c r="A28" s="8">
        <v>16</v>
      </c>
      <c r="B28" s="29"/>
      <c r="C28" s="119"/>
      <c r="D28" s="124" t="s">
        <v>29</v>
      </c>
      <c r="E28" s="125"/>
      <c r="F28" s="47"/>
      <c r="G28" s="48"/>
      <c r="H28" s="48" t="s">
        <v>38</v>
      </c>
      <c r="I28" s="48"/>
      <c r="J28" s="48"/>
      <c r="K28" s="48"/>
      <c r="L28" s="36">
        <f t="shared" si="0"/>
        <v>7</v>
      </c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1:33" ht="27" hidden="1" customHeight="1" x14ac:dyDescent="0.25">
      <c r="A29" s="58"/>
      <c r="B29" s="58"/>
      <c r="C29" s="58"/>
      <c r="D29" s="58"/>
      <c r="E29" s="58"/>
      <c r="F29" s="68"/>
      <c r="G29" s="68"/>
      <c r="H29" s="68"/>
      <c r="I29" s="68"/>
      <c r="J29" s="68"/>
      <c r="K29" s="68"/>
      <c r="L29" s="58">
        <f t="shared" si="0"/>
        <v>10</v>
      </c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1:33" ht="27" hidden="1" customHeight="1" x14ac:dyDescent="0.25">
      <c r="A30" s="58"/>
      <c r="B30" s="58"/>
      <c r="C30" s="58"/>
      <c r="D30" s="58"/>
      <c r="E30" s="58"/>
      <c r="F30" s="68"/>
      <c r="G30" s="68"/>
      <c r="H30" s="68"/>
      <c r="I30" s="68"/>
      <c r="J30" s="68"/>
      <c r="K30" s="68"/>
      <c r="L30" s="58">
        <f t="shared" si="0"/>
        <v>10</v>
      </c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1:33" ht="27" hidden="1" customHeight="1" x14ac:dyDescent="0.25">
      <c r="A31" s="58"/>
      <c r="B31" s="58"/>
      <c r="C31" s="58"/>
      <c r="D31" s="58"/>
      <c r="E31" s="58"/>
      <c r="F31" s="68"/>
      <c r="G31" s="68"/>
      <c r="H31" s="68"/>
      <c r="I31" s="68"/>
      <c r="J31" s="68"/>
      <c r="K31" s="68"/>
      <c r="L31" s="58">
        <f t="shared" si="0"/>
        <v>10</v>
      </c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1:33" ht="27" hidden="1" customHeight="1" x14ac:dyDescent="0.25">
      <c r="A32" s="58"/>
      <c r="B32" s="58"/>
      <c r="C32" s="58"/>
      <c r="D32" s="58"/>
      <c r="E32" s="58"/>
      <c r="F32" s="68"/>
      <c r="G32" s="68"/>
      <c r="H32" s="68"/>
      <c r="I32" s="68"/>
      <c r="J32" s="68"/>
      <c r="K32" s="68"/>
      <c r="L32" s="58">
        <f t="shared" si="0"/>
        <v>10</v>
      </c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1:33" ht="27" hidden="1" customHeight="1" x14ac:dyDescent="0.25">
      <c r="A33" s="58"/>
      <c r="B33" s="58"/>
      <c r="C33" s="58"/>
      <c r="D33" s="58"/>
      <c r="E33" s="58"/>
      <c r="F33" s="68"/>
      <c r="G33" s="68"/>
      <c r="H33" s="68"/>
      <c r="I33" s="68"/>
      <c r="J33" s="68"/>
      <c r="K33" s="68"/>
      <c r="L33" s="58">
        <f t="shared" si="0"/>
        <v>10</v>
      </c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1:33" ht="27" hidden="1" customHeight="1" thickBot="1" x14ac:dyDescent="0.3">
      <c r="A34" s="58"/>
      <c r="B34" s="58"/>
      <c r="C34" s="58"/>
      <c r="D34" s="58"/>
      <c r="E34" s="58"/>
      <c r="F34" s="68"/>
      <c r="G34" s="68"/>
      <c r="H34" s="68"/>
      <c r="I34" s="68"/>
      <c r="J34" s="68"/>
      <c r="K34" s="68"/>
      <c r="L34" s="58">
        <f t="shared" si="0"/>
        <v>10</v>
      </c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1:33" ht="27" customHeight="1" thickBot="1" x14ac:dyDescent="0.3">
      <c r="A35" s="9">
        <v>17</v>
      </c>
      <c r="B35" s="28"/>
      <c r="C35" s="20"/>
      <c r="D35" s="106" t="s">
        <v>6</v>
      </c>
      <c r="E35" s="107"/>
      <c r="F35" s="49"/>
      <c r="G35" s="50"/>
      <c r="H35" s="50"/>
      <c r="I35" s="50"/>
      <c r="J35" s="50"/>
      <c r="K35" s="50"/>
      <c r="L35" s="67">
        <f t="shared" si="0"/>
        <v>10</v>
      </c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1:33" ht="21.95" customHeight="1" thickTop="1" thickBot="1" x14ac:dyDescent="0.3">
      <c r="A36" s="108" t="s">
        <v>33</v>
      </c>
      <c r="B36" s="109"/>
      <c r="C36" s="109"/>
      <c r="D36" s="109"/>
      <c r="E36" s="110"/>
      <c r="F36" s="111">
        <f>IF($L$37&lt;&gt;"",SUMPRODUCT(--(TRIM(F13:G35)&lt;&gt;"")),"")</f>
        <v>18</v>
      </c>
      <c r="G36" s="112">
        <f t="shared" ref="G36" si="1">IF($L$37&lt;&gt;"",COUNTIF(G13:G29,"x"))</f>
        <v>7</v>
      </c>
      <c r="H36" s="51">
        <f>IF($L$37&lt;&gt;"",SUMPRODUCT(--(TRIM(H13:H35)&lt;&gt;"")),"")</f>
        <v>8</v>
      </c>
      <c r="I36" s="51">
        <f>IF($L$37&lt;&gt;"",SUMPRODUCT(--(TRIM(I13:I35)&lt;&gt;"")),"")</f>
        <v>7</v>
      </c>
      <c r="J36" s="53">
        <f>IF($L$37&lt;&gt;"",(COUNTIFS(J13:J35,"+")-COUNTIFS(J13:J35,"-"))*0.5,"")</f>
        <v>0</v>
      </c>
      <c r="K36" s="52">
        <f>IF($L$37&lt;&gt;"",SUMPRODUCT(--(TRIM(K13:K35)&lt;&gt;"")),"")</f>
        <v>0</v>
      </c>
      <c r="L36" s="34">
        <f>IF(L37&lt;&gt;"",IF(K36&lt;1,SUM(L13:L35),IF(K36&gt;=1,ROUNDUP(SUM(L13:L35)/2,0),"")),"")</f>
        <v>155</v>
      </c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1:33" ht="20.100000000000001" customHeight="1" thickTop="1" thickBot="1" x14ac:dyDescent="0.3">
      <c r="A37" s="113" t="s">
        <v>49</v>
      </c>
      <c r="B37" s="114"/>
      <c r="C37" s="114"/>
      <c r="D37" s="114"/>
      <c r="E37" s="26" t="s">
        <v>74</v>
      </c>
      <c r="F37" s="115" t="s">
        <v>34</v>
      </c>
      <c r="G37" s="116"/>
      <c r="H37" s="116"/>
      <c r="I37" s="116"/>
      <c r="J37" s="116"/>
      <c r="K37" s="117"/>
      <c r="L37" s="69" t="s">
        <v>45</v>
      </c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1:33" ht="15.75" thickTop="1" x14ac:dyDescent="0.25"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1:33" x14ac:dyDescent="0.25"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  <row r="40" spans="1:33" x14ac:dyDescent="0.25"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</row>
  </sheetData>
  <sheetProtection algorithmName="SHA-512" hashValue="klGOLMJsmJvRYXc0kCbFwZFFFiukf99QFe66gw9Ipyd83hKjurzGRXCvkMxCYypTouoln5Jl1HSMRD1q7cJDSg==" saltValue="TDA3B8/jI7PwtsaYbvw2Y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22D9BABA-48ED-4588-AC3F-19693F66FC08}">
      <formula1>$P$14:$P$15</formula1>
    </dataValidation>
    <dataValidation type="list" allowBlank="1" showDropDown="1" showInputMessage="1" showErrorMessage="1" sqref="K13:K28 K35 F35:I35 F13:I28" xr:uid="{F9F569D3-31EC-45D6-85EA-A83D1A14215A}">
      <formula1>$P$13</formula1>
    </dataValidation>
    <dataValidation type="textLength" allowBlank="1" showInputMessage="1" showErrorMessage="1" sqref="F29:K34" xr:uid="{DC05E128-5A66-4D08-9ECF-51BDBED6803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FF571-BBFE-43E9-A426-A11D792ECC26}">
  <sheetPr codeName="Tabelle22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6" customFormat="1" ht="24.95" customHeight="1" x14ac:dyDescent="0.5">
      <c r="A1" s="32"/>
      <c r="B1" s="32"/>
      <c r="C1" s="32"/>
      <c r="D1" s="32"/>
      <c r="E1" s="164" t="s">
        <v>36</v>
      </c>
      <c r="F1" s="164"/>
      <c r="G1" s="164"/>
      <c r="H1" s="164"/>
      <c r="I1" s="164"/>
      <c r="J1" s="33"/>
      <c r="K1" s="32"/>
      <c r="L1" s="32"/>
    </row>
    <row r="2" spans="1:33" s="18" customFormat="1" ht="20.100000000000001" customHeight="1" x14ac:dyDescent="0.45">
      <c r="A2" s="165" t="s">
        <v>55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</row>
    <row r="3" spans="1:33" s="16" customFormat="1" ht="39.950000000000003" customHeight="1" x14ac:dyDescent="0.5">
      <c r="A3" s="166" t="s">
        <v>11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67" t="s">
        <v>46</v>
      </c>
      <c r="B5" s="167"/>
      <c r="C5" s="167"/>
      <c r="D5" s="167"/>
      <c r="E5" s="56" t="s">
        <v>75</v>
      </c>
      <c r="F5" s="14"/>
      <c r="G5" s="15" t="s">
        <v>47</v>
      </c>
      <c r="H5" s="168" t="s">
        <v>56</v>
      </c>
      <c r="I5" s="168"/>
      <c r="J5" s="169" t="s">
        <v>48</v>
      </c>
      <c r="K5" s="169"/>
      <c r="L5" s="57" t="s">
        <v>57</v>
      </c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52"/>
      <c r="I6" s="152"/>
      <c r="J6" s="152"/>
      <c r="K6" s="152"/>
      <c r="L6" s="16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</row>
    <row r="7" spans="1:33" s="17" customFormat="1" ht="20.100000000000001" customHeight="1" x14ac:dyDescent="0.35">
      <c r="A7" s="10"/>
      <c r="B7" s="10"/>
      <c r="C7" s="10"/>
      <c r="D7" s="153" t="s">
        <v>10</v>
      </c>
      <c r="E7" s="154"/>
      <c r="F7" s="155" t="s">
        <v>0</v>
      </c>
      <c r="G7" s="156"/>
      <c r="H7" s="154"/>
      <c r="I7" s="157" t="s">
        <v>1</v>
      </c>
      <c r="J7" s="157"/>
      <c r="K7" s="157"/>
      <c r="L7" s="11" t="s">
        <v>2</v>
      </c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</row>
    <row r="8" spans="1:33" ht="21.95" customHeight="1" x14ac:dyDescent="0.25">
      <c r="A8" s="14" t="s">
        <v>7</v>
      </c>
      <c r="B8" s="14"/>
      <c r="C8" s="14"/>
      <c r="D8" s="158" t="s">
        <v>58</v>
      </c>
      <c r="E8" s="159"/>
      <c r="F8" s="160" t="s">
        <v>59</v>
      </c>
      <c r="G8" s="161"/>
      <c r="H8" s="159"/>
      <c r="I8" s="162" t="s">
        <v>60</v>
      </c>
      <c r="J8" s="163"/>
      <c r="K8" s="163"/>
      <c r="L8" s="60" t="s">
        <v>62</v>
      </c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</row>
    <row r="9" spans="1:33" ht="21.95" customHeight="1" thickBot="1" x14ac:dyDescent="0.3">
      <c r="A9" s="14" t="s">
        <v>8</v>
      </c>
      <c r="B9" s="14"/>
      <c r="C9" s="14"/>
      <c r="D9" s="137" t="s">
        <v>61</v>
      </c>
      <c r="E9" s="138"/>
      <c r="F9" s="139" t="s">
        <v>59</v>
      </c>
      <c r="G9" s="140"/>
      <c r="H9" s="138"/>
      <c r="I9" s="141" t="s">
        <v>60</v>
      </c>
      <c r="J9" s="142"/>
      <c r="K9" s="142"/>
      <c r="L9" s="61" t="s">
        <v>62</v>
      </c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</row>
    <row r="11" spans="1:33" ht="39.75" customHeight="1" thickTop="1" thickBot="1" x14ac:dyDescent="0.3">
      <c r="A11" s="4"/>
      <c r="B11" s="4"/>
      <c r="C11" s="4"/>
      <c r="D11" s="4"/>
      <c r="E11" s="4"/>
      <c r="F11" s="143" t="s">
        <v>32</v>
      </c>
      <c r="G11" s="144"/>
      <c r="H11" s="30" t="s">
        <v>31</v>
      </c>
      <c r="I11" s="30" t="s">
        <v>30</v>
      </c>
      <c r="J11" s="30" t="s">
        <v>37</v>
      </c>
      <c r="K11" s="30" t="s">
        <v>3</v>
      </c>
      <c r="L11" s="145" t="s">
        <v>9</v>
      </c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</row>
    <row r="12" spans="1:33" s="17" customFormat="1" ht="20.100000000000001" customHeight="1" thickTop="1" thickBot="1" x14ac:dyDescent="0.4">
      <c r="A12" s="147" t="s">
        <v>4</v>
      </c>
      <c r="B12" s="148"/>
      <c r="C12" s="148"/>
      <c r="D12" s="148"/>
      <c r="E12" s="149"/>
      <c r="F12" s="150">
        <v>1</v>
      </c>
      <c r="G12" s="151"/>
      <c r="H12" s="31">
        <v>3</v>
      </c>
      <c r="I12" s="31">
        <v>5</v>
      </c>
      <c r="J12" s="31">
        <v>0.5</v>
      </c>
      <c r="K12" s="31">
        <v>10</v>
      </c>
      <c r="L12" s="146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</row>
    <row r="13" spans="1:33" ht="27" customHeight="1" thickBot="1" x14ac:dyDescent="0.3">
      <c r="A13" s="5">
        <v>1</v>
      </c>
      <c r="B13" s="27"/>
      <c r="C13" s="21"/>
      <c r="D13" s="132" t="s">
        <v>5</v>
      </c>
      <c r="E13" s="133"/>
      <c r="F13" s="43" t="s">
        <v>38</v>
      </c>
      <c r="G13" s="44"/>
      <c r="H13" s="44"/>
      <c r="I13" s="44"/>
      <c r="J13" s="44"/>
      <c r="K13" s="44"/>
      <c r="L13" s="3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8" t="s">
        <v>43</v>
      </c>
      <c r="O13" s="58"/>
      <c r="P13" s="58" t="s">
        <v>38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</row>
    <row r="14" spans="1:33" ht="27" customHeight="1" x14ac:dyDescent="0.25">
      <c r="A14" s="6">
        <v>2</v>
      </c>
      <c r="B14" s="6"/>
      <c r="C14" s="134" t="s">
        <v>12</v>
      </c>
      <c r="D14" s="135" t="s">
        <v>13</v>
      </c>
      <c r="E14" s="136"/>
      <c r="F14" s="37" t="s">
        <v>38</v>
      </c>
      <c r="G14" s="38" t="s">
        <v>38</v>
      </c>
      <c r="H14" s="38"/>
      <c r="I14" s="38"/>
      <c r="J14" s="38"/>
      <c r="K14" s="38"/>
      <c r="L14" s="62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8" t="s">
        <v>41</v>
      </c>
      <c r="O14" s="58"/>
      <c r="P14" s="58" t="s">
        <v>39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</row>
    <row r="15" spans="1:33" ht="27" customHeight="1" x14ac:dyDescent="0.25">
      <c r="A15" s="7">
        <v>3</v>
      </c>
      <c r="B15" s="6"/>
      <c r="C15" s="118"/>
      <c r="D15" s="122" t="s">
        <v>14</v>
      </c>
      <c r="E15" s="123"/>
      <c r="F15" s="39"/>
      <c r="G15" s="40"/>
      <c r="H15" s="40" t="s">
        <v>38</v>
      </c>
      <c r="I15" s="40"/>
      <c r="J15" s="40"/>
      <c r="K15" s="40"/>
      <c r="L15" s="63">
        <f t="shared" si="0"/>
        <v>7</v>
      </c>
      <c r="N15" s="58" t="s">
        <v>42</v>
      </c>
      <c r="O15" s="58"/>
      <c r="P15" s="58" t="s">
        <v>40</v>
      </c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</row>
    <row r="16" spans="1:33" ht="27" customHeight="1" x14ac:dyDescent="0.25">
      <c r="A16" s="22">
        <v>4</v>
      </c>
      <c r="B16" s="6"/>
      <c r="C16" s="118"/>
      <c r="D16" s="128" t="s">
        <v>15</v>
      </c>
      <c r="E16" s="129"/>
      <c r="F16" s="41" t="s">
        <v>38</v>
      </c>
      <c r="G16" s="42"/>
      <c r="H16" s="42" t="s">
        <v>38</v>
      </c>
      <c r="I16" s="42"/>
      <c r="J16" s="42"/>
      <c r="K16" s="42"/>
      <c r="L16" s="64">
        <f t="shared" si="0"/>
        <v>6</v>
      </c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</row>
    <row r="17" spans="1:33" ht="27" customHeight="1" x14ac:dyDescent="0.25">
      <c r="A17" s="7">
        <v>5</v>
      </c>
      <c r="B17" s="6"/>
      <c r="C17" s="118"/>
      <c r="D17" s="122" t="s">
        <v>16</v>
      </c>
      <c r="E17" s="123"/>
      <c r="F17" s="39" t="s">
        <v>38</v>
      </c>
      <c r="G17" s="40" t="s">
        <v>38</v>
      </c>
      <c r="H17" s="40" t="s">
        <v>38</v>
      </c>
      <c r="I17" s="40"/>
      <c r="J17" s="40"/>
      <c r="K17" s="40"/>
      <c r="L17" s="63">
        <f t="shared" si="0"/>
        <v>5</v>
      </c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</row>
    <row r="18" spans="1:33" ht="27" customHeight="1" thickBot="1" x14ac:dyDescent="0.3">
      <c r="A18" s="8">
        <v>6</v>
      </c>
      <c r="B18" s="29"/>
      <c r="C18" s="119"/>
      <c r="D18" s="120" t="s">
        <v>17</v>
      </c>
      <c r="E18" s="121"/>
      <c r="F18" s="41"/>
      <c r="G18" s="42"/>
      <c r="H18" s="42"/>
      <c r="I18" s="42" t="s">
        <v>38</v>
      </c>
      <c r="J18" s="42"/>
      <c r="K18" s="42"/>
      <c r="L18" s="64">
        <f t="shared" si="0"/>
        <v>5</v>
      </c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</row>
    <row r="19" spans="1:33" ht="27" customHeight="1" x14ac:dyDescent="0.25">
      <c r="A19" s="23">
        <v>7</v>
      </c>
      <c r="B19" s="6"/>
      <c r="C19" s="118" t="s">
        <v>18</v>
      </c>
      <c r="D19" s="126" t="s">
        <v>19</v>
      </c>
      <c r="E19" s="127"/>
      <c r="F19" s="54" t="s">
        <v>38</v>
      </c>
      <c r="G19" s="55"/>
      <c r="H19" s="55"/>
      <c r="I19" s="55" t="s">
        <v>38</v>
      </c>
      <c r="J19" s="55"/>
      <c r="K19" s="55"/>
      <c r="L19" s="65">
        <f t="shared" si="0"/>
        <v>4</v>
      </c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</row>
    <row r="20" spans="1:33" ht="27" customHeight="1" x14ac:dyDescent="0.25">
      <c r="A20" s="23">
        <v>8</v>
      </c>
      <c r="B20" s="6"/>
      <c r="C20" s="118"/>
      <c r="D20" s="128" t="s">
        <v>20</v>
      </c>
      <c r="E20" s="129"/>
      <c r="F20" s="41" t="s">
        <v>38</v>
      </c>
      <c r="G20" s="42" t="s">
        <v>38</v>
      </c>
      <c r="H20" s="42"/>
      <c r="I20" s="42" t="s">
        <v>38</v>
      </c>
      <c r="J20" s="42"/>
      <c r="K20" s="42"/>
      <c r="L20" s="64">
        <f t="shared" si="0"/>
        <v>3</v>
      </c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</row>
    <row r="21" spans="1:33" ht="27" customHeight="1" x14ac:dyDescent="0.25">
      <c r="A21" s="7">
        <v>9</v>
      </c>
      <c r="B21" s="6"/>
      <c r="C21" s="118"/>
      <c r="D21" s="122" t="s">
        <v>21</v>
      </c>
      <c r="E21" s="123"/>
      <c r="F21" s="39"/>
      <c r="G21" s="40"/>
      <c r="H21" s="40" t="s">
        <v>38</v>
      </c>
      <c r="I21" s="40" t="s">
        <v>38</v>
      </c>
      <c r="J21" s="40"/>
      <c r="K21" s="40"/>
      <c r="L21" s="63">
        <f t="shared" si="0"/>
        <v>2</v>
      </c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</row>
    <row r="22" spans="1:33" ht="27" customHeight="1" x14ac:dyDescent="0.25">
      <c r="A22" s="24">
        <v>10</v>
      </c>
      <c r="B22" s="6"/>
      <c r="C22" s="118"/>
      <c r="D22" s="128" t="s">
        <v>22</v>
      </c>
      <c r="E22" s="129"/>
      <c r="F22" s="41" t="s">
        <v>38</v>
      </c>
      <c r="G22" s="42"/>
      <c r="H22" s="42" t="s">
        <v>38</v>
      </c>
      <c r="I22" s="42" t="s">
        <v>38</v>
      </c>
      <c r="J22" s="42"/>
      <c r="K22" s="42"/>
      <c r="L22" s="64">
        <f t="shared" si="0"/>
        <v>1</v>
      </c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</row>
    <row r="23" spans="1:33" ht="27" customHeight="1" thickBot="1" x14ac:dyDescent="0.3">
      <c r="A23" s="8">
        <v>11</v>
      </c>
      <c r="B23" s="29"/>
      <c r="C23" s="119"/>
      <c r="D23" s="130" t="s">
        <v>23</v>
      </c>
      <c r="E23" s="131"/>
      <c r="F23" s="45" t="s">
        <v>38</v>
      </c>
      <c r="G23" s="46" t="s">
        <v>38</v>
      </c>
      <c r="H23" s="46" t="s">
        <v>38</v>
      </c>
      <c r="I23" s="46" t="s">
        <v>38</v>
      </c>
      <c r="J23" s="46"/>
      <c r="K23" s="46"/>
      <c r="L23" s="66">
        <f t="shared" si="0"/>
        <v>1</v>
      </c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</row>
    <row r="24" spans="1:33" ht="27" customHeight="1" x14ac:dyDescent="0.25">
      <c r="A24" s="6">
        <v>12</v>
      </c>
      <c r="B24" s="6"/>
      <c r="C24" s="118" t="s">
        <v>24</v>
      </c>
      <c r="D24" s="120" t="s">
        <v>25</v>
      </c>
      <c r="E24" s="121"/>
      <c r="F24" s="37"/>
      <c r="G24" s="38"/>
      <c r="H24" s="38"/>
      <c r="I24" s="38"/>
      <c r="J24" s="38" t="s">
        <v>39</v>
      </c>
      <c r="K24" s="38"/>
      <c r="L24" s="62">
        <f t="shared" si="0"/>
        <v>10</v>
      </c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1:33" ht="27" customHeight="1" x14ac:dyDescent="0.25">
      <c r="A25" s="22">
        <v>13</v>
      </c>
      <c r="B25" s="6"/>
      <c r="C25" s="118"/>
      <c r="D25" s="122" t="s">
        <v>26</v>
      </c>
      <c r="E25" s="123"/>
      <c r="F25" s="39" t="s">
        <v>38</v>
      </c>
      <c r="G25" s="40" t="s">
        <v>38</v>
      </c>
      <c r="H25" s="40" t="s">
        <v>38</v>
      </c>
      <c r="I25" s="40" t="s">
        <v>38</v>
      </c>
      <c r="J25" s="40" t="s">
        <v>40</v>
      </c>
      <c r="K25" s="40"/>
      <c r="L25" s="63">
        <f t="shared" si="0"/>
        <v>1</v>
      </c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1:33" ht="27" customHeight="1" x14ac:dyDescent="0.25">
      <c r="A26" s="23">
        <v>14</v>
      </c>
      <c r="B26" s="6"/>
      <c r="C26" s="118"/>
      <c r="D26" s="120" t="s">
        <v>27</v>
      </c>
      <c r="E26" s="121"/>
      <c r="F26" s="41" t="s">
        <v>38</v>
      </c>
      <c r="G26" s="42" t="s">
        <v>38</v>
      </c>
      <c r="H26" s="42"/>
      <c r="I26" s="42"/>
      <c r="J26" s="42" t="s">
        <v>39</v>
      </c>
      <c r="K26" s="42"/>
      <c r="L26" s="64">
        <f t="shared" si="0"/>
        <v>8.5</v>
      </c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1:33" ht="27" customHeight="1" x14ac:dyDescent="0.25">
      <c r="A27" s="6">
        <v>15</v>
      </c>
      <c r="B27" s="6"/>
      <c r="C27" s="118"/>
      <c r="D27" s="122" t="s">
        <v>28</v>
      </c>
      <c r="E27" s="123"/>
      <c r="F27" s="39" t="s">
        <v>38</v>
      </c>
      <c r="G27" s="40" t="s">
        <v>38</v>
      </c>
      <c r="H27" s="40"/>
      <c r="I27" s="40"/>
      <c r="J27" s="40" t="s">
        <v>40</v>
      </c>
      <c r="K27" s="40"/>
      <c r="L27" s="63">
        <f t="shared" si="0"/>
        <v>7.5</v>
      </c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1:33" ht="27" customHeight="1" thickBot="1" x14ac:dyDescent="0.3">
      <c r="A28" s="8">
        <v>16</v>
      </c>
      <c r="B28" s="29"/>
      <c r="C28" s="119"/>
      <c r="D28" s="124" t="s">
        <v>29</v>
      </c>
      <c r="E28" s="125"/>
      <c r="F28" s="47"/>
      <c r="G28" s="48"/>
      <c r="H28" s="48" t="s">
        <v>38</v>
      </c>
      <c r="I28" s="48"/>
      <c r="J28" s="48"/>
      <c r="K28" s="48"/>
      <c r="L28" s="36">
        <f t="shared" si="0"/>
        <v>7</v>
      </c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1:33" ht="27" hidden="1" customHeight="1" x14ac:dyDescent="0.25">
      <c r="A29" s="58"/>
      <c r="B29" s="58"/>
      <c r="C29" s="58"/>
      <c r="D29" s="58"/>
      <c r="E29" s="58"/>
      <c r="F29" s="68"/>
      <c r="G29" s="68"/>
      <c r="H29" s="68"/>
      <c r="I29" s="68"/>
      <c r="J29" s="68"/>
      <c r="K29" s="68"/>
      <c r="L29" s="58">
        <f t="shared" si="0"/>
        <v>10</v>
      </c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1:33" ht="27" hidden="1" customHeight="1" x14ac:dyDescent="0.25">
      <c r="A30" s="58"/>
      <c r="B30" s="58"/>
      <c r="C30" s="58"/>
      <c r="D30" s="58"/>
      <c r="E30" s="58"/>
      <c r="F30" s="68"/>
      <c r="G30" s="68"/>
      <c r="H30" s="68"/>
      <c r="I30" s="68"/>
      <c r="J30" s="68"/>
      <c r="K30" s="68"/>
      <c r="L30" s="58">
        <f t="shared" si="0"/>
        <v>10</v>
      </c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1:33" ht="27" hidden="1" customHeight="1" x14ac:dyDescent="0.25">
      <c r="A31" s="58"/>
      <c r="B31" s="58"/>
      <c r="C31" s="58"/>
      <c r="D31" s="58"/>
      <c r="E31" s="58"/>
      <c r="F31" s="68"/>
      <c r="G31" s="68"/>
      <c r="H31" s="68"/>
      <c r="I31" s="68"/>
      <c r="J31" s="68"/>
      <c r="K31" s="68"/>
      <c r="L31" s="58">
        <f t="shared" si="0"/>
        <v>10</v>
      </c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1:33" ht="27" hidden="1" customHeight="1" x14ac:dyDescent="0.25">
      <c r="A32" s="58"/>
      <c r="B32" s="58"/>
      <c r="C32" s="58"/>
      <c r="D32" s="58"/>
      <c r="E32" s="58"/>
      <c r="F32" s="68"/>
      <c r="G32" s="68"/>
      <c r="H32" s="68"/>
      <c r="I32" s="68"/>
      <c r="J32" s="68"/>
      <c r="K32" s="68"/>
      <c r="L32" s="58">
        <f t="shared" si="0"/>
        <v>10</v>
      </c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1:33" ht="27" hidden="1" customHeight="1" x14ac:dyDescent="0.25">
      <c r="A33" s="58"/>
      <c r="B33" s="58"/>
      <c r="C33" s="58"/>
      <c r="D33" s="58"/>
      <c r="E33" s="58"/>
      <c r="F33" s="68"/>
      <c r="G33" s="68"/>
      <c r="H33" s="68"/>
      <c r="I33" s="68"/>
      <c r="J33" s="68"/>
      <c r="K33" s="68"/>
      <c r="L33" s="58">
        <f t="shared" si="0"/>
        <v>10</v>
      </c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1:33" ht="27" hidden="1" customHeight="1" thickBot="1" x14ac:dyDescent="0.3">
      <c r="A34" s="58"/>
      <c r="B34" s="58"/>
      <c r="C34" s="58"/>
      <c r="D34" s="58"/>
      <c r="E34" s="58"/>
      <c r="F34" s="68"/>
      <c r="G34" s="68"/>
      <c r="H34" s="68"/>
      <c r="I34" s="68"/>
      <c r="J34" s="68"/>
      <c r="K34" s="68"/>
      <c r="L34" s="58">
        <f t="shared" si="0"/>
        <v>10</v>
      </c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1:33" ht="27" customHeight="1" thickBot="1" x14ac:dyDescent="0.3">
      <c r="A35" s="9">
        <v>17</v>
      </c>
      <c r="B35" s="28"/>
      <c r="C35" s="20"/>
      <c r="D35" s="106" t="s">
        <v>6</v>
      </c>
      <c r="E35" s="107"/>
      <c r="F35" s="49"/>
      <c r="G35" s="50"/>
      <c r="H35" s="50"/>
      <c r="I35" s="50"/>
      <c r="J35" s="50"/>
      <c r="K35" s="50"/>
      <c r="L35" s="67">
        <f t="shared" si="0"/>
        <v>10</v>
      </c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1:33" ht="21.95" customHeight="1" thickTop="1" thickBot="1" x14ac:dyDescent="0.3">
      <c r="A36" s="108" t="s">
        <v>33</v>
      </c>
      <c r="B36" s="109"/>
      <c r="C36" s="109"/>
      <c r="D36" s="109"/>
      <c r="E36" s="110"/>
      <c r="F36" s="111">
        <f>IF($L$37&lt;&gt;"",SUMPRODUCT(--(TRIM(F13:G35)&lt;&gt;"")),"")</f>
        <v>18</v>
      </c>
      <c r="G36" s="112">
        <f t="shared" ref="G36" si="1">IF($L$37&lt;&gt;"",COUNTIF(G13:G29,"x"))</f>
        <v>7</v>
      </c>
      <c r="H36" s="51">
        <f>IF($L$37&lt;&gt;"",SUMPRODUCT(--(TRIM(H13:H35)&lt;&gt;"")),"")</f>
        <v>8</v>
      </c>
      <c r="I36" s="51">
        <f>IF($L$37&lt;&gt;"",SUMPRODUCT(--(TRIM(I13:I35)&lt;&gt;"")),"")</f>
        <v>7</v>
      </c>
      <c r="J36" s="53">
        <f>IF($L$37&lt;&gt;"",(COUNTIFS(J13:J35,"+")-COUNTIFS(J13:J35,"-"))*0.5,"")</f>
        <v>0</v>
      </c>
      <c r="K36" s="52">
        <f>IF($L$37&lt;&gt;"",SUMPRODUCT(--(TRIM(K13:K35)&lt;&gt;"")),"")</f>
        <v>0</v>
      </c>
      <c r="L36" s="34">
        <f>IF(L37&lt;&gt;"",IF(K36&lt;1,SUM(L13:L35),IF(K36&gt;=1,ROUNDUP(SUM(L13:L35)/2,0),"")),"")</f>
        <v>155</v>
      </c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1:33" ht="20.100000000000001" customHeight="1" thickTop="1" thickBot="1" x14ac:dyDescent="0.3">
      <c r="A37" s="113" t="s">
        <v>49</v>
      </c>
      <c r="B37" s="114"/>
      <c r="C37" s="114"/>
      <c r="D37" s="114"/>
      <c r="E37" s="26" t="s">
        <v>76</v>
      </c>
      <c r="F37" s="115" t="s">
        <v>34</v>
      </c>
      <c r="G37" s="116"/>
      <c r="H37" s="116"/>
      <c r="I37" s="116"/>
      <c r="J37" s="116"/>
      <c r="K37" s="117"/>
      <c r="L37" s="69" t="s">
        <v>45</v>
      </c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1:33" ht="15.75" thickTop="1" x14ac:dyDescent="0.25"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1:33" x14ac:dyDescent="0.25"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  <row r="40" spans="1:33" x14ac:dyDescent="0.25"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</row>
  </sheetData>
  <sheetProtection algorithmName="SHA-512" hashValue="0PmX1+G+6cZUQTmdYjBHDidMOh18hsxgdZtm7UNVx4h/oGXgnGm5KcuBi/c0RPWXvj7ZIMpiP+j5cZqrRataUg==" saltValue="lwMfUx5a5Hun+7N89bXDW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89349DAF-9D02-40B8-A32B-FA59208B2F2B}">
      <formula1>$P$14:$P$15</formula1>
    </dataValidation>
    <dataValidation type="list" allowBlank="1" showDropDown="1" showInputMessage="1" showErrorMessage="1" sqref="K13:K28 K35 F35:I35 F13:I28" xr:uid="{1E9D09A2-FA3D-41D3-B681-42ED0AA12EE2}">
      <formula1>$P$13</formula1>
    </dataValidation>
    <dataValidation type="textLength" allowBlank="1" showInputMessage="1" showErrorMessage="1" sqref="F29:K34" xr:uid="{6A701432-C24B-43B6-9952-10A42F86117A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19" customWidth="1"/>
    <col min="2" max="2" width="22.7109375" style="19" customWidth="1"/>
    <col min="3" max="18" width="5.7109375" style="19" customWidth="1"/>
    <col min="19" max="24" width="5.7109375" style="19" hidden="1" customWidth="1"/>
    <col min="25" max="25" width="5.7109375" style="19" customWidth="1"/>
    <col min="26" max="27" width="6.7109375" style="19" customWidth="1"/>
    <col min="28" max="32" width="5.7109375" style="19" customWidth="1"/>
    <col min="33" max="16384" width="11.5703125" style="19"/>
  </cols>
  <sheetData>
    <row r="1" spans="1:45" ht="15" customHeight="1" x14ac:dyDescent="0.2">
      <c r="A1" s="19" t="s">
        <v>50</v>
      </c>
      <c r="B1" s="70" t="str">
        <f ca="1">INDIRECT("'"&amp;$A8&amp;"'!D8") &amp; "-" &amp; INDIRECT("'"&amp;$A8&amp;"'!D9") &amp; " (" &amp; INDIRECT("'"&amp;$A8&amp;"'!L8") &amp;")"</f>
        <v>tori-uke (C1)</v>
      </c>
      <c r="Z1" s="71"/>
      <c r="AA1" s="71"/>
      <c r="AF1" s="72"/>
    </row>
    <row r="2" spans="1:45" ht="127.9" customHeight="1" x14ac:dyDescent="0.2">
      <c r="A2" s="73" t="s">
        <v>49</v>
      </c>
      <c r="B2" s="73" t="s">
        <v>10</v>
      </c>
      <c r="C2" s="74" t="s">
        <v>5</v>
      </c>
      <c r="D2" s="74" t="s">
        <v>13</v>
      </c>
      <c r="E2" s="74" t="s">
        <v>14</v>
      </c>
      <c r="F2" s="74" t="s">
        <v>15</v>
      </c>
      <c r="G2" s="74" t="s">
        <v>16</v>
      </c>
      <c r="H2" s="74" t="s">
        <v>17</v>
      </c>
      <c r="I2" s="74" t="s">
        <v>19</v>
      </c>
      <c r="J2" s="74" t="s">
        <v>20</v>
      </c>
      <c r="K2" s="74" t="s">
        <v>21</v>
      </c>
      <c r="L2" s="74" t="s">
        <v>22</v>
      </c>
      <c r="M2" s="74" t="s">
        <v>23</v>
      </c>
      <c r="N2" s="74" t="s">
        <v>25</v>
      </c>
      <c r="O2" s="74" t="s">
        <v>26</v>
      </c>
      <c r="P2" s="74" t="s">
        <v>27</v>
      </c>
      <c r="Q2" s="74" t="s">
        <v>28</v>
      </c>
      <c r="R2" s="74" t="s">
        <v>29</v>
      </c>
      <c r="Y2" s="74" t="s">
        <v>6</v>
      </c>
      <c r="Z2" s="75" t="s">
        <v>9</v>
      </c>
      <c r="AA2" s="75" t="s">
        <v>51</v>
      </c>
      <c r="AB2" s="74" t="s">
        <v>32</v>
      </c>
      <c r="AC2" s="74" t="s">
        <v>31</v>
      </c>
      <c r="AD2" s="74" t="s">
        <v>30</v>
      </c>
      <c r="AE2" s="74" t="s">
        <v>37</v>
      </c>
      <c r="AF2" s="74" t="s">
        <v>3</v>
      </c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</row>
    <row r="3" spans="1:45" ht="15" customHeight="1" x14ac:dyDescent="0.2">
      <c r="A3" s="170" t="s">
        <v>44</v>
      </c>
      <c r="B3" s="170"/>
      <c r="C3" s="76">
        <f ca="1">IF(COUNTIF(C8:C12,"")&gt;0,SUM(C8:C12),SUM(C8:C12)-MAX(C8:C12)-MIN(C8:C12))</f>
        <v>27</v>
      </c>
      <c r="D3" s="76">
        <f t="shared" ref="D3:Y3" ca="1" si="0">IF(COUNTIF(D8:D12,"")&gt;0,SUM(D8:D12),SUM(D8:D12)-MAX(D8:D12)-MIN(D8:D12))</f>
        <v>24</v>
      </c>
      <c r="E3" s="76">
        <f t="shared" ca="1" si="0"/>
        <v>21</v>
      </c>
      <c r="F3" s="76">
        <f t="shared" ca="1" si="0"/>
        <v>18</v>
      </c>
      <c r="G3" s="76">
        <f t="shared" ca="1" si="0"/>
        <v>15</v>
      </c>
      <c r="H3" s="76">
        <f t="shared" ca="1" si="0"/>
        <v>15</v>
      </c>
      <c r="I3" s="76">
        <f t="shared" ca="1" si="0"/>
        <v>12</v>
      </c>
      <c r="J3" s="76">
        <f t="shared" ca="1" si="0"/>
        <v>9</v>
      </c>
      <c r="K3" s="76">
        <f t="shared" ca="1" si="0"/>
        <v>6</v>
      </c>
      <c r="L3" s="76">
        <f t="shared" ca="1" si="0"/>
        <v>3</v>
      </c>
      <c r="M3" s="76">
        <f t="shared" ca="1" si="0"/>
        <v>3</v>
      </c>
      <c r="N3" s="76">
        <f t="shared" ca="1" si="0"/>
        <v>30</v>
      </c>
      <c r="O3" s="76">
        <f t="shared" ca="1" si="0"/>
        <v>3</v>
      </c>
      <c r="P3" s="76">
        <f t="shared" ca="1" si="0"/>
        <v>25.5</v>
      </c>
      <c r="Q3" s="76">
        <f t="shared" ca="1" si="0"/>
        <v>22.5</v>
      </c>
      <c r="R3" s="76">
        <f t="shared" ca="1" si="0"/>
        <v>21</v>
      </c>
      <c r="Y3" s="76">
        <f t="shared" ca="1" si="0"/>
        <v>30</v>
      </c>
      <c r="Z3" s="77">
        <f ca="1">IF(SUM(AF8:AF12)&gt;0,SUM(C3:Y3)/2,SUM(C3:Y3))</f>
        <v>285</v>
      </c>
      <c r="AA3" s="78"/>
      <c r="AB3" s="77">
        <f t="shared" ref="AB3:AF3" ca="1" si="1">IF(COUNTIF(AB8:AB12,"")&gt;0,SUM(AB8:AB12),SUM(AB8:AB12)-MAX(AB8:AB12)-MIN(AB8:AB12))</f>
        <v>54</v>
      </c>
      <c r="AC3" s="77">
        <f t="shared" ca="1" si="1"/>
        <v>24</v>
      </c>
      <c r="AD3" s="77">
        <f t="shared" ca="1" si="1"/>
        <v>21</v>
      </c>
      <c r="AE3" s="76">
        <f t="shared" ca="1" si="1"/>
        <v>0</v>
      </c>
      <c r="AF3" s="77">
        <f t="shared" ca="1" si="1"/>
        <v>0</v>
      </c>
    </row>
    <row r="4" spans="1:45" ht="15" customHeight="1" x14ac:dyDescent="0.2">
      <c r="A4" s="171" t="s">
        <v>52</v>
      </c>
      <c r="B4" s="171"/>
      <c r="C4" s="79">
        <f t="shared" ref="C4:R4" ca="1" si="2">MAX(C8:C12)-MIN(C8:C12)</f>
        <v>0</v>
      </c>
      <c r="D4" s="79">
        <f t="shared" ca="1" si="2"/>
        <v>0</v>
      </c>
      <c r="E4" s="79">
        <f t="shared" ca="1" si="2"/>
        <v>0</v>
      </c>
      <c r="F4" s="79">
        <f t="shared" ca="1" si="2"/>
        <v>0</v>
      </c>
      <c r="G4" s="79">
        <f t="shared" ca="1" si="2"/>
        <v>0</v>
      </c>
      <c r="H4" s="79">
        <f t="shared" ca="1" si="2"/>
        <v>0</v>
      </c>
      <c r="I4" s="79">
        <f t="shared" ca="1" si="2"/>
        <v>0</v>
      </c>
      <c r="J4" s="79">
        <f t="shared" ca="1" si="2"/>
        <v>0</v>
      </c>
      <c r="K4" s="79">
        <f t="shared" ca="1" si="2"/>
        <v>0</v>
      </c>
      <c r="L4" s="79">
        <f t="shared" ca="1" si="2"/>
        <v>0</v>
      </c>
      <c r="M4" s="79">
        <f t="shared" ca="1" si="2"/>
        <v>0</v>
      </c>
      <c r="N4" s="79">
        <f t="shared" ca="1" si="2"/>
        <v>0</v>
      </c>
      <c r="O4" s="79">
        <f t="shared" ca="1" si="2"/>
        <v>0</v>
      </c>
      <c r="P4" s="79">
        <f t="shared" ca="1" si="2"/>
        <v>0</v>
      </c>
      <c r="Q4" s="79">
        <f t="shared" ca="1" si="2"/>
        <v>0</v>
      </c>
      <c r="R4" s="79">
        <f t="shared" ca="1" si="2"/>
        <v>0</v>
      </c>
      <c r="Y4" s="79">
        <f ca="1">MAX(Y8:Y12)-MIN(Y8:Y12)</f>
        <v>0</v>
      </c>
      <c r="Z4" s="80">
        <f ca="1">MAX(Z8:Z12)-MIN(Z8:Z12)</f>
        <v>0</v>
      </c>
      <c r="AA4" s="81"/>
      <c r="AB4" s="80">
        <f ca="1">MAX(AB8:AB12)-MIN(AB8:AB12)</f>
        <v>0</v>
      </c>
      <c r="AC4" s="80">
        <f ca="1">MAX(AC8:AC12)-MIN(AC8:AC12)</f>
        <v>0</v>
      </c>
      <c r="AD4" s="80">
        <f ca="1">MAX(AD8:AD12)-MIN(AD8:AD12)</f>
        <v>0</v>
      </c>
      <c r="AE4" s="79">
        <f ca="1">MAX(AE8:AE12)-MIN(AE8:AE12)</f>
        <v>0</v>
      </c>
      <c r="AF4" s="80">
        <f ca="1">MAX(AF8:AF12)-MIN(AF8:AF12)</f>
        <v>0</v>
      </c>
    </row>
    <row r="5" spans="1:45" ht="15" customHeight="1" x14ac:dyDescent="0.2">
      <c r="A5" s="171" t="s">
        <v>53</v>
      </c>
      <c r="B5" s="171"/>
      <c r="C5" s="79">
        <f ca="1">C3/3</f>
        <v>9</v>
      </c>
      <c r="D5" s="79">
        <f t="shared" ref="D5:AF5" ca="1" si="3">D3/3</f>
        <v>8</v>
      </c>
      <c r="E5" s="79">
        <f t="shared" ca="1" si="3"/>
        <v>7</v>
      </c>
      <c r="F5" s="79">
        <f t="shared" ca="1" si="3"/>
        <v>6</v>
      </c>
      <c r="G5" s="79">
        <f t="shared" ca="1" si="3"/>
        <v>5</v>
      </c>
      <c r="H5" s="79">
        <f t="shared" ca="1" si="3"/>
        <v>5</v>
      </c>
      <c r="I5" s="79">
        <f t="shared" ca="1" si="3"/>
        <v>4</v>
      </c>
      <c r="J5" s="79">
        <f t="shared" ca="1" si="3"/>
        <v>3</v>
      </c>
      <c r="K5" s="79">
        <f t="shared" ca="1" si="3"/>
        <v>2</v>
      </c>
      <c r="L5" s="79">
        <f t="shared" ca="1" si="3"/>
        <v>1</v>
      </c>
      <c r="M5" s="79">
        <f t="shared" ca="1" si="3"/>
        <v>1</v>
      </c>
      <c r="N5" s="79">
        <f t="shared" ca="1" si="3"/>
        <v>10</v>
      </c>
      <c r="O5" s="79">
        <f t="shared" ca="1" si="3"/>
        <v>1</v>
      </c>
      <c r="P5" s="79">
        <f t="shared" ca="1" si="3"/>
        <v>8.5</v>
      </c>
      <c r="Q5" s="79">
        <f t="shared" ca="1" si="3"/>
        <v>7.5</v>
      </c>
      <c r="R5" s="79">
        <f t="shared" ca="1" si="3"/>
        <v>7</v>
      </c>
      <c r="Y5" s="79">
        <f t="shared" ca="1" si="3"/>
        <v>10</v>
      </c>
      <c r="Z5" s="80">
        <f t="shared" ca="1" si="3"/>
        <v>95</v>
      </c>
      <c r="AA5" s="82"/>
      <c r="AB5" s="80">
        <f t="shared" ca="1" si="3"/>
        <v>18</v>
      </c>
      <c r="AC5" s="80">
        <f t="shared" ca="1" si="3"/>
        <v>8</v>
      </c>
      <c r="AD5" s="80">
        <f t="shared" ca="1" si="3"/>
        <v>7</v>
      </c>
      <c r="AE5" s="79">
        <f t="shared" ca="1" si="3"/>
        <v>0</v>
      </c>
      <c r="AF5" s="80">
        <f t="shared" ca="1" si="3"/>
        <v>0</v>
      </c>
    </row>
    <row r="6" spans="1:45" ht="15" hidden="1" customHeight="1" x14ac:dyDescent="0.2">
      <c r="A6" s="171" t="s">
        <v>54</v>
      </c>
      <c r="B6" s="171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Y6" s="79"/>
      <c r="Z6" s="83"/>
      <c r="AA6" s="84"/>
      <c r="AB6" s="83"/>
      <c r="AC6" s="83"/>
      <c r="AD6" s="83"/>
      <c r="AE6" s="79"/>
      <c r="AF6" s="83"/>
    </row>
    <row r="7" spans="1:45" ht="15" customHeight="1" x14ac:dyDescent="0.2">
      <c r="A7" s="85" t="s">
        <v>76</v>
      </c>
      <c r="B7" s="85" t="str">
        <f ca="1">IF(A7&lt;&gt;"",INDIRECT("'"&amp;$A7&amp;"'!E5"),"")</f>
        <v>super(CG)</v>
      </c>
      <c r="C7" s="86">
        <f ca="1">IF($A7&lt;&gt;"",INDIRECT("'"&amp;$A7&amp;"'!L13"),"")</f>
        <v>9</v>
      </c>
      <c r="D7" s="86">
        <f ca="1">IF($A7&lt;&gt;"",INDIRECT("'"&amp;$A7&amp;"'!L14"),"")</f>
        <v>8</v>
      </c>
      <c r="E7" s="86">
        <f ca="1">IF($A7&lt;&gt;"",INDIRECT("'"&amp;$A7&amp;"'!L15"),"")</f>
        <v>7</v>
      </c>
      <c r="F7" s="86">
        <f ca="1">IF($A7&lt;&gt;"",INDIRECT("'"&amp;$A7&amp;"'!L16"),"")</f>
        <v>6</v>
      </c>
      <c r="G7" s="86">
        <f ca="1">IF($A7&lt;&gt;"",INDIRECT("'"&amp;$A7&amp;"'!L17"),"")</f>
        <v>5</v>
      </c>
      <c r="H7" s="86">
        <f ca="1">IF($A7&lt;&gt;"",INDIRECT("'"&amp;$A7&amp;"'!L18"),"")</f>
        <v>5</v>
      </c>
      <c r="I7" s="86">
        <f ca="1">IF($A7&lt;&gt;"",INDIRECT("'"&amp;$A7&amp;"'!L19"),"")</f>
        <v>4</v>
      </c>
      <c r="J7" s="86">
        <f ca="1">IF($A7&lt;&gt;"",INDIRECT("'"&amp;$A7&amp;"'!L20"),"")</f>
        <v>3</v>
      </c>
      <c r="K7" s="86">
        <f ca="1">IF($A7&lt;&gt;"",INDIRECT("'"&amp;$A7&amp;"'!L21"),"")</f>
        <v>2</v>
      </c>
      <c r="L7" s="86">
        <f ca="1">IF($A7&lt;&gt;"",INDIRECT("'"&amp;$A7&amp;"'!L22"),"")</f>
        <v>1</v>
      </c>
      <c r="M7" s="86">
        <f ca="1">IF($A7&lt;&gt;"",INDIRECT("'"&amp;$A7&amp;"'!L23"),"")</f>
        <v>1</v>
      </c>
      <c r="N7" s="86">
        <f ca="1">IF($A7&lt;&gt;"",INDIRECT("'"&amp;$A7&amp;"'!L24"),"")</f>
        <v>10</v>
      </c>
      <c r="O7" s="86">
        <f ca="1">IF($A7&lt;&gt;"",INDIRECT("'"&amp;$A7&amp;"'!L25"),"")</f>
        <v>1</v>
      </c>
      <c r="P7" s="86">
        <f ca="1">IF($A7&lt;&gt;"",INDIRECT("'"&amp;$A7&amp;"'!L26"),"")</f>
        <v>8.5</v>
      </c>
      <c r="Q7" s="86">
        <f ca="1">IF($A7&lt;&gt;"",INDIRECT("'"&amp;$A7&amp;"'!L27"),"")</f>
        <v>7.5</v>
      </c>
      <c r="R7" s="86">
        <f ca="1">IF($A7&lt;&gt;"",INDIRECT("'"&amp;$A7&amp;"'!L28"),"")</f>
        <v>7</v>
      </c>
      <c r="Y7" s="86">
        <f ca="1">IF($A7&lt;&gt;"",INDIRECT("'"&amp;$A7&amp;"'!L35"),"")</f>
        <v>10</v>
      </c>
      <c r="Z7" s="87">
        <f ca="1">IF($A7&lt;&gt;"",INDIRECT("'"&amp;$A7&amp;"'!L36"),"")</f>
        <v>155</v>
      </c>
      <c r="AA7" s="88">
        <f t="shared" ref="AA7:AA13" ca="1" si="4">IF($A7&lt;&gt;"",SUM(C21:Y21)/COUNT(C7:Y7),"")</f>
        <v>0</v>
      </c>
      <c r="AB7" s="87">
        <f ca="1">IF($A7&lt;&gt;"",INDIRECT("'"&amp;$A7&amp;"'!F36"),"")</f>
        <v>18</v>
      </c>
      <c r="AC7" s="87">
        <f ca="1">IF($A7&lt;&gt;"",INDIRECT("'"&amp;$A7&amp;"'!H36"),"")</f>
        <v>8</v>
      </c>
      <c r="AD7" s="87">
        <f ca="1">IF($A7&lt;&gt;"",INDIRECT("'"&amp;$A7&amp;"'!I36"),"")</f>
        <v>7</v>
      </c>
      <c r="AE7" s="86">
        <f ca="1">IF($A7&lt;&gt;"",INDIRECT("'"&amp;$A7&amp;"'!J36"),"")</f>
        <v>0</v>
      </c>
      <c r="AF7" s="87">
        <f ca="1">IF($A7&lt;&gt;"",INDIRECT("'"&amp;$A7&amp;"'!K36"),"")</f>
        <v>0</v>
      </c>
    </row>
    <row r="8" spans="1:45" ht="15" customHeight="1" x14ac:dyDescent="0.2">
      <c r="A8" s="19" t="s">
        <v>64</v>
      </c>
      <c r="B8" s="19" t="str">
        <f t="shared" ref="B8:B13" ca="1" si="5">IF(A8&lt;&gt;"",INDIRECT("'"&amp;$A8&amp;"'!E5"),"")</f>
        <v>one(CA)</v>
      </c>
      <c r="C8" s="79">
        <f t="shared" ref="C8:C13" ca="1" si="6">IF($A8&lt;&gt;"",INDIRECT("'"&amp;$A8&amp;"'!L13"),"")</f>
        <v>9</v>
      </c>
      <c r="D8" s="79">
        <f t="shared" ref="D8:D13" ca="1" si="7">IF($A8&lt;&gt;"",INDIRECT("'"&amp;$A8&amp;"'!L14"),"")</f>
        <v>8</v>
      </c>
      <c r="E8" s="79">
        <f t="shared" ref="E8:E13" ca="1" si="8">IF($A8&lt;&gt;"",INDIRECT("'"&amp;$A8&amp;"'!L15"),"")</f>
        <v>7</v>
      </c>
      <c r="F8" s="79">
        <f t="shared" ref="F8:F13" ca="1" si="9">IF($A8&lt;&gt;"",INDIRECT("'"&amp;$A8&amp;"'!L16"),"")</f>
        <v>6</v>
      </c>
      <c r="G8" s="79">
        <f t="shared" ref="G8:G13" ca="1" si="10">IF($A8&lt;&gt;"",INDIRECT("'"&amp;$A8&amp;"'!L17"),"")</f>
        <v>5</v>
      </c>
      <c r="H8" s="79">
        <f t="shared" ref="H8:H13" ca="1" si="11">IF($A8&lt;&gt;"",INDIRECT("'"&amp;$A8&amp;"'!L18"),"")</f>
        <v>5</v>
      </c>
      <c r="I8" s="79">
        <f t="shared" ref="I8:I13" ca="1" si="12">IF($A8&lt;&gt;"",INDIRECT("'"&amp;$A8&amp;"'!L19"),"")</f>
        <v>4</v>
      </c>
      <c r="J8" s="79">
        <f t="shared" ref="J8:J13" ca="1" si="13">IF($A8&lt;&gt;"",INDIRECT("'"&amp;$A8&amp;"'!L20"),"")</f>
        <v>3</v>
      </c>
      <c r="K8" s="79">
        <f t="shared" ref="K8:K13" ca="1" si="14">IF($A8&lt;&gt;"",INDIRECT("'"&amp;$A8&amp;"'!L21"),"")</f>
        <v>2</v>
      </c>
      <c r="L8" s="79">
        <f t="shared" ref="L8:L13" ca="1" si="15">IF($A8&lt;&gt;"",INDIRECT("'"&amp;$A8&amp;"'!L22"),"")</f>
        <v>1</v>
      </c>
      <c r="M8" s="79">
        <f t="shared" ref="M8:M13" ca="1" si="16">IF($A8&lt;&gt;"",INDIRECT("'"&amp;$A8&amp;"'!L23"),"")</f>
        <v>1</v>
      </c>
      <c r="N8" s="79">
        <f t="shared" ref="N8:N13" ca="1" si="17">IF($A8&lt;&gt;"",INDIRECT("'"&amp;$A8&amp;"'!L24"),"")</f>
        <v>10</v>
      </c>
      <c r="O8" s="79">
        <f t="shared" ref="O8:O13" ca="1" si="18">IF($A8&lt;&gt;"",INDIRECT("'"&amp;$A8&amp;"'!L25"),"")</f>
        <v>1</v>
      </c>
      <c r="P8" s="79">
        <f t="shared" ref="P8:P13" ca="1" si="19">IF($A8&lt;&gt;"",INDIRECT("'"&amp;$A8&amp;"'!L26"),"")</f>
        <v>8.5</v>
      </c>
      <c r="Q8" s="79">
        <f t="shared" ref="Q8:Q13" ca="1" si="20">IF($A8&lt;&gt;"",INDIRECT("'"&amp;$A8&amp;"'!L27"),"")</f>
        <v>7.5</v>
      </c>
      <c r="R8" s="79">
        <f t="shared" ref="R8:R13" ca="1" si="21">IF($A8&lt;&gt;"",INDIRECT("'"&amp;$A8&amp;"'!L28"),"")</f>
        <v>7</v>
      </c>
      <c r="Y8" s="79">
        <f t="shared" ref="Y8:Y13" ca="1" si="22">IF($A8&lt;&gt;"",INDIRECT("'"&amp;$A8&amp;"'!L35"),"")</f>
        <v>10</v>
      </c>
      <c r="Z8" s="80">
        <f t="shared" ref="Z8:Z13" ca="1" si="23">IF($A8&lt;&gt;"",INDIRECT("'"&amp;$A8&amp;"'!L36"),"")</f>
        <v>155</v>
      </c>
      <c r="AA8" s="89">
        <f t="shared" ca="1" si="4"/>
        <v>1</v>
      </c>
      <c r="AB8" s="80">
        <f t="shared" ref="AB8:AB13" ca="1" si="24">IF($A8&lt;&gt;"",INDIRECT("'"&amp;$A8&amp;"'!F36"),"")</f>
        <v>18</v>
      </c>
      <c r="AC8" s="80">
        <f t="shared" ref="AC8:AC13" ca="1" si="25">IF($A8&lt;&gt;"",INDIRECT("'"&amp;$A8&amp;"'!H36"),"")</f>
        <v>8</v>
      </c>
      <c r="AD8" s="80">
        <f t="shared" ref="AD8:AD13" ca="1" si="26">IF($A8&lt;&gt;"",INDIRECT("'"&amp;$A8&amp;"'!I36"),"")</f>
        <v>7</v>
      </c>
      <c r="AE8" s="79">
        <f t="shared" ref="AE8:AE13" ca="1" si="27">IF($A8&lt;&gt;"",INDIRECT("'"&amp;$A8&amp;"'!J36"),"")</f>
        <v>0</v>
      </c>
      <c r="AF8" s="80">
        <f t="shared" ref="AF8:AF13" ca="1" si="28">IF($A8&lt;&gt;"",INDIRECT("'"&amp;$A8&amp;"'!K36"),"")</f>
        <v>0</v>
      </c>
    </row>
    <row r="9" spans="1:45" ht="15" customHeight="1" x14ac:dyDescent="0.2">
      <c r="A9" s="19" t="s">
        <v>66</v>
      </c>
      <c r="B9" s="19" t="str">
        <f t="shared" ca="1" si="5"/>
        <v>two(CB)</v>
      </c>
      <c r="C9" s="79">
        <f t="shared" ca="1" si="6"/>
        <v>9</v>
      </c>
      <c r="D9" s="79">
        <f t="shared" ca="1" si="7"/>
        <v>8</v>
      </c>
      <c r="E9" s="79">
        <f t="shared" ca="1" si="8"/>
        <v>7</v>
      </c>
      <c r="F9" s="79">
        <f t="shared" ca="1" si="9"/>
        <v>6</v>
      </c>
      <c r="G9" s="79">
        <f t="shared" ca="1" si="10"/>
        <v>5</v>
      </c>
      <c r="H9" s="79">
        <f t="shared" ca="1" si="11"/>
        <v>5</v>
      </c>
      <c r="I9" s="79">
        <f t="shared" ca="1" si="12"/>
        <v>4</v>
      </c>
      <c r="J9" s="79">
        <f t="shared" ca="1" si="13"/>
        <v>3</v>
      </c>
      <c r="K9" s="79">
        <f t="shared" ca="1" si="14"/>
        <v>2</v>
      </c>
      <c r="L9" s="79">
        <f t="shared" ca="1" si="15"/>
        <v>1</v>
      </c>
      <c r="M9" s="79">
        <f t="shared" ca="1" si="16"/>
        <v>1</v>
      </c>
      <c r="N9" s="79">
        <f t="shared" ca="1" si="17"/>
        <v>10</v>
      </c>
      <c r="O9" s="79">
        <f t="shared" ca="1" si="18"/>
        <v>1</v>
      </c>
      <c r="P9" s="79">
        <f t="shared" ca="1" si="19"/>
        <v>8.5</v>
      </c>
      <c r="Q9" s="79">
        <f t="shared" ca="1" si="20"/>
        <v>7.5</v>
      </c>
      <c r="R9" s="79">
        <f t="shared" ca="1" si="21"/>
        <v>7</v>
      </c>
      <c r="Y9" s="79">
        <f t="shared" ca="1" si="22"/>
        <v>10</v>
      </c>
      <c r="Z9" s="80">
        <f t="shared" ca="1" si="23"/>
        <v>155</v>
      </c>
      <c r="AA9" s="90">
        <f t="shared" ca="1" si="4"/>
        <v>1</v>
      </c>
      <c r="AB9" s="80">
        <f t="shared" ca="1" si="24"/>
        <v>18</v>
      </c>
      <c r="AC9" s="80">
        <f t="shared" ca="1" si="25"/>
        <v>8</v>
      </c>
      <c r="AD9" s="80">
        <f t="shared" ca="1" si="26"/>
        <v>7</v>
      </c>
      <c r="AE9" s="79">
        <f t="shared" ca="1" si="27"/>
        <v>0</v>
      </c>
      <c r="AF9" s="80">
        <f t="shared" ca="1" si="28"/>
        <v>0</v>
      </c>
    </row>
    <row r="10" spans="1:45" ht="15" customHeight="1" x14ac:dyDescent="0.2">
      <c r="A10" s="19" t="s">
        <v>68</v>
      </c>
      <c r="B10" s="19" t="str">
        <f t="shared" ca="1" si="5"/>
        <v>head(CC)</v>
      </c>
      <c r="C10" s="79">
        <f t="shared" ca="1" si="6"/>
        <v>9</v>
      </c>
      <c r="D10" s="79">
        <f t="shared" ca="1" si="7"/>
        <v>8</v>
      </c>
      <c r="E10" s="79">
        <f t="shared" ca="1" si="8"/>
        <v>7</v>
      </c>
      <c r="F10" s="79">
        <f t="shared" ca="1" si="9"/>
        <v>6</v>
      </c>
      <c r="G10" s="79">
        <f t="shared" ca="1" si="10"/>
        <v>5</v>
      </c>
      <c r="H10" s="79">
        <f t="shared" ca="1" si="11"/>
        <v>5</v>
      </c>
      <c r="I10" s="79">
        <f t="shared" ca="1" si="12"/>
        <v>4</v>
      </c>
      <c r="J10" s="79">
        <f t="shared" ca="1" si="13"/>
        <v>3</v>
      </c>
      <c r="K10" s="79">
        <f t="shared" ca="1" si="14"/>
        <v>2</v>
      </c>
      <c r="L10" s="79">
        <f t="shared" ca="1" si="15"/>
        <v>1</v>
      </c>
      <c r="M10" s="79">
        <f t="shared" ca="1" si="16"/>
        <v>1</v>
      </c>
      <c r="N10" s="79">
        <f t="shared" ca="1" si="17"/>
        <v>10</v>
      </c>
      <c r="O10" s="79">
        <f t="shared" ca="1" si="18"/>
        <v>1</v>
      </c>
      <c r="P10" s="79">
        <f t="shared" ca="1" si="19"/>
        <v>8.5</v>
      </c>
      <c r="Q10" s="79">
        <f t="shared" ca="1" si="20"/>
        <v>7.5</v>
      </c>
      <c r="R10" s="79">
        <f t="shared" ca="1" si="21"/>
        <v>7</v>
      </c>
      <c r="Y10" s="79">
        <f t="shared" ca="1" si="22"/>
        <v>10</v>
      </c>
      <c r="Z10" s="80">
        <f t="shared" ca="1" si="23"/>
        <v>155</v>
      </c>
      <c r="AA10" s="90">
        <f t="shared" ca="1" si="4"/>
        <v>1</v>
      </c>
      <c r="AB10" s="80">
        <f t="shared" ca="1" si="24"/>
        <v>18</v>
      </c>
      <c r="AC10" s="80">
        <f t="shared" ca="1" si="25"/>
        <v>8</v>
      </c>
      <c r="AD10" s="80">
        <f t="shared" ca="1" si="26"/>
        <v>7</v>
      </c>
      <c r="AE10" s="79">
        <f t="shared" ca="1" si="27"/>
        <v>0</v>
      </c>
      <c r="AF10" s="80">
        <f t="shared" ca="1" si="28"/>
        <v>0</v>
      </c>
    </row>
    <row r="11" spans="1:45" ht="15" customHeight="1" x14ac:dyDescent="0.2">
      <c r="A11" s="19" t="s">
        <v>70</v>
      </c>
      <c r="B11" s="19" t="str">
        <f t="shared" ca="1" si="5"/>
        <v>four-out(C3)</v>
      </c>
      <c r="C11" s="79">
        <f t="shared" ca="1" si="6"/>
        <v>9</v>
      </c>
      <c r="D11" s="79">
        <f t="shared" ca="1" si="7"/>
        <v>8</v>
      </c>
      <c r="E11" s="79">
        <f t="shared" ca="1" si="8"/>
        <v>7</v>
      </c>
      <c r="F11" s="79">
        <f t="shared" ca="1" si="9"/>
        <v>6</v>
      </c>
      <c r="G11" s="79">
        <f t="shared" ca="1" si="10"/>
        <v>5</v>
      </c>
      <c r="H11" s="79">
        <f t="shared" ca="1" si="11"/>
        <v>5</v>
      </c>
      <c r="I11" s="79">
        <f t="shared" ca="1" si="12"/>
        <v>4</v>
      </c>
      <c r="J11" s="79">
        <f t="shared" ca="1" si="13"/>
        <v>3</v>
      </c>
      <c r="K11" s="79">
        <f t="shared" ca="1" si="14"/>
        <v>2</v>
      </c>
      <c r="L11" s="79">
        <f t="shared" ca="1" si="15"/>
        <v>1</v>
      </c>
      <c r="M11" s="79">
        <f t="shared" ca="1" si="16"/>
        <v>1</v>
      </c>
      <c r="N11" s="79">
        <f t="shared" ca="1" si="17"/>
        <v>10</v>
      </c>
      <c r="O11" s="79">
        <f t="shared" ca="1" si="18"/>
        <v>1</v>
      </c>
      <c r="P11" s="79">
        <f t="shared" ca="1" si="19"/>
        <v>8.5</v>
      </c>
      <c r="Q11" s="79">
        <f t="shared" ca="1" si="20"/>
        <v>7.5</v>
      </c>
      <c r="R11" s="79">
        <f t="shared" ca="1" si="21"/>
        <v>7</v>
      </c>
      <c r="Y11" s="79">
        <f t="shared" ca="1" si="22"/>
        <v>10</v>
      </c>
      <c r="Z11" s="80">
        <f t="shared" ca="1" si="23"/>
        <v>155</v>
      </c>
      <c r="AA11" s="90">
        <f t="shared" ca="1" si="4"/>
        <v>1</v>
      </c>
      <c r="AB11" s="80">
        <f t="shared" ca="1" si="24"/>
        <v>18</v>
      </c>
      <c r="AC11" s="80">
        <f t="shared" ca="1" si="25"/>
        <v>8</v>
      </c>
      <c r="AD11" s="80">
        <f t="shared" ca="1" si="26"/>
        <v>7</v>
      </c>
      <c r="AE11" s="79">
        <f t="shared" ca="1" si="27"/>
        <v>0</v>
      </c>
      <c r="AF11" s="80">
        <f t="shared" ca="1" si="28"/>
        <v>0</v>
      </c>
    </row>
    <row r="12" spans="1:45" ht="15" customHeight="1" thickBot="1" x14ac:dyDescent="0.25">
      <c r="A12" s="19" t="s">
        <v>72</v>
      </c>
      <c r="B12" s="91" t="str">
        <f t="shared" ca="1" si="5"/>
        <v>five(CE)</v>
      </c>
      <c r="C12" s="92">
        <f t="shared" ca="1" si="6"/>
        <v>9</v>
      </c>
      <c r="D12" s="92">
        <f t="shared" ca="1" si="7"/>
        <v>8</v>
      </c>
      <c r="E12" s="92">
        <f t="shared" ca="1" si="8"/>
        <v>7</v>
      </c>
      <c r="F12" s="92">
        <f t="shared" ca="1" si="9"/>
        <v>6</v>
      </c>
      <c r="G12" s="92">
        <f t="shared" ca="1" si="10"/>
        <v>5</v>
      </c>
      <c r="H12" s="92">
        <f t="shared" ca="1" si="11"/>
        <v>5</v>
      </c>
      <c r="I12" s="92">
        <f t="shared" ca="1" si="12"/>
        <v>4</v>
      </c>
      <c r="J12" s="92">
        <f t="shared" ca="1" si="13"/>
        <v>3</v>
      </c>
      <c r="K12" s="92">
        <f t="shared" ca="1" si="14"/>
        <v>2</v>
      </c>
      <c r="L12" s="92">
        <f t="shared" ca="1" si="15"/>
        <v>1</v>
      </c>
      <c r="M12" s="92">
        <f t="shared" ca="1" si="16"/>
        <v>1</v>
      </c>
      <c r="N12" s="92">
        <f t="shared" ca="1" si="17"/>
        <v>10</v>
      </c>
      <c r="O12" s="92">
        <f t="shared" ca="1" si="18"/>
        <v>1</v>
      </c>
      <c r="P12" s="92">
        <f t="shared" ca="1" si="19"/>
        <v>8.5</v>
      </c>
      <c r="Q12" s="92">
        <f t="shared" ca="1" si="20"/>
        <v>7.5</v>
      </c>
      <c r="R12" s="92">
        <f t="shared" ca="1" si="21"/>
        <v>7</v>
      </c>
      <c r="Y12" s="92">
        <f t="shared" ca="1" si="22"/>
        <v>10</v>
      </c>
      <c r="Z12" s="93">
        <f t="shared" ca="1" si="23"/>
        <v>155</v>
      </c>
      <c r="AA12" s="90">
        <f t="shared" ca="1" si="4"/>
        <v>1</v>
      </c>
      <c r="AB12" s="93">
        <f t="shared" ca="1" si="24"/>
        <v>18</v>
      </c>
      <c r="AC12" s="93">
        <f t="shared" ca="1" si="25"/>
        <v>8</v>
      </c>
      <c r="AD12" s="93">
        <f t="shared" ca="1" si="26"/>
        <v>7</v>
      </c>
      <c r="AE12" s="92">
        <f t="shared" ca="1" si="27"/>
        <v>0</v>
      </c>
      <c r="AF12" s="93">
        <f t="shared" ca="1" si="28"/>
        <v>0</v>
      </c>
    </row>
    <row r="13" spans="1:45" ht="15" customHeight="1" thickBot="1" x14ac:dyDescent="0.25">
      <c r="A13" s="94" t="s">
        <v>74</v>
      </c>
      <c r="B13" s="94" t="str">
        <f t="shared" ca="1" si="5"/>
        <v>springer(CF)</v>
      </c>
      <c r="C13" s="95">
        <f t="shared" ca="1" si="6"/>
        <v>9</v>
      </c>
      <c r="D13" s="95">
        <f t="shared" ca="1" si="7"/>
        <v>8</v>
      </c>
      <c r="E13" s="95">
        <f t="shared" ca="1" si="8"/>
        <v>7</v>
      </c>
      <c r="F13" s="95">
        <f t="shared" ca="1" si="9"/>
        <v>6</v>
      </c>
      <c r="G13" s="95">
        <f t="shared" ca="1" si="10"/>
        <v>5</v>
      </c>
      <c r="H13" s="95">
        <f t="shared" ca="1" si="11"/>
        <v>5</v>
      </c>
      <c r="I13" s="95">
        <f t="shared" ca="1" si="12"/>
        <v>4</v>
      </c>
      <c r="J13" s="95">
        <f t="shared" ca="1" si="13"/>
        <v>3</v>
      </c>
      <c r="K13" s="95">
        <f t="shared" ca="1" si="14"/>
        <v>2</v>
      </c>
      <c r="L13" s="95">
        <f t="shared" ca="1" si="15"/>
        <v>1</v>
      </c>
      <c r="M13" s="95">
        <f t="shared" ca="1" si="16"/>
        <v>1</v>
      </c>
      <c r="N13" s="95">
        <f t="shared" ca="1" si="17"/>
        <v>10</v>
      </c>
      <c r="O13" s="95">
        <f t="shared" ca="1" si="18"/>
        <v>1</v>
      </c>
      <c r="P13" s="95">
        <f t="shared" ca="1" si="19"/>
        <v>8.5</v>
      </c>
      <c r="Q13" s="95">
        <f t="shared" ca="1" si="20"/>
        <v>7.5</v>
      </c>
      <c r="R13" s="95">
        <f t="shared" ca="1" si="21"/>
        <v>7</v>
      </c>
      <c r="Y13" s="95">
        <f t="shared" ca="1" si="22"/>
        <v>10</v>
      </c>
      <c r="Z13" s="96">
        <f t="shared" ca="1" si="23"/>
        <v>155</v>
      </c>
      <c r="AA13" s="97">
        <f t="shared" ca="1" si="4"/>
        <v>1</v>
      </c>
      <c r="AB13" s="96">
        <f t="shared" ca="1" si="24"/>
        <v>18</v>
      </c>
      <c r="AC13" s="96">
        <f t="shared" ca="1" si="25"/>
        <v>8</v>
      </c>
      <c r="AD13" s="96">
        <f t="shared" ca="1" si="26"/>
        <v>7</v>
      </c>
      <c r="AE13" s="95">
        <f t="shared" ca="1" si="27"/>
        <v>0</v>
      </c>
      <c r="AF13" s="96">
        <f t="shared" ca="1" si="28"/>
        <v>0</v>
      </c>
    </row>
    <row r="14" spans="1:45" ht="15" customHeight="1" x14ac:dyDescent="0.2">
      <c r="A14" s="98"/>
      <c r="B14" s="98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Y14" s="99"/>
      <c r="Z14" s="100"/>
      <c r="AA14" s="101"/>
      <c r="AB14" s="102"/>
      <c r="AC14" s="102"/>
      <c r="AD14" s="102"/>
      <c r="AE14" s="99"/>
      <c r="AF14" s="102"/>
    </row>
    <row r="15" spans="1:45" ht="15" customHeight="1" x14ac:dyDescent="0.2">
      <c r="A15" s="98"/>
      <c r="B15" s="98" t="str">
        <f t="shared" ref="B15:B16" ca="1" si="29">IF(A15&lt;&gt;"",INDIRECT("'"&amp;$A15&amp;"'!E5"),"")</f>
        <v/>
      </c>
      <c r="C15" s="99" t="str">
        <f t="shared" ref="C15:C16" ca="1" si="30">IF($A15&lt;&gt;"",INDIRECT("'"&amp;$A15&amp;"'!L13"),"")</f>
        <v/>
      </c>
      <c r="D15" s="99" t="str">
        <f t="shared" ref="D15:D16" ca="1" si="31">IF($A15&lt;&gt;"",INDIRECT("'"&amp;$A15&amp;"'!L14"),"")</f>
        <v/>
      </c>
      <c r="E15" s="99" t="str">
        <f t="shared" ref="E15:E16" ca="1" si="32">IF($A15&lt;&gt;"",INDIRECT("'"&amp;$A15&amp;"'!L15"),"")</f>
        <v/>
      </c>
      <c r="F15" s="99" t="str">
        <f t="shared" ref="F15:F16" ca="1" si="33">IF($A15&lt;&gt;"",INDIRECT("'"&amp;$A15&amp;"'!L16"),"")</f>
        <v/>
      </c>
      <c r="G15" s="99" t="str">
        <f t="shared" ref="G15:G16" ca="1" si="34">IF($A15&lt;&gt;"",INDIRECT("'"&amp;$A15&amp;"'!L17"),"")</f>
        <v/>
      </c>
      <c r="H15" s="99" t="str">
        <f t="shared" ref="H15:H16" ca="1" si="35">IF($A15&lt;&gt;"",INDIRECT("'"&amp;$A15&amp;"'!L18"),"")</f>
        <v/>
      </c>
      <c r="I15" s="99" t="str">
        <f t="shared" ref="I15:I16" ca="1" si="36">IF($A15&lt;&gt;"",INDIRECT("'"&amp;$A15&amp;"'!L19"),"")</f>
        <v/>
      </c>
      <c r="J15" s="99" t="str">
        <f t="shared" ref="J15:J16" ca="1" si="37">IF($A15&lt;&gt;"",INDIRECT("'"&amp;$A15&amp;"'!L20"),"")</f>
        <v/>
      </c>
      <c r="K15" s="99" t="str">
        <f t="shared" ref="K15:K16" ca="1" si="38">IF($A15&lt;&gt;"",INDIRECT("'"&amp;$A15&amp;"'!L21"),"")</f>
        <v/>
      </c>
      <c r="L15" s="99" t="str">
        <f t="shared" ref="L15:L16" ca="1" si="39">IF($A15&lt;&gt;"",INDIRECT("'"&amp;$A15&amp;"'!L22"),"")</f>
        <v/>
      </c>
      <c r="M15" s="99" t="str">
        <f t="shared" ref="M15:M16" ca="1" si="40">IF($A15&lt;&gt;"",INDIRECT("'"&amp;$A15&amp;"'!L23"),"")</f>
        <v/>
      </c>
      <c r="N15" s="99" t="str">
        <f t="shared" ref="N15:N16" ca="1" si="41">IF($A15&lt;&gt;"",INDIRECT("'"&amp;$A15&amp;"'!L24"),"")</f>
        <v/>
      </c>
      <c r="O15" s="99" t="str">
        <f t="shared" ref="O15:O16" ca="1" si="42">IF($A15&lt;&gt;"",INDIRECT("'"&amp;$A15&amp;"'!L25"),"")</f>
        <v/>
      </c>
      <c r="P15" s="99" t="str">
        <f t="shared" ref="P15:P16" ca="1" si="43">IF($A15&lt;&gt;"",INDIRECT("'"&amp;$A15&amp;"'!L26"),"")</f>
        <v/>
      </c>
      <c r="Q15" s="99" t="str">
        <f t="shared" ref="Q15:Q16" ca="1" si="44">IF($A15&lt;&gt;"",INDIRECT("'"&amp;$A15&amp;"'!L27"),"")</f>
        <v/>
      </c>
      <c r="R15" s="99" t="str">
        <f t="shared" ref="R15:R16" ca="1" si="45">IF($A15&lt;&gt;"",INDIRECT("'"&amp;$A15&amp;"'!L28"),"")</f>
        <v/>
      </c>
      <c r="Y15" s="99" t="str">
        <f t="shared" ref="Y15:Y16" ca="1" si="46">IF($A15&lt;&gt;"",INDIRECT("'"&amp;$A15&amp;"'!L35"),"")</f>
        <v/>
      </c>
      <c r="Z15" s="102" t="str">
        <f t="shared" ref="Z15:Z16" ca="1" si="47">IF($A15&lt;&gt;"",INDIRECT("'"&amp;$A15&amp;"'!L36"),"")</f>
        <v/>
      </c>
      <c r="AA15" s="103" t="str">
        <f t="shared" ref="AA15:AA16" si="48">IF($A15&lt;&gt;"",SUM(C29:Y29)/COUNT(C15:Y15),"")</f>
        <v/>
      </c>
      <c r="AB15" s="102" t="str">
        <f t="shared" ref="AB15:AB16" ca="1" si="49">IF($A15&lt;&gt;"",INDIRECT("'"&amp;$A15&amp;"'!F36"),"")</f>
        <v/>
      </c>
      <c r="AC15" s="102" t="str">
        <f t="shared" ref="AC15:AC16" ca="1" si="50">IF($A15&lt;&gt;"",INDIRECT("'"&amp;$A15&amp;"'!H36"),"")</f>
        <v/>
      </c>
      <c r="AD15" s="102" t="str">
        <f t="shared" ref="AD15:AD16" ca="1" si="51">IF($A15&lt;&gt;"",INDIRECT("'"&amp;$A15&amp;"'!I36"),"")</f>
        <v/>
      </c>
      <c r="AE15" s="99" t="str">
        <f t="shared" ref="AE15:AE16" ca="1" si="52">IF($A15&lt;&gt;"",INDIRECT("'"&amp;$A15&amp;"'!J36"),"")</f>
        <v/>
      </c>
      <c r="AF15" s="102" t="str">
        <f t="shared" ref="AF15:AF16" ca="1" si="53">IF($A15&lt;&gt;"",INDIRECT("'"&amp;$A15&amp;"'!K36"),"")</f>
        <v/>
      </c>
    </row>
    <row r="16" spans="1:45" ht="15" customHeight="1" x14ac:dyDescent="0.2">
      <c r="A16" s="98"/>
      <c r="B16" s="98" t="str">
        <f t="shared" ca="1" si="29"/>
        <v/>
      </c>
      <c r="C16" s="99" t="str">
        <f t="shared" ca="1" si="30"/>
        <v/>
      </c>
      <c r="D16" s="99" t="str">
        <f t="shared" ca="1" si="31"/>
        <v/>
      </c>
      <c r="E16" s="99" t="str">
        <f t="shared" ca="1" si="32"/>
        <v/>
      </c>
      <c r="F16" s="99" t="str">
        <f t="shared" ca="1" si="33"/>
        <v/>
      </c>
      <c r="G16" s="99" t="str">
        <f t="shared" ca="1" si="34"/>
        <v/>
      </c>
      <c r="H16" s="99" t="str">
        <f t="shared" ca="1" si="35"/>
        <v/>
      </c>
      <c r="I16" s="99" t="str">
        <f t="shared" ca="1" si="36"/>
        <v/>
      </c>
      <c r="J16" s="99" t="str">
        <f t="shared" ca="1" si="37"/>
        <v/>
      </c>
      <c r="K16" s="99" t="str">
        <f t="shared" ca="1" si="38"/>
        <v/>
      </c>
      <c r="L16" s="99" t="str">
        <f t="shared" ca="1" si="39"/>
        <v/>
      </c>
      <c r="M16" s="99" t="str">
        <f t="shared" ca="1" si="40"/>
        <v/>
      </c>
      <c r="N16" s="99" t="str">
        <f t="shared" ca="1" si="41"/>
        <v/>
      </c>
      <c r="O16" s="99" t="str">
        <f t="shared" ca="1" si="42"/>
        <v/>
      </c>
      <c r="P16" s="99" t="str">
        <f t="shared" ca="1" si="43"/>
        <v/>
      </c>
      <c r="Q16" s="99" t="str">
        <f t="shared" ca="1" si="44"/>
        <v/>
      </c>
      <c r="R16" s="99" t="str">
        <f t="shared" ca="1" si="45"/>
        <v/>
      </c>
      <c r="Y16" s="99" t="str">
        <f t="shared" ca="1" si="46"/>
        <v/>
      </c>
      <c r="Z16" s="102" t="str">
        <f t="shared" ca="1" si="47"/>
        <v/>
      </c>
      <c r="AA16" s="103" t="str">
        <f t="shared" si="48"/>
        <v/>
      </c>
      <c r="AB16" s="102" t="str">
        <f t="shared" ca="1" si="49"/>
        <v/>
      </c>
      <c r="AC16" s="102" t="str">
        <f t="shared" ca="1" si="50"/>
        <v/>
      </c>
      <c r="AD16" s="102" t="str">
        <f t="shared" ca="1" si="51"/>
        <v/>
      </c>
      <c r="AE16" s="99" t="str">
        <f t="shared" ca="1" si="52"/>
        <v/>
      </c>
      <c r="AF16" s="102" t="str">
        <f t="shared" ca="1" si="53"/>
        <v/>
      </c>
    </row>
    <row r="17" spans="1:32" x14ac:dyDescent="0.2">
      <c r="AF17" s="104"/>
    </row>
    <row r="18" spans="1:32" x14ac:dyDescent="0.2">
      <c r="AF18" s="105"/>
    </row>
    <row r="21" spans="1:32" hidden="1" x14ac:dyDescent="0.2">
      <c r="A21" s="19" t="s">
        <v>35</v>
      </c>
    </row>
    <row r="22" spans="1:32" hidden="1" x14ac:dyDescent="0.2">
      <c r="A22" s="19" t="str">
        <f t="shared" ref="A22:A27" si="54">A8</f>
        <v>Wertung 1</v>
      </c>
      <c r="B22" s="19" t="str">
        <f t="shared" ref="B22:B27" ca="1" si="55">B8</f>
        <v>one(CA)</v>
      </c>
      <c r="C22" s="19">
        <f t="shared" ref="C22:Y27" ca="1" si="56">IF($A8&lt;&gt;"",IF(ABS(C$3/3-C8)&lt;=0.75,1,0),"")</f>
        <v>1</v>
      </c>
      <c r="D22" s="19">
        <f t="shared" ca="1" si="56"/>
        <v>1</v>
      </c>
      <c r="E22" s="19">
        <f t="shared" ca="1" si="56"/>
        <v>1</v>
      </c>
      <c r="F22" s="19">
        <f t="shared" ca="1" si="56"/>
        <v>1</v>
      </c>
      <c r="G22" s="19">
        <f t="shared" ca="1" si="56"/>
        <v>1</v>
      </c>
      <c r="H22" s="19">
        <f t="shared" ca="1" si="56"/>
        <v>1</v>
      </c>
      <c r="I22" s="19">
        <f t="shared" ca="1" si="56"/>
        <v>1</v>
      </c>
      <c r="J22" s="19">
        <f t="shared" ca="1" si="56"/>
        <v>1</v>
      </c>
      <c r="K22" s="19">
        <f t="shared" ca="1" si="56"/>
        <v>1</v>
      </c>
      <c r="L22" s="19">
        <f t="shared" ca="1" si="56"/>
        <v>1</v>
      </c>
      <c r="M22" s="19">
        <f t="shared" ca="1" si="56"/>
        <v>1</v>
      </c>
      <c r="N22" s="19">
        <f t="shared" ca="1" si="56"/>
        <v>1</v>
      </c>
      <c r="O22" s="19">
        <f t="shared" ca="1" si="56"/>
        <v>1</v>
      </c>
      <c r="P22" s="19">
        <f t="shared" ca="1" si="56"/>
        <v>1</v>
      </c>
      <c r="Q22" s="19">
        <f t="shared" ca="1" si="56"/>
        <v>1</v>
      </c>
      <c r="R22" s="19">
        <f t="shared" ca="1" si="56"/>
        <v>1</v>
      </c>
      <c r="Y22" s="19">
        <f t="shared" ca="1" si="56"/>
        <v>1</v>
      </c>
    </row>
    <row r="23" spans="1:32" hidden="1" x14ac:dyDescent="0.2">
      <c r="A23" s="19" t="str">
        <f t="shared" si="54"/>
        <v>Wertung 2</v>
      </c>
      <c r="B23" s="19" t="str">
        <f t="shared" ca="1" si="55"/>
        <v>two(CB)</v>
      </c>
      <c r="C23" s="19">
        <f t="shared" ca="1" si="56"/>
        <v>1</v>
      </c>
      <c r="D23" s="19">
        <f t="shared" ca="1" si="56"/>
        <v>1</v>
      </c>
      <c r="E23" s="19">
        <f t="shared" ca="1" si="56"/>
        <v>1</v>
      </c>
      <c r="F23" s="19">
        <f t="shared" ca="1" si="56"/>
        <v>1</v>
      </c>
      <c r="G23" s="19">
        <f t="shared" ca="1" si="56"/>
        <v>1</v>
      </c>
      <c r="H23" s="19">
        <f t="shared" ca="1" si="56"/>
        <v>1</v>
      </c>
      <c r="I23" s="19">
        <f t="shared" ca="1" si="56"/>
        <v>1</v>
      </c>
      <c r="J23" s="19">
        <f t="shared" ca="1" si="56"/>
        <v>1</v>
      </c>
      <c r="K23" s="19">
        <f t="shared" ca="1" si="56"/>
        <v>1</v>
      </c>
      <c r="L23" s="19">
        <f t="shared" ca="1" si="56"/>
        <v>1</v>
      </c>
      <c r="M23" s="19">
        <f t="shared" ca="1" si="56"/>
        <v>1</v>
      </c>
      <c r="N23" s="19">
        <f t="shared" ca="1" si="56"/>
        <v>1</v>
      </c>
      <c r="O23" s="19">
        <f t="shared" ca="1" si="56"/>
        <v>1</v>
      </c>
      <c r="P23" s="19">
        <f t="shared" ca="1" si="56"/>
        <v>1</v>
      </c>
      <c r="Q23" s="19">
        <f t="shared" ca="1" si="56"/>
        <v>1</v>
      </c>
      <c r="R23" s="19">
        <f t="shared" ca="1" si="56"/>
        <v>1</v>
      </c>
      <c r="Y23" s="19">
        <f t="shared" ca="1" si="56"/>
        <v>1</v>
      </c>
    </row>
    <row r="24" spans="1:32" hidden="1" x14ac:dyDescent="0.2">
      <c r="A24" s="19" t="str">
        <f t="shared" si="54"/>
        <v>Wertung 3 (H)</v>
      </c>
      <c r="B24" s="19" t="str">
        <f t="shared" ca="1" si="55"/>
        <v>head(CC)</v>
      </c>
      <c r="C24" s="19">
        <f t="shared" ca="1" si="56"/>
        <v>1</v>
      </c>
      <c r="D24" s="19">
        <f t="shared" ca="1" si="56"/>
        <v>1</v>
      </c>
      <c r="E24" s="19">
        <f t="shared" ca="1" si="56"/>
        <v>1</v>
      </c>
      <c r="F24" s="19">
        <f t="shared" ca="1" si="56"/>
        <v>1</v>
      </c>
      <c r="G24" s="19">
        <f t="shared" ca="1" si="56"/>
        <v>1</v>
      </c>
      <c r="H24" s="19">
        <f t="shared" ca="1" si="56"/>
        <v>1</v>
      </c>
      <c r="I24" s="19">
        <f t="shared" ca="1" si="56"/>
        <v>1</v>
      </c>
      <c r="J24" s="19">
        <f t="shared" ca="1" si="56"/>
        <v>1</v>
      </c>
      <c r="K24" s="19">
        <f t="shared" ca="1" si="56"/>
        <v>1</v>
      </c>
      <c r="L24" s="19">
        <f t="shared" ca="1" si="56"/>
        <v>1</v>
      </c>
      <c r="M24" s="19">
        <f t="shared" ca="1" si="56"/>
        <v>1</v>
      </c>
      <c r="N24" s="19">
        <f t="shared" ca="1" si="56"/>
        <v>1</v>
      </c>
      <c r="O24" s="19">
        <f t="shared" ca="1" si="56"/>
        <v>1</v>
      </c>
      <c r="P24" s="19">
        <f t="shared" ca="1" si="56"/>
        <v>1</v>
      </c>
      <c r="Q24" s="19">
        <f t="shared" ca="1" si="56"/>
        <v>1</v>
      </c>
      <c r="R24" s="19">
        <f t="shared" ca="1" si="56"/>
        <v>1</v>
      </c>
      <c r="Y24" s="19">
        <f t="shared" ca="1" si="56"/>
        <v>1</v>
      </c>
    </row>
    <row r="25" spans="1:32" hidden="1" x14ac:dyDescent="0.2">
      <c r="A25" s="19" t="str">
        <f t="shared" si="54"/>
        <v>Wertung 4</v>
      </c>
      <c r="B25" s="19" t="str">
        <f t="shared" ca="1" si="55"/>
        <v>four-out(C3)</v>
      </c>
      <c r="C25" s="19">
        <f t="shared" ca="1" si="56"/>
        <v>1</v>
      </c>
      <c r="D25" s="19">
        <f t="shared" ca="1" si="56"/>
        <v>1</v>
      </c>
      <c r="E25" s="19">
        <f t="shared" ca="1" si="56"/>
        <v>1</v>
      </c>
      <c r="F25" s="19">
        <f t="shared" ca="1" si="56"/>
        <v>1</v>
      </c>
      <c r="G25" s="19">
        <f t="shared" ca="1" si="56"/>
        <v>1</v>
      </c>
      <c r="H25" s="19">
        <f t="shared" ca="1" si="56"/>
        <v>1</v>
      </c>
      <c r="I25" s="19">
        <f t="shared" ca="1" si="56"/>
        <v>1</v>
      </c>
      <c r="J25" s="19">
        <f t="shared" ca="1" si="56"/>
        <v>1</v>
      </c>
      <c r="K25" s="19">
        <f t="shared" ca="1" si="56"/>
        <v>1</v>
      </c>
      <c r="L25" s="19">
        <f t="shared" ca="1" si="56"/>
        <v>1</v>
      </c>
      <c r="M25" s="19">
        <f t="shared" ca="1" si="56"/>
        <v>1</v>
      </c>
      <c r="N25" s="19">
        <f t="shared" ca="1" si="56"/>
        <v>1</v>
      </c>
      <c r="O25" s="19">
        <f t="shared" ca="1" si="56"/>
        <v>1</v>
      </c>
      <c r="P25" s="19">
        <f t="shared" ca="1" si="56"/>
        <v>1</v>
      </c>
      <c r="Q25" s="19">
        <f t="shared" ca="1" si="56"/>
        <v>1</v>
      </c>
      <c r="R25" s="19">
        <f t="shared" ca="1" si="56"/>
        <v>1</v>
      </c>
      <c r="Y25" s="19">
        <f t="shared" ca="1" si="56"/>
        <v>1</v>
      </c>
    </row>
    <row r="26" spans="1:32" hidden="1" x14ac:dyDescent="0.2">
      <c r="A26" s="19" t="str">
        <f t="shared" si="54"/>
        <v>Wertung 5</v>
      </c>
      <c r="B26" s="19" t="str">
        <f t="shared" ca="1" si="55"/>
        <v>five(CE)</v>
      </c>
      <c r="C26" s="19">
        <f t="shared" ca="1" si="56"/>
        <v>1</v>
      </c>
      <c r="D26" s="19">
        <f t="shared" ca="1" si="56"/>
        <v>1</v>
      </c>
      <c r="E26" s="19">
        <f t="shared" ca="1" si="56"/>
        <v>1</v>
      </c>
      <c r="F26" s="19">
        <f t="shared" ca="1" si="56"/>
        <v>1</v>
      </c>
      <c r="G26" s="19">
        <f t="shared" ca="1" si="56"/>
        <v>1</v>
      </c>
      <c r="H26" s="19">
        <f t="shared" ca="1" si="56"/>
        <v>1</v>
      </c>
      <c r="I26" s="19">
        <f t="shared" ca="1" si="56"/>
        <v>1</v>
      </c>
      <c r="J26" s="19">
        <f t="shared" ca="1" si="56"/>
        <v>1</v>
      </c>
      <c r="K26" s="19">
        <f t="shared" ca="1" si="56"/>
        <v>1</v>
      </c>
      <c r="L26" s="19">
        <f t="shared" ca="1" si="56"/>
        <v>1</v>
      </c>
      <c r="M26" s="19">
        <f t="shared" ca="1" si="56"/>
        <v>1</v>
      </c>
      <c r="N26" s="19">
        <f t="shared" ca="1" si="56"/>
        <v>1</v>
      </c>
      <c r="O26" s="19">
        <f t="shared" ca="1" si="56"/>
        <v>1</v>
      </c>
      <c r="P26" s="19">
        <f t="shared" ca="1" si="56"/>
        <v>1</v>
      </c>
      <c r="Q26" s="19">
        <f t="shared" ca="1" si="56"/>
        <v>1</v>
      </c>
      <c r="R26" s="19">
        <f t="shared" ca="1" si="56"/>
        <v>1</v>
      </c>
      <c r="Y26" s="19">
        <f t="shared" ca="1" si="56"/>
        <v>1</v>
      </c>
    </row>
    <row r="27" spans="1:32" hidden="1" x14ac:dyDescent="0.2">
      <c r="A27" s="19" t="str">
        <f t="shared" si="54"/>
        <v>Springer</v>
      </c>
      <c r="B27" s="19" t="str">
        <f t="shared" ca="1" si="55"/>
        <v>springer(CF)</v>
      </c>
      <c r="C27" s="19">
        <f t="shared" ca="1" si="56"/>
        <v>1</v>
      </c>
      <c r="D27" s="19">
        <f t="shared" ca="1" si="56"/>
        <v>1</v>
      </c>
      <c r="E27" s="19">
        <f t="shared" ca="1" si="56"/>
        <v>1</v>
      </c>
      <c r="F27" s="19">
        <f t="shared" ca="1" si="56"/>
        <v>1</v>
      </c>
      <c r="G27" s="19">
        <f t="shared" ca="1" si="56"/>
        <v>1</v>
      </c>
      <c r="H27" s="19">
        <f t="shared" ca="1" si="56"/>
        <v>1</v>
      </c>
      <c r="I27" s="19">
        <f t="shared" ca="1" si="56"/>
        <v>1</v>
      </c>
      <c r="J27" s="19">
        <f t="shared" ca="1" si="56"/>
        <v>1</v>
      </c>
      <c r="K27" s="19">
        <f t="shared" ca="1" si="56"/>
        <v>1</v>
      </c>
      <c r="L27" s="19">
        <f t="shared" ca="1" si="56"/>
        <v>1</v>
      </c>
      <c r="M27" s="19">
        <f t="shared" ca="1" si="56"/>
        <v>1</v>
      </c>
      <c r="N27" s="19">
        <f t="shared" ca="1" si="56"/>
        <v>1</v>
      </c>
      <c r="O27" s="19">
        <f t="shared" ca="1" si="56"/>
        <v>1</v>
      </c>
      <c r="P27" s="19">
        <f t="shared" ca="1" si="56"/>
        <v>1</v>
      </c>
      <c r="Q27" s="19">
        <f t="shared" ca="1" si="56"/>
        <v>1</v>
      </c>
      <c r="R27" s="19">
        <f t="shared" ca="1" si="56"/>
        <v>1</v>
      </c>
      <c r="Y27" s="19">
        <f t="shared" ca="1" si="56"/>
        <v>1</v>
      </c>
    </row>
    <row r="28" spans="1:32" hidden="1" x14ac:dyDescent="0.2"/>
    <row r="29" spans="1:32" hidden="1" x14ac:dyDescent="0.2">
      <c r="A29" s="19">
        <f>A15</f>
        <v>0</v>
      </c>
      <c r="B29" s="19" t="str">
        <f ca="1">B15</f>
        <v/>
      </c>
      <c r="C29" s="19" t="str">
        <f t="shared" ref="C29:Y30" si="57">IF($A15&lt;&gt;"",IF(ABS(C$3/3-C15)&lt;=0.75,1,0),"")</f>
        <v/>
      </c>
      <c r="D29" s="19" t="str">
        <f t="shared" si="57"/>
        <v/>
      </c>
      <c r="E29" s="19" t="str">
        <f t="shared" si="57"/>
        <v/>
      </c>
      <c r="F29" s="19" t="str">
        <f t="shared" si="57"/>
        <v/>
      </c>
      <c r="G29" s="19" t="str">
        <f t="shared" si="57"/>
        <v/>
      </c>
      <c r="H29" s="19" t="str">
        <f t="shared" si="57"/>
        <v/>
      </c>
      <c r="I29" s="19" t="str">
        <f t="shared" si="57"/>
        <v/>
      </c>
      <c r="J29" s="19" t="str">
        <f t="shared" si="57"/>
        <v/>
      </c>
      <c r="K29" s="19" t="str">
        <f t="shared" si="57"/>
        <v/>
      </c>
      <c r="L29" s="19" t="str">
        <f t="shared" si="57"/>
        <v/>
      </c>
      <c r="M29" s="19" t="str">
        <f t="shared" si="57"/>
        <v/>
      </c>
      <c r="N29" s="19" t="str">
        <f t="shared" si="57"/>
        <v/>
      </c>
      <c r="O29" s="19" t="str">
        <f t="shared" si="57"/>
        <v/>
      </c>
      <c r="P29" s="19" t="str">
        <f t="shared" si="57"/>
        <v/>
      </c>
      <c r="Q29" s="19" t="str">
        <f t="shared" si="57"/>
        <v/>
      </c>
      <c r="R29" s="19" t="str">
        <f t="shared" si="57"/>
        <v/>
      </c>
      <c r="Y29" s="19" t="str">
        <f t="shared" si="57"/>
        <v/>
      </c>
    </row>
    <row r="30" spans="1:32" hidden="1" x14ac:dyDescent="0.2">
      <c r="A30" s="19">
        <f>A16</f>
        <v>0</v>
      </c>
      <c r="B30" s="19" t="str">
        <f ca="1">B16</f>
        <v/>
      </c>
      <c r="C30" s="19" t="str">
        <f t="shared" si="57"/>
        <v/>
      </c>
      <c r="D30" s="19" t="str">
        <f t="shared" si="57"/>
        <v/>
      </c>
      <c r="E30" s="19" t="str">
        <f t="shared" si="57"/>
        <v/>
      </c>
      <c r="F30" s="19" t="str">
        <f t="shared" si="57"/>
        <v/>
      </c>
      <c r="G30" s="19" t="str">
        <f t="shared" si="57"/>
        <v/>
      </c>
      <c r="H30" s="19" t="str">
        <f t="shared" si="57"/>
        <v/>
      </c>
      <c r="I30" s="19" t="str">
        <f t="shared" si="57"/>
        <v/>
      </c>
      <c r="J30" s="19" t="str">
        <f t="shared" si="57"/>
        <v/>
      </c>
      <c r="K30" s="19" t="str">
        <f t="shared" si="57"/>
        <v/>
      </c>
      <c r="L30" s="19" t="str">
        <f t="shared" si="57"/>
        <v/>
      </c>
      <c r="M30" s="19" t="str">
        <f t="shared" si="57"/>
        <v/>
      </c>
      <c r="N30" s="19" t="str">
        <f t="shared" si="57"/>
        <v/>
      </c>
      <c r="O30" s="19" t="str">
        <f t="shared" si="57"/>
        <v/>
      </c>
      <c r="P30" s="19" t="str">
        <f t="shared" si="57"/>
        <v/>
      </c>
      <c r="Q30" s="19" t="str">
        <f t="shared" si="57"/>
        <v/>
      </c>
      <c r="R30" s="19" t="str">
        <f t="shared" si="57"/>
        <v/>
      </c>
      <c r="Y30" s="19" t="str">
        <f t="shared" si="57"/>
        <v/>
      </c>
    </row>
  </sheetData>
  <sheetProtection algorithmName="SHA-512" hashValue="8Obva2p3W+R5ODlX+LLDcmRj80+HYVoSBK7NVVxs7s74untL2meXTlcBIjJctbxXWHUWu/FaZeZfwIWIgyJMsw==" saltValue="MDLnghAIuIN3kcgyjhED/w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9" priority="11">
      <formula>C4&gt;3</formula>
    </cfRule>
    <cfRule type="expression" dxfId="8" priority="12">
      <formula>AND(C4&gt;2,C4&lt;=3)</formula>
    </cfRule>
    <cfRule type="expression" dxfId="7" priority="13">
      <formula>AND(C4&gt;1,C4&lt;=2)</formula>
    </cfRule>
    <cfRule type="expression" dxfId="6" priority="14">
      <formula>C4&lt;=1</formula>
    </cfRule>
  </conditionalFormatting>
  <conditionalFormatting sqref="C8:R10 C12:R13 Y12:Y13 Y8:Y10">
    <cfRule type="expression" dxfId="5" priority="9">
      <formula>C$3/3-C8&lt;-0.75</formula>
    </cfRule>
    <cfRule type="expression" dxfId="4" priority="10">
      <formula>C$3/3-C8&gt;0.75</formula>
    </cfRule>
  </conditionalFormatting>
  <conditionalFormatting sqref="C11:D11">
    <cfRule type="expression" dxfId="3" priority="7">
      <formula>C$3/3-C11&lt;-0.75</formula>
    </cfRule>
    <cfRule type="expression" dxfId="2" priority="8">
      <formula>C$3/3-C11&gt;0.75</formula>
    </cfRule>
  </conditionalFormatting>
  <conditionalFormatting sqref="E11:R11 Y11">
    <cfRule type="expression" dxfId="1" priority="5">
      <formula>E$3/3-E11&lt;-0.75</formula>
    </cfRule>
    <cfRule type="expression" dxfId="0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2019-03-31T23:55:40Z</dcterms:modified>
</cp:coreProperties>
</file>