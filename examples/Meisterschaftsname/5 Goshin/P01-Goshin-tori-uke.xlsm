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D:\eng\z_localGIT\judo-kata\examples\Meisterschaftsname\5 Goshin\"/>
    </mc:Choice>
  </mc:AlternateContent>
  <xr:revisionPtr revIDLastSave="0" documentId="13_ncr:1_{55DAF235-D5F3-44E1-98C3-90B234A4ED30}" xr6:coauthVersionLast="41" xr6:coauthVersionMax="41" xr10:uidLastSave="{00000000-0000-0000-0000-000000000000}"/>
  <bookViews>
    <workbookView xWindow="24768" yWindow="-11100" windowWidth="38508" windowHeight="22200" xr2:uid="{00912E07-FE2B-4B6F-8D52-3B4088392B69}"/>
  </bookViews>
  <sheets>
    <sheet name="Wertung 1" sheetId="24" r:id="rId1"/>
    <sheet name="Wertung 2" sheetId="25" r:id="rId2"/>
    <sheet name="Wertung 3 (H)" sheetId="26" r:id="rId3"/>
    <sheet name="Wertung 4" sheetId="27" r:id="rId4"/>
    <sheet name="Wertung 5" sheetId="28" r:id="rId5"/>
    <sheet name="Springer" sheetId="29" r:id="rId6"/>
    <sheet name="Beobachter" sheetId="30" r:id="rId7"/>
    <sheet name="Auswertung" sheetId="11" r:id="rId8"/>
  </sheets>
  <definedNames>
    <definedName name="_xlnm.Print_Area" localSheetId="7">Auswertung!$A$1:$AF$16</definedName>
    <definedName name="_xlnm.Print_Area" localSheetId="6">Beobachter!$A$1:$L$37</definedName>
    <definedName name="_xlnm.Print_Area" localSheetId="5">Springer!$A$1:$L$37</definedName>
    <definedName name="_xlnm.Print_Area" localSheetId="0">'Wertung 1'!$A$1:$L$37</definedName>
    <definedName name="_xlnm.Print_Area" localSheetId="1">'Wertung 2'!$A$1:$L$37</definedName>
    <definedName name="_xlnm.Print_Area" localSheetId="2">'Wertung 3 (H)'!$A$1:$L$37</definedName>
    <definedName name="_xlnm.Print_Area" localSheetId="3">'Wertung 4'!$A$1:$L$37</definedName>
    <definedName name="_xlnm.Print_Area" localSheetId="4">'Wertung 5'!$A$1:$L$37</definedName>
  </definedNames>
  <calcPr calcId="181029"/>
</workbook>
</file>

<file path=xl/calcChain.xml><?xml version="1.0" encoding="utf-8"?>
<calcChain xmlns="http://schemas.openxmlformats.org/spreadsheetml/2006/main">
  <c r="K36" i="30" l="1"/>
  <c r="L36" i="30" s="1"/>
  <c r="J36" i="30"/>
  <c r="I36" i="30"/>
  <c r="H36" i="30"/>
  <c r="G36" i="30"/>
  <c r="F36" i="30"/>
  <c r="L35" i="30"/>
  <c r="L34" i="30"/>
  <c r="L33" i="30"/>
  <c r="L32" i="30"/>
  <c r="L31" i="30"/>
  <c r="L30" i="30"/>
  <c r="L29" i="30"/>
  <c r="L28" i="30"/>
  <c r="L27" i="30"/>
  <c r="L26" i="30"/>
  <c r="L25" i="30"/>
  <c r="L24" i="30"/>
  <c r="L23" i="30"/>
  <c r="L22" i="30"/>
  <c r="L21" i="30"/>
  <c r="L20" i="30"/>
  <c r="L19" i="30"/>
  <c r="L18" i="30"/>
  <c r="L17" i="30"/>
  <c r="L16" i="30"/>
  <c r="L15" i="30"/>
  <c r="L14" i="30"/>
  <c r="L13" i="30"/>
  <c r="K36" i="29"/>
  <c r="L36" i="29" s="1"/>
  <c r="J36" i="29"/>
  <c r="I36" i="29"/>
  <c r="H36" i="29"/>
  <c r="G36" i="29"/>
  <c r="F36" i="29"/>
  <c r="L35" i="29"/>
  <c r="L34" i="29"/>
  <c r="L33" i="29"/>
  <c r="L32" i="29"/>
  <c r="L31" i="29"/>
  <c r="L30" i="29"/>
  <c r="L29" i="29"/>
  <c r="L28" i="29"/>
  <c r="L27" i="29"/>
  <c r="L26" i="29"/>
  <c r="L25" i="29"/>
  <c r="L24" i="29"/>
  <c r="L23" i="29"/>
  <c r="L22" i="29"/>
  <c r="L21" i="29"/>
  <c r="L20" i="29"/>
  <c r="L19" i="29"/>
  <c r="L18" i="29"/>
  <c r="L17" i="29"/>
  <c r="L16" i="29"/>
  <c r="L15" i="29"/>
  <c r="L14" i="29"/>
  <c r="L13" i="29"/>
  <c r="K36" i="28"/>
  <c r="L36" i="28" s="1"/>
  <c r="J36" i="28"/>
  <c r="I36" i="28"/>
  <c r="H36" i="28"/>
  <c r="G36" i="28"/>
  <c r="F36" i="28"/>
  <c r="L35" i="28"/>
  <c r="L34" i="28"/>
  <c r="L33" i="28"/>
  <c r="L32" i="28"/>
  <c r="L31" i="28"/>
  <c r="L30" i="28"/>
  <c r="L29" i="28"/>
  <c r="L28" i="28"/>
  <c r="L27" i="28"/>
  <c r="L26" i="28"/>
  <c r="L25" i="28"/>
  <c r="L24" i="28"/>
  <c r="L23" i="28"/>
  <c r="L22" i="28"/>
  <c r="L21" i="28"/>
  <c r="L20" i="28"/>
  <c r="L19" i="28"/>
  <c r="L18" i="28"/>
  <c r="L17" i="28"/>
  <c r="L16" i="28"/>
  <c r="L15" i="28"/>
  <c r="L14" i="28"/>
  <c r="L13" i="28"/>
  <c r="K36" i="27"/>
  <c r="L36" i="27" s="1"/>
  <c r="J36" i="27"/>
  <c r="I36" i="27"/>
  <c r="H36" i="27"/>
  <c r="G36" i="27"/>
  <c r="F36" i="27"/>
  <c r="L35" i="27"/>
  <c r="L34" i="27"/>
  <c r="L33" i="27"/>
  <c r="L32" i="27"/>
  <c r="L31" i="27"/>
  <c r="L30" i="27"/>
  <c r="L29" i="27"/>
  <c r="L28" i="27"/>
  <c r="L27" i="27"/>
  <c r="L26" i="27"/>
  <c r="L25" i="27"/>
  <c r="L24" i="27"/>
  <c r="L23" i="27"/>
  <c r="L22" i="27"/>
  <c r="L21" i="27"/>
  <c r="L20" i="27"/>
  <c r="L19" i="27"/>
  <c r="L18" i="27"/>
  <c r="L17" i="27"/>
  <c r="L16" i="27"/>
  <c r="L15" i="27"/>
  <c r="L14" i="27"/>
  <c r="L13" i="27"/>
  <c r="K36" i="26"/>
  <c r="L36" i="26" s="1"/>
  <c r="J36" i="26"/>
  <c r="I36" i="26"/>
  <c r="H36" i="26"/>
  <c r="G36" i="26"/>
  <c r="F36" i="26"/>
  <c r="L35" i="26"/>
  <c r="L34" i="26"/>
  <c r="L33" i="26"/>
  <c r="L32" i="26"/>
  <c r="L31" i="26"/>
  <c r="L30" i="26"/>
  <c r="L29" i="26"/>
  <c r="L28" i="26"/>
  <c r="L27" i="26"/>
  <c r="L26" i="26"/>
  <c r="L25" i="26"/>
  <c r="L24" i="26"/>
  <c r="L23" i="26"/>
  <c r="L22" i="26"/>
  <c r="L21" i="26"/>
  <c r="L20" i="26"/>
  <c r="L19" i="26"/>
  <c r="L18" i="26"/>
  <c r="L17" i="26"/>
  <c r="L16" i="26"/>
  <c r="L15" i="26"/>
  <c r="L14" i="26"/>
  <c r="L13" i="26"/>
  <c r="K36" i="25"/>
  <c r="J36" i="25"/>
  <c r="I36" i="25"/>
  <c r="H36" i="25"/>
  <c r="G36" i="25"/>
  <c r="F36" i="25"/>
  <c r="L35" i="25"/>
  <c r="L34" i="25"/>
  <c r="L33" i="25"/>
  <c r="L32" i="25"/>
  <c r="L31" i="25"/>
  <c r="L30" i="25"/>
  <c r="L29" i="25"/>
  <c r="L28" i="25"/>
  <c r="L27" i="25"/>
  <c r="L26" i="25"/>
  <c r="L25" i="25"/>
  <c r="L24" i="25"/>
  <c r="L23" i="25"/>
  <c r="L22" i="25"/>
  <c r="L21" i="25"/>
  <c r="L20" i="25"/>
  <c r="L19" i="25"/>
  <c r="L18" i="25"/>
  <c r="L17" i="25"/>
  <c r="L16" i="25"/>
  <c r="L15" i="25"/>
  <c r="L14" i="25"/>
  <c r="L13" i="25"/>
  <c r="L36" i="25" s="1"/>
  <c r="K36" i="24"/>
  <c r="J36" i="24"/>
  <c r="I36" i="24"/>
  <c r="H36" i="24"/>
  <c r="G36" i="24"/>
  <c r="F36" i="24"/>
  <c r="L35" i="24"/>
  <c r="L34" i="24"/>
  <c r="L33" i="24"/>
  <c r="L32" i="24"/>
  <c r="L31" i="24"/>
  <c r="L30" i="24"/>
  <c r="L29" i="24"/>
  <c r="L28" i="24"/>
  <c r="L27" i="24"/>
  <c r="L26" i="24"/>
  <c r="L25" i="24"/>
  <c r="L24" i="24"/>
  <c r="L23" i="24"/>
  <c r="L22" i="24"/>
  <c r="L21" i="24"/>
  <c r="L20" i="24"/>
  <c r="L19" i="24"/>
  <c r="L18" i="24"/>
  <c r="L17" i="24"/>
  <c r="L16" i="24"/>
  <c r="L15" i="24"/>
  <c r="L14" i="24"/>
  <c r="L13" i="24"/>
  <c r="L36" i="24" s="1"/>
  <c r="Y30" i="11" l="1"/>
  <c r="X30" i="11"/>
  <c r="W30" i="11"/>
  <c r="V30" i="11"/>
  <c r="U30" i="11"/>
  <c r="T30" i="11"/>
  <c r="S30" i="11"/>
  <c r="R30" i="11"/>
  <c r="Q30" i="11"/>
  <c r="P30" i="11"/>
  <c r="O30" i="11"/>
  <c r="N30" i="11"/>
  <c r="M30" i="11"/>
  <c r="L30" i="11"/>
  <c r="K30" i="11"/>
  <c r="J30" i="11"/>
  <c r="I30" i="11"/>
  <c r="H30" i="11"/>
  <c r="G30" i="11"/>
  <c r="F30" i="11"/>
  <c r="E30" i="11"/>
  <c r="D30" i="11"/>
  <c r="C30" i="11"/>
  <c r="Y29" i="11"/>
  <c r="X29" i="11"/>
  <c r="W29" i="11"/>
  <c r="V29" i="11"/>
  <c r="U29" i="11"/>
  <c r="T29" i="11"/>
  <c r="S29" i="11"/>
  <c r="R29" i="11"/>
  <c r="Q29" i="11"/>
  <c r="P29" i="11"/>
  <c r="O29" i="11"/>
  <c r="N29" i="11"/>
  <c r="M29" i="11"/>
  <c r="L29" i="11"/>
  <c r="K29" i="11"/>
  <c r="J29" i="11"/>
  <c r="I29" i="11"/>
  <c r="H29" i="11"/>
  <c r="G29" i="11"/>
  <c r="F29" i="11"/>
  <c r="E29" i="11"/>
  <c r="D29" i="11"/>
  <c r="C29" i="11"/>
  <c r="AF16" i="11"/>
  <c r="AE16" i="11"/>
  <c r="AD16" i="11"/>
  <c r="AC16" i="11"/>
  <c r="AB16" i="11"/>
  <c r="AA16" i="11"/>
  <c r="Z16" i="11"/>
  <c r="Y16" i="11"/>
  <c r="X16" i="11"/>
  <c r="W16" i="11"/>
  <c r="V16" i="11"/>
  <c r="U16" i="11"/>
  <c r="T16" i="11"/>
  <c r="S16" i="11"/>
  <c r="R16" i="11"/>
  <c r="Q16" i="11"/>
  <c r="P16" i="11"/>
  <c r="O16" i="11"/>
  <c r="N16" i="11"/>
  <c r="M16" i="11"/>
  <c r="L16" i="11"/>
  <c r="K16" i="11"/>
  <c r="J16" i="11"/>
  <c r="I16" i="11"/>
  <c r="H16" i="11"/>
  <c r="G16" i="11"/>
  <c r="F16" i="11"/>
  <c r="E16" i="11"/>
  <c r="D16" i="11"/>
  <c r="C16" i="11"/>
  <c r="B16" i="11"/>
  <c r="B30" i="11" s="1"/>
  <c r="AF15" i="11"/>
  <c r="AE15" i="11"/>
  <c r="AD15" i="11"/>
  <c r="AC15" i="11"/>
  <c r="AB15" i="11"/>
  <c r="AA15" i="11"/>
  <c r="Z15" i="11"/>
  <c r="Y15" i="11"/>
  <c r="X15" i="11"/>
  <c r="W15" i="11"/>
  <c r="V15" i="11"/>
  <c r="U15" i="11"/>
  <c r="T15" i="11"/>
  <c r="S15" i="11"/>
  <c r="R15" i="11"/>
  <c r="Q15" i="11"/>
  <c r="P15" i="11"/>
  <c r="O15" i="11"/>
  <c r="N15" i="11"/>
  <c r="M15" i="11"/>
  <c r="L15" i="11"/>
  <c r="K15" i="11"/>
  <c r="J15" i="11"/>
  <c r="I15" i="11"/>
  <c r="H15" i="11"/>
  <c r="G15" i="11"/>
  <c r="F15" i="11"/>
  <c r="E15" i="11"/>
  <c r="D15" i="11"/>
  <c r="C15" i="11"/>
  <c r="B15" i="11"/>
  <c r="B29" i="11" s="1"/>
  <c r="AE13" i="11"/>
  <c r="AC13" i="11"/>
  <c r="T13" i="11"/>
  <c r="X12" i="11"/>
  <c r="I12" i="11"/>
  <c r="AE11" i="11"/>
  <c r="M11" i="11"/>
  <c r="O11" i="11"/>
  <c r="X10" i="11"/>
  <c r="AE10" i="11"/>
  <c r="AE9" i="11"/>
  <c r="I9" i="11"/>
  <c r="T9" i="11"/>
  <c r="S8" i="11"/>
  <c r="U8" i="11"/>
  <c r="AF7" i="11"/>
  <c r="D7" i="11"/>
  <c r="L7" i="11"/>
  <c r="H7" i="11"/>
  <c r="Z7" i="11"/>
  <c r="V13" i="11"/>
  <c r="K11" i="11"/>
  <c r="F9" i="11"/>
  <c r="AD8" i="11"/>
  <c r="N8" i="11"/>
  <c r="S13" i="11"/>
  <c r="Q13" i="11"/>
  <c r="M13" i="11"/>
  <c r="T12" i="11"/>
  <c r="AF12" i="11"/>
  <c r="S11" i="11"/>
  <c r="L11" i="11"/>
  <c r="N11" i="11"/>
  <c r="W10" i="11"/>
  <c r="R10" i="11"/>
  <c r="S9" i="11"/>
  <c r="AC9" i="11"/>
  <c r="Z9" i="11"/>
  <c r="F8" i="11"/>
  <c r="G8" i="11"/>
  <c r="T7" i="11"/>
  <c r="B7" i="11"/>
  <c r="K7" i="11"/>
  <c r="Q8" i="11"/>
  <c r="AC7" i="11"/>
  <c r="E13" i="11"/>
  <c r="F11" i="11"/>
  <c r="I10" i="11"/>
  <c r="W8" i="11"/>
  <c r="R7" i="11"/>
  <c r="G13" i="11"/>
  <c r="AB13" i="11"/>
  <c r="AF13" i="11"/>
  <c r="R12" i="11"/>
  <c r="Q12" i="11"/>
  <c r="G11" i="11"/>
  <c r="AC11" i="11"/>
  <c r="X11" i="11"/>
  <c r="V10" i="11"/>
  <c r="S10" i="11"/>
  <c r="G9" i="11"/>
  <c r="Q9" i="11"/>
  <c r="H9" i="11"/>
  <c r="AC8" i="11"/>
  <c r="Y7" i="11"/>
  <c r="U12" i="11"/>
  <c r="O10" i="11"/>
  <c r="AE7" i="11"/>
  <c r="F13" i="11"/>
  <c r="O13" i="11"/>
  <c r="X13" i="11"/>
  <c r="AC12" i="11"/>
  <c r="AB12" i="11"/>
  <c r="R11" i="11"/>
  <c r="B11" i="11"/>
  <c r="T11" i="11"/>
  <c r="E10" i="11"/>
  <c r="AD10" i="11"/>
  <c r="R9" i="11"/>
  <c r="E9" i="11"/>
  <c r="L9" i="11"/>
  <c r="AB8" i="11"/>
  <c r="T8" i="11"/>
  <c r="J7" i="11"/>
  <c r="M7" i="11"/>
  <c r="P12" i="11"/>
  <c r="W11" i="11"/>
  <c r="J9" i="11"/>
  <c r="Q7" i="11"/>
  <c r="D13" i="11"/>
  <c r="Y13" i="11"/>
  <c r="I13" i="11"/>
  <c r="C12" i="11"/>
  <c r="G12" i="11"/>
  <c r="Q11" i="11"/>
  <c r="J11" i="11"/>
  <c r="V11" i="11"/>
  <c r="AF10" i="11"/>
  <c r="AB10" i="11"/>
  <c r="P9" i="11"/>
  <c r="C9" i="11"/>
  <c r="U9" i="11"/>
  <c r="K8" i="11"/>
  <c r="AE8" i="11"/>
  <c r="S7" i="11"/>
  <c r="E7" i="11"/>
  <c r="I7" i="11"/>
  <c r="Z12" i="11"/>
  <c r="N10" i="11"/>
  <c r="O7" i="11"/>
  <c r="N13" i="11"/>
  <c r="C13" i="11"/>
  <c r="Y12" i="11"/>
  <c r="N12" i="11"/>
  <c r="B12" i="11"/>
  <c r="D11" i="11"/>
  <c r="U11" i="11"/>
  <c r="Y10" i="11"/>
  <c r="Q10" i="11"/>
  <c r="AC10" i="11"/>
  <c r="N9" i="11"/>
  <c r="M9" i="11"/>
  <c r="Y8" i="11"/>
  <c r="I8" i="11"/>
  <c r="D8" i="11"/>
  <c r="G7" i="11"/>
  <c r="P7" i="11"/>
  <c r="K13" i="11"/>
  <c r="J10" i="11"/>
  <c r="X8" i="11"/>
  <c r="AD13" i="11"/>
  <c r="U13" i="11"/>
  <c r="M12" i="11"/>
  <c r="K12" i="11"/>
  <c r="S12" i="11"/>
  <c r="Z11" i="11"/>
  <c r="H11" i="11"/>
  <c r="M10" i="11"/>
  <c r="P10" i="11"/>
  <c r="D10" i="11"/>
  <c r="AD9" i="11"/>
  <c r="W9" i="11"/>
  <c r="M8" i="11"/>
  <c r="AF8" i="11"/>
  <c r="O8" i="11"/>
  <c r="X7" i="11"/>
  <c r="C7" i="11"/>
  <c r="V12" i="11"/>
  <c r="F10" i="11"/>
  <c r="H8" i="11"/>
  <c r="R13" i="11"/>
  <c r="H13" i="11"/>
  <c r="L12" i="11"/>
  <c r="H12" i="11"/>
  <c r="AD12" i="11"/>
  <c r="AD11" i="11"/>
  <c r="P11" i="11"/>
  <c r="L10" i="11"/>
  <c r="U10" i="11"/>
  <c r="C10" i="11"/>
  <c r="AB9" i="11"/>
  <c r="AF9" i="11"/>
  <c r="P8" i="11"/>
  <c r="V8" i="11"/>
  <c r="E8" i="11"/>
  <c r="W7" i="11"/>
  <c r="V7" i="11"/>
  <c r="L13" i="11"/>
  <c r="AB11" i="11"/>
  <c r="K9" i="11"/>
  <c r="P13" i="11"/>
  <c r="Z13" i="11"/>
  <c r="W12" i="11"/>
  <c r="D12" i="11"/>
  <c r="F12" i="11"/>
  <c r="E11" i="11"/>
  <c r="Y11" i="11"/>
  <c r="K10" i="11"/>
  <c r="T10" i="11"/>
  <c r="Z10" i="11"/>
  <c r="B9" i="11"/>
  <c r="Y9" i="11"/>
  <c r="C8" i="11"/>
  <c r="J8" i="11"/>
  <c r="Z8" i="11"/>
  <c r="AD7" i="11"/>
  <c r="AB7" i="11"/>
  <c r="AE12" i="11"/>
  <c r="I11" i="11"/>
  <c r="O9" i="11"/>
  <c r="J13" i="11"/>
  <c r="W13" i="11"/>
  <c r="E12" i="11"/>
  <c r="J12" i="11"/>
  <c r="O12" i="11"/>
  <c r="C11" i="11"/>
  <c r="AF11" i="11"/>
  <c r="G10" i="11"/>
  <c r="H10" i="11"/>
  <c r="B10" i="11"/>
  <c r="V9" i="11"/>
  <c r="X9" i="11"/>
  <c r="L8" i="11"/>
  <c r="R8" i="11"/>
  <c r="B8" i="11"/>
  <c r="F7" i="11"/>
  <c r="N7" i="11"/>
  <c r="B13" i="11"/>
  <c r="D9" i="11"/>
  <c r="U7" i="11"/>
  <c r="B27" i="11" l="1"/>
  <c r="B26" i="11"/>
  <c r="B25" i="11"/>
  <c r="B24" i="11"/>
  <c r="B23" i="11"/>
  <c r="B22" i="11"/>
  <c r="AA7" i="11"/>
  <c r="H3" i="11"/>
  <c r="H27" i="11" s="1"/>
  <c r="P3" i="11"/>
  <c r="P27" i="11" s="1"/>
  <c r="H4" i="11"/>
  <c r="X4" i="11"/>
  <c r="AF4" i="11"/>
  <c r="I4" i="11"/>
  <c r="Q4" i="11"/>
  <c r="P4" i="11"/>
  <c r="J3" i="11"/>
  <c r="J27" i="11" s="1"/>
  <c r="R3" i="11"/>
  <c r="R27" i="11" s="1"/>
  <c r="Z4" i="11"/>
  <c r="G3" i="11"/>
  <c r="G27" i="11" s="1"/>
  <c r="O4" i="11"/>
  <c r="W3" i="11"/>
  <c r="W27" i="11" s="1"/>
  <c r="AE4" i="11"/>
  <c r="Y4" i="11"/>
  <c r="AD4" i="11"/>
  <c r="I3" i="11"/>
  <c r="I27" i="11" s="1"/>
  <c r="Q3" i="11"/>
  <c r="Q27" i="11" s="1"/>
  <c r="X3" i="11"/>
  <c r="X27" i="11" s="1"/>
  <c r="Y3" i="11"/>
  <c r="Y27" i="11" s="1"/>
  <c r="AF3" i="11"/>
  <c r="AF5" i="11" s="1"/>
  <c r="W4" i="11"/>
  <c r="AE3" i="11"/>
  <c r="AE5" i="11" s="1"/>
  <c r="C4" i="11"/>
  <c r="K4" i="11"/>
  <c r="S4" i="11"/>
  <c r="D4" i="11"/>
  <c r="L4" i="11"/>
  <c r="T4" i="11"/>
  <c r="AB4" i="11"/>
  <c r="E3" i="11"/>
  <c r="E27" i="11" s="1"/>
  <c r="M3" i="11"/>
  <c r="M27" i="11" s="1"/>
  <c r="U3" i="11"/>
  <c r="U27" i="11" s="1"/>
  <c r="AC4" i="11"/>
  <c r="F3" i="11"/>
  <c r="F27" i="11" s="1"/>
  <c r="N3" i="11"/>
  <c r="N27" i="11" s="1"/>
  <c r="V3" i="11"/>
  <c r="V27" i="11" s="1"/>
  <c r="AD3" i="11"/>
  <c r="AD5" i="11" s="1"/>
  <c r="O3" i="11"/>
  <c r="O27" i="11" s="1"/>
  <c r="G4" i="11"/>
  <c r="K3" i="11"/>
  <c r="K27" i="11" s="1"/>
  <c r="AB3" i="11"/>
  <c r="AB5" i="11" s="1"/>
  <c r="M4" i="11"/>
  <c r="C3" i="11"/>
  <c r="C27" i="11" s="1"/>
  <c r="S3" i="11"/>
  <c r="S27" i="11" s="1"/>
  <c r="E4" i="11"/>
  <c r="U4" i="11"/>
  <c r="D3" i="11"/>
  <c r="D27" i="11" s="1"/>
  <c r="L3" i="11"/>
  <c r="L27" i="11" s="1"/>
  <c r="T3" i="11"/>
  <c r="T27" i="11" s="1"/>
  <c r="AC3" i="11"/>
  <c r="AC5" i="11" s="1"/>
  <c r="F4" i="11"/>
  <c r="N4" i="11"/>
  <c r="V4" i="11"/>
  <c r="J4" i="11"/>
  <c r="R4" i="11"/>
  <c r="AA13" i="11" l="1"/>
  <c r="I25" i="11"/>
  <c r="I26" i="11"/>
  <c r="P25" i="11"/>
  <c r="P26" i="11"/>
  <c r="K25" i="11"/>
  <c r="K26" i="11"/>
  <c r="H25" i="11"/>
  <c r="H26" i="11"/>
  <c r="O25" i="11"/>
  <c r="O26" i="11"/>
  <c r="G25" i="11"/>
  <c r="G26" i="11"/>
  <c r="D25" i="11"/>
  <c r="D26" i="11"/>
  <c r="T25" i="11"/>
  <c r="T26" i="11"/>
  <c r="W25" i="11"/>
  <c r="W26" i="11"/>
  <c r="S25" i="11"/>
  <c r="S26" i="11"/>
  <c r="R25" i="11"/>
  <c r="R26" i="11"/>
  <c r="V25" i="11"/>
  <c r="V26" i="11"/>
  <c r="M25" i="11"/>
  <c r="M26" i="11"/>
  <c r="Y25" i="11"/>
  <c r="Y26" i="11"/>
  <c r="J25" i="11"/>
  <c r="J26" i="11"/>
  <c r="U25" i="11"/>
  <c r="U26" i="11"/>
  <c r="E25" i="11"/>
  <c r="E26" i="11"/>
  <c r="X25" i="11"/>
  <c r="X26" i="11"/>
  <c r="L25" i="11"/>
  <c r="L26" i="11"/>
  <c r="N25" i="11"/>
  <c r="N26" i="11"/>
  <c r="F25" i="11"/>
  <c r="F26" i="11"/>
  <c r="C25" i="11"/>
  <c r="AA11" i="11" s="1"/>
  <c r="C26" i="11"/>
  <c r="Q25" i="11"/>
  <c r="Q26" i="11"/>
  <c r="I23" i="11"/>
  <c r="I24" i="11"/>
  <c r="E23" i="11"/>
  <c r="E24" i="11"/>
  <c r="K23" i="11"/>
  <c r="K24" i="11"/>
  <c r="T23" i="11"/>
  <c r="T24" i="11"/>
  <c r="P23" i="11"/>
  <c r="P24" i="11"/>
  <c r="O23" i="11"/>
  <c r="O24" i="11"/>
  <c r="N23" i="11"/>
  <c r="N24" i="11"/>
  <c r="H23" i="11"/>
  <c r="H24" i="11"/>
  <c r="G23" i="11"/>
  <c r="G24" i="11"/>
  <c r="X23" i="11"/>
  <c r="X24" i="11"/>
  <c r="W23" i="11"/>
  <c r="W24" i="11"/>
  <c r="L23" i="11"/>
  <c r="L24" i="11"/>
  <c r="S23" i="11"/>
  <c r="S24" i="11"/>
  <c r="U23" i="11"/>
  <c r="U24" i="11"/>
  <c r="R23" i="11"/>
  <c r="R24" i="11"/>
  <c r="Q23" i="11"/>
  <c r="Q24" i="11"/>
  <c r="V23" i="11"/>
  <c r="V24" i="11"/>
  <c r="D23" i="11"/>
  <c r="D24" i="11"/>
  <c r="F23" i="11"/>
  <c r="F24" i="11"/>
  <c r="C23" i="11"/>
  <c r="C24" i="11"/>
  <c r="M23" i="11"/>
  <c r="M24" i="11"/>
  <c r="Y23" i="11"/>
  <c r="Y24" i="11"/>
  <c r="J23" i="11"/>
  <c r="J24" i="11"/>
  <c r="Q5" i="11"/>
  <c r="Q22" i="11"/>
  <c r="R5" i="11"/>
  <c r="R22" i="11"/>
  <c r="S5" i="11"/>
  <c r="S22" i="11"/>
  <c r="U5" i="11"/>
  <c r="U22" i="11"/>
  <c r="C5" i="11"/>
  <c r="C22" i="11"/>
  <c r="X5" i="11"/>
  <c r="X22" i="11"/>
  <c r="I5" i="11"/>
  <c r="I22" i="11"/>
  <c r="T5" i="11"/>
  <c r="T22" i="11"/>
  <c r="J5" i="11"/>
  <c r="J22" i="11"/>
  <c r="V5" i="11"/>
  <c r="V22" i="11"/>
  <c r="W5" i="11"/>
  <c r="W22" i="11"/>
  <c r="P5" i="11"/>
  <c r="P22" i="11"/>
  <c r="M5" i="11"/>
  <c r="M22" i="11"/>
  <c r="K5" i="11"/>
  <c r="K22" i="11"/>
  <c r="O5" i="11"/>
  <c r="O22" i="11"/>
  <c r="D5" i="11"/>
  <c r="D22" i="11"/>
  <c r="H5" i="11"/>
  <c r="H22" i="11"/>
  <c r="Y5" i="11"/>
  <c r="Y22" i="11"/>
  <c r="L5" i="11"/>
  <c r="L22" i="11"/>
  <c r="F5" i="11"/>
  <c r="F22" i="11"/>
  <c r="G5" i="11"/>
  <c r="G22" i="11"/>
  <c r="E5" i="11"/>
  <c r="E22" i="11"/>
  <c r="N5" i="11"/>
  <c r="N22" i="11"/>
  <c r="Z3" i="11"/>
  <c r="Z5" i="11" s="1"/>
  <c r="B1" i="11"/>
  <c r="AA12" i="11" l="1"/>
  <c r="AA9" i="11"/>
  <c r="AA10" i="11"/>
  <c r="AA8" i="11"/>
  <c r="A30" i="11"/>
  <c r="A29" i="11"/>
  <c r="A27" i="11"/>
  <c r="A26" i="11"/>
  <c r="A25" i="11"/>
  <c r="A24" i="11"/>
  <c r="A23" i="11"/>
  <c r="A22" i="11"/>
</calcChain>
</file>

<file path=xl/sharedStrings.xml><?xml version="1.0" encoding="utf-8"?>
<sst xmlns="http://schemas.openxmlformats.org/spreadsheetml/2006/main" count="857" uniqueCount="85">
  <si>
    <t>Vorname</t>
  </si>
  <si>
    <t>Verein</t>
  </si>
  <si>
    <t>Land</t>
  </si>
  <si>
    <t>Technik vergessen</t>
  </si>
  <si>
    <t>Technik</t>
  </si>
  <si>
    <t>Angrüßen</t>
  </si>
  <si>
    <t>Abgrüßen</t>
  </si>
  <si>
    <t>Tori</t>
  </si>
  <si>
    <t>Uke</t>
  </si>
  <si>
    <t>Gesamt</t>
  </si>
  <si>
    <t>Name</t>
  </si>
  <si>
    <t>Großer Fehler</t>
  </si>
  <si>
    <t>Mittlerer Fehler</t>
  </si>
  <si>
    <t>Kleiner Fehler</t>
  </si>
  <si>
    <t>Naname uchi</t>
  </si>
  <si>
    <t>Ryote dori</t>
  </si>
  <si>
    <t>Tsukkake</t>
  </si>
  <si>
    <t>Messer</t>
  </si>
  <si>
    <t>Kodokan goshin jutsu</t>
  </si>
  <si>
    <t>Halten und Würgen</t>
  </si>
  <si>
    <t>Hidari eri dori</t>
  </si>
  <si>
    <t>Migi eri dori</t>
  </si>
  <si>
    <t>Kata ude dori</t>
  </si>
  <si>
    <t>Ushiro eri dori</t>
  </si>
  <si>
    <t>Ushiro jime</t>
  </si>
  <si>
    <t>Kakae dori</t>
  </si>
  <si>
    <t>Schlagen und treten</t>
  </si>
  <si>
    <t>Ago tsuki</t>
  </si>
  <si>
    <t>Ganmen tsuki</t>
  </si>
  <si>
    <t>Mae geri</t>
  </si>
  <si>
    <t>Yoko geri</t>
  </si>
  <si>
    <t>Choku tsuki</t>
  </si>
  <si>
    <t>Naname tsuki</t>
  </si>
  <si>
    <t>Stock</t>
  </si>
  <si>
    <t>Furi age</t>
  </si>
  <si>
    <t>Furi oroshi</t>
  </si>
  <si>
    <t>Morote tsuki</t>
  </si>
  <si>
    <t>Pistole</t>
  </si>
  <si>
    <t>Shomen zuke</t>
  </si>
  <si>
    <t>Koshi gamae</t>
  </si>
  <si>
    <t>Haimen zuke</t>
  </si>
  <si>
    <t>Summe Fehler und Punkte</t>
  </si>
  <si>
    <t>Übertrag ok?</t>
  </si>
  <si>
    <t>Abweichungstabelle</t>
  </si>
  <si>
    <t>Meisterschaftsname</t>
  </si>
  <si>
    <t>Korrektur</t>
  </si>
  <si>
    <t>x</t>
  </si>
  <si>
    <t>+</t>
  </si>
  <si>
    <t>-</t>
  </si>
  <si>
    <t>Korrektur +0,5</t>
  </si>
  <si>
    <t>Korrektur -0,5</t>
  </si>
  <si>
    <t>Fehler/vergessene Technik:</t>
  </si>
  <si>
    <t>Gesamt:</t>
  </si>
  <si>
    <t>test</t>
  </si>
  <si>
    <t>Bewerter:</t>
  </si>
  <si>
    <t>Datum:</t>
  </si>
  <si>
    <t>Start Nr:</t>
  </si>
  <si>
    <t>Position:</t>
  </si>
  <si>
    <t>Paarung:</t>
  </si>
  <si>
    <t>Übereinstimmung [%]</t>
  </si>
  <si>
    <t>Spannweite:</t>
  </si>
  <si>
    <t>Mittelwert:</t>
  </si>
  <si>
    <t>Standardabweichung:</t>
  </si>
  <si>
    <t>Vorrunde</t>
  </si>
  <si>
    <t>xx.yy.zzzz</t>
  </si>
  <si>
    <t>01</t>
  </si>
  <si>
    <t>tori</t>
  </si>
  <si>
    <t>kodokan</t>
  </si>
  <si>
    <t>club</t>
  </si>
  <si>
    <t>uke</t>
  </si>
  <si>
    <t>C1</t>
  </si>
  <si>
    <t>one(CA)</t>
  </si>
  <si>
    <t>Wertung 1</t>
  </si>
  <si>
    <t>two(CB)</t>
  </si>
  <si>
    <t>Wertung 2</t>
  </si>
  <si>
    <t>head(CC)</t>
  </si>
  <si>
    <t>Wertung 3 (H)</t>
  </si>
  <si>
    <t>four-out(C3)</t>
  </si>
  <si>
    <t>Wertung 4</t>
  </si>
  <si>
    <t>five(CE)</t>
  </si>
  <si>
    <t>Wertung 5</t>
  </si>
  <si>
    <t>springer(CF)</t>
  </si>
  <si>
    <t>Springer</t>
  </si>
  <si>
    <t>super(CG)</t>
  </si>
  <si>
    <t>Beobachter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</si>
</sst>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35" x14ac:knownFonts="1">
    <font>
      <sz val="11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name val="Calibri"/>
      <family val="2"/>
      <scheme val="minor"/>
    </font>
    <font>
      <b/>
      <sz val="20"/>
      <name val="Calibri"/>
      <family val="2"/>
      <scheme val="minor"/>
    </font>
    <font>
      <i/>
      <sz val="18"/>
      <name val="Calibri"/>
      <family val="2"/>
      <scheme val="minor"/>
    </font>
    <font>
      <i/>
      <sz val="15"/>
      <name val="Calibri"/>
      <family val="2"/>
      <scheme val="minor"/>
    </font>
    <font>
      <b/>
      <sz val="11"/>
      <name val="Calibri"/>
      <family val="2"/>
      <scheme val="minor"/>
    </font>
    <font>
      <sz val="14"/>
      <name val="Calibri"/>
      <family val="2"/>
      <scheme val="minor"/>
    </font>
    <font>
      <b/>
      <sz val="14"/>
      <name val="Calibri"/>
      <family val="2"/>
      <scheme val="minor"/>
    </font>
    <font>
      <b/>
      <sz val="16"/>
      <name val="Calibri"/>
      <family val="2"/>
      <scheme val="minor"/>
    </font>
    <font>
      <sz val="16"/>
      <name val="Calibri"/>
      <family val="2"/>
      <scheme val="minor"/>
    </font>
    <font>
      <sz val="16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sz val="24"/>
      <name val="Calibri"/>
      <family val="2"/>
      <scheme val="minor"/>
    </font>
    <font>
      <b/>
      <sz val="10"/>
      <name val="Calibri"/>
      <family val="2"/>
      <scheme val="minor"/>
    </font>
    <font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Arial"/>
      <family val="2"/>
    </font>
    <font>
      <b/>
      <i/>
      <sz val="24"/>
      <name val="Calibri"/>
      <family val="2"/>
      <scheme val="minor"/>
    </font>
    <font>
      <sz val="14"/>
      <color theme="1"/>
      <name val="Calibri"/>
      <family val="2"/>
      <scheme val="minor"/>
    </font>
    <font>
      <sz val="1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theme="1"/>
      <name val="Lucida Console"/>
      <family val="3"/>
    </font>
    <font>
      <sz val="10"/>
      <color theme="1"/>
      <name val="Lucida Console"/>
      <family val="3"/>
    </font>
    <font>
      <sz val="10"/>
      <color theme="1"/>
      <name val="Calibri"/>
      <family val="2"/>
    </font>
    <font>
      <b/>
      <sz val="10"/>
      <color rgb="FF3366FF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sz val="9"/>
      <color theme="1"/>
      <name val="Lucida Console"/>
      <family val="3"/>
    </font>
    <font>
      <b/>
      <sz val="9"/>
      <color theme="1"/>
      <name val="Lucida Console"/>
      <family val="3"/>
    </font>
    <font>
      <b/>
      <sz val="9"/>
      <color rgb="FF3366FF"/>
      <name val="Lucida Console"/>
      <family val="3"/>
    </font>
    <font>
      <sz val="9"/>
      <color theme="1" tint="0.499984740745262"/>
      <name val="Lucida Console"/>
      <family val="3"/>
    </font>
    <font>
      <sz val="9"/>
      <color theme="1"/>
      <name val="Calibri"/>
      <family val="2"/>
      <scheme val="minor"/>
    </font>
    <font>
      <b/>
      <sz val="18"/>
      <color theme="0" tint="-0.249977111117893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9"/>
        <bgColor indexed="64"/>
      </patternFill>
    </fill>
  </fills>
  <borders count="7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/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medium">
        <color indexed="64"/>
      </top>
      <bottom style="medium">
        <color indexed="64"/>
      </bottom>
      <diagonal/>
    </border>
    <border>
      <left/>
      <right style="thick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 style="medium">
        <color indexed="64"/>
      </top>
      <bottom/>
      <diagonal/>
    </border>
    <border>
      <left style="thick">
        <color indexed="64"/>
      </left>
      <right style="thick">
        <color indexed="64"/>
      </right>
      <top style="medium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ck">
        <color indexed="64"/>
      </right>
      <top style="medium">
        <color indexed="64"/>
      </top>
      <bottom/>
      <diagonal/>
    </border>
    <border>
      <left style="thick">
        <color indexed="64"/>
      </left>
      <right/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medium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ck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ck">
        <color indexed="64"/>
      </right>
      <top/>
      <bottom style="medium">
        <color indexed="64"/>
      </bottom>
      <diagonal/>
    </border>
    <border>
      <left style="thick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 style="hair">
        <color indexed="64"/>
      </top>
      <bottom style="hair">
        <color indexed="64"/>
      </bottom>
      <diagonal/>
    </border>
    <border>
      <left style="thick">
        <color indexed="64"/>
      </left>
      <right/>
      <top/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/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ck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17" fillId="0" borderId="0"/>
    <xf numFmtId="9" fontId="21" fillId="0" borderId="0" applyFont="0" applyFill="0" applyBorder="0" applyAlignment="0" applyProtection="0"/>
  </cellStyleXfs>
  <cellXfs count="183">
    <xf numFmtId="0" fontId="0" fillId="0" borderId="0" xfId="0"/>
    <xf numFmtId="0" fontId="1" fillId="0" borderId="0" xfId="0" applyFont="1" applyAlignment="1" applyProtection="1">
      <alignment vertical="center"/>
      <protection hidden="1"/>
    </xf>
    <xf numFmtId="0" fontId="2" fillId="0" borderId="0" xfId="0" applyFont="1" applyAlignment="1" applyProtection="1">
      <alignment vertical="center"/>
      <protection hidden="1"/>
    </xf>
    <xf numFmtId="0" fontId="2" fillId="0" borderId="0" xfId="0" applyFont="1" applyAlignment="1" applyProtection="1">
      <alignment horizontal="left" vertical="center"/>
      <protection hidden="1"/>
    </xf>
    <xf numFmtId="0" fontId="6" fillId="0" borderId="0" xfId="0" applyFont="1" applyAlignment="1" applyProtection="1">
      <alignment vertical="center"/>
      <protection hidden="1"/>
    </xf>
    <xf numFmtId="0" fontId="7" fillId="2" borderId="23" xfId="0" applyFont="1" applyFill="1" applyBorder="1" applyAlignment="1" applyProtection="1">
      <alignment horizontal="center" vertical="center"/>
      <protection hidden="1"/>
    </xf>
    <xf numFmtId="0" fontId="7" fillId="2" borderId="27" xfId="0" applyFont="1" applyFill="1" applyBorder="1" applyAlignment="1" applyProtection="1">
      <alignment horizontal="center" vertical="center"/>
      <protection hidden="1"/>
    </xf>
    <xf numFmtId="0" fontId="7" fillId="2" borderId="30" xfId="0" applyFont="1" applyFill="1" applyBorder="1" applyAlignment="1" applyProtection="1">
      <alignment horizontal="center" vertical="center"/>
      <protection hidden="1"/>
    </xf>
    <xf numFmtId="0" fontId="7" fillId="2" borderId="32" xfId="0" applyFont="1" applyFill="1" applyBorder="1" applyAlignment="1" applyProtection="1">
      <alignment horizontal="center" vertical="center"/>
      <protection hidden="1"/>
    </xf>
    <xf numFmtId="0" fontId="10" fillId="0" borderId="0" xfId="0" applyFont="1" applyAlignment="1" applyProtection="1">
      <alignment vertical="center"/>
      <protection hidden="1"/>
    </xf>
    <xf numFmtId="0" fontId="9" fillId="2" borderId="5" xfId="0" applyFont="1" applyFill="1" applyBorder="1" applyAlignment="1" applyProtection="1">
      <alignment horizontal="center" vertical="center" wrapText="1"/>
      <protection hidden="1"/>
    </xf>
    <xf numFmtId="0" fontId="13" fillId="0" borderId="0" xfId="0" applyFont="1" applyAlignment="1" applyProtection="1">
      <alignment vertical="center"/>
      <protection hidden="1"/>
    </xf>
    <xf numFmtId="0" fontId="13" fillId="0" borderId="0" xfId="0" applyFont="1" applyAlignment="1" applyProtection="1">
      <alignment horizontal="center" vertical="center"/>
      <protection hidden="1"/>
    </xf>
    <xf numFmtId="0" fontId="9" fillId="0" borderId="0" xfId="0" applyFont="1" applyAlignment="1" applyProtection="1">
      <alignment vertical="center"/>
      <protection hidden="1"/>
    </xf>
    <xf numFmtId="0" fontId="9" fillId="0" borderId="0" xfId="0" applyFont="1" applyAlignment="1" applyProtection="1">
      <alignment horizontal="right" vertical="center"/>
      <protection hidden="1"/>
    </xf>
    <xf numFmtId="0" fontId="12" fillId="0" borderId="0" xfId="0" applyFont="1"/>
    <xf numFmtId="0" fontId="11" fillId="0" borderId="0" xfId="0" applyFont="1"/>
    <xf numFmtId="0" fontId="16" fillId="0" borderId="0" xfId="0" applyFont="1"/>
    <xf numFmtId="0" fontId="7" fillId="2" borderId="50" xfId="0" applyFont="1" applyFill="1" applyBorder="1" applyAlignment="1" applyProtection="1">
      <alignment horizontal="center" vertical="center"/>
      <protection hidden="1"/>
    </xf>
    <xf numFmtId="0" fontId="7" fillId="2" borderId="51" xfId="0" applyFont="1" applyFill="1" applyBorder="1" applyAlignment="1" applyProtection="1">
      <alignment horizontal="center" vertical="center"/>
      <protection hidden="1"/>
    </xf>
    <xf numFmtId="0" fontId="2" fillId="0" borderId="0" xfId="0" applyFont="1" applyAlignment="1" applyProtection="1">
      <alignment horizontal="center" vertical="center"/>
      <protection hidden="1"/>
    </xf>
    <xf numFmtId="0" fontId="7" fillId="2" borderId="54" xfId="0" applyFont="1" applyFill="1" applyBorder="1" applyAlignment="1" applyProtection="1">
      <alignment horizontal="center" vertical="center"/>
      <protection hidden="1"/>
    </xf>
    <xf numFmtId="0" fontId="2" fillId="5" borderId="0" xfId="0" applyFont="1" applyFill="1" applyAlignment="1" applyProtection="1">
      <alignment horizontal="center" vertical="center"/>
      <protection hidden="1"/>
    </xf>
    <xf numFmtId="0" fontId="7" fillId="4" borderId="23" xfId="0" applyFont="1" applyFill="1" applyBorder="1" applyAlignment="1" applyProtection="1">
      <alignment horizontal="center" vertical="center"/>
      <protection hidden="1"/>
    </xf>
    <xf numFmtId="0" fontId="7" fillId="2" borderId="58" xfId="0" applyFont="1" applyFill="1" applyBorder="1" applyAlignment="1" applyProtection="1">
      <alignment horizontal="center" vertical="center"/>
      <protection hidden="1"/>
    </xf>
    <xf numFmtId="0" fontId="7" fillId="4" borderId="33" xfId="0" applyFont="1" applyFill="1" applyBorder="1" applyAlignment="1" applyProtection="1">
      <alignment horizontal="center" vertical="center"/>
      <protection hidden="1"/>
    </xf>
    <xf numFmtId="0" fontId="7" fillId="4" borderId="35" xfId="0" applyFont="1" applyFill="1" applyBorder="1" applyAlignment="1" applyProtection="1">
      <alignment vertical="center"/>
      <protection hidden="1"/>
    </xf>
    <xf numFmtId="0" fontId="19" fillId="0" borderId="0" xfId="0" applyFont="1"/>
    <xf numFmtId="0" fontId="7" fillId="2" borderId="22" xfId="0" applyFont="1" applyFill="1" applyBorder="1" applyAlignment="1" applyProtection="1">
      <alignment horizontal="center" vertical="center"/>
      <protection hidden="1"/>
    </xf>
    <xf numFmtId="0" fontId="14" fillId="2" borderId="64" xfId="0" applyFont="1" applyFill="1" applyBorder="1" applyAlignment="1" applyProtection="1">
      <alignment horizontal="center" vertical="center" wrapText="1"/>
      <protection hidden="1"/>
    </xf>
    <xf numFmtId="0" fontId="9" fillId="2" borderId="26" xfId="0" applyFont="1" applyFill="1" applyBorder="1" applyAlignment="1" applyProtection="1">
      <alignment horizontal="center" vertical="center"/>
      <protection hidden="1"/>
    </xf>
    <xf numFmtId="2" fontId="3" fillId="0" borderId="0" xfId="0" applyNumberFormat="1" applyFont="1" applyAlignment="1" applyProtection="1">
      <alignment vertical="center"/>
      <protection hidden="1"/>
    </xf>
    <xf numFmtId="2" fontId="3" fillId="0" borderId="0" xfId="0" applyNumberFormat="1" applyFont="1" applyAlignment="1" applyProtection="1">
      <alignment horizontal="center" vertical="center"/>
      <protection hidden="1"/>
    </xf>
    <xf numFmtId="164" fontId="22" fillId="0" borderId="36" xfId="0" applyNumberFormat="1" applyFont="1" applyBorder="1" applyAlignment="1" applyProtection="1">
      <alignment horizontal="center" vertical="center"/>
      <protection hidden="1"/>
    </xf>
    <xf numFmtId="164" fontId="22" fillId="0" borderId="24" xfId="0" applyNumberFormat="1" applyFont="1" applyBorder="1" applyAlignment="1" applyProtection="1">
      <alignment horizontal="center" vertical="center"/>
      <protection hidden="1"/>
    </xf>
    <xf numFmtId="164" fontId="22" fillId="3" borderId="40" xfId="0" applyNumberFormat="1" applyFont="1" applyFill="1" applyBorder="1" applyAlignment="1" applyProtection="1">
      <alignment horizontal="center" vertical="center"/>
      <protection hidden="1"/>
    </xf>
    <xf numFmtId="164" fontId="22" fillId="0" borderId="42" xfId="0" applyNumberFormat="1" applyFont="1" applyBorder="1" applyAlignment="1" applyProtection="1">
      <alignment horizontal="center" vertical="center"/>
      <protection hidden="1"/>
    </xf>
    <xf numFmtId="164" fontId="22" fillId="3" borderId="42" xfId="0" applyNumberFormat="1" applyFont="1" applyFill="1" applyBorder="1" applyAlignment="1" applyProtection="1">
      <alignment horizontal="center" vertical="center"/>
      <protection hidden="1"/>
    </xf>
    <xf numFmtId="164" fontId="22" fillId="0" borderId="29" xfId="0" applyNumberFormat="1" applyFont="1" applyBorder="1" applyAlignment="1" applyProtection="1">
      <alignment horizontal="center" vertical="center"/>
      <protection hidden="1"/>
    </xf>
    <xf numFmtId="164" fontId="22" fillId="0" borderId="53" xfId="0" applyNumberFormat="1" applyFont="1" applyBorder="1" applyAlignment="1" applyProtection="1">
      <alignment horizontal="center" vertical="center"/>
      <protection hidden="1"/>
    </xf>
    <xf numFmtId="164" fontId="22" fillId="0" borderId="40" xfId="0" applyNumberFormat="1" applyFont="1" applyBorder="1" applyAlignment="1" applyProtection="1">
      <alignment horizontal="center" vertical="center"/>
      <protection hidden="1"/>
    </xf>
    <xf numFmtId="164" fontId="22" fillId="3" borderId="60" xfId="0" applyNumberFormat="1" applyFont="1" applyFill="1" applyBorder="1" applyAlignment="1" applyProtection="1">
      <alignment horizontal="center" vertical="center"/>
      <protection hidden="1"/>
    </xf>
    <xf numFmtId="0" fontId="22" fillId="3" borderId="43" xfId="0" applyFont="1" applyFill="1" applyBorder="1" applyAlignment="1" applyProtection="1">
      <alignment horizontal="center" vertical="center"/>
      <protection locked="0" hidden="1"/>
    </xf>
    <xf numFmtId="0" fontId="22" fillId="3" borderId="41" xfId="0" applyFont="1" applyFill="1" applyBorder="1" applyAlignment="1" applyProtection="1">
      <alignment horizontal="center" vertical="center"/>
      <protection locked="0" hidden="1"/>
    </xf>
    <xf numFmtId="0" fontId="22" fillId="3" borderId="57" xfId="0" applyFont="1" applyFill="1" applyBorder="1" applyAlignment="1" applyProtection="1">
      <alignment horizontal="center" vertical="center"/>
      <protection locked="0" hidden="1"/>
    </xf>
    <xf numFmtId="0" fontId="22" fillId="3" borderId="42" xfId="0" applyFont="1" applyFill="1" applyBorder="1" applyAlignment="1" applyProtection="1">
      <alignment horizontal="center" vertical="center"/>
      <protection locked="0" hidden="1"/>
    </xf>
    <xf numFmtId="0" fontId="34" fillId="0" borderId="37" xfId="0" applyFont="1" applyBorder="1" applyAlignment="1" applyProtection="1">
      <alignment horizontal="center" vertical="center"/>
      <protection hidden="1"/>
    </xf>
    <xf numFmtId="0" fontId="34" fillId="0" borderId="36" xfId="0" applyFont="1" applyBorder="1" applyAlignment="1" applyProtection="1">
      <alignment horizontal="center" vertical="center"/>
      <protection hidden="1"/>
    </xf>
    <xf numFmtId="164" fontId="34" fillId="0" borderId="37" xfId="0" applyNumberFormat="1" applyFont="1" applyBorder="1" applyAlignment="1" applyProtection="1">
      <alignment horizontal="center" vertical="center"/>
      <protection hidden="1"/>
    </xf>
    <xf numFmtId="0" fontId="22" fillId="0" borderId="25" xfId="0" applyFont="1" applyBorder="1" applyAlignment="1" applyProtection="1">
      <alignment horizontal="center" vertical="center"/>
      <protection locked="0" hidden="1"/>
    </xf>
    <xf numFmtId="0" fontId="22" fillId="0" borderId="28" xfId="0" applyFont="1" applyBorder="1" applyAlignment="1" applyProtection="1">
      <alignment horizontal="center" vertical="center"/>
      <protection locked="0" hidden="1"/>
    </xf>
    <xf numFmtId="0" fontId="22" fillId="0" borderId="26" xfId="0" applyFont="1" applyBorder="1" applyAlignment="1" applyProtection="1">
      <alignment horizontal="center" vertical="center"/>
      <protection locked="0" hidden="1"/>
    </xf>
    <xf numFmtId="0" fontId="22" fillId="0" borderId="29" xfId="0" applyFont="1" applyBorder="1" applyAlignment="1" applyProtection="1">
      <alignment horizontal="center" vertical="center"/>
      <protection locked="0" hidden="1"/>
    </xf>
    <xf numFmtId="0" fontId="22" fillId="0" borderId="43" xfId="0" applyFont="1" applyBorder="1" applyAlignment="1" applyProtection="1">
      <alignment horizontal="center" vertical="center"/>
      <protection locked="0" hidden="1"/>
    </xf>
    <xf numFmtId="0" fontId="22" fillId="0" borderId="41" xfId="0" applyFont="1" applyBorder="1" applyAlignment="1" applyProtection="1">
      <alignment horizontal="center" vertical="center"/>
      <protection locked="0" hidden="1"/>
    </xf>
    <xf numFmtId="0" fontId="22" fillId="0" borderId="57" xfId="0" applyFont="1" applyBorder="1" applyAlignment="1" applyProtection="1">
      <alignment horizontal="center" vertical="center"/>
      <protection locked="0" hidden="1"/>
    </xf>
    <xf numFmtId="0" fontId="22" fillId="0" borderId="42" xfId="0" applyFont="1" applyBorder="1" applyAlignment="1" applyProtection="1">
      <alignment horizontal="center" vertical="center"/>
      <protection locked="0" hidden="1"/>
    </xf>
    <xf numFmtId="0" fontId="22" fillId="0" borderId="49" xfId="0" applyFont="1" applyBorder="1" applyAlignment="1" applyProtection="1">
      <alignment horizontal="center" vertical="center"/>
      <protection locked="0" hidden="1"/>
    </xf>
    <xf numFmtId="0" fontId="22" fillId="0" borderId="65" xfId="0" applyFont="1" applyBorder="1" applyAlignment="1" applyProtection="1">
      <alignment horizontal="center" vertical="center"/>
      <protection locked="0" hidden="1"/>
    </xf>
    <xf numFmtId="0" fontId="22" fillId="0" borderId="23" xfId="0" applyFont="1" applyBorder="1" applyAlignment="1" applyProtection="1">
      <alignment horizontal="center" vertical="center"/>
      <protection locked="0" hidden="1"/>
    </xf>
    <xf numFmtId="0" fontId="22" fillId="0" borderId="24" xfId="0" applyFont="1" applyBorder="1" applyAlignment="1" applyProtection="1">
      <alignment horizontal="center" vertical="center"/>
      <protection locked="0" hidden="1"/>
    </xf>
    <xf numFmtId="0" fontId="22" fillId="3" borderId="31" xfId="0" applyFont="1" applyFill="1" applyBorder="1" applyAlignment="1" applyProtection="1">
      <alignment horizontal="center" vertical="center"/>
      <protection locked="0" hidden="1"/>
    </xf>
    <xf numFmtId="0" fontId="22" fillId="3" borderId="39" xfId="0" applyFont="1" applyFill="1" applyBorder="1" applyAlignment="1" applyProtection="1">
      <alignment horizontal="center" vertical="center"/>
      <protection locked="0" hidden="1"/>
    </xf>
    <xf numFmtId="0" fontId="22" fillId="3" borderId="54" xfId="0" applyFont="1" applyFill="1" applyBorder="1" applyAlignment="1" applyProtection="1">
      <alignment horizontal="center" vertical="center"/>
      <protection locked="0" hidden="1"/>
    </xf>
    <xf numFmtId="0" fontId="22" fillId="0" borderId="31" xfId="0" applyFont="1" applyBorder="1" applyAlignment="1" applyProtection="1">
      <alignment horizontal="center" vertical="center"/>
      <protection locked="0" hidden="1"/>
    </xf>
    <xf numFmtId="0" fontId="22" fillId="0" borderId="39" xfId="0" applyFont="1" applyBorder="1" applyAlignment="1" applyProtection="1">
      <alignment horizontal="center" vertical="center"/>
      <protection locked="0" hidden="1"/>
    </xf>
    <xf numFmtId="0" fontId="22" fillId="0" borderId="54" xfId="0" applyFont="1" applyBorder="1" applyAlignment="1" applyProtection="1">
      <alignment horizontal="center" vertical="center"/>
      <protection locked="0" hidden="1"/>
    </xf>
    <xf numFmtId="0" fontId="22" fillId="0" borderId="40" xfId="0" applyFont="1" applyBorder="1" applyAlignment="1" applyProtection="1">
      <alignment horizontal="center" vertical="center"/>
      <protection locked="0" hidden="1"/>
    </xf>
    <xf numFmtId="0" fontId="22" fillId="0" borderId="44" xfId="0" applyFont="1" applyBorder="1" applyAlignment="1" applyProtection="1">
      <alignment horizontal="center" vertical="center"/>
      <protection locked="0" hidden="1"/>
    </xf>
    <xf numFmtId="0" fontId="22" fillId="0" borderId="52" xfId="0" applyFont="1" applyBorder="1" applyAlignment="1" applyProtection="1">
      <alignment horizontal="center" vertical="center"/>
      <protection locked="0" hidden="1"/>
    </xf>
    <xf numFmtId="0" fontId="22" fillId="0" borderId="22" xfId="0" applyFont="1" applyBorder="1" applyAlignment="1" applyProtection="1">
      <alignment horizontal="center" vertical="center"/>
      <protection locked="0" hidden="1"/>
    </xf>
    <xf numFmtId="0" fontId="22" fillId="0" borderId="53" xfId="0" applyFont="1" applyBorder="1" applyAlignment="1" applyProtection="1">
      <alignment horizontal="center" vertical="center"/>
      <protection locked="0" hidden="1"/>
    </xf>
    <xf numFmtId="0" fontId="9" fillId="0" borderId="0" xfId="0" applyFont="1" applyAlignment="1" applyProtection="1">
      <alignment vertical="center" shrinkToFit="1"/>
      <protection hidden="1"/>
    </xf>
    <xf numFmtId="49" fontId="9" fillId="0" borderId="0" xfId="0" applyNumberFormat="1" applyFont="1" applyAlignment="1" applyProtection="1">
      <alignment horizontal="left" vertical="center"/>
      <protection hidden="1"/>
    </xf>
    <xf numFmtId="0" fontId="4" fillId="0" borderId="10" xfId="0" applyFont="1" applyBorder="1" applyAlignment="1" applyProtection="1">
      <alignment horizontal="center" vertical="center"/>
      <protection hidden="1"/>
    </xf>
    <xf numFmtId="0" fontId="4" fillId="0" borderId="15" xfId="0" applyFont="1" applyBorder="1" applyAlignment="1" applyProtection="1">
      <alignment horizontal="center" vertical="center"/>
      <protection hidden="1"/>
    </xf>
    <xf numFmtId="0" fontId="15" fillId="0" borderId="0" xfId="0" applyFont="1"/>
    <xf numFmtId="0" fontId="22" fillId="3" borderId="40" xfId="0" applyFont="1" applyFill="1" applyBorder="1" applyAlignment="1" applyProtection="1">
      <alignment horizontal="center" vertical="center"/>
      <protection locked="0" hidden="1"/>
    </xf>
    <xf numFmtId="0" fontId="22" fillId="3" borderId="61" xfId="0" applyFont="1" applyFill="1" applyBorder="1" applyAlignment="1" applyProtection="1">
      <alignment horizontal="center" vertical="center"/>
      <protection locked="0" hidden="1"/>
    </xf>
    <xf numFmtId="0" fontId="22" fillId="3" borderId="66" xfId="0" applyFont="1" applyFill="1" applyBorder="1" applyAlignment="1" applyProtection="1">
      <alignment horizontal="center" vertical="center"/>
      <protection locked="0" hidden="1"/>
    </xf>
    <xf numFmtId="0" fontId="22" fillId="3" borderId="51" xfId="0" applyFont="1" applyFill="1" applyBorder="1" applyAlignment="1" applyProtection="1">
      <alignment horizontal="center" vertical="center"/>
      <protection locked="0" hidden="1"/>
    </xf>
    <xf numFmtId="0" fontId="22" fillId="3" borderId="60" xfId="0" applyFont="1" applyFill="1" applyBorder="1" applyAlignment="1" applyProtection="1">
      <alignment horizontal="center" vertical="center"/>
      <protection locked="0" hidden="1"/>
    </xf>
    <xf numFmtId="0" fontId="22" fillId="4" borderId="37" xfId="0" applyFont="1" applyFill="1" applyBorder="1" applyAlignment="1" applyProtection="1">
      <alignment horizontal="center" vertical="center"/>
      <protection locked="0" hidden="1"/>
    </xf>
    <xf numFmtId="0" fontId="16" fillId="0" borderId="0" xfId="0" applyFont="1" applyAlignment="1">
      <alignment horizontal="left"/>
    </xf>
    <xf numFmtId="0" fontId="16" fillId="0" borderId="48" xfId="0" applyFont="1" applyBorder="1"/>
    <xf numFmtId="0" fontId="26" fillId="0" borderId="0" xfId="0" applyFont="1"/>
    <xf numFmtId="0" fontId="23" fillId="0" borderId="0" xfId="0" applyFont="1"/>
    <xf numFmtId="0" fontId="23" fillId="0" borderId="0" xfId="0" applyFont="1" applyAlignment="1">
      <alignment textRotation="90"/>
    </xf>
    <xf numFmtId="0" fontId="23" fillId="0" borderId="48" xfId="0" applyFont="1" applyBorder="1" applyAlignment="1">
      <alignment textRotation="90"/>
    </xf>
    <xf numFmtId="164" fontId="30" fillId="0" borderId="0" xfId="0" applyNumberFormat="1" applyFont="1" applyAlignment="1">
      <alignment horizontal="right"/>
    </xf>
    <xf numFmtId="1" fontId="30" fillId="0" borderId="0" xfId="0" applyNumberFormat="1" applyFont="1" applyAlignment="1">
      <alignment horizontal="right"/>
    </xf>
    <xf numFmtId="1" fontId="30" fillId="0" borderId="68" xfId="0" applyNumberFormat="1" applyFont="1" applyBorder="1" applyAlignment="1">
      <alignment horizontal="right"/>
    </xf>
    <xf numFmtId="164" fontId="29" fillId="0" borderId="0" xfId="0" applyNumberFormat="1" applyFont="1" applyAlignment="1">
      <alignment horizontal="right"/>
    </xf>
    <xf numFmtId="1" fontId="29" fillId="0" borderId="0" xfId="0" applyNumberFormat="1" applyFont="1" applyAlignment="1">
      <alignment horizontal="right"/>
    </xf>
    <xf numFmtId="164" fontId="29" fillId="0" borderId="68" xfId="0" applyNumberFormat="1" applyFont="1" applyBorder="1" applyAlignment="1">
      <alignment horizontal="right"/>
    </xf>
    <xf numFmtId="1" fontId="29" fillId="0" borderId="68" xfId="0" applyNumberFormat="1" applyFont="1" applyBorder="1" applyAlignment="1">
      <alignment horizontal="right"/>
    </xf>
    <xf numFmtId="0" fontId="29" fillId="0" borderId="0" xfId="0" applyFont="1" applyAlignment="1">
      <alignment horizontal="right"/>
    </xf>
    <xf numFmtId="0" fontId="29" fillId="0" borderId="68" xfId="0" applyFont="1" applyBorder="1" applyAlignment="1">
      <alignment horizontal="right"/>
    </xf>
    <xf numFmtId="0" fontId="27" fillId="0" borderId="8" xfId="0" applyFont="1" applyBorder="1"/>
    <xf numFmtId="164" fontId="31" fillId="0" borderId="8" xfId="0" applyNumberFormat="1" applyFont="1" applyBorder="1" applyAlignment="1">
      <alignment horizontal="right"/>
    </xf>
    <xf numFmtId="1" fontId="31" fillId="0" borderId="8" xfId="0" applyNumberFormat="1" applyFont="1" applyBorder="1" applyAlignment="1">
      <alignment horizontal="right"/>
    </xf>
    <xf numFmtId="1" fontId="31" fillId="0" borderId="6" xfId="0" applyNumberFormat="1" applyFont="1" applyBorder="1" applyAlignment="1">
      <alignment horizontal="right"/>
    </xf>
    <xf numFmtId="9" fontId="29" fillId="0" borderId="67" xfId="2" applyFont="1" applyBorder="1" applyAlignment="1">
      <alignment horizontal="right"/>
    </xf>
    <xf numFmtId="9" fontId="29" fillId="0" borderId="68" xfId="2" applyFont="1" applyBorder="1" applyAlignment="1">
      <alignment horizontal="right"/>
    </xf>
    <xf numFmtId="0" fontId="16" fillId="0" borderId="62" xfId="0" applyFont="1" applyBorder="1"/>
    <xf numFmtId="164" fontId="29" fillId="0" borderId="62" xfId="0" applyNumberFormat="1" applyFont="1" applyBorder="1" applyAlignment="1">
      <alignment horizontal="right"/>
    </xf>
    <xf numFmtId="1" fontId="29" fillId="0" borderId="62" xfId="0" applyNumberFormat="1" applyFont="1" applyBorder="1" applyAlignment="1">
      <alignment horizontal="right"/>
    </xf>
    <xf numFmtId="0" fontId="28" fillId="0" borderId="38" xfId="0" applyFont="1" applyBorder="1"/>
    <xf numFmtId="164" fontId="32" fillId="0" borderId="38" xfId="0" applyNumberFormat="1" applyFont="1" applyBorder="1" applyAlignment="1">
      <alignment horizontal="right"/>
    </xf>
    <xf numFmtId="1" fontId="32" fillId="0" borderId="38" xfId="0" applyNumberFormat="1" applyFont="1" applyBorder="1" applyAlignment="1">
      <alignment horizontal="right"/>
    </xf>
    <xf numFmtId="9" fontId="32" fillId="0" borderId="69" xfId="2" applyFont="1" applyBorder="1" applyAlignment="1">
      <alignment horizontal="right"/>
    </xf>
    <xf numFmtId="0" fontId="28" fillId="0" borderId="0" xfId="0" applyFont="1"/>
    <xf numFmtId="164" fontId="32" fillId="0" borderId="0" xfId="0" applyNumberFormat="1" applyFont="1" applyAlignment="1">
      <alignment horizontal="right"/>
    </xf>
    <xf numFmtId="0" fontId="33" fillId="0" borderId="0" xfId="0" applyFont="1"/>
    <xf numFmtId="0" fontId="33" fillId="0" borderId="68" xfId="0" applyFont="1" applyBorder="1"/>
    <xf numFmtId="1" fontId="32" fillId="0" borderId="0" xfId="0" applyNumberFormat="1" applyFont="1" applyAlignment="1">
      <alignment horizontal="right"/>
    </xf>
    <xf numFmtId="9" fontId="32" fillId="0" borderId="68" xfId="2" applyFont="1" applyBorder="1" applyAlignment="1">
      <alignment horizontal="right"/>
    </xf>
    <xf numFmtId="0" fontId="25" fillId="0" borderId="0" xfId="0" applyFont="1" applyAlignment="1">
      <alignment horizontal="right"/>
    </xf>
    <xf numFmtId="1" fontId="24" fillId="0" borderId="0" xfId="0" applyNumberFormat="1" applyFont="1" applyAlignment="1">
      <alignment horizontal="right"/>
    </xf>
    <xf numFmtId="0" fontId="34" fillId="0" borderId="34" xfId="0" applyFont="1" applyBorder="1" applyAlignment="1" applyProtection="1">
      <alignment horizontal="center" vertical="center"/>
      <protection hidden="1"/>
    </xf>
    <xf numFmtId="0" fontId="34" fillId="0" borderId="35" xfId="0" applyFont="1" applyBorder="1" applyAlignment="1" applyProtection="1">
      <alignment horizontal="center" vertical="center"/>
      <protection hidden="1"/>
    </xf>
    <xf numFmtId="0" fontId="7" fillId="4" borderId="34" xfId="0" applyFont="1" applyFill="1" applyBorder="1" applyAlignment="1" applyProtection="1">
      <alignment horizontal="center" vertical="center"/>
      <protection hidden="1"/>
    </xf>
    <xf numFmtId="0" fontId="7" fillId="4" borderId="35" xfId="0" applyFont="1" applyFill="1" applyBorder="1" applyAlignment="1" applyProtection="1">
      <alignment horizontal="center" vertical="center"/>
      <protection hidden="1"/>
    </xf>
    <xf numFmtId="0" fontId="7" fillId="4" borderId="34" xfId="0" applyFont="1" applyFill="1" applyBorder="1" applyAlignment="1" applyProtection="1">
      <alignment horizontal="right" vertical="center" indent="1"/>
      <protection hidden="1"/>
    </xf>
    <xf numFmtId="0" fontId="7" fillId="4" borderId="35" xfId="0" applyFont="1" applyFill="1" applyBorder="1" applyAlignment="1" applyProtection="1">
      <alignment horizontal="right" vertical="center" indent="1"/>
      <protection hidden="1"/>
    </xf>
    <xf numFmtId="0" fontId="7" fillId="4" borderId="36" xfId="0" applyFont="1" applyFill="1" applyBorder="1" applyAlignment="1" applyProtection="1">
      <alignment horizontal="right" vertical="center" indent="1"/>
      <protection hidden="1"/>
    </xf>
    <xf numFmtId="0" fontId="1" fillId="2" borderId="54" xfId="0" applyFont="1" applyFill="1" applyBorder="1" applyAlignment="1" applyProtection="1">
      <alignment horizontal="center" vertical="center" textRotation="90"/>
      <protection hidden="1"/>
    </xf>
    <xf numFmtId="0" fontId="1" fillId="2" borderId="22" xfId="0" applyFont="1" applyFill="1" applyBorder="1" applyAlignment="1" applyProtection="1">
      <alignment horizontal="center" vertical="center" textRotation="90"/>
      <protection hidden="1"/>
    </xf>
    <xf numFmtId="0" fontId="7" fillId="0" borderId="27" xfId="0" applyFont="1" applyBorder="1" applyAlignment="1" applyProtection="1">
      <alignment horizontal="right" vertical="center" indent="1"/>
      <protection hidden="1"/>
    </xf>
    <xf numFmtId="0" fontId="7" fillId="0" borderId="40" xfId="0" applyFont="1" applyBorder="1" applyAlignment="1" applyProtection="1">
      <alignment horizontal="right" vertical="center" indent="1"/>
      <protection hidden="1"/>
    </xf>
    <xf numFmtId="0" fontId="7" fillId="3" borderId="55" xfId="0" applyFont="1" applyFill="1" applyBorder="1" applyAlignment="1" applyProtection="1">
      <alignment horizontal="right" vertical="center" indent="1"/>
      <protection hidden="1"/>
    </xf>
    <xf numFmtId="0" fontId="7" fillId="3" borderId="42" xfId="0" applyFont="1" applyFill="1" applyBorder="1" applyAlignment="1" applyProtection="1">
      <alignment horizontal="right" vertical="center" indent="1"/>
      <protection hidden="1"/>
    </xf>
    <xf numFmtId="0" fontId="7" fillId="0" borderId="56" xfId="0" applyFont="1" applyBorder="1" applyAlignment="1" applyProtection="1">
      <alignment horizontal="right" vertical="center" indent="1"/>
      <protection hidden="1"/>
    </xf>
    <xf numFmtId="0" fontId="7" fillId="0" borderId="53" xfId="0" applyFont="1" applyBorder="1" applyAlignment="1" applyProtection="1">
      <alignment horizontal="right" vertical="center" indent="1"/>
      <protection hidden="1"/>
    </xf>
    <xf numFmtId="0" fontId="7" fillId="3" borderId="59" xfId="0" applyFont="1" applyFill="1" applyBorder="1" applyAlignment="1" applyProtection="1">
      <alignment horizontal="right" vertical="center" indent="1"/>
      <protection hidden="1"/>
    </xf>
    <xf numFmtId="0" fontId="7" fillId="3" borderId="60" xfId="0" applyFont="1" applyFill="1" applyBorder="1" applyAlignment="1" applyProtection="1">
      <alignment horizontal="right" vertical="center" indent="1"/>
      <protection hidden="1"/>
    </xf>
    <xf numFmtId="0" fontId="8" fillId="0" borderId="34" xfId="0" applyFont="1" applyBorder="1" applyAlignment="1" applyProtection="1">
      <alignment horizontal="center" vertical="center" wrapText="1"/>
      <protection hidden="1"/>
    </xf>
    <xf numFmtId="0" fontId="8" fillId="0" borderId="35" xfId="0" applyFont="1" applyBorder="1" applyAlignment="1" applyProtection="1">
      <alignment horizontal="center" vertical="center" wrapText="1"/>
      <protection hidden="1"/>
    </xf>
    <xf numFmtId="0" fontId="8" fillId="0" borderId="36" xfId="0" applyFont="1" applyBorder="1" applyAlignment="1" applyProtection="1">
      <alignment horizontal="center" vertical="center" wrapText="1"/>
      <protection hidden="1"/>
    </xf>
    <xf numFmtId="0" fontId="1" fillId="2" borderId="26" xfId="0" applyFont="1" applyFill="1" applyBorder="1" applyAlignment="1" applyProtection="1">
      <alignment horizontal="center" vertical="center" textRotation="90"/>
      <protection hidden="1"/>
    </xf>
    <xf numFmtId="0" fontId="7" fillId="0" borderId="58" xfId="0" applyFont="1" applyBorder="1" applyAlignment="1" applyProtection="1">
      <alignment horizontal="right" vertical="center" indent="1"/>
      <protection hidden="1"/>
    </xf>
    <xf numFmtId="0" fontId="7" fillId="0" borderId="29" xfId="0" applyFont="1" applyBorder="1" applyAlignment="1" applyProtection="1">
      <alignment horizontal="right" vertical="center" indent="1"/>
      <protection hidden="1"/>
    </xf>
    <xf numFmtId="0" fontId="7" fillId="0" borderId="55" xfId="0" applyFont="1" applyBorder="1" applyAlignment="1" applyProtection="1">
      <alignment horizontal="right" vertical="center" indent="1"/>
      <protection hidden="1"/>
    </xf>
    <xf numFmtId="0" fontId="7" fillId="0" borderId="42" xfId="0" applyFont="1" applyBorder="1" applyAlignment="1" applyProtection="1">
      <alignment horizontal="right" vertical="center" indent="1"/>
      <protection hidden="1"/>
    </xf>
    <xf numFmtId="0" fontId="7" fillId="0" borderId="38" xfId="0" applyFont="1" applyBorder="1" applyAlignment="1" applyProtection="1">
      <alignment horizontal="right" vertical="center" indent="1"/>
      <protection hidden="1"/>
    </xf>
    <xf numFmtId="0" fontId="7" fillId="0" borderId="24" xfId="0" applyFont="1" applyBorder="1" applyAlignment="1" applyProtection="1">
      <alignment horizontal="right" vertical="center" indent="1"/>
      <protection hidden="1"/>
    </xf>
    <xf numFmtId="0" fontId="7" fillId="3" borderId="27" xfId="0" applyFont="1" applyFill="1" applyBorder="1" applyAlignment="1" applyProtection="1">
      <alignment horizontal="right" vertical="center" indent="1"/>
      <protection hidden="1"/>
    </xf>
    <xf numFmtId="0" fontId="7" fillId="3" borderId="40" xfId="0" applyFont="1" applyFill="1" applyBorder="1" applyAlignment="1" applyProtection="1">
      <alignment horizontal="right" vertical="center" indent="1"/>
      <protection hidden="1"/>
    </xf>
    <xf numFmtId="0" fontId="4" fillId="0" borderId="47" xfId="0" applyFont="1" applyBorder="1" applyAlignment="1" applyProtection="1">
      <alignment horizontal="left" vertical="center" indent="1" shrinkToFit="1"/>
      <protection hidden="1"/>
    </xf>
    <xf numFmtId="0" fontId="4" fillId="0" borderId="14" xfId="0" applyFont="1" applyBorder="1" applyAlignment="1" applyProtection="1">
      <alignment horizontal="left" vertical="center" indent="1" shrinkToFit="1"/>
      <protection hidden="1"/>
    </xf>
    <xf numFmtId="0" fontId="4" fillId="0" borderId="12" xfId="0" applyFont="1" applyBorder="1" applyAlignment="1" applyProtection="1">
      <alignment horizontal="left" vertical="center" indent="1" shrinkToFit="1"/>
      <protection hidden="1"/>
    </xf>
    <xf numFmtId="0" fontId="4" fillId="0" borderId="13" xfId="0" applyFont="1" applyBorder="1" applyAlignment="1" applyProtection="1">
      <alignment horizontal="left" vertical="center" indent="1" shrinkToFit="1"/>
      <protection hidden="1"/>
    </xf>
    <xf numFmtId="0" fontId="5" fillId="0" borderId="11" xfId="0" applyFont="1" applyBorder="1" applyAlignment="1" applyProtection="1">
      <alignment horizontal="left" vertical="center" indent="1" shrinkToFit="1"/>
      <protection hidden="1"/>
    </xf>
    <xf numFmtId="0" fontId="5" fillId="0" borderId="11" xfId="0" applyFont="1" applyBorder="1" applyAlignment="1" applyProtection="1">
      <alignment horizontal="left" vertical="center" indent="1"/>
      <protection hidden="1"/>
    </xf>
    <xf numFmtId="0" fontId="14" fillId="2" borderId="16" xfId="0" applyFont="1" applyFill="1" applyBorder="1" applyAlignment="1" applyProtection="1">
      <alignment horizontal="center" vertical="center" wrapText="1"/>
      <protection hidden="1"/>
    </xf>
    <xf numFmtId="0" fontId="14" fillId="2" borderId="63" xfId="0" applyFont="1" applyFill="1" applyBorder="1" applyAlignment="1" applyProtection="1">
      <alignment horizontal="center" vertical="center" wrapText="1"/>
      <protection hidden="1"/>
    </xf>
    <xf numFmtId="0" fontId="6" fillId="4" borderId="17" xfId="0" applyFont="1" applyFill="1" applyBorder="1" applyAlignment="1" applyProtection="1">
      <alignment horizontal="center" vertical="center" wrapText="1"/>
      <protection hidden="1"/>
    </xf>
    <xf numFmtId="0" fontId="6" fillId="4" borderId="22" xfId="0" applyFont="1" applyFill="1" applyBorder="1" applyAlignment="1" applyProtection="1">
      <alignment horizontal="center" vertical="center" wrapText="1"/>
      <protection hidden="1"/>
    </xf>
    <xf numFmtId="0" fontId="10" fillId="2" borderId="18" xfId="0" applyFont="1" applyFill="1" applyBorder="1" applyAlignment="1" applyProtection="1">
      <alignment horizontal="center" vertical="center"/>
      <protection hidden="1"/>
    </xf>
    <xf numFmtId="0" fontId="10" fillId="2" borderId="19" xfId="0" applyFont="1" applyFill="1" applyBorder="1" applyAlignment="1" applyProtection="1">
      <alignment horizontal="center" vertical="center"/>
      <protection hidden="1"/>
    </xf>
    <xf numFmtId="0" fontId="10" fillId="2" borderId="20" xfId="0" applyFont="1" applyFill="1" applyBorder="1" applyAlignment="1" applyProtection="1">
      <alignment horizontal="center" vertical="center"/>
      <protection hidden="1"/>
    </xf>
    <xf numFmtId="0" fontId="9" fillId="2" borderId="21" xfId="0" applyFont="1" applyFill="1" applyBorder="1" applyAlignment="1" applyProtection="1">
      <alignment horizontal="center" vertical="center"/>
      <protection hidden="1"/>
    </xf>
    <xf numFmtId="0" fontId="9" fillId="2" borderId="38" xfId="0" applyFont="1" applyFill="1" applyBorder="1" applyAlignment="1" applyProtection="1">
      <alignment horizontal="center" vertical="center"/>
      <protection hidden="1"/>
    </xf>
    <xf numFmtId="0" fontId="2" fillId="0" borderId="0" xfId="0" applyFont="1" applyAlignment="1" applyProtection="1">
      <alignment horizontal="left" vertical="center"/>
      <protection hidden="1"/>
    </xf>
    <xf numFmtId="0" fontId="9" fillId="2" borderId="45" xfId="0" applyFont="1" applyFill="1" applyBorder="1" applyAlignment="1" applyProtection="1">
      <alignment horizontal="center" vertical="center" wrapText="1"/>
      <protection hidden="1"/>
    </xf>
    <xf numFmtId="0" fontId="9" fillId="2" borderId="4" xfId="0" applyFont="1" applyFill="1" applyBorder="1" applyAlignment="1" applyProtection="1">
      <alignment horizontal="center" vertical="center" wrapText="1"/>
      <protection hidden="1"/>
    </xf>
    <xf numFmtId="0" fontId="9" fillId="2" borderId="2" xfId="0" applyFont="1" applyFill="1" applyBorder="1" applyAlignment="1" applyProtection="1">
      <alignment horizontal="center" vertical="center" wrapText="1"/>
      <protection hidden="1"/>
    </xf>
    <xf numFmtId="0" fontId="9" fillId="2" borderId="3" xfId="0" applyFont="1" applyFill="1" applyBorder="1" applyAlignment="1" applyProtection="1">
      <alignment horizontal="center" vertical="center" wrapText="1"/>
      <protection hidden="1"/>
    </xf>
    <xf numFmtId="0" fontId="9" fillId="2" borderId="1" xfId="0" applyFont="1" applyFill="1" applyBorder="1" applyAlignment="1" applyProtection="1">
      <alignment horizontal="center" vertical="center" wrapText="1"/>
      <protection hidden="1"/>
    </xf>
    <xf numFmtId="0" fontId="4" fillId="0" borderId="46" xfId="0" applyFont="1" applyBorder="1" applyAlignment="1" applyProtection="1">
      <alignment horizontal="left" vertical="center" indent="1" shrinkToFit="1"/>
      <protection hidden="1"/>
    </xf>
    <xf numFmtId="0" fontId="4" fillId="0" borderId="9" xfId="0" applyFont="1" applyBorder="1" applyAlignment="1" applyProtection="1">
      <alignment horizontal="left" vertical="center" indent="1" shrinkToFit="1"/>
      <protection hidden="1"/>
    </xf>
    <xf numFmtId="0" fontId="4" fillId="0" borderId="7" xfId="0" applyFont="1" applyBorder="1" applyAlignment="1" applyProtection="1">
      <alignment horizontal="left" vertical="center" indent="1" shrinkToFit="1"/>
      <protection hidden="1"/>
    </xf>
    <xf numFmtId="0" fontId="4" fillId="0" borderId="8" xfId="0" applyFont="1" applyBorder="1" applyAlignment="1" applyProtection="1">
      <alignment horizontal="left" vertical="center" indent="1" shrinkToFit="1"/>
      <protection hidden="1"/>
    </xf>
    <xf numFmtId="0" fontId="5" fillId="0" borderId="6" xfId="0" applyFont="1" applyBorder="1" applyAlignment="1" applyProtection="1">
      <alignment horizontal="left" vertical="center" indent="1" shrinkToFit="1"/>
      <protection hidden="1"/>
    </xf>
    <xf numFmtId="0" fontId="5" fillId="0" borderId="6" xfId="0" applyFont="1" applyBorder="1" applyAlignment="1" applyProtection="1">
      <alignment horizontal="left" vertical="center" indent="1"/>
      <protection hidden="1"/>
    </xf>
    <xf numFmtId="2" fontId="3" fillId="0" borderId="0" xfId="0" applyNumberFormat="1" applyFont="1" applyAlignment="1" applyProtection="1">
      <alignment horizontal="center" vertical="center" shrinkToFit="1"/>
      <protection hidden="1"/>
    </xf>
    <xf numFmtId="2" fontId="20" fillId="0" borderId="0" xfId="0" applyNumberFormat="1" applyFont="1" applyAlignment="1" applyProtection="1">
      <alignment horizontal="center" vertical="center"/>
      <protection hidden="1"/>
    </xf>
    <xf numFmtId="2" fontId="18" fillId="0" borderId="0" xfId="0" applyNumberFormat="1" applyFont="1" applyAlignment="1" applyProtection="1">
      <alignment horizontal="center" vertical="center"/>
      <protection hidden="1"/>
    </xf>
    <xf numFmtId="0" fontId="9" fillId="0" borderId="0" xfId="0" applyFont="1" applyAlignment="1" applyProtection="1">
      <alignment horizontal="center" vertical="center"/>
      <protection hidden="1"/>
    </xf>
    <xf numFmtId="14" fontId="9" fillId="0" borderId="0" xfId="0" applyNumberFormat="1" applyFont="1" applyAlignment="1" applyProtection="1">
      <alignment horizontal="center" vertical="center" shrinkToFit="1"/>
      <protection hidden="1"/>
    </xf>
    <xf numFmtId="14" fontId="9" fillId="0" borderId="0" xfId="0" applyNumberFormat="1" applyFont="1" applyAlignment="1" applyProtection="1">
      <alignment horizontal="right" vertical="center"/>
      <protection hidden="1"/>
    </xf>
    <xf numFmtId="0" fontId="16" fillId="0" borderId="0" xfId="0" applyFont="1" applyAlignment="1">
      <alignment horizontal="right" indent="1"/>
    </xf>
    <xf numFmtId="0" fontId="23" fillId="0" borderId="0" xfId="0" applyFont="1" applyAlignment="1">
      <alignment horizontal="right" indent="1"/>
    </xf>
  </cellXfs>
  <cellStyles count="3">
    <cellStyle name="Prozent" xfId="2" builtinId="5"/>
    <cellStyle name="Standard" xfId="0" builtinId="0"/>
    <cellStyle name="Standard 2" xfId="1" xr:uid="{00000000-0005-0000-0000-000002000000}"/>
  </cellStyles>
  <dxfs count="14"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A015"/>
        </patternFill>
      </fill>
    </dxf>
    <dxf>
      <fill>
        <patternFill>
          <bgColor rgb="FFFF0000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A015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00FF00"/>
      <color rgb="FFFFA015"/>
      <color rgb="FFFF0000"/>
      <color rgb="FF3366FF"/>
      <color rgb="FFFF5050"/>
      <color rgb="FFFF99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347349</xdr:colOff>
      <xdr:row>3</xdr:row>
      <xdr:rowOff>1904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E6CD4956-7941-40DE-A65B-6F2B2A75B0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31269" cy="1068704"/>
        </a:xfrm>
        <a:prstGeom prst="rect">
          <a:avLst/>
        </a:prstGeom>
      </xdr:spPr>
    </xdr:pic>
    <xdr:clientData/>
  </xdr:twoCellAnchor>
  <xdr:twoCellAnchor editAs="oneCell">
    <xdr:from>
      <xdr:col>9</xdr:col>
      <xdr:colOff>362954</xdr:colOff>
      <xdr:row>0</xdr:row>
      <xdr:rowOff>1</xdr:rowOff>
    </xdr:from>
    <xdr:to>
      <xdr:col>12</xdr:col>
      <xdr:colOff>3296</xdr:colOff>
      <xdr:row>2</xdr:row>
      <xdr:rowOff>419100</xdr:rowOff>
    </xdr:to>
    <xdr:pic>
      <xdr:nvPicPr>
        <xdr:cNvPr id="3" name="Grafik 2">
          <a:extLst>
            <a:ext uri="{FF2B5EF4-FFF2-40B4-BE49-F238E27FC236}">
              <a16:creationId xmlns:a16="http://schemas.microsoft.com/office/drawing/2014/main" id="{1D991A97-A6EF-47B1-A2B3-55B87D1F0C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45344" y="1"/>
          <a:ext cx="1373892" cy="98297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347349</xdr:colOff>
      <xdr:row>3</xdr:row>
      <xdr:rowOff>1904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8E13B988-8318-4EEA-987C-F8A1570FA2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31269" cy="1068704"/>
        </a:xfrm>
        <a:prstGeom prst="rect">
          <a:avLst/>
        </a:prstGeom>
      </xdr:spPr>
    </xdr:pic>
    <xdr:clientData/>
  </xdr:twoCellAnchor>
  <xdr:twoCellAnchor editAs="oneCell">
    <xdr:from>
      <xdr:col>9</xdr:col>
      <xdr:colOff>362954</xdr:colOff>
      <xdr:row>0</xdr:row>
      <xdr:rowOff>1</xdr:rowOff>
    </xdr:from>
    <xdr:to>
      <xdr:col>12</xdr:col>
      <xdr:colOff>3296</xdr:colOff>
      <xdr:row>2</xdr:row>
      <xdr:rowOff>419100</xdr:rowOff>
    </xdr:to>
    <xdr:pic>
      <xdr:nvPicPr>
        <xdr:cNvPr id="3" name="Grafik 2">
          <a:extLst>
            <a:ext uri="{FF2B5EF4-FFF2-40B4-BE49-F238E27FC236}">
              <a16:creationId xmlns:a16="http://schemas.microsoft.com/office/drawing/2014/main" id="{C14256A6-CC0E-44AC-B81D-DF8A6AB3F1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45344" y="1"/>
          <a:ext cx="1373892" cy="982979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347349</xdr:colOff>
      <xdr:row>3</xdr:row>
      <xdr:rowOff>1904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C3A9D334-6EE0-4A76-8C64-9229466FE5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31269" cy="1068704"/>
        </a:xfrm>
        <a:prstGeom prst="rect">
          <a:avLst/>
        </a:prstGeom>
      </xdr:spPr>
    </xdr:pic>
    <xdr:clientData/>
  </xdr:twoCellAnchor>
  <xdr:twoCellAnchor editAs="oneCell">
    <xdr:from>
      <xdr:col>9</xdr:col>
      <xdr:colOff>362954</xdr:colOff>
      <xdr:row>0</xdr:row>
      <xdr:rowOff>1</xdr:rowOff>
    </xdr:from>
    <xdr:to>
      <xdr:col>12</xdr:col>
      <xdr:colOff>3296</xdr:colOff>
      <xdr:row>2</xdr:row>
      <xdr:rowOff>419100</xdr:rowOff>
    </xdr:to>
    <xdr:pic>
      <xdr:nvPicPr>
        <xdr:cNvPr id="3" name="Grafik 2">
          <a:extLst>
            <a:ext uri="{FF2B5EF4-FFF2-40B4-BE49-F238E27FC236}">
              <a16:creationId xmlns:a16="http://schemas.microsoft.com/office/drawing/2014/main" id="{B52AFDD6-64FE-40C0-9BD9-E7F37659A3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45344" y="1"/>
          <a:ext cx="1373892" cy="982979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347349</xdr:colOff>
      <xdr:row>3</xdr:row>
      <xdr:rowOff>1904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A00BC0C8-813D-420E-9E45-08AA5C665B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31269" cy="1068704"/>
        </a:xfrm>
        <a:prstGeom prst="rect">
          <a:avLst/>
        </a:prstGeom>
      </xdr:spPr>
    </xdr:pic>
    <xdr:clientData/>
  </xdr:twoCellAnchor>
  <xdr:twoCellAnchor editAs="oneCell">
    <xdr:from>
      <xdr:col>9</xdr:col>
      <xdr:colOff>362954</xdr:colOff>
      <xdr:row>0</xdr:row>
      <xdr:rowOff>1</xdr:rowOff>
    </xdr:from>
    <xdr:to>
      <xdr:col>12</xdr:col>
      <xdr:colOff>3296</xdr:colOff>
      <xdr:row>2</xdr:row>
      <xdr:rowOff>419100</xdr:rowOff>
    </xdr:to>
    <xdr:pic>
      <xdr:nvPicPr>
        <xdr:cNvPr id="3" name="Grafik 2">
          <a:extLst>
            <a:ext uri="{FF2B5EF4-FFF2-40B4-BE49-F238E27FC236}">
              <a16:creationId xmlns:a16="http://schemas.microsoft.com/office/drawing/2014/main" id="{CE178C46-3A82-4ED0-9231-C8F9E07591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45344" y="1"/>
          <a:ext cx="1373892" cy="982979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347349</xdr:colOff>
      <xdr:row>3</xdr:row>
      <xdr:rowOff>1904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14F350B0-7368-472E-9C27-69AD3D0A05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31269" cy="1068704"/>
        </a:xfrm>
        <a:prstGeom prst="rect">
          <a:avLst/>
        </a:prstGeom>
      </xdr:spPr>
    </xdr:pic>
    <xdr:clientData/>
  </xdr:twoCellAnchor>
  <xdr:twoCellAnchor editAs="oneCell">
    <xdr:from>
      <xdr:col>9</xdr:col>
      <xdr:colOff>362954</xdr:colOff>
      <xdr:row>0</xdr:row>
      <xdr:rowOff>1</xdr:rowOff>
    </xdr:from>
    <xdr:to>
      <xdr:col>12</xdr:col>
      <xdr:colOff>3296</xdr:colOff>
      <xdr:row>2</xdr:row>
      <xdr:rowOff>419100</xdr:rowOff>
    </xdr:to>
    <xdr:pic>
      <xdr:nvPicPr>
        <xdr:cNvPr id="3" name="Grafik 2">
          <a:extLst>
            <a:ext uri="{FF2B5EF4-FFF2-40B4-BE49-F238E27FC236}">
              <a16:creationId xmlns:a16="http://schemas.microsoft.com/office/drawing/2014/main" id="{8C605486-D0D9-4905-B11B-88027BE2B9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45344" y="1"/>
          <a:ext cx="1373892" cy="982979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347349</xdr:colOff>
      <xdr:row>3</xdr:row>
      <xdr:rowOff>1904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D6456BB0-9DA1-40CA-81A5-6FEC2BF423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31269" cy="1068704"/>
        </a:xfrm>
        <a:prstGeom prst="rect">
          <a:avLst/>
        </a:prstGeom>
      </xdr:spPr>
    </xdr:pic>
    <xdr:clientData/>
  </xdr:twoCellAnchor>
  <xdr:twoCellAnchor editAs="oneCell">
    <xdr:from>
      <xdr:col>9</xdr:col>
      <xdr:colOff>362954</xdr:colOff>
      <xdr:row>0</xdr:row>
      <xdr:rowOff>1</xdr:rowOff>
    </xdr:from>
    <xdr:to>
      <xdr:col>12</xdr:col>
      <xdr:colOff>3296</xdr:colOff>
      <xdr:row>2</xdr:row>
      <xdr:rowOff>419100</xdr:rowOff>
    </xdr:to>
    <xdr:pic>
      <xdr:nvPicPr>
        <xdr:cNvPr id="3" name="Grafik 2">
          <a:extLst>
            <a:ext uri="{FF2B5EF4-FFF2-40B4-BE49-F238E27FC236}">
              <a16:creationId xmlns:a16="http://schemas.microsoft.com/office/drawing/2014/main" id="{E2BAEF8E-0E94-4D31-9BE0-783C000EB5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45344" y="1"/>
          <a:ext cx="1373892" cy="982979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347349</xdr:colOff>
      <xdr:row>3</xdr:row>
      <xdr:rowOff>1904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B12C67CD-44CA-4367-BADF-34ED989144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31269" cy="1068704"/>
        </a:xfrm>
        <a:prstGeom prst="rect">
          <a:avLst/>
        </a:prstGeom>
      </xdr:spPr>
    </xdr:pic>
    <xdr:clientData/>
  </xdr:twoCellAnchor>
  <xdr:twoCellAnchor editAs="oneCell">
    <xdr:from>
      <xdr:col>9</xdr:col>
      <xdr:colOff>362954</xdr:colOff>
      <xdr:row>0</xdr:row>
      <xdr:rowOff>1</xdr:rowOff>
    </xdr:from>
    <xdr:to>
      <xdr:col>12</xdr:col>
      <xdr:colOff>3296</xdr:colOff>
      <xdr:row>2</xdr:row>
      <xdr:rowOff>419100</xdr:rowOff>
    </xdr:to>
    <xdr:pic>
      <xdr:nvPicPr>
        <xdr:cNvPr id="3" name="Grafik 2">
          <a:extLst>
            <a:ext uri="{FF2B5EF4-FFF2-40B4-BE49-F238E27FC236}">
              <a16:creationId xmlns:a16="http://schemas.microsoft.com/office/drawing/2014/main" id="{F30E41FB-E1E7-4638-A6C9-D62E59131D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45344" y="1"/>
          <a:ext cx="1373892" cy="98297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6F7935-99CD-4B86-AD8B-55F59816A4E3}">
  <sheetPr codeName="Tabelle12"/>
  <dimension ref="A1:P38"/>
  <sheetViews>
    <sheetView tabSelected="1" workbookViewId="0">
      <selection activeCell="F13" sqref="F13"/>
    </sheetView>
  </sheetViews>
  <sheetFormatPr baseColWidth="10" defaultColWidth="11.42578125" defaultRowHeight="15" x14ac:dyDescent="0.25"/>
  <cols>
    <col min="1" max="1" width="3.7109375" customWidth="1"/>
    <col min="2" max="2" width="3.7109375" hidden="1" customWidth="1"/>
    <col min="3" max="3" width="3.7109375" customWidth="1"/>
    <col min="4" max="4" width="5.7109375" customWidth="1"/>
    <col min="5" max="5" width="18.140625" customWidth="1"/>
    <col min="6" max="7" width="4.7109375" customWidth="1"/>
    <col min="8" max="12" width="8.7109375" customWidth="1"/>
  </cols>
  <sheetData>
    <row r="1" spans="1:16" s="15" customFormat="1" ht="24.95" customHeight="1" x14ac:dyDescent="0.5">
      <c r="A1" s="31"/>
      <c r="B1" s="31"/>
      <c r="C1" s="31"/>
      <c r="D1" s="31"/>
      <c r="E1" s="175" t="s">
        <v>44</v>
      </c>
      <c r="F1" s="175"/>
      <c r="G1" s="175"/>
      <c r="H1" s="175"/>
      <c r="I1" s="175"/>
      <c r="J1" s="32"/>
      <c r="K1" s="31"/>
      <c r="L1" s="31"/>
    </row>
    <row r="2" spans="1:16" s="15" customFormat="1" ht="20.100000000000001" customHeight="1" x14ac:dyDescent="0.5">
      <c r="A2" s="176" t="s">
        <v>63</v>
      </c>
      <c r="B2" s="176"/>
      <c r="C2" s="176"/>
      <c r="D2" s="176"/>
      <c r="E2" s="176"/>
      <c r="F2" s="176"/>
      <c r="G2" s="176"/>
      <c r="H2" s="176"/>
      <c r="I2" s="176"/>
      <c r="J2" s="176"/>
      <c r="K2" s="176"/>
      <c r="L2" s="176"/>
    </row>
    <row r="3" spans="1:16" s="15" customFormat="1" ht="39.950000000000003" customHeight="1" x14ac:dyDescent="0.5">
      <c r="A3" s="177" t="s">
        <v>18</v>
      </c>
      <c r="B3" s="177"/>
      <c r="C3" s="177"/>
      <c r="D3" s="177"/>
      <c r="E3" s="177"/>
      <c r="F3" s="177"/>
      <c r="G3" s="177"/>
      <c r="H3" s="177"/>
      <c r="I3" s="177"/>
      <c r="J3" s="177"/>
      <c r="K3" s="177"/>
      <c r="L3" s="177"/>
    </row>
    <row r="4" spans="1:16" s="15" customFormat="1" ht="11.1" customHeight="1" x14ac:dyDescent="0.5">
      <c r="A4" s="11"/>
      <c r="B4" s="11"/>
      <c r="C4" s="11"/>
      <c r="D4" s="11"/>
      <c r="E4" s="11"/>
      <c r="F4" s="12"/>
      <c r="G4" s="12"/>
      <c r="H4" s="12"/>
      <c r="I4" s="12"/>
      <c r="J4" s="12"/>
      <c r="K4" s="12"/>
    </row>
    <row r="5" spans="1:16" ht="21.95" customHeight="1" x14ac:dyDescent="0.25">
      <c r="A5" s="178" t="s">
        <v>54</v>
      </c>
      <c r="B5" s="178"/>
      <c r="C5" s="178"/>
      <c r="D5" s="178"/>
      <c r="E5" s="72" t="s">
        <v>71</v>
      </c>
      <c r="F5" s="13"/>
      <c r="G5" s="14" t="s">
        <v>55</v>
      </c>
      <c r="H5" s="179" t="s">
        <v>64</v>
      </c>
      <c r="I5" s="179"/>
      <c r="J5" s="180" t="s">
        <v>56</v>
      </c>
      <c r="K5" s="180"/>
      <c r="L5" s="73" t="s">
        <v>65</v>
      </c>
    </row>
    <row r="6" spans="1:16" ht="11.1" customHeight="1" thickBot="1" x14ac:dyDescent="0.55000000000000004">
      <c r="A6" s="1"/>
      <c r="B6" s="1"/>
      <c r="C6" s="2"/>
      <c r="D6" s="2"/>
      <c r="E6" s="2"/>
      <c r="F6" s="20"/>
      <c r="G6" s="20"/>
      <c r="H6" s="163"/>
      <c r="I6" s="163"/>
      <c r="J6" s="163"/>
      <c r="K6" s="163"/>
      <c r="L6" s="15"/>
    </row>
    <row r="7" spans="1:16" s="16" customFormat="1" ht="20.100000000000001" customHeight="1" x14ac:dyDescent="0.35">
      <c r="A7" s="9"/>
      <c r="B7" s="9"/>
      <c r="C7" s="9"/>
      <c r="D7" s="164" t="s">
        <v>10</v>
      </c>
      <c r="E7" s="165"/>
      <c r="F7" s="166" t="s">
        <v>0</v>
      </c>
      <c r="G7" s="167"/>
      <c r="H7" s="165"/>
      <c r="I7" s="168" t="s">
        <v>1</v>
      </c>
      <c r="J7" s="168"/>
      <c r="K7" s="168"/>
      <c r="L7" s="10" t="s">
        <v>2</v>
      </c>
    </row>
    <row r="8" spans="1:16" ht="21.95" customHeight="1" x14ac:dyDescent="0.25">
      <c r="A8" s="13" t="s">
        <v>7</v>
      </c>
      <c r="B8" s="13"/>
      <c r="C8" s="13"/>
      <c r="D8" s="169" t="s">
        <v>66</v>
      </c>
      <c r="E8" s="170"/>
      <c r="F8" s="171" t="s">
        <v>67</v>
      </c>
      <c r="G8" s="172"/>
      <c r="H8" s="170"/>
      <c r="I8" s="173" t="s">
        <v>68</v>
      </c>
      <c r="J8" s="174"/>
      <c r="K8" s="174"/>
      <c r="L8" s="74" t="s">
        <v>70</v>
      </c>
    </row>
    <row r="9" spans="1:16" ht="21.95" customHeight="1" thickBot="1" x14ac:dyDescent="0.3">
      <c r="A9" s="13" t="s">
        <v>8</v>
      </c>
      <c r="B9" s="13"/>
      <c r="C9" s="13"/>
      <c r="D9" s="148" t="s">
        <v>69</v>
      </c>
      <c r="E9" s="149"/>
      <c r="F9" s="150" t="s">
        <v>67</v>
      </c>
      <c r="G9" s="151"/>
      <c r="H9" s="149"/>
      <c r="I9" s="152" t="s">
        <v>68</v>
      </c>
      <c r="J9" s="153"/>
      <c r="K9" s="153"/>
      <c r="L9" s="75" t="s">
        <v>70</v>
      </c>
    </row>
    <row r="10" spans="1:16" ht="11.1" customHeight="1" thickBot="1" x14ac:dyDescent="0.3">
      <c r="A10" s="1"/>
      <c r="B10" s="1"/>
      <c r="C10" s="2"/>
      <c r="D10" s="2"/>
      <c r="E10" s="3"/>
      <c r="F10" s="3"/>
      <c r="G10" s="3"/>
      <c r="H10" s="3"/>
      <c r="I10" s="3"/>
      <c r="J10" s="3"/>
      <c r="K10" s="3"/>
      <c r="L10" s="22"/>
    </row>
    <row r="11" spans="1:16" ht="39.75" customHeight="1" thickTop="1" thickBot="1" x14ac:dyDescent="0.3">
      <c r="A11" s="4"/>
      <c r="B11" s="4"/>
      <c r="C11" s="4"/>
      <c r="D11" s="4"/>
      <c r="E11" s="4"/>
      <c r="F11" s="154" t="s">
        <v>13</v>
      </c>
      <c r="G11" s="155"/>
      <c r="H11" s="29" t="s">
        <v>12</v>
      </c>
      <c r="I11" s="29" t="s">
        <v>11</v>
      </c>
      <c r="J11" s="29" t="s">
        <v>45</v>
      </c>
      <c r="K11" s="29" t="s">
        <v>3</v>
      </c>
      <c r="L11" s="156" t="s">
        <v>9</v>
      </c>
    </row>
    <row r="12" spans="1:16" s="16" customFormat="1" ht="20.100000000000001" customHeight="1" thickTop="1" thickBot="1" x14ac:dyDescent="0.4">
      <c r="A12" s="158" t="s">
        <v>4</v>
      </c>
      <c r="B12" s="159"/>
      <c r="C12" s="159"/>
      <c r="D12" s="159"/>
      <c r="E12" s="160"/>
      <c r="F12" s="161">
        <v>1</v>
      </c>
      <c r="G12" s="162"/>
      <c r="H12" s="30">
        <v>3</v>
      </c>
      <c r="I12" s="30">
        <v>5</v>
      </c>
      <c r="J12" s="30">
        <v>0.5</v>
      </c>
      <c r="K12" s="30">
        <v>10</v>
      </c>
      <c r="L12" s="157"/>
    </row>
    <row r="13" spans="1:16" ht="19.899999999999999" customHeight="1" thickBot="1" x14ac:dyDescent="0.3">
      <c r="A13" s="5">
        <v>1</v>
      </c>
      <c r="B13" s="5"/>
      <c r="C13" s="23"/>
      <c r="D13" s="144" t="s">
        <v>5</v>
      </c>
      <c r="E13" s="145"/>
      <c r="F13" s="57" t="s">
        <v>46</v>
      </c>
      <c r="G13" s="58"/>
      <c r="H13" s="59"/>
      <c r="I13" s="59"/>
      <c r="J13" s="59"/>
      <c r="K13" s="60"/>
      <c r="L13" s="34">
        <f>IF($L$37&lt;&gt;"",IF(SUMPRODUCT(--(TRIM(K13)&lt;&gt;""))&lt;&gt;0,0,MIN(10,MAX(1,10-5*(SUMPRODUCT(--(TRIM(I13)&lt;&gt;"")))-3*(SUMPRODUCT(--(TRIM(H13)&lt;&gt;"")))-1*SUMPRODUCT(--(TRIM(F13:G13)&lt;&gt;""))+IF(TRIM(J13)="-",-0.5,IF(TRIM(J13)="+",0.5,0))))),"")</f>
        <v>9</v>
      </c>
      <c r="N13" s="76" t="s">
        <v>51</v>
      </c>
      <c r="O13" s="76"/>
      <c r="P13" s="76" t="s">
        <v>46</v>
      </c>
    </row>
    <row r="14" spans="1:16" ht="19.899999999999999" customHeight="1" x14ac:dyDescent="0.25">
      <c r="A14" s="6">
        <v>2</v>
      </c>
      <c r="B14" s="6"/>
      <c r="C14" s="139" t="s">
        <v>19</v>
      </c>
      <c r="D14" s="146" t="s">
        <v>15</v>
      </c>
      <c r="E14" s="147"/>
      <c r="F14" s="61" t="s">
        <v>46</v>
      </c>
      <c r="G14" s="62" t="s">
        <v>46</v>
      </c>
      <c r="H14" s="63"/>
      <c r="I14" s="63"/>
      <c r="J14" s="63"/>
      <c r="K14" s="77"/>
      <c r="L14" s="35">
        <f t="shared" ref="L14:L35" si="0">IF($L$37&lt;&gt;"",IF(SUMPRODUCT(--(TRIM(K14)&lt;&gt;""))&lt;&gt;0,0,MIN(10,MAX(1,10-5*(SUMPRODUCT(--(TRIM(I14)&lt;&gt;"")))-3*(SUMPRODUCT(--(TRIM(H14)&lt;&gt;"")))-1*SUMPRODUCT(--(TRIM(F14:G14)&lt;&gt;""))+IF(TRIM(J14)="-",-0.5,IF(TRIM(J14)="+",0.5,0))))),"")</f>
        <v>8</v>
      </c>
      <c r="N14" s="76" t="s">
        <v>49</v>
      </c>
      <c r="O14" s="76"/>
      <c r="P14" s="76" t="s">
        <v>47</v>
      </c>
    </row>
    <row r="15" spans="1:16" ht="19.899999999999999" customHeight="1" x14ac:dyDescent="0.25">
      <c r="A15" s="7">
        <v>3</v>
      </c>
      <c r="B15" s="6"/>
      <c r="C15" s="126"/>
      <c r="D15" s="142" t="s">
        <v>20</v>
      </c>
      <c r="E15" s="143"/>
      <c r="F15" s="53"/>
      <c r="G15" s="54"/>
      <c r="H15" s="55" t="s">
        <v>46</v>
      </c>
      <c r="I15" s="55"/>
      <c r="J15" s="55"/>
      <c r="K15" s="56"/>
      <c r="L15" s="36">
        <f t="shared" si="0"/>
        <v>7</v>
      </c>
      <c r="N15" s="76" t="s">
        <v>50</v>
      </c>
      <c r="O15" s="76"/>
      <c r="P15" s="76" t="s">
        <v>48</v>
      </c>
    </row>
    <row r="16" spans="1:16" ht="19.899999999999999" customHeight="1" x14ac:dyDescent="0.25">
      <c r="A16" s="18">
        <v>4</v>
      </c>
      <c r="B16" s="21"/>
      <c r="C16" s="126"/>
      <c r="D16" s="130" t="s">
        <v>21</v>
      </c>
      <c r="E16" s="131"/>
      <c r="F16" s="42" t="s">
        <v>46</v>
      </c>
      <c r="G16" s="43"/>
      <c r="H16" s="44" t="s">
        <v>46</v>
      </c>
      <c r="I16" s="44"/>
      <c r="J16" s="44"/>
      <c r="K16" s="45"/>
      <c r="L16" s="37">
        <f t="shared" si="0"/>
        <v>6</v>
      </c>
    </row>
    <row r="17" spans="1:12" ht="19.899999999999999" customHeight="1" x14ac:dyDescent="0.25">
      <c r="A17" s="7">
        <v>5</v>
      </c>
      <c r="B17" s="6"/>
      <c r="C17" s="126"/>
      <c r="D17" s="142" t="s">
        <v>22</v>
      </c>
      <c r="E17" s="143"/>
      <c r="F17" s="53" t="s">
        <v>46</v>
      </c>
      <c r="G17" s="54" t="s">
        <v>46</v>
      </c>
      <c r="H17" s="55" t="s">
        <v>46</v>
      </c>
      <c r="I17" s="55"/>
      <c r="J17" s="55"/>
      <c r="K17" s="56"/>
      <c r="L17" s="36">
        <f t="shared" si="0"/>
        <v>5</v>
      </c>
    </row>
    <row r="18" spans="1:12" ht="19.899999999999999" customHeight="1" x14ac:dyDescent="0.25">
      <c r="A18" s="7">
        <v>6</v>
      </c>
      <c r="B18" s="6"/>
      <c r="C18" s="126"/>
      <c r="D18" s="130" t="s">
        <v>23</v>
      </c>
      <c r="E18" s="131"/>
      <c r="F18" s="42"/>
      <c r="G18" s="43"/>
      <c r="H18" s="44"/>
      <c r="I18" s="44" t="s">
        <v>46</v>
      </c>
      <c r="J18" s="44"/>
      <c r="K18" s="45"/>
      <c r="L18" s="37">
        <f t="shared" si="0"/>
        <v>5</v>
      </c>
    </row>
    <row r="19" spans="1:12" ht="19.899999999999999" customHeight="1" x14ac:dyDescent="0.25">
      <c r="A19" s="7">
        <v>7</v>
      </c>
      <c r="B19" s="6"/>
      <c r="C19" s="126"/>
      <c r="D19" s="142" t="s">
        <v>24</v>
      </c>
      <c r="E19" s="143"/>
      <c r="F19" s="53" t="s">
        <v>46</v>
      </c>
      <c r="G19" s="54"/>
      <c r="H19" s="55"/>
      <c r="I19" s="55" t="s">
        <v>46</v>
      </c>
      <c r="J19" s="55"/>
      <c r="K19" s="56"/>
      <c r="L19" s="36">
        <f t="shared" si="0"/>
        <v>4</v>
      </c>
    </row>
    <row r="20" spans="1:12" ht="19.899999999999999" customHeight="1" thickBot="1" x14ac:dyDescent="0.3">
      <c r="A20" s="7">
        <v>8</v>
      </c>
      <c r="B20" s="6"/>
      <c r="C20" s="126"/>
      <c r="D20" s="146" t="s">
        <v>25</v>
      </c>
      <c r="E20" s="147"/>
      <c r="F20" s="61" t="s">
        <v>46</v>
      </c>
      <c r="G20" s="62" t="s">
        <v>46</v>
      </c>
      <c r="H20" s="63"/>
      <c r="I20" s="63" t="s">
        <v>46</v>
      </c>
      <c r="J20" s="63"/>
      <c r="K20" s="77"/>
      <c r="L20" s="35">
        <f t="shared" si="0"/>
        <v>3</v>
      </c>
    </row>
    <row r="21" spans="1:12" ht="19.899999999999999" customHeight="1" x14ac:dyDescent="0.25">
      <c r="A21" s="24">
        <v>9</v>
      </c>
      <c r="B21" s="24"/>
      <c r="C21" s="139" t="s">
        <v>26</v>
      </c>
      <c r="D21" s="140" t="s">
        <v>14</v>
      </c>
      <c r="E21" s="141"/>
      <c r="F21" s="49"/>
      <c r="G21" s="50"/>
      <c r="H21" s="51" t="s">
        <v>46</v>
      </c>
      <c r="I21" s="51" t="s">
        <v>46</v>
      </c>
      <c r="J21" s="51"/>
      <c r="K21" s="52"/>
      <c r="L21" s="38">
        <f t="shared" si="0"/>
        <v>2</v>
      </c>
    </row>
    <row r="22" spans="1:12" ht="19.899999999999999" customHeight="1" x14ac:dyDescent="0.25">
      <c r="A22" s="7">
        <v>10</v>
      </c>
      <c r="B22" s="6"/>
      <c r="C22" s="126"/>
      <c r="D22" s="130" t="s">
        <v>27</v>
      </c>
      <c r="E22" s="131"/>
      <c r="F22" s="42" t="s">
        <v>46</v>
      </c>
      <c r="G22" s="43"/>
      <c r="H22" s="44" t="s">
        <v>46</v>
      </c>
      <c r="I22" s="44" t="s">
        <v>46</v>
      </c>
      <c r="J22" s="44"/>
      <c r="K22" s="45"/>
      <c r="L22" s="37">
        <f t="shared" si="0"/>
        <v>1</v>
      </c>
    </row>
    <row r="23" spans="1:12" ht="19.899999999999999" customHeight="1" x14ac:dyDescent="0.25">
      <c r="A23" s="7">
        <v>11</v>
      </c>
      <c r="B23" s="6"/>
      <c r="C23" s="126"/>
      <c r="D23" s="142" t="s">
        <v>28</v>
      </c>
      <c r="E23" s="143"/>
      <c r="F23" s="53" t="s">
        <v>46</v>
      </c>
      <c r="G23" s="54" t="s">
        <v>46</v>
      </c>
      <c r="H23" s="55" t="s">
        <v>46</v>
      </c>
      <c r="I23" s="55" t="s">
        <v>46</v>
      </c>
      <c r="J23" s="55"/>
      <c r="K23" s="56"/>
      <c r="L23" s="36">
        <f t="shared" si="0"/>
        <v>1</v>
      </c>
    </row>
    <row r="24" spans="1:12" ht="19.899999999999999" customHeight="1" x14ac:dyDescent="0.25">
      <c r="A24" s="18">
        <v>12</v>
      </c>
      <c r="B24" s="21"/>
      <c r="C24" s="126"/>
      <c r="D24" s="130" t="s">
        <v>29</v>
      </c>
      <c r="E24" s="131"/>
      <c r="F24" s="42"/>
      <c r="G24" s="43"/>
      <c r="H24" s="44"/>
      <c r="I24" s="44"/>
      <c r="J24" s="44" t="s">
        <v>47</v>
      </c>
      <c r="K24" s="45"/>
      <c r="L24" s="37">
        <f t="shared" si="0"/>
        <v>10</v>
      </c>
    </row>
    <row r="25" spans="1:12" ht="19.899999999999999" customHeight="1" thickBot="1" x14ac:dyDescent="0.3">
      <c r="A25" s="8">
        <v>13</v>
      </c>
      <c r="B25" s="28"/>
      <c r="C25" s="127"/>
      <c r="D25" s="132" t="s">
        <v>30</v>
      </c>
      <c r="E25" s="133"/>
      <c r="F25" s="68" t="s">
        <v>46</v>
      </c>
      <c r="G25" s="69" t="s">
        <v>46</v>
      </c>
      <c r="H25" s="70" t="s">
        <v>46</v>
      </c>
      <c r="I25" s="70" t="s">
        <v>46</v>
      </c>
      <c r="J25" s="70" t="s">
        <v>48</v>
      </c>
      <c r="K25" s="71"/>
      <c r="L25" s="39">
        <f t="shared" si="0"/>
        <v>1</v>
      </c>
    </row>
    <row r="26" spans="1:12" ht="19.899999999999999" customHeight="1" x14ac:dyDescent="0.25">
      <c r="A26" s="19">
        <v>14</v>
      </c>
      <c r="B26" s="21"/>
      <c r="C26" s="126" t="s">
        <v>17</v>
      </c>
      <c r="D26" s="128" t="s">
        <v>16</v>
      </c>
      <c r="E26" s="129"/>
      <c r="F26" s="64" t="s">
        <v>46</v>
      </c>
      <c r="G26" s="65" t="s">
        <v>46</v>
      </c>
      <c r="H26" s="66"/>
      <c r="I26" s="66"/>
      <c r="J26" s="66" t="s">
        <v>47</v>
      </c>
      <c r="K26" s="67"/>
      <c r="L26" s="40">
        <f t="shared" si="0"/>
        <v>8.5</v>
      </c>
    </row>
    <row r="27" spans="1:12" ht="19.899999999999999" customHeight="1" x14ac:dyDescent="0.25">
      <c r="A27" s="18">
        <v>15</v>
      </c>
      <c r="B27" s="21"/>
      <c r="C27" s="126"/>
      <c r="D27" s="130" t="s">
        <v>31</v>
      </c>
      <c r="E27" s="131"/>
      <c r="F27" s="42" t="s">
        <v>46</v>
      </c>
      <c r="G27" s="43" t="s">
        <v>46</v>
      </c>
      <c r="H27" s="44"/>
      <c r="I27" s="44"/>
      <c r="J27" s="44" t="s">
        <v>48</v>
      </c>
      <c r="K27" s="45"/>
      <c r="L27" s="37">
        <f t="shared" si="0"/>
        <v>7.5</v>
      </c>
    </row>
    <row r="28" spans="1:12" ht="19.899999999999999" customHeight="1" thickBot="1" x14ac:dyDescent="0.3">
      <c r="A28" s="8">
        <v>16</v>
      </c>
      <c r="B28" s="28"/>
      <c r="C28" s="127"/>
      <c r="D28" s="132" t="s">
        <v>32</v>
      </c>
      <c r="E28" s="133"/>
      <c r="F28" s="68"/>
      <c r="G28" s="69"/>
      <c r="H28" s="70" t="s">
        <v>46</v>
      </c>
      <c r="I28" s="70"/>
      <c r="J28" s="70"/>
      <c r="K28" s="71"/>
      <c r="L28" s="39">
        <f t="shared" si="0"/>
        <v>7</v>
      </c>
    </row>
    <row r="29" spans="1:12" ht="19.899999999999999" customHeight="1" x14ac:dyDescent="0.25">
      <c r="A29" s="19">
        <v>17</v>
      </c>
      <c r="B29" s="21"/>
      <c r="C29" s="126" t="s">
        <v>33</v>
      </c>
      <c r="D29" s="128" t="s">
        <v>34</v>
      </c>
      <c r="E29" s="129"/>
      <c r="F29" s="64" t="s">
        <v>46</v>
      </c>
      <c r="G29" s="65"/>
      <c r="H29" s="66"/>
      <c r="I29" s="66"/>
      <c r="J29" s="66"/>
      <c r="K29" s="67"/>
      <c r="L29" s="40">
        <f t="shared" si="0"/>
        <v>9</v>
      </c>
    </row>
    <row r="30" spans="1:12" ht="19.899999999999999" customHeight="1" x14ac:dyDescent="0.25">
      <c r="A30" s="18">
        <v>18</v>
      </c>
      <c r="B30" s="21"/>
      <c r="C30" s="126"/>
      <c r="D30" s="130" t="s">
        <v>35</v>
      </c>
      <c r="E30" s="131"/>
      <c r="F30" s="42" t="s">
        <v>46</v>
      </c>
      <c r="G30" s="43" t="s">
        <v>46</v>
      </c>
      <c r="H30" s="44"/>
      <c r="I30" s="44"/>
      <c r="J30" s="44"/>
      <c r="K30" s="45"/>
      <c r="L30" s="37">
        <f t="shared" si="0"/>
        <v>8</v>
      </c>
    </row>
    <row r="31" spans="1:12" ht="19.899999999999999" customHeight="1" thickBot="1" x14ac:dyDescent="0.3">
      <c r="A31" s="8">
        <v>19</v>
      </c>
      <c r="B31" s="28"/>
      <c r="C31" s="127"/>
      <c r="D31" s="132" t="s">
        <v>36</v>
      </c>
      <c r="E31" s="133"/>
      <c r="F31" s="68"/>
      <c r="G31" s="69"/>
      <c r="H31" s="70" t="s">
        <v>46</v>
      </c>
      <c r="I31" s="70"/>
      <c r="J31" s="70"/>
      <c r="K31" s="71"/>
      <c r="L31" s="39">
        <f t="shared" si="0"/>
        <v>7</v>
      </c>
    </row>
    <row r="32" spans="1:12" ht="19.899999999999999" customHeight="1" x14ac:dyDescent="0.25">
      <c r="A32" s="19">
        <v>20</v>
      </c>
      <c r="B32" s="21"/>
      <c r="C32" s="126" t="s">
        <v>37</v>
      </c>
      <c r="D32" s="128" t="s">
        <v>38</v>
      </c>
      <c r="E32" s="129"/>
      <c r="F32" s="64" t="s">
        <v>46</v>
      </c>
      <c r="G32" s="65"/>
      <c r="H32" s="66" t="s">
        <v>46</v>
      </c>
      <c r="I32" s="66"/>
      <c r="J32" s="66"/>
      <c r="K32" s="67"/>
      <c r="L32" s="40">
        <f t="shared" si="0"/>
        <v>6</v>
      </c>
    </row>
    <row r="33" spans="1:12" ht="19.899999999999999" customHeight="1" x14ac:dyDescent="0.25">
      <c r="A33" s="18">
        <v>21</v>
      </c>
      <c r="B33" s="21"/>
      <c r="C33" s="126"/>
      <c r="D33" s="130" t="s">
        <v>39</v>
      </c>
      <c r="E33" s="131"/>
      <c r="F33" s="42" t="s">
        <v>46</v>
      </c>
      <c r="G33" s="43" t="s">
        <v>46</v>
      </c>
      <c r="H33" s="44" t="s">
        <v>46</v>
      </c>
      <c r="I33" s="44"/>
      <c r="J33" s="44"/>
      <c r="K33" s="45"/>
      <c r="L33" s="37">
        <f t="shared" si="0"/>
        <v>5</v>
      </c>
    </row>
    <row r="34" spans="1:12" ht="19.899999999999999" customHeight="1" thickBot="1" x14ac:dyDescent="0.3">
      <c r="A34" s="8">
        <v>22</v>
      </c>
      <c r="B34" s="28"/>
      <c r="C34" s="127"/>
      <c r="D34" s="132" t="s">
        <v>40</v>
      </c>
      <c r="E34" s="133"/>
      <c r="F34" s="68"/>
      <c r="G34" s="69"/>
      <c r="H34" s="70"/>
      <c r="I34" s="70" t="s">
        <v>46</v>
      </c>
      <c r="J34" s="70"/>
      <c r="K34" s="71"/>
      <c r="L34" s="39">
        <f t="shared" si="0"/>
        <v>5</v>
      </c>
    </row>
    <row r="35" spans="1:12" ht="19.899999999999999" customHeight="1" thickBot="1" x14ac:dyDescent="0.3">
      <c r="A35" s="19">
        <v>23</v>
      </c>
      <c r="B35" s="21"/>
      <c r="C35" s="25"/>
      <c r="D35" s="134" t="s">
        <v>6</v>
      </c>
      <c r="E35" s="135"/>
      <c r="F35" s="78"/>
      <c r="G35" s="79"/>
      <c r="H35" s="80"/>
      <c r="I35" s="80"/>
      <c r="J35" s="80"/>
      <c r="K35" s="81"/>
      <c r="L35" s="41">
        <f t="shared" si="0"/>
        <v>10</v>
      </c>
    </row>
    <row r="36" spans="1:12" ht="21.95" customHeight="1" thickTop="1" thickBot="1" x14ac:dyDescent="0.3">
      <c r="A36" s="136" t="s">
        <v>41</v>
      </c>
      <c r="B36" s="137"/>
      <c r="C36" s="137"/>
      <c r="D36" s="137"/>
      <c r="E36" s="138"/>
      <c r="F36" s="119">
        <f>IF($L$37&lt;&gt;"",SUMPRODUCT(--(TRIM(F13:G35)&lt;&gt;"")),"")</f>
        <v>24</v>
      </c>
      <c r="G36" s="120">
        <f t="shared" ref="G36" si="1">IF($L$37&lt;&gt;"",COUNTIF(G13:G29,"x"))</f>
        <v>7</v>
      </c>
      <c r="H36" s="46">
        <f>IF($L$37&lt;&gt;"",SUMPRODUCT(--(TRIM(H13:H35)&lt;&gt;"")),"")</f>
        <v>11</v>
      </c>
      <c r="I36" s="46">
        <f>IF($L$37&lt;&gt;"",SUMPRODUCT(--(TRIM(I13:I35)&lt;&gt;"")),"")</f>
        <v>8</v>
      </c>
      <c r="J36" s="48">
        <f>IF($L$37&lt;&gt;"",(COUNTIFS(J13:J35,"+")-COUNTIFS(J13:J35,"-"))*0.5,"")</f>
        <v>0</v>
      </c>
      <c r="K36" s="47">
        <f>IF($L$37&lt;&gt;"",SUMPRODUCT(--(TRIM(K13:K35)&lt;&gt;"")),"")</f>
        <v>0</v>
      </c>
      <c r="L36" s="33">
        <f>IF(L37&lt;&gt;"",IF(K36&lt;1,SUM(L13:L35),IF(K36&gt;=1,ROUNDUP(SUM(L13:L35)/2,0),"")),"")</f>
        <v>135</v>
      </c>
    </row>
    <row r="37" spans="1:12" s="27" customFormat="1" ht="20.100000000000001" customHeight="1" thickTop="1" thickBot="1" x14ac:dyDescent="0.35">
      <c r="A37" s="121" t="s">
        <v>57</v>
      </c>
      <c r="B37" s="122"/>
      <c r="C37" s="122"/>
      <c r="D37" s="122"/>
      <c r="E37" s="26" t="s">
        <v>72</v>
      </c>
      <c r="F37" s="123" t="s">
        <v>42</v>
      </c>
      <c r="G37" s="124"/>
      <c r="H37" s="124"/>
      <c r="I37" s="124"/>
      <c r="J37" s="124"/>
      <c r="K37" s="125"/>
      <c r="L37" s="82" t="s">
        <v>53</v>
      </c>
    </row>
    <row r="38" spans="1:12" ht="15.75" thickTop="1" x14ac:dyDescent="0.25"/>
  </sheetData>
  <sheetProtection algorithmName="SHA-512" hashValue="OM+mS6CzvWcMvgJz5wTmp2S1/vnf8zXqV4MzpxmIoWxCAnC6qlBmSkSXIvQ5eTX1VIJJh04a3VVzZTX75L7qRA==" saltValue="EX+1occ52IKD7MMiE/VZig==" spinCount="100000" sheet="1" objects="1" scenarios="1"/>
  <mergeCells count="52">
    <mergeCell ref="E1:I1"/>
    <mergeCell ref="A2:L2"/>
    <mergeCell ref="A3:L3"/>
    <mergeCell ref="A5:D5"/>
    <mergeCell ref="H5:I5"/>
    <mergeCell ref="J5:K5"/>
    <mergeCell ref="H6:K6"/>
    <mergeCell ref="D7:E7"/>
    <mergeCell ref="F7:H7"/>
    <mergeCell ref="I7:K7"/>
    <mergeCell ref="D8:E8"/>
    <mergeCell ref="F8:H8"/>
    <mergeCell ref="I8:K8"/>
    <mergeCell ref="D9:E9"/>
    <mergeCell ref="F9:H9"/>
    <mergeCell ref="I9:K9"/>
    <mergeCell ref="F11:G11"/>
    <mergeCell ref="L11:L12"/>
    <mergeCell ref="A12:E12"/>
    <mergeCell ref="F12:G12"/>
    <mergeCell ref="D13:E13"/>
    <mergeCell ref="C14:C20"/>
    <mergeCell ref="D14:E14"/>
    <mergeCell ref="D15:E15"/>
    <mergeCell ref="D16:E16"/>
    <mergeCell ref="D17:E17"/>
    <mergeCell ref="D18:E18"/>
    <mergeCell ref="D19:E19"/>
    <mergeCell ref="D20:E20"/>
    <mergeCell ref="C21:C25"/>
    <mergeCell ref="D21:E21"/>
    <mergeCell ref="D22:E22"/>
    <mergeCell ref="D23:E23"/>
    <mergeCell ref="D24:E24"/>
    <mergeCell ref="D25:E25"/>
    <mergeCell ref="C26:C28"/>
    <mergeCell ref="D26:E26"/>
    <mergeCell ref="D27:E27"/>
    <mergeCell ref="D28:E28"/>
    <mergeCell ref="C29:C31"/>
    <mergeCell ref="D29:E29"/>
    <mergeCell ref="D30:E30"/>
    <mergeCell ref="D31:E31"/>
    <mergeCell ref="F36:G36"/>
    <mergeCell ref="A37:D37"/>
    <mergeCell ref="F37:K37"/>
    <mergeCell ref="C32:C34"/>
    <mergeCell ref="D32:E32"/>
    <mergeCell ref="D33:E33"/>
    <mergeCell ref="D34:E34"/>
    <mergeCell ref="D35:E35"/>
    <mergeCell ref="A36:E36"/>
  </mergeCells>
  <dataValidations count="2">
    <dataValidation type="list" allowBlank="1" showDropDown="1" showInputMessage="1" showErrorMessage="1" sqref="J13:J35" xr:uid="{EB4320B3-D1E4-4540-9BD1-FD0BFF1EDFBB}">
      <formula1>$P$14:$P$15</formula1>
    </dataValidation>
    <dataValidation type="list" allowBlank="1" showDropDown="1" showInputMessage="1" showErrorMessage="1" sqref="F13:I35 K13:K35" xr:uid="{D3264455-2073-403A-812A-1E663007E623}">
      <formula1>$P$13</formula1>
    </dataValidation>
  </dataValidations>
  <printOptions horizontalCentered="1" verticalCentered="1"/>
  <pageMargins left="0.78740157480314965" right="0.31496062992125984" top="0.39370078740157483" bottom="0.39370078740157483" header="0.39370078740157483" footer="0.23622047244094491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65B21C-295F-46F3-B2D5-04702FD4A57E}">
  <sheetPr codeName="Tabelle13"/>
  <dimension ref="A1:P38"/>
  <sheetViews>
    <sheetView workbookViewId="0">
      <selection activeCell="F13" sqref="F13"/>
    </sheetView>
  </sheetViews>
  <sheetFormatPr baseColWidth="10" defaultColWidth="11.42578125" defaultRowHeight="15" x14ac:dyDescent="0.25"/>
  <cols>
    <col min="1" max="1" width="3.7109375" customWidth="1"/>
    <col min="2" max="2" width="3.7109375" hidden="1" customWidth="1"/>
    <col min="3" max="3" width="3.7109375" customWidth="1"/>
    <col min="4" max="4" width="5.7109375" customWidth="1"/>
    <col min="5" max="5" width="18.140625" customWidth="1"/>
    <col min="6" max="7" width="4.7109375" customWidth="1"/>
    <col min="8" max="12" width="8.7109375" customWidth="1"/>
  </cols>
  <sheetData>
    <row r="1" spans="1:16" s="15" customFormat="1" ht="24.95" customHeight="1" x14ac:dyDescent="0.5">
      <c r="A1" s="31"/>
      <c r="B1" s="31"/>
      <c r="C1" s="31"/>
      <c r="D1" s="31"/>
      <c r="E1" s="175" t="s">
        <v>44</v>
      </c>
      <c r="F1" s="175"/>
      <c r="G1" s="175"/>
      <c r="H1" s="175"/>
      <c r="I1" s="175"/>
      <c r="J1" s="32"/>
      <c r="K1" s="31"/>
      <c r="L1" s="31"/>
    </row>
    <row r="2" spans="1:16" s="15" customFormat="1" ht="20.100000000000001" customHeight="1" x14ac:dyDescent="0.5">
      <c r="A2" s="176" t="s">
        <v>63</v>
      </c>
      <c r="B2" s="176"/>
      <c r="C2" s="176"/>
      <c r="D2" s="176"/>
      <c r="E2" s="176"/>
      <c r="F2" s="176"/>
      <c r="G2" s="176"/>
      <c r="H2" s="176"/>
      <c r="I2" s="176"/>
      <c r="J2" s="176"/>
      <c r="K2" s="176"/>
      <c r="L2" s="176"/>
    </row>
    <row r="3" spans="1:16" s="15" customFormat="1" ht="39.950000000000003" customHeight="1" x14ac:dyDescent="0.5">
      <c r="A3" s="177" t="s">
        <v>18</v>
      </c>
      <c r="B3" s="177"/>
      <c r="C3" s="177"/>
      <c r="D3" s="177"/>
      <c r="E3" s="177"/>
      <c r="F3" s="177"/>
      <c r="G3" s="177"/>
      <c r="H3" s="177"/>
      <c r="I3" s="177"/>
      <c r="J3" s="177"/>
      <c r="K3" s="177"/>
      <c r="L3" s="177"/>
    </row>
    <row r="4" spans="1:16" s="15" customFormat="1" ht="11.1" customHeight="1" x14ac:dyDescent="0.5">
      <c r="A4" s="11"/>
      <c r="B4" s="11"/>
      <c r="C4" s="11"/>
      <c r="D4" s="11"/>
      <c r="E4" s="11"/>
      <c r="F4" s="12"/>
      <c r="G4" s="12"/>
      <c r="H4" s="12"/>
      <c r="I4" s="12"/>
      <c r="J4" s="12"/>
      <c r="K4" s="12"/>
    </row>
    <row r="5" spans="1:16" ht="21.95" customHeight="1" x14ac:dyDescent="0.25">
      <c r="A5" s="178" t="s">
        <v>54</v>
      </c>
      <c r="B5" s="178"/>
      <c r="C5" s="178"/>
      <c r="D5" s="178"/>
      <c r="E5" s="72" t="s">
        <v>73</v>
      </c>
      <c r="F5" s="13"/>
      <c r="G5" s="14" t="s">
        <v>55</v>
      </c>
      <c r="H5" s="179" t="s">
        <v>64</v>
      </c>
      <c r="I5" s="179"/>
      <c r="J5" s="180" t="s">
        <v>56</v>
      </c>
      <c r="K5" s="180"/>
      <c r="L5" s="73" t="s">
        <v>65</v>
      </c>
    </row>
    <row r="6" spans="1:16" ht="11.1" customHeight="1" thickBot="1" x14ac:dyDescent="0.55000000000000004">
      <c r="A6" s="1"/>
      <c r="B6" s="1"/>
      <c r="C6" s="2"/>
      <c r="D6" s="2"/>
      <c r="E6" s="2"/>
      <c r="F6" s="20"/>
      <c r="G6" s="20"/>
      <c r="H6" s="163"/>
      <c r="I6" s="163"/>
      <c r="J6" s="163"/>
      <c r="K6" s="163"/>
      <c r="L6" s="15"/>
    </row>
    <row r="7" spans="1:16" s="16" customFormat="1" ht="20.100000000000001" customHeight="1" x14ac:dyDescent="0.35">
      <c r="A7" s="9"/>
      <c r="B7" s="9"/>
      <c r="C7" s="9"/>
      <c r="D7" s="164" t="s">
        <v>10</v>
      </c>
      <c r="E7" s="165"/>
      <c r="F7" s="166" t="s">
        <v>0</v>
      </c>
      <c r="G7" s="167"/>
      <c r="H7" s="165"/>
      <c r="I7" s="168" t="s">
        <v>1</v>
      </c>
      <c r="J7" s="168"/>
      <c r="K7" s="168"/>
      <c r="L7" s="10" t="s">
        <v>2</v>
      </c>
    </row>
    <row r="8" spans="1:16" ht="21.95" customHeight="1" x14ac:dyDescent="0.25">
      <c r="A8" s="13" t="s">
        <v>7</v>
      </c>
      <c r="B8" s="13"/>
      <c r="C8" s="13"/>
      <c r="D8" s="169" t="s">
        <v>66</v>
      </c>
      <c r="E8" s="170"/>
      <c r="F8" s="171" t="s">
        <v>67</v>
      </c>
      <c r="G8" s="172"/>
      <c r="H8" s="170"/>
      <c r="I8" s="173" t="s">
        <v>68</v>
      </c>
      <c r="J8" s="174"/>
      <c r="K8" s="174"/>
      <c r="L8" s="74" t="s">
        <v>70</v>
      </c>
    </row>
    <row r="9" spans="1:16" ht="21.95" customHeight="1" thickBot="1" x14ac:dyDescent="0.3">
      <c r="A9" s="13" t="s">
        <v>8</v>
      </c>
      <c r="B9" s="13"/>
      <c r="C9" s="13"/>
      <c r="D9" s="148" t="s">
        <v>69</v>
      </c>
      <c r="E9" s="149"/>
      <c r="F9" s="150" t="s">
        <v>67</v>
      </c>
      <c r="G9" s="151"/>
      <c r="H9" s="149"/>
      <c r="I9" s="152" t="s">
        <v>68</v>
      </c>
      <c r="J9" s="153"/>
      <c r="K9" s="153"/>
      <c r="L9" s="75" t="s">
        <v>70</v>
      </c>
    </row>
    <row r="10" spans="1:16" ht="11.1" customHeight="1" thickBot="1" x14ac:dyDescent="0.3">
      <c r="A10" s="1"/>
      <c r="B10" s="1"/>
      <c r="C10" s="2"/>
      <c r="D10" s="2"/>
      <c r="E10" s="3"/>
      <c r="F10" s="3"/>
      <c r="G10" s="3"/>
      <c r="H10" s="3"/>
      <c r="I10" s="3"/>
      <c r="J10" s="3"/>
      <c r="K10" s="3"/>
      <c r="L10" s="22"/>
    </row>
    <row r="11" spans="1:16" ht="39.75" customHeight="1" thickTop="1" thickBot="1" x14ac:dyDescent="0.3">
      <c r="A11" s="4"/>
      <c r="B11" s="4"/>
      <c r="C11" s="4"/>
      <c r="D11" s="4"/>
      <c r="E11" s="4"/>
      <c r="F11" s="154" t="s">
        <v>13</v>
      </c>
      <c r="G11" s="155"/>
      <c r="H11" s="29" t="s">
        <v>12</v>
      </c>
      <c r="I11" s="29" t="s">
        <v>11</v>
      </c>
      <c r="J11" s="29" t="s">
        <v>45</v>
      </c>
      <c r="K11" s="29" t="s">
        <v>3</v>
      </c>
      <c r="L11" s="156" t="s">
        <v>9</v>
      </c>
    </row>
    <row r="12" spans="1:16" s="16" customFormat="1" ht="20.100000000000001" customHeight="1" thickTop="1" thickBot="1" x14ac:dyDescent="0.4">
      <c r="A12" s="158" t="s">
        <v>4</v>
      </c>
      <c r="B12" s="159"/>
      <c r="C12" s="159"/>
      <c r="D12" s="159"/>
      <c r="E12" s="160"/>
      <c r="F12" s="161">
        <v>1</v>
      </c>
      <c r="G12" s="162"/>
      <c r="H12" s="30">
        <v>3</v>
      </c>
      <c r="I12" s="30">
        <v>5</v>
      </c>
      <c r="J12" s="30">
        <v>0.5</v>
      </c>
      <c r="K12" s="30">
        <v>10</v>
      </c>
      <c r="L12" s="157"/>
    </row>
    <row r="13" spans="1:16" ht="19.899999999999999" customHeight="1" thickBot="1" x14ac:dyDescent="0.3">
      <c r="A13" s="5">
        <v>1</v>
      </c>
      <c r="B13" s="5"/>
      <c r="C13" s="23"/>
      <c r="D13" s="144" t="s">
        <v>5</v>
      </c>
      <c r="E13" s="145"/>
      <c r="F13" s="57" t="s">
        <v>46</v>
      </c>
      <c r="G13" s="58"/>
      <c r="H13" s="59"/>
      <c r="I13" s="59"/>
      <c r="J13" s="59"/>
      <c r="K13" s="60"/>
      <c r="L13" s="34">
        <f>IF($L$37&lt;&gt;"",IF(SUMPRODUCT(--(TRIM(K13)&lt;&gt;""))&lt;&gt;0,0,MIN(10,MAX(1,10-5*(SUMPRODUCT(--(TRIM(I13)&lt;&gt;"")))-3*(SUMPRODUCT(--(TRIM(H13)&lt;&gt;"")))-1*SUMPRODUCT(--(TRIM(F13:G13)&lt;&gt;""))+IF(TRIM(J13)="-",-0.5,IF(TRIM(J13)="+",0.5,0))))),"")</f>
        <v>9</v>
      </c>
      <c r="N13" s="76" t="s">
        <v>51</v>
      </c>
      <c r="O13" s="76"/>
      <c r="P13" s="76" t="s">
        <v>46</v>
      </c>
    </row>
    <row r="14" spans="1:16" ht="19.899999999999999" customHeight="1" x14ac:dyDescent="0.25">
      <c r="A14" s="6">
        <v>2</v>
      </c>
      <c r="B14" s="6"/>
      <c r="C14" s="139" t="s">
        <v>19</v>
      </c>
      <c r="D14" s="146" t="s">
        <v>15</v>
      </c>
      <c r="E14" s="147"/>
      <c r="F14" s="61" t="s">
        <v>46</v>
      </c>
      <c r="G14" s="62" t="s">
        <v>46</v>
      </c>
      <c r="H14" s="63"/>
      <c r="I14" s="63"/>
      <c r="J14" s="63"/>
      <c r="K14" s="77"/>
      <c r="L14" s="35">
        <f t="shared" ref="L14:L35" si="0">IF($L$37&lt;&gt;"",IF(SUMPRODUCT(--(TRIM(K14)&lt;&gt;""))&lt;&gt;0,0,MIN(10,MAX(1,10-5*(SUMPRODUCT(--(TRIM(I14)&lt;&gt;"")))-3*(SUMPRODUCT(--(TRIM(H14)&lt;&gt;"")))-1*SUMPRODUCT(--(TRIM(F14:G14)&lt;&gt;""))+IF(TRIM(J14)="-",-0.5,IF(TRIM(J14)="+",0.5,0))))),"")</f>
        <v>8</v>
      </c>
      <c r="N14" s="76" t="s">
        <v>49</v>
      </c>
      <c r="O14" s="76"/>
      <c r="P14" s="76" t="s">
        <v>47</v>
      </c>
    </row>
    <row r="15" spans="1:16" ht="19.899999999999999" customHeight="1" x14ac:dyDescent="0.25">
      <c r="A15" s="7">
        <v>3</v>
      </c>
      <c r="B15" s="6"/>
      <c r="C15" s="126"/>
      <c r="D15" s="142" t="s">
        <v>20</v>
      </c>
      <c r="E15" s="143"/>
      <c r="F15" s="53"/>
      <c r="G15" s="54"/>
      <c r="H15" s="55" t="s">
        <v>46</v>
      </c>
      <c r="I15" s="55"/>
      <c r="J15" s="55"/>
      <c r="K15" s="56"/>
      <c r="L15" s="36">
        <f t="shared" si="0"/>
        <v>7</v>
      </c>
      <c r="N15" s="76" t="s">
        <v>50</v>
      </c>
      <c r="O15" s="76"/>
      <c r="P15" s="76" t="s">
        <v>48</v>
      </c>
    </row>
    <row r="16" spans="1:16" ht="19.899999999999999" customHeight="1" x14ac:dyDescent="0.25">
      <c r="A16" s="18">
        <v>4</v>
      </c>
      <c r="B16" s="21"/>
      <c r="C16" s="126"/>
      <c r="D16" s="130" t="s">
        <v>21</v>
      </c>
      <c r="E16" s="131"/>
      <c r="F16" s="42" t="s">
        <v>46</v>
      </c>
      <c r="G16" s="43"/>
      <c r="H16" s="44" t="s">
        <v>46</v>
      </c>
      <c r="I16" s="44"/>
      <c r="J16" s="44"/>
      <c r="K16" s="45"/>
      <c r="L16" s="37">
        <f t="shared" si="0"/>
        <v>6</v>
      </c>
    </row>
    <row r="17" spans="1:12" ht="19.899999999999999" customHeight="1" x14ac:dyDescent="0.25">
      <c r="A17" s="7">
        <v>5</v>
      </c>
      <c r="B17" s="6"/>
      <c r="C17" s="126"/>
      <c r="D17" s="142" t="s">
        <v>22</v>
      </c>
      <c r="E17" s="143"/>
      <c r="F17" s="53" t="s">
        <v>46</v>
      </c>
      <c r="G17" s="54" t="s">
        <v>46</v>
      </c>
      <c r="H17" s="55" t="s">
        <v>46</v>
      </c>
      <c r="I17" s="55"/>
      <c r="J17" s="55"/>
      <c r="K17" s="56"/>
      <c r="L17" s="36">
        <f t="shared" si="0"/>
        <v>5</v>
      </c>
    </row>
    <row r="18" spans="1:12" ht="19.899999999999999" customHeight="1" x14ac:dyDescent="0.25">
      <c r="A18" s="7">
        <v>6</v>
      </c>
      <c r="B18" s="6"/>
      <c r="C18" s="126"/>
      <c r="D18" s="130" t="s">
        <v>23</v>
      </c>
      <c r="E18" s="131"/>
      <c r="F18" s="42"/>
      <c r="G18" s="43"/>
      <c r="H18" s="44"/>
      <c r="I18" s="44" t="s">
        <v>46</v>
      </c>
      <c r="J18" s="44"/>
      <c r="K18" s="45"/>
      <c r="L18" s="37">
        <f t="shared" si="0"/>
        <v>5</v>
      </c>
    </row>
    <row r="19" spans="1:12" ht="19.899999999999999" customHeight="1" x14ac:dyDescent="0.25">
      <c r="A19" s="7">
        <v>7</v>
      </c>
      <c r="B19" s="6"/>
      <c r="C19" s="126"/>
      <c r="D19" s="142" t="s">
        <v>24</v>
      </c>
      <c r="E19" s="143"/>
      <c r="F19" s="53" t="s">
        <v>46</v>
      </c>
      <c r="G19" s="54"/>
      <c r="H19" s="55"/>
      <c r="I19" s="55" t="s">
        <v>46</v>
      </c>
      <c r="J19" s="55"/>
      <c r="K19" s="56"/>
      <c r="L19" s="36">
        <f t="shared" si="0"/>
        <v>4</v>
      </c>
    </row>
    <row r="20" spans="1:12" ht="19.899999999999999" customHeight="1" thickBot="1" x14ac:dyDescent="0.3">
      <c r="A20" s="7">
        <v>8</v>
      </c>
      <c r="B20" s="6"/>
      <c r="C20" s="126"/>
      <c r="D20" s="146" t="s">
        <v>25</v>
      </c>
      <c r="E20" s="147"/>
      <c r="F20" s="61" t="s">
        <v>46</v>
      </c>
      <c r="G20" s="62" t="s">
        <v>46</v>
      </c>
      <c r="H20" s="63"/>
      <c r="I20" s="63" t="s">
        <v>46</v>
      </c>
      <c r="J20" s="63"/>
      <c r="K20" s="77"/>
      <c r="L20" s="35">
        <f t="shared" si="0"/>
        <v>3</v>
      </c>
    </row>
    <row r="21" spans="1:12" ht="19.899999999999999" customHeight="1" x14ac:dyDescent="0.25">
      <c r="A21" s="24">
        <v>9</v>
      </c>
      <c r="B21" s="24"/>
      <c r="C21" s="139" t="s">
        <v>26</v>
      </c>
      <c r="D21" s="140" t="s">
        <v>14</v>
      </c>
      <c r="E21" s="141"/>
      <c r="F21" s="49"/>
      <c r="G21" s="50"/>
      <c r="H21" s="51" t="s">
        <v>46</v>
      </c>
      <c r="I21" s="51" t="s">
        <v>46</v>
      </c>
      <c r="J21" s="51"/>
      <c r="K21" s="52"/>
      <c r="L21" s="38">
        <f t="shared" si="0"/>
        <v>2</v>
      </c>
    </row>
    <row r="22" spans="1:12" ht="19.899999999999999" customHeight="1" x14ac:dyDescent="0.25">
      <c r="A22" s="7">
        <v>10</v>
      </c>
      <c r="B22" s="6"/>
      <c r="C22" s="126"/>
      <c r="D22" s="130" t="s">
        <v>27</v>
      </c>
      <c r="E22" s="131"/>
      <c r="F22" s="42" t="s">
        <v>46</v>
      </c>
      <c r="G22" s="43"/>
      <c r="H22" s="44" t="s">
        <v>46</v>
      </c>
      <c r="I22" s="44" t="s">
        <v>46</v>
      </c>
      <c r="J22" s="44"/>
      <c r="K22" s="45"/>
      <c r="L22" s="37">
        <f t="shared" si="0"/>
        <v>1</v>
      </c>
    </row>
    <row r="23" spans="1:12" ht="19.899999999999999" customHeight="1" x14ac:dyDescent="0.25">
      <c r="A23" s="7">
        <v>11</v>
      </c>
      <c r="B23" s="6"/>
      <c r="C23" s="126"/>
      <c r="D23" s="142" t="s">
        <v>28</v>
      </c>
      <c r="E23" s="143"/>
      <c r="F23" s="53" t="s">
        <v>46</v>
      </c>
      <c r="G23" s="54" t="s">
        <v>46</v>
      </c>
      <c r="H23" s="55" t="s">
        <v>46</v>
      </c>
      <c r="I23" s="55" t="s">
        <v>46</v>
      </c>
      <c r="J23" s="55"/>
      <c r="K23" s="56"/>
      <c r="L23" s="36">
        <f t="shared" si="0"/>
        <v>1</v>
      </c>
    </row>
    <row r="24" spans="1:12" ht="19.899999999999999" customHeight="1" x14ac:dyDescent="0.25">
      <c r="A24" s="18">
        <v>12</v>
      </c>
      <c r="B24" s="21"/>
      <c r="C24" s="126"/>
      <c r="D24" s="130" t="s">
        <v>29</v>
      </c>
      <c r="E24" s="131"/>
      <c r="F24" s="42"/>
      <c r="G24" s="43"/>
      <c r="H24" s="44"/>
      <c r="I24" s="44"/>
      <c r="J24" s="44" t="s">
        <v>47</v>
      </c>
      <c r="K24" s="45"/>
      <c r="L24" s="37">
        <f t="shared" si="0"/>
        <v>10</v>
      </c>
    </row>
    <row r="25" spans="1:12" ht="19.899999999999999" customHeight="1" thickBot="1" x14ac:dyDescent="0.3">
      <c r="A25" s="8">
        <v>13</v>
      </c>
      <c r="B25" s="28"/>
      <c r="C25" s="127"/>
      <c r="D25" s="132" t="s">
        <v>30</v>
      </c>
      <c r="E25" s="133"/>
      <c r="F25" s="68" t="s">
        <v>46</v>
      </c>
      <c r="G25" s="69" t="s">
        <v>46</v>
      </c>
      <c r="H25" s="70" t="s">
        <v>46</v>
      </c>
      <c r="I25" s="70" t="s">
        <v>46</v>
      </c>
      <c r="J25" s="70" t="s">
        <v>48</v>
      </c>
      <c r="K25" s="71"/>
      <c r="L25" s="39">
        <f t="shared" si="0"/>
        <v>1</v>
      </c>
    </row>
    <row r="26" spans="1:12" ht="19.899999999999999" customHeight="1" x14ac:dyDescent="0.25">
      <c r="A26" s="19">
        <v>14</v>
      </c>
      <c r="B26" s="21"/>
      <c r="C26" s="126" t="s">
        <v>17</v>
      </c>
      <c r="D26" s="128" t="s">
        <v>16</v>
      </c>
      <c r="E26" s="129"/>
      <c r="F26" s="64" t="s">
        <v>46</v>
      </c>
      <c r="G26" s="65" t="s">
        <v>46</v>
      </c>
      <c r="H26" s="66"/>
      <c r="I26" s="66"/>
      <c r="J26" s="66" t="s">
        <v>47</v>
      </c>
      <c r="K26" s="67"/>
      <c r="L26" s="40">
        <f t="shared" si="0"/>
        <v>8.5</v>
      </c>
    </row>
    <row r="27" spans="1:12" ht="19.899999999999999" customHeight="1" x14ac:dyDescent="0.25">
      <c r="A27" s="18">
        <v>15</v>
      </c>
      <c r="B27" s="21"/>
      <c r="C27" s="126"/>
      <c r="D27" s="130" t="s">
        <v>31</v>
      </c>
      <c r="E27" s="131"/>
      <c r="F27" s="42" t="s">
        <v>46</v>
      </c>
      <c r="G27" s="43" t="s">
        <v>46</v>
      </c>
      <c r="H27" s="44"/>
      <c r="I27" s="44"/>
      <c r="J27" s="44" t="s">
        <v>48</v>
      </c>
      <c r="K27" s="45"/>
      <c r="L27" s="37">
        <f t="shared" si="0"/>
        <v>7.5</v>
      </c>
    </row>
    <row r="28" spans="1:12" ht="19.899999999999999" customHeight="1" thickBot="1" x14ac:dyDescent="0.3">
      <c r="A28" s="8">
        <v>16</v>
      </c>
      <c r="B28" s="28"/>
      <c r="C28" s="127"/>
      <c r="D28" s="132" t="s">
        <v>32</v>
      </c>
      <c r="E28" s="133"/>
      <c r="F28" s="68"/>
      <c r="G28" s="69"/>
      <c r="H28" s="70" t="s">
        <v>46</v>
      </c>
      <c r="I28" s="70"/>
      <c r="J28" s="70"/>
      <c r="K28" s="71"/>
      <c r="L28" s="39">
        <f t="shared" si="0"/>
        <v>7</v>
      </c>
    </row>
    <row r="29" spans="1:12" ht="19.899999999999999" customHeight="1" x14ac:dyDescent="0.25">
      <c r="A29" s="19">
        <v>17</v>
      </c>
      <c r="B29" s="21"/>
      <c r="C29" s="126" t="s">
        <v>33</v>
      </c>
      <c r="D29" s="128" t="s">
        <v>34</v>
      </c>
      <c r="E29" s="129"/>
      <c r="F29" s="64" t="s">
        <v>46</v>
      </c>
      <c r="G29" s="65"/>
      <c r="H29" s="66"/>
      <c r="I29" s="66"/>
      <c r="J29" s="66"/>
      <c r="K29" s="67"/>
      <c r="L29" s="40">
        <f t="shared" si="0"/>
        <v>9</v>
      </c>
    </row>
    <row r="30" spans="1:12" ht="19.899999999999999" customHeight="1" x14ac:dyDescent="0.25">
      <c r="A30" s="18">
        <v>18</v>
      </c>
      <c r="B30" s="21"/>
      <c r="C30" s="126"/>
      <c r="D30" s="130" t="s">
        <v>35</v>
      </c>
      <c r="E30" s="131"/>
      <c r="F30" s="42" t="s">
        <v>46</v>
      </c>
      <c r="G30" s="43" t="s">
        <v>46</v>
      </c>
      <c r="H30" s="44"/>
      <c r="I30" s="44"/>
      <c r="J30" s="44"/>
      <c r="K30" s="45"/>
      <c r="L30" s="37">
        <f t="shared" si="0"/>
        <v>8</v>
      </c>
    </row>
    <row r="31" spans="1:12" ht="19.899999999999999" customHeight="1" thickBot="1" x14ac:dyDescent="0.3">
      <c r="A31" s="8">
        <v>19</v>
      </c>
      <c r="B31" s="28"/>
      <c r="C31" s="127"/>
      <c r="D31" s="132" t="s">
        <v>36</v>
      </c>
      <c r="E31" s="133"/>
      <c r="F31" s="68"/>
      <c r="G31" s="69"/>
      <c r="H31" s="70" t="s">
        <v>46</v>
      </c>
      <c r="I31" s="70"/>
      <c r="J31" s="70"/>
      <c r="K31" s="71"/>
      <c r="L31" s="39">
        <f t="shared" si="0"/>
        <v>7</v>
      </c>
    </row>
    <row r="32" spans="1:12" ht="19.899999999999999" customHeight="1" x14ac:dyDescent="0.25">
      <c r="A32" s="19">
        <v>20</v>
      </c>
      <c r="B32" s="21"/>
      <c r="C32" s="126" t="s">
        <v>37</v>
      </c>
      <c r="D32" s="128" t="s">
        <v>38</v>
      </c>
      <c r="E32" s="129"/>
      <c r="F32" s="64" t="s">
        <v>46</v>
      </c>
      <c r="G32" s="65"/>
      <c r="H32" s="66" t="s">
        <v>46</v>
      </c>
      <c r="I32" s="66"/>
      <c r="J32" s="66"/>
      <c r="K32" s="67"/>
      <c r="L32" s="40">
        <f t="shared" si="0"/>
        <v>6</v>
      </c>
    </row>
    <row r="33" spans="1:12" ht="19.899999999999999" customHeight="1" x14ac:dyDescent="0.25">
      <c r="A33" s="18">
        <v>21</v>
      </c>
      <c r="B33" s="21"/>
      <c r="C33" s="126"/>
      <c r="D33" s="130" t="s">
        <v>39</v>
      </c>
      <c r="E33" s="131"/>
      <c r="F33" s="42" t="s">
        <v>46</v>
      </c>
      <c r="G33" s="43" t="s">
        <v>46</v>
      </c>
      <c r="H33" s="44" t="s">
        <v>46</v>
      </c>
      <c r="I33" s="44"/>
      <c r="J33" s="44"/>
      <c r="K33" s="45"/>
      <c r="L33" s="37">
        <f t="shared" si="0"/>
        <v>5</v>
      </c>
    </row>
    <row r="34" spans="1:12" ht="19.899999999999999" customHeight="1" thickBot="1" x14ac:dyDescent="0.3">
      <c r="A34" s="8">
        <v>22</v>
      </c>
      <c r="B34" s="28"/>
      <c r="C34" s="127"/>
      <c r="D34" s="132" t="s">
        <v>40</v>
      </c>
      <c r="E34" s="133"/>
      <c r="F34" s="68"/>
      <c r="G34" s="69"/>
      <c r="H34" s="70"/>
      <c r="I34" s="70" t="s">
        <v>46</v>
      </c>
      <c r="J34" s="70"/>
      <c r="K34" s="71"/>
      <c r="L34" s="39">
        <f t="shared" si="0"/>
        <v>5</v>
      </c>
    </row>
    <row r="35" spans="1:12" ht="19.899999999999999" customHeight="1" thickBot="1" x14ac:dyDescent="0.3">
      <c r="A35" s="19">
        <v>23</v>
      </c>
      <c r="B35" s="21"/>
      <c r="C35" s="25"/>
      <c r="D35" s="134" t="s">
        <v>6</v>
      </c>
      <c r="E35" s="135"/>
      <c r="F35" s="78"/>
      <c r="G35" s="79"/>
      <c r="H35" s="80"/>
      <c r="I35" s="80"/>
      <c r="J35" s="80"/>
      <c r="K35" s="81"/>
      <c r="L35" s="41">
        <f t="shared" si="0"/>
        <v>10</v>
      </c>
    </row>
    <row r="36" spans="1:12" ht="21.95" customHeight="1" thickTop="1" thickBot="1" x14ac:dyDescent="0.3">
      <c r="A36" s="136" t="s">
        <v>41</v>
      </c>
      <c r="B36" s="137"/>
      <c r="C36" s="137"/>
      <c r="D36" s="137"/>
      <c r="E36" s="138"/>
      <c r="F36" s="119">
        <f>IF($L$37&lt;&gt;"",SUMPRODUCT(--(TRIM(F13:G35)&lt;&gt;"")),"")</f>
        <v>24</v>
      </c>
      <c r="G36" s="120">
        <f t="shared" ref="G36" si="1">IF($L$37&lt;&gt;"",COUNTIF(G13:G29,"x"))</f>
        <v>7</v>
      </c>
      <c r="H36" s="46">
        <f>IF($L$37&lt;&gt;"",SUMPRODUCT(--(TRIM(H13:H35)&lt;&gt;"")),"")</f>
        <v>11</v>
      </c>
      <c r="I36" s="46">
        <f>IF($L$37&lt;&gt;"",SUMPRODUCT(--(TRIM(I13:I35)&lt;&gt;"")),"")</f>
        <v>8</v>
      </c>
      <c r="J36" s="48">
        <f>IF($L$37&lt;&gt;"",(COUNTIFS(J13:J35,"+")-COUNTIFS(J13:J35,"-"))*0.5,"")</f>
        <v>0</v>
      </c>
      <c r="K36" s="47">
        <f>IF($L$37&lt;&gt;"",SUMPRODUCT(--(TRIM(K13:K35)&lt;&gt;"")),"")</f>
        <v>0</v>
      </c>
      <c r="L36" s="33">
        <f>IF(L37&lt;&gt;"",IF(K36&lt;1,SUM(L13:L35),IF(K36&gt;=1,ROUNDUP(SUM(L13:L35)/2,0),"")),"")</f>
        <v>135</v>
      </c>
    </row>
    <row r="37" spans="1:12" s="27" customFormat="1" ht="20.100000000000001" customHeight="1" thickTop="1" thickBot="1" x14ac:dyDescent="0.35">
      <c r="A37" s="121" t="s">
        <v>57</v>
      </c>
      <c r="B37" s="122"/>
      <c r="C37" s="122"/>
      <c r="D37" s="122"/>
      <c r="E37" s="26" t="s">
        <v>74</v>
      </c>
      <c r="F37" s="123" t="s">
        <v>42</v>
      </c>
      <c r="G37" s="124"/>
      <c r="H37" s="124"/>
      <c r="I37" s="124"/>
      <c r="J37" s="124"/>
      <c r="K37" s="125"/>
      <c r="L37" s="82" t="s">
        <v>53</v>
      </c>
    </row>
    <row r="38" spans="1:12" ht="15.75" thickTop="1" x14ac:dyDescent="0.25"/>
  </sheetData>
  <sheetProtection algorithmName="SHA-512" hashValue="XfiPGfwV0ez1Mwajhp2oiLAmLrzzuQYhx08RPqn8QSk2aOTs1p1Jjn37+xX6D+FAS0VmSmJBOZGwwdNXDI6l/g==" saltValue="xLTvSGSP3wLytoQ2hSSiAQ==" spinCount="100000" sheet="1" objects="1" scenarios="1"/>
  <mergeCells count="52">
    <mergeCell ref="E1:I1"/>
    <mergeCell ref="A2:L2"/>
    <mergeCell ref="A3:L3"/>
    <mergeCell ref="A5:D5"/>
    <mergeCell ref="H5:I5"/>
    <mergeCell ref="J5:K5"/>
    <mergeCell ref="H6:K6"/>
    <mergeCell ref="D7:E7"/>
    <mergeCell ref="F7:H7"/>
    <mergeCell ref="I7:K7"/>
    <mergeCell ref="D8:E8"/>
    <mergeCell ref="F8:H8"/>
    <mergeCell ref="I8:K8"/>
    <mergeCell ref="D9:E9"/>
    <mergeCell ref="F9:H9"/>
    <mergeCell ref="I9:K9"/>
    <mergeCell ref="F11:G11"/>
    <mergeCell ref="L11:L12"/>
    <mergeCell ref="A12:E12"/>
    <mergeCell ref="F12:G12"/>
    <mergeCell ref="D13:E13"/>
    <mergeCell ref="C14:C20"/>
    <mergeCell ref="D14:E14"/>
    <mergeCell ref="D15:E15"/>
    <mergeCell ref="D16:E16"/>
    <mergeCell ref="D17:E17"/>
    <mergeCell ref="D18:E18"/>
    <mergeCell ref="D19:E19"/>
    <mergeCell ref="D20:E20"/>
    <mergeCell ref="C21:C25"/>
    <mergeCell ref="D21:E21"/>
    <mergeCell ref="D22:E22"/>
    <mergeCell ref="D23:E23"/>
    <mergeCell ref="D24:E24"/>
    <mergeCell ref="D25:E25"/>
    <mergeCell ref="C26:C28"/>
    <mergeCell ref="D26:E26"/>
    <mergeCell ref="D27:E27"/>
    <mergeCell ref="D28:E28"/>
    <mergeCell ref="C29:C31"/>
    <mergeCell ref="D29:E29"/>
    <mergeCell ref="D30:E30"/>
    <mergeCell ref="D31:E31"/>
    <mergeCell ref="F36:G36"/>
    <mergeCell ref="A37:D37"/>
    <mergeCell ref="F37:K37"/>
    <mergeCell ref="C32:C34"/>
    <mergeCell ref="D32:E32"/>
    <mergeCell ref="D33:E33"/>
    <mergeCell ref="D34:E34"/>
    <mergeCell ref="D35:E35"/>
    <mergeCell ref="A36:E36"/>
  </mergeCells>
  <dataValidations count="2">
    <dataValidation type="list" allowBlank="1" showDropDown="1" showInputMessage="1" showErrorMessage="1" sqref="J13:J35" xr:uid="{934BE180-15EC-4D0E-B031-9D8B09865135}">
      <formula1>$P$14:$P$15</formula1>
    </dataValidation>
    <dataValidation type="list" allowBlank="1" showDropDown="1" showInputMessage="1" showErrorMessage="1" sqref="F13:I35 K13:K35" xr:uid="{E8F59B60-6503-4F9C-92F6-01E90D5268AD}">
      <formula1>$P$13</formula1>
    </dataValidation>
  </dataValidations>
  <printOptions horizontalCentered="1" verticalCentered="1"/>
  <pageMargins left="0.78740157480314965" right="0.31496062992125984" top="0.39370078740157483" bottom="0.39370078740157483" header="0.39370078740157483" footer="0.23622047244094491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128037-7030-4EAF-9F1D-9D2A4EB88C4B}">
  <sheetPr codeName="Tabelle14"/>
  <dimension ref="A1:P38"/>
  <sheetViews>
    <sheetView workbookViewId="0">
      <selection activeCell="F13" sqref="F13"/>
    </sheetView>
  </sheetViews>
  <sheetFormatPr baseColWidth="10" defaultColWidth="11.42578125" defaultRowHeight="15" x14ac:dyDescent="0.25"/>
  <cols>
    <col min="1" max="1" width="3.7109375" customWidth="1"/>
    <col min="2" max="2" width="3.7109375" hidden="1" customWidth="1"/>
    <col min="3" max="3" width="3.7109375" customWidth="1"/>
    <col min="4" max="4" width="5.7109375" customWidth="1"/>
    <col min="5" max="5" width="18.140625" customWidth="1"/>
    <col min="6" max="7" width="4.7109375" customWidth="1"/>
    <col min="8" max="12" width="8.7109375" customWidth="1"/>
  </cols>
  <sheetData>
    <row r="1" spans="1:16" s="15" customFormat="1" ht="24.95" customHeight="1" x14ac:dyDescent="0.5">
      <c r="A1" s="31"/>
      <c r="B1" s="31"/>
      <c r="C1" s="31"/>
      <c r="D1" s="31"/>
      <c r="E1" s="175" t="s">
        <v>44</v>
      </c>
      <c r="F1" s="175"/>
      <c r="G1" s="175"/>
      <c r="H1" s="175"/>
      <c r="I1" s="175"/>
      <c r="J1" s="32"/>
      <c r="K1" s="31"/>
      <c r="L1" s="31"/>
    </row>
    <row r="2" spans="1:16" s="15" customFormat="1" ht="20.100000000000001" customHeight="1" x14ac:dyDescent="0.5">
      <c r="A2" s="176" t="s">
        <v>63</v>
      </c>
      <c r="B2" s="176"/>
      <c r="C2" s="176"/>
      <c r="D2" s="176"/>
      <c r="E2" s="176"/>
      <c r="F2" s="176"/>
      <c r="G2" s="176"/>
      <c r="H2" s="176"/>
      <c r="I2" s="176"/>
      <c r="J2" s="176"/>
      <c r="K2" s="176"/>
      <c r="L2" s="176"/>
    </row>
    <row r="3" spans="1:16" s="15" customFormat="1" ht="39.950000000000003" customHeight="1" x14ac:dyDescent="0.5">
      <c r="A3" s="177" t="s">
        <v>18</v>
      </c>
      <c r="B3" s="177"/>
      <c r="C3" s="177"/>
      <c r="D3" s="177"/>
      <c r="E3" s="177"/>
      <c r="F3" s="177"/>
      <c r="G3" s="177"/>
      <c r="H3" s="177"/>
      <c r="I3" s="177"/>
      <c r="J3" s="177"/>
      <c r="K3" s="177"/>
      <c r="L3" s="177"/>
    </row>
    <row r="4" spans="1:16" s="15" customFormat="1" ht="11.1" customHeight="1" x14ac:dyDescent="0.5">
      <c r="A4" s="11"/>
      <c r="B4" s="11"/>
      <c r="C4" s="11"/>
      <c r="D4" s="11"/>
      <c r="E4" s="11"/>
      <c r="F4" s="12"/>
      <c r="G4" s="12"/>
      <c r="H4" s="12"/>
      <c r="I4" s="12"/>
      <c r="J4" s="12"/>
      <c r="K4" s="12"/>
    </row>
    <row r="5" spans="1:16" ht="21.95" customHeight="1" x14ac:dyDescent="0.25">
      <c r="A5" s="178" t="s">
        <v>54</v>
      </c>
      <c r="B5" s="178"/>
      <c r="C5" s="178"/>
      <c r="D5" s="178"/>
      <c r="E5" s="72" t="s">
        <v>75</v>
      </c>
      <c r="F5" s="13"/>
      <c r="G5" s="14" t="s">
        <v>55</v>
      </c>
      <c r="H5" s="179" t="s">
        <v>64</v>
      </c>
      <c r="I5" s="179"/>
      <c r="J5" s="180" t="s">
        <v>56</v>
      </c>
      <c r="K5" s="180"/>
      <c r="L5" s="73" t="s">
        <v>65</v>
      </c>
    </row>
    <row r="6" spans="1:16" ht="11.1" customHeight="1" thickBot="1" x14ac:dyDescent="0.55000000000000004">
      <c r="A6" s="1"/>
      <c r="B6" s="1"/>
      <c r="C6" s="2"/>
      <c r="D6" s="2"/>
      <c r="E6" s="2"/>
      <c r="F6" s="20"/>
      <c r="G6" s="20"/>
      <c r="H6" s="163"/>
      <c r="I6" s="163"/>
      <c r="J6" s="163"/>
      <c r="K6" s="163"/>
      <c r="L6" s="15"/>
    </row>
    <row r="7" spans="1:16" s="16" customFormat="1" ht="20.100000000000001" customHeight="1" x14ac:dyDescent="0.35">
      <c r="A7" s="9"/>
      <c r="B7" s="9"/>
      <c r="C7" s="9"/>
      <c r="D7" s="164" t="s">
        <v>10</v>
      </c>
      <c r="E7" s="165"/>
      <c r="F7" s="166" t="s">
        <v>0</v>
      </c>
      <c r="G7" s="167"/>
      <c r="H7" s="165"/>
      <c r="I7" s="168" t="s">
        <v>1</v>
      </c>
      <c r="J7" s="168"/>
      <c r="K7" s="168"/>
      <c r="L7" s="10" t="s">
        <v>2</v>
      </c>
    </row>
    <row r="8" spans="1:16" ht="21.95" customHeight="1" x14ac:dyDescent="0.25">
      <c r="A8" s="13" t="s">
        <v>7</v>
      </c>
      <c r="B8" s="13"/>
      <c r="C8" s="13"/>
      <c r="D8" s="169" t="s">
        <v>66</v>
      </c>
      <c r="E8" s="170"/>
      <c r="F8" s="171" t="s">
        <v>67</v>
      </c>
      <c r="G8" s="172"/>
      <c r="H8" s="170"/>
      <c r="I8" s="173" t="s">
        <v>68</v>
      </c>
      <c r="J8" s="174"/>
      <c r="K8" s="174"/>
      <c r="L8" s="74" t="s">
        <v>70</v>
      </c>
    </row>
    <row r="9" spans="1:16" ht="21.95" customHeight="1" thickBot="1" x14ac:dyDescent="0.3">
      <c r="A9" s="13" t="s">
        <v>8</v>
      </c>
      <c r="B9" s="13"/>
      <c r="C9" s="13"/>
      <c r="D9" s="148" t="s">
        <v>69</v>
      </c>
      <c r="E9" s="149"/>
      <c r="F9" s="150" t="s">
        <v>67</v>
      </c>
      <c r="G9" s="151"/>
      <c r="H9" s="149"/>
      <c r="I9" s="152" t="s">
        <v>68</v>
      </c>
      <c r="J9" s="153"/>
      <c r="K9" s="153"/>
      <c r="L9" s="75" t="s">
        <v>70</v>
      </c>
    </row>
    <row r="10" spans="1:16" ht="11.1" customHeight="1" thickBot="1" x14ac:dyDescent="0.3">
      <c r="A10" s="1"/>
      <c r="B10" s="1"/>
      <c r="C10" s="2"/>
      <c r="D10" s="2"/>
      <c r="E10" s="3"/>
      <c r="F10" s="3"/>
      <c r="G10" s="3"/>
      <c r="H10" s="3"/>
      <c r="I10" s="3"/>
      <c r="J10" s="3"/>
      <c r="K10" s="3"/>
      <c r="L10" s="22"/>
    </row>
    <row r="11" spans="1:16" ht="39.75" customHeight="1" thickTop="1" thickBot="1" x14ac:dyDescent="0.3">
      <c r="A11" s="4"/>
      <c r="B11" s="4"/>
      <c r="C11" s="4"/>
      <c r="D11" s="4"/>
      <c r="E11" s="4"/>
      <c r="F11" s="154" t="s">
        <v>13</v>
      </c>
      <c r="G11" s="155"/>
      <c r="H11" s="29" t="s">
        <v>12</v>
      </c>
      <c r="I11" s="29" t="s">
        <v>11</v>
      </c>
      <c r="J11" s="29" t="s">
        <v>45</v>
      </c>
      <c r="K11" s="29" t="s">
        <v>3</v>
      </c>
      <c r="L11" s="156" t="s">
        <v>9</v>
      </c>
    </row>
    <row r="12" spans="1:16" s="16" customFormat="1" ht="20.100000000000001" customHeight="1" thickTop="1" thickBot="1" x14ac:dyDescent="0.4">
      <c r="A12" s="158" t="s">
        <v>4</v>
      </c>
      <c r="B12" s="159"/>
      <c r="C12" s="159"/>
      <c r="D12" s="159"/>
      <c r="E12" s="160"/>
      <c r="F12" s="161">
        <v>1</v>
      </c>
      <c r="G12" s="162"/>
      <c r="H12" s="30">
        <v>3</v>
      </c>
      <c r="I12" s="30">
        <v>5</v>
      </c>
      <c r="J12" s="30">
        <v>0.5</v>
      </c>
      <c r="K12" s="30">
        <v>10</v>
      </c>
      <c r="L12" s="157"/>
    </row>
    <row r="13" spans="1:16" ht="19.899999999999999" customHeight="1" thickBot="1" x14ac:dyDescent="0.3">
      <c r="A13" s="5">
        <v>1</v>
      </c>
      <c r="B13" s="5"/>
      <c r="C13" s="23"/>
      <c r="D13" s="144" t="s">
        <v>5</v>
      </c>
      <c r="E13" s="145"/>
      <c r="F13" s="57" t="s">
        <v>46</v>
      </c>
      <c r="G13" s="58"/>
      <c r="H13" s="59"/>
      <c r="I13" s="59"/>
      <c r="J13" s="59"/>
      <c r="K13" s="60"/>
      <c r="L13" s="34">
        <f>IF($L$37&lt;&gt;"",IF(SUMPRODUCT(--(TRIM(K13)&lt;&gt;""))&lt;&gt;0,0,MIN(10,MAX(1,10-5*(SUMPRODUCT(--(TRIM(I13)&lt;&gt;"")))-3*(SUMPRODUCT(--(TRIM(H13)&lt;&gt;"")))-1*SUMPRODUCT(--(TRIM(F13:G13)&lt;&gt;""))+IF(TRIM(J13)="-",-0.5,IF(TRIM(J13)="+",0.5,0))))),"")</f>
        <v>9</v>
      </c>
      <c r="N13" s="76" t="s">
        <v>51</v>
      </c>
      <c r="O13" s="76"/>
      <c r="P13" s="76" t="s">
        <v>46</v>
      </c>
    </row>
    <row r="14" spans="1:16" ht="19.899999999999999" customHeight="1" x14ac:dyDescent="0.25">
      <c r="A14" s="6">
        <v>2</v>
      </c>
      <c r="B14" s="6"/>
      <c r="C14" s="139" t="s">
        <v>19</v>
      </c>
      <c r="D14" s="146" t="s">
        <v>15</v>
      </c>
      <c r="E14" s="147"/>
      <c r="F14" s="61" t="s">
        <v>46</v>
      </c>
      <c r="G14" s="62" t="s">
        <v>46</v>
      </c>
      <c r="H14" s="63"/>
      <c r="I14" s="63"/>
      <c r="J14" s="63"/>
      <c r="K14" s="77"/>
      <c r="L14" s="35">
        <f t="shared" ref="L14:L35" si="0">IF($L$37&lt;&gt;"",IF(SUMPRODUCT(--(TRIM(K14)&lt;&gt;""))&lt;&gt;0,0,MIN(10,MAX(1,10-5*(SUMPRODUCT(--(TRIM(I14)&lt;&gt;"")))-3*(SUMPRODUCT(--(TRIM(H14)&lt;&gt;"")))-1*SUMPRODUCT(--(TRIM(F14:G14)&lt;&gt;""))+IF(TRIM(J14)="-",-0.5,IF(TRIM(J14)="+",0.5,0))))),"")</f>
        <v>8</v>
      </c>
      <c r="N14" s="76" t="s">
        <v>49</v>
      </c>
      <c r="O14" s="76"/>
      <c r="P14" s="76" t="s">
        <v>47</v>
      </c>
    </row>
    <row r="15" spans="1:16" ht="19.899999999999999" customHeight="1" x14ac:dyDescent="0.25">
      <c r="A15" s="7">
        <v>3</v>
      </c>
      <c r="B15" s="6"/>
      <c r="C15" s="126"/>
      <c r="D15" s="142" t="s">
        <v>20</v>
      </c>
      <c r="E15" s="143"/>
      <c r="F15" s="53"/>
      <c r="G15" s="54"/>
      <c r="H15" s="55" t="s">
        <v>46</v>
      </c>
      <c r="I15" s="55"/>
      <c r="J15" s="55"/>
      <c r="K15" s="56"/>
      <c r="L15" s="36">
        <f t="shared" si="0"/>
        <v>7</v>
      </c>
      <c r="N15" s="76" t="s">
        <v>50</v>
      </c>
      <c r="O15" s="76"/>
      <c r="P15" s="76" t="s">
        <v>48</v>
      </c>
    </row>
    <row r="16" spans="1:16" ht="19.899999999999999" customHeight="1" x14ac:dyDescent="0.25">
      <c r="A16" s="18">
        <v>4</v>
      </c>
      <c r="B16" s="21"/>
      <c r="C16" s="126"/>
      <c r="D16" s="130" t="s">
        <v>21</v>
      </c>
      <c r="E16" s="131"/>
      <c r="F16" s="42" t="s">
        <v>46</v>
      </c>
      <c r="G16" s="43"/>
      <c r="H16" s="44" t="s">
        <v>46</v>
      </c>
      <c r="I16" s="44"/>
      <c r="J16" s="44"/>
      <c r="K16" s="45"/>
      <c r="L16" s="37">
        <f t="shared" si="0"/>
        <v>6</v>
      </c>
    </row>
    <row r="17" spans="1:12" ht="19.899999999999999" customHeight="1" x14ac:dyDescent="0.25">
      <c r="A17" s="7">
        <v>5</v>
      </c>
      <c r="B17" s="6"/>
      <c r="C17" s="126"/>
      <c r="D17" s="142" t="s">
        <v>22</v>
      </c>
      <c r="E17" s="143"/>
      <c r="F17" s="53" t="s">
        <v>46</v>
      </c>
      <c r="G17" s="54" t="s">
        <v>46</v>
      </c>
      <c r="H17" s="55" t="s">
        <v>46</v>
      </c>
      <c r="I17" s="55"/>
      <c r="J17" s="55"/>
      <c r="K17" s="56"/>
      <c r="L17" s="36">
        <f t="shared" si="0"/>
        <v>5</v>
      </c>
    </row>
    <row r="18" spans="1:12" ht="19.899999999999999" customHeight="1" x14ac:dyDescent="0.25">
      <c r="A18" s="7">
        <v>6</v>
      </c>
      <c r="B18" s="6"/>
      <c r="C18" s="126"/>
      <c r="D18" s="130" t="s">
        <v>23</v>
      </c>
      <c r="E18" s="131"/>
      <c r="F18" s="42"/>
      <c r="G18" s="43"/>
      <c r="H18" s="44"/>
      <c r="I18" s="44" t="s">
        <v>46</v>
      </c>
      <c r="J18" s="44"/>
      <c r="K18" s="45"/>
      <c r="L18" s="37">
        <f t="shared" si="0"/>
        <v>5</v>
      </c>
    </row>
    <row r="19" spans="1:12" ht="19.899999999999999" customHeight="1" x14ac:dyDescent="0.25">
      <c r="A19" s="7">
        <v>7</v>
      </c>
      <c r="B19" s="6"/>
      <c r="C19" s="126"/>
      <c r="D19" s="142" t="s">
        <v>24</v>
      </c>
      <c r="E19" s="143"/>
      <c r="F19" s="53" t="s">
        <v>46</v>
      </c>
      <c r="G19" s="54"/>
      <c r="H19" s="55"/>
      <c r="I19" s="55" t="s">
        <v>46</v>
      </c>
      <c r="J19" s="55"/>
      <c r="K19" s="56"/>
      <c r="L19" s="36">
        <f t="shared" si="0"/>
        <v>4</v>
      </c>
    </row>
    <row r="20" spans="1:12" ht="19.899999999999999" customHeight="1" thickBot="1" x14ac:dyDescent="0.3">
      <c r="A20" s="7">
        <v>8</v>
      </c>
      <c r="B20" s="6"/>
      <c r="C20" s="126"/>
      <c r="D20" s="146" t="s">
        <v>25</v>
      </c>
      <c r="E20" s="147"/>
      <c r="F20" s="61" t="s">
        <v>46</v>
      </c>
      <c r="G20" s="62" t="s">
        <v>46</v>
      </c>
      <c r="H20" s="63"/>
      <c r="I20" s="63" t="s">
        <v>46</v>
      </c>
      <c r="J20" s="63"/>
      <c r="K20" s="77"/>
      <c r="L20" s="35">
        <f t="shared" si="0"/>
        <v>3</v>
      </c>
    </row>
    <row r="21" spans="1:12" ht="19.899999999999999" customHeight="1" x14ac:dyDescent="0.25">
      <c r="A21" s="24">
        <v>9</v>
      </c>
      <c r="B21" s="24"/>
      <c r="C21" s="139" t="s">
        <v>26</v>
      </c>
      <c r="D21" s="140" t="s">
        <v>14</v>
      </c>
      <c r="E21" s="141"/>
      <c r="F21" s="49"/>
      <c r="G21" s="50"/>
      <c r="H21" s="51" t="s">
        <v>46</v>
      </c>
      <c r="I21" s="51" t="s">
        <v>46</v>
      </c>
      <c r="J21" s="51"/>
      <c r="K21" s="52"/>
      <c r="L21" s="38">
        <f t="shared" si="0"/>
        <v>2</v>
      </c>
    </row>
    <row r="22" spans="1:12" ht="19.899999999999999" customHeight="1" x14ac:dyDescent="0.25">
      <c r="A22" s="7">
        <v>10</v>
      </c>
      <c r="B22" s="6"/>
      <c r="C22" s="126"/>
      <c r="D22" s="130" t="s">
        <v>27</v>
      </c>
      <c r="E22" s="131"/>
      <c r="F22" s="42" t="s">
        <v>46</v>
      </c>
      <c r="G22" s="43"/>
      <c r="H22" s="44" t="s">
        <v>46</v>
      </c>
      <c r="I22" s="44" t="s">
        <v>46</v>
      </c>
      <c r="J22" s="44"/>
      <c r="K22" s="45"/>
      <c r="L22" s="37">
        <f t="shared" si="0"/>
        <v>1</v>
      </c>
    </row>
    <row r="23" spans="1:12" ht="19.899999999999999" customHeight="1" x14ac:dyDescent="0.25">
      <c r="A23" s="7">
        <v>11</v>
      </c>
      <c r="B23" s="6"/>
      <c r="C23" s="126"/>
      <c r="D23" s="142" t="s">
        <v>28</v>
      </c>
      <c r="E23" s="143"/>
      <c r="F23" s="53" t="s">
        <v>46</v>
      </c>
      <c r="G23" s="54" t="s">
        <v>46</v>
      </c>
      <c r="H23" s="55" t="s">
        <v>46</v>
      </c>
      <c r="I23" s="55" t="s">
        <v>46</v>
      </c>
      <c r="J23" s="55"/>
      <c r="K23" s="56"/>
      <c r="L23" s="36">
        <f t="shared" si="0"/>
        <v>1</v>
      </c>
    </row>
    <row r="24" spans="1:12" ht="19.899999999999999" customHeight="1" x14ac:dyDescent="0.25">
      <c r="A24" s="18">
        <v>12</v>
      </c>
      <c r="B24" s="21"/>
      <c r="C24" s="126"/>
      <c r="D24" s="130" t="s">
        <v>29</v>
      </c>
      <c r="E24" s="131"/>
      <c r="F24" s="42"/>
      <c r="G24" s="43"/>
      <c r="H24" s="44"/>
      <c r="I24" s="44"/>
      <c r="J24" s="44" t="s">
        <v>47</v>
      </c>
      <c r="K24" s="45"/>
      <c r="L24" s="37">
        <f t="shared" si="0"/>
        <v>10</v>
      </c>
    </row>
    <row r="25" spans="1:12" ht="19.899999999999999" customHeight="1" thickBot="1" x14ac:dyDescent="0.3">
      <c r="A25" s="8">
        <v>13</v>
      </c>
      <c r="B25" s="28"/>
      <c r="C25" s="127"/>
      <c r="D25" s="132" t="s">
        <v>30</v>
      </c>
      <c r="E25" s="133"/>
      <c r="F25" s="68" t="s">
        <v>46</v>
      </c>
      <c r="G25" s="69" t="s">
        <v>46</v>
      </c>
      <c r="H25" s="70" t="s">
        <v>46</v>
      </c>
      <c r="I25" s="70" t="s">
        <v>46</v>
      </c>
      <c r="J25" s="70" t="s">
        <v>48</v>
      </c>
      <c r="K25" s="71"/>
      <c r="L25" s="39">
        <f t="shared" si="0"/>
        <v>1</v>
      </c>
    </row>
    <row r="26" spans="1:12" ht="19.899999999999999" customHeight="1" x14ac:dyDescent="0.25">
      <c r="A26" s="19">
        <v>14</v>
      </c>
      <c r="B26" s="21"/>
      <c r="C26" s="126" t="s">
        <v>17</v>
      </c>
      <c r="D26" s="128" t="s">
        <v>16</v>
      </c>
      <c r="E26" s="129"/>
      <c r="F26" s="64" t="s">
        <v>46</v>
      </c>
      <c r="G26" s="65" t="s">
        <v>46</v>
      </c>
      <c r="H26" s="66"/>
      <c r="I26" s="66"/>
      <c r="J26" s="66" t="s">
        <v>47</v>
      </c>
      <c r="K26" s="67"/>
      <c r="L26" s="40">
        <f t="shared" si="0"/>
        <v>8.5</v>
      </c>
    </row>
    <row r="27" spans="1:12" ht="19.899999999999999" customHeight="1" x14ac:dyDescent="0.25">
      <c r="A27" s="18">
        <v>15</v>
      </c>
      <c r="B27" s="21"/>
      <c r="C27" s="126"/>
      <c r="D27" s="130" t="s">
        <v>31</v>
      </c>
      <c r="E27" s="131"/>
      <c r="F27" s="42" t="s">
        <v>46</v>
      </c>
      <c r="G27" s="43" t="s">
        <v>46</v>
      </c>
      <c r="H27" s="44"/>
      <c r="I27" s="44"/>
      <c r="J27" s="44" t="s">
        <v>48</v>
      </c>
      <c r="K27" s="45"/>
      <c r="L27" s="37">
        <f t="shared" si="0"/>
        <v>7.5</v>
      </c>
    </row>
    <row r="28" spans="1:12" ht="19.899999999999999" customHeight="1" thickBot="1" x14ac:dyDescent="0.3">
      <c r="A28" s="8">
        <v>16</v>
      </c>
      <c r="B28" s="28"/>
      <c r="C28" s="127"/>
      <c r="D28" s="132" t="s">
        <v>32</v>
      </c>
      <c r="E28" s="133"/>
      <c r="F28" s="68"/>
      <c r="G28" s="69"/>
      <c r="H28" s="70" t="s">
        <v>46</v>
      </c>
      <c r="I28" s="70"/>
      <c r="J28" s="70"/>
      <c r="K28" s="71"/>
      <c r="L28" s="39">
        <f t="shared" si="0"/>
        <v>7</v>
      </c>
    </row>
    <row r="29" spans="1:12" ht="19.899999999999999" customHeight="1" x14ac:dyDescent="0.25">
      <c r="A29" s="19">
        <v>17</v>
      </c>
      <c r="B29" s="21"/>
      <c r="C29" s="126" t="s">
        <v>33</v>
      </c>
      <c r="D29" s="128" t="s">
        <v>34</v>
      </c>
      <c r="E29" s="129"/>
      <c r="F29" s="64" t="s">
        <v>46</v>
      </c>
      <c r="G29" s="65"/>
      <c r="H29" s="66"/>
      <c r="I29" s="66"/>
      <c r="J29" s="66"/>
      <c r="K29" s="67"/>
      <c r="L29" s="40">
        <f t="shared" si="0"/>
        <v>9</v>
      </c>
    </row>
    <row r="30" spans="1:12" ht="19.899999999999999" customHeight="1" x14ac:dyDescent="0.25">
      <c r="A30" s="18">
        <v>18</v>
      </c>
      <c r="B30" s="21"/>
      <c r="C30" s="126"/>
      <c r="D30" s="130" t="s">
        <v>35</v>
      </c>
      <c r="E30" s="131"/>
      <c r="F30" s="42" t="s">
        <v>46</v>
      </c>
      <c r="G30" s="43" t="s">
        <v>46</v>
      </c>
      <c r="H30" s="44"/>
      <c r="I30" s="44"/>
      <c r="J30" s="44"/>
      <c r="K30" s="45"/>
      <c r="L30" s="37">
        <f t="shared" si="0"/>
        <v>8</v>
      </c>
    </row>
    <row r="31" spans="1:12" ht="19.899999999999999" customHeight="1" thickBot="1" x14ac:dyDescent="0.3">
      <c r="A31" s="8">
        <v>19</v>
      </c>
      <c r="B31" s="28"/>
      <c r="C31" s="127"/>
      <c r="D31" s="132" t="s">
        <v>36</v>
      </c>
      <c r="E31" s="133"/>
      <c r="F31" s="68"/>
      <c r="G31" s="69"/>
      <c r="H31" s="70" t="s">
        <v>46</v>
      </c>
      <c r="I31" s="70"/>
      <c r="J31" s="70"/>
      <c r="K31" s="71"/>
      <c r="L31" s="39">
        <f t="shared" si="0"/>
        <v>7</v>
      </c>
    </row>
    <row r="32" spans="1:12" ht="19.899999999999999" customHeight="1" x14ac:dyDescent="0.25">
      <c r="A32" s="19">
        <v>20</v>
      </c>
      <c r="B32" s="21"/>
      <c r="C32" s="126" t="s">
        <v>37</v>
      </c>
      <c r="D32" s="128" t="s">
        <v>38</v>
      </c>
      <c r="E32" s="129"/>
      <c r="F32" s="64" t="s">
        <v>46</v>
      </c>
      <c r="G32" s="65"/>
      <c r="H32" s="66" t="s">
        <v>46</v>
      </c>
      <c r="I32" s="66"/>
      <c r="J32" s="66"/>
      <c r="K32" s="67"/>
      <c r="L32" s="40">
        <f t="shared" si="0"/>
        <v>6</v>
      </c>
    </row>
    <row r="33" spans="1:12" ht="19.899999999999999" customHeight="1" x14ac:dyDescent="0.25">
      <c r="A33" s="18">
        <v>21</v>
      </c>
      <c r="B33" s="21"/>
      <c r="C33" s="126"/>
      <c r="D33" s="130" t="s">
        <v>39</v>
      </c>
      <c r="E33" s="131"/>
      <c r="F33" s="42" t="s">
        <v>46</v>
      </c>
      <c r="G33" s="43" t="s">
        <v>46</v>
      </c>
      <c r="H33" s="44" t="s">
        <v>46</v>
      </c>
      <c r="I33" s="44"/>
      <c r="J33" s="44"/>
      <c r="K33" s="45"/>
      <c r="L33" s="37">
        <f t="shared" si="0"/>
        <v>5</v>
      </c>
    </row>
    <row r="34" spans="1:12" ht="19.899999999999999" customHeight="1" thickBot="1" x14ac:dyDescent="0.3">
      <c r="A34" s="8">
        <v>22</v>
      </c>
      <c r="B34" s="28"/>
      <c r="C34" s="127"/>
      <c r="D34" s="132" t="s">
        <v>40</v>
      </c>
      <c r="E34" s="133"/>
      <c r="F34" s="68"/>
      <c r="G34" s="69"/>
      <c r="H34" s="70"/>
      <c r="I34" s="70" t="s">
        <v>46</v>
      </c>
      <c r="J34" s="70"/>
      <c r="K34" s="71"/>
      <c r="L34" s="39">
        <f t="shared" si="0"/>
        <v>5</v>
      </c>
    </row>
    <row r="35" spans="1:12" ht="19.899999999999999" customHeight="1" thickBot="1" x14ac:dyDescent="0.3">
      <c r="A35" s="19">
        <v>23</v>
      </c>
      <c r="B35" s="21"/>
      <c r="C35" s="25"/>
      <c r="D35" s="134" t="s">
        <v>6</v>
      </c>
      <c r="E35" s="135"/>
      <c r="F35" s="78"/>
      <c r="G35" s="79"/>
      <c r="H35" s="80"/>
      <c r="I35" s="80"/>
      <c r="J35" s="80"/>
      <c r="K35" s="81"/>
      <c r="L35" s="41">
        <f t="shared" si="0"/>
        <v>10</v>
      </c>
    </row>
    <row r="36" spans="1:12" ht="21.95" customHeight="1" thickTop="1" thickBot="1" x14ac:dyDescent="0.3">
      <c r="A36" s="136" t="s">
        <v>41</v>
      </c>
      <c r="B36" s="137"/>
      <c r="C36" s="137"/>
      <c r="D36" s="137"/>
      <c r="E36" s="138"/>
      <c r="F36" s="119">
        <f>IF($L$37&lt;&gt;"",SUMPRODUCT(--(TRIM(F13:G35)&lt;&gt;"")),"")</f>
        <v>24</v>
      </c>
      <c r="G36" s="120">
        <f t="shared" ref="G36" si="1">IF($L$37&lt;&gt;"",COUNTIF(G13:G29,"x"))</f>
        <v>7</v>
      </c>
      <c r="H36" s="46">
        <f>IF($L$37&lt;&gt;"",SUMPRODUCT(--(TRIM(H13:H35)&lt;&gt;"")),"")</f>
        <v>11</v>
      </c>
      <c r="I36" s="46">
        <f>IF($L$37&lt;&gt;"",SUMPRODUCT(--(TRIM(I13:I35)&lt;&gt;"")),"")</f>
        <v>8</v>
      </c>
      <c r="J36" s="48">
        <f>IF($L$37&lt;&gt;"",(COUNTIFS(J13:J35,"+")-COUNTIFS(J13:J35,"-"))*0.5,"")</f>
        <v>0</v>
      </c>
      <c r="K36" s="47">
        <f>IF($L$37&lt;&gt;"",SUMPRODUCT(--(TRIM(K13:K35)&lt;&gt;"")),"")</f>
        <v>0</v>
      </c>
      <c r="L36" s="33">
        <f>IF(L37&lt;&gt;"",IF(K36&lt;1,SUM(L13:L35),IF(K36&gt;=1,ROUNDUP(SUM(L13:L35)/2,0),"")),"")</f>
        <v>135</v>
      </c>
    </row>
    <row r="37" spans="1:12" s="27" customFormat="1" ht="20.100000000000001" customHeight="1" thickTop="1" thickBot="1" x14ac:dyDescent="0.35">
      <c r="A37" s="121" t="s">
        <v>57</v>
      </c>
      <c r="B37" s="122"/>
      <c r="C37" s="122"/>
      <c r="D37" s="122"/>
      <c r="E37" s="26" t="s">
        <v>76</v>
      </c>
      <c r="F37" s="123" t="s">
        <v>42</v>
      </c>
      <c r="G37" s="124"/>
      <c r="H37" s="124"/>
      <c r="I37" s="124"/>
      <c r="J37" s="124"/>
      <c r="K37" s="125"/>
      <c r="L37" s="82" t="s">
        <v>53</v>
      </c>
    </row>
    <row r="38" spans="1:12" ht="15.75" thickTop="1" x14ac:dyDescent="0.25"/>
  </sheetData>
  <sheetProtection algorithmName="SHA-512" hashValue="E7NGju+cwKHndkiORfQa/Z+Ejo9JCP+2JD2MB5t2wJyEgIU8O5p+dRqr2jc93XnrjpEnKnerTlcOSpvM9O+sJQ==" saltValue="F/mh0HDTSaaNsgmKKJ9yQw==" spinCount="100000" sheet="1" objects="1" scenarios="1"/>
  <mergeCells count="52">
    <mergeCell ref="E1:I1"/>
    <mergeCell ref="A2:L2"/>
    <mergeCell ref="A3:L3"/>
    <mergeCell ref="A5:D5"/>
    <mergeCell ref="H5:I5"/>
    <mergeCell ref="J5:K5"/>
    <mergeCell ref="H6:K6"/>
    <mergeCell ref="D7:E7"/>
    <mergeCell ref="F7:H7"/>
    <mergeCell ref="I7:K7"/>
    <mergeCell ref="D8:E8"/>
    <mergeCell ref="F8:H8"/>
    <mergeCell ref="I8:K8"/>
    <mergeCell ref="D9:E9"/>
    <mergeCell ref="F9:H9"/>
    <mergeCell ref="I9:K9"/>
    <mergeCell ref="F11:G11"/>
    <mergeCell ref="L11:L12"/>
    <mergeCell ref="A12:E12"/>
    <mergeCell ref="F12:G12"/>
    <mergeCell ref="D13:E13"/>
    <mergeCell ref="C14:C20"/>
    <mergeCell ref="D14:E14"/>
    <mergeCell ref="D15:E15"/>
    <mergeCell ref="D16:E16"/>
    <mergeCell ref="D17:E17"/>
    <mergeCell ref="D18:E18"/>
    <mergeCell ref="D19:E19"/>
    <mergeCell ref="D20:E20"/>
    <mergeCell ref="C21:C25"/>
    <mergeCell ref="D21:E21"/>
    <mergeCell ref="D22:E22"/>
    <mergeCell ref="D23:E23"/>
    <mergeCell ref="D24:E24"/>
    <mergeCell ref="D25:E25"/>
    <mergeCell ref="C26:C28"/>
    <mergeCell ref="D26:E26"/>
    <mergeCell ref="D27:E27"/>
    <mergeCell ref="D28:E28"/>
    <mergeCell ref="C29:C31"/>
    <mergeCell ref="D29:E29"/>
    <mergeCell ref="D30:E30"/>
    <mergeCell ref="D31:E31"/>
    <mergeCell ref="F36:G36"/>
    <mergeCell ref="A37:D37"/>
    <mergeCell ref="F37:K37"/>
    <mergeCell ref="C32:C34"/>
    <mergeCell ref="D32:E32"/>
    <mergeCell ref="D33:E33"/>
    <mergeCell ref="D34:E34"/>
    <mergeCell ref="D35:E35"/>
    <mergeCell ref="A36:E36"/>
  </mergeCells>
  <dataValidations count="2">
    <dataValidation type="list" allowBlank="1" showDropDown="1" showInputMessage="1" showErrorMessage="1" sqref="J13:J35" xr:uid="{DC6358FB-BB29-4E6F-9D75-A09F13ED6F20}">
      <formula1>$P$14:$P$15</formula1>
    </dataValidation>
    <dataValidation type="list" allowBlank="1" showDropDown="1" showInputMessage="1" showErrorMessage="1" sqref="F13:I35 K13:K35" xr:uid="{8B0F3EAD-070A-44BB-A718-C98B7773532A}">
      <formula1>$P$13</formula1>
    </dataValidation>
  </dataValidations>
  <printOptions horizontalCentered="1" verticalCentered="1"/>
  <pageMargins left="0.78740157480314965" right="0.31496062992125984" top="0.39370078740157483" bottom="0.39370078740157483" header="0.39370078740157483" footer="0.23622047244094491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2C0380-CB3D-41C3-9CEE-DACC701FAF34}">
  <sheetPr codeName="Tabelle15"/>
  <dimension ref="A1:P38"/>
  <sheetViews>
    <sheetView workbookViewId="0">
      <selection activeCell="F13" sqref="F13"/>
    </sheetView>
  </sheetViews>
  <sheetFormatPr baseColWidth="10" defaultColWidth="11.42578125" defaultRowHeight="15" x14ac:dyDescent="0.25"/>
  <cols>
    <col min="1" max="1" width="3.7109375" customWidth="1"/>
    <col min="2" max="2" width="3.7109375" hidden="1" customWidth="1"/>
    <col min="3" max="3" width="3.7109375" customWidth="1"/>
    <col min="4" max="4" width="5.7109375" customWidth="1"/>
    <col min="5" max="5" width="18.140625" customWidth="1"/>
    <col min="6" max="7" width="4.7109375" customWidth="1"/>
    <col min="8" max="12" width="8.7109375" customWidth="1"/>
  </cols>
  <sheetData>
    <row r="1" spans="1:16" s="15" customFormat="1" ht="24.95" customHeight="1" x14ac:dyDescent="0.5">
      <c r="A1" s="31"/>
      <c r="B1" s="31"/>
      <c r="C1" s="31"/>
      <c r="D1" s="31"/>
      <c r="E1" s="175" t="s">
        <v>44</v>
      </c>
      <c r="F1" s="175"/>
      <c r="G1" s="175"/>
      <c r="H1" s="175"/>
      <c r="I1" s="175"/>
      <c r="J1" s="32"/>
      <c r="K1" s="31"/>
      <c r="L1" s="31"/>
    </row>
    <row r="2" spans="1:16" s="15" customFormat="1" ht="20.100000000000001" customHeight="1" x14ac:dyDescent="0.5">
      <c r="A2" s="176" t="s">
        <v>63</v>
      </c>
      <c r="B2" s="176"/>
      <c r="C2" s="176"/>
      <c r="D2" s="176"/>
      <c r="E2" s="176"/>
      <c r="F2" s="176"/>
      <c r="G2" s="176"/>
      <c r="H2" s="176"/>
      <c r="I2" s="176"/>
      <c r="J2" s="176"/>
      <c r="K2" s="176"/>
      <c r="L2" s="176"/>
    </row>
    <row r="3" spans="1:16" s="15" customFormat="1" ht="39.950000000000003" customHeight="1" x14ac:dyDescent="0.5">
      <c r="A3" s="177" t="s">
        <v>18</v>
      </c>
      <c r="B3" s="177"/>
      <c r="C3" s="177"/>
      <c r="D3" s="177"/>
      <c r="E3" s="177"/>
      <c r="F3" s="177"/>
      <c r="G3" s="177"/>
      <c r="H3" s="177"/>
      <c r="I3" s="177"/>
      <c r="J3" s="177"/>
      <c r="K3" s="177"/>
      <c r="L3" s="177"/>
    </row>
    <row r="4" spans="1:16" s="15" customFormat="1" ht="11.1" customHeight="1" x14ac:dyDescent="0.5">
      <c r="A4" s="11"/>
      <c r="B4" s="11"/>
      <c r="C4" s="11"/>
      <c r="D4" s="11"/>
      <c r="E4" s="11"/>
      <c r="F4" s="12"/>
      <c r="G4" s="12"/>
      <c r="H4" s="12"/>
      <c r="I4" s="12"/>
      <c r="J4" s="12"/>
      <c r="K4" s="12"/>
    </row>
    <row r="5" spans="1:16" ht="21.95" customHeight="1" x14ac:dyDescent="0.25">
      <c r="A5" s="178" t="s">
        <v>54</v>
      </c>
      <c r="B5" s="178"/>
      <c r="C5" s="178"/>
      <c r="D5" s="178"/>
      <c r="E5" s="72" t="s">
        <v>77</v>
      </c>
      <c r="F5" s="13"/>
      <c r="G5" s="14" t="s">
        <v>55</v>
      </c>
      <c r="H5" s="179" t="s">
        <v>64</v>
      </c>
      <c r="I5" s="179"/>
      <c r="J5" s="180" t="s">
        <v>56</v>
      </c>
      <c r="K5" s="180"/>
      <c r="L5" s="73" t="s">
        <v>65</v>
      </c>
    </row>
    <row r="6" spans="1:16" ht="11.1" customHeight="1" thickBot="1" x14ac:dyDescent="0.55000000000000004">
      <c r="A6" s="1"/>
      <c r="B6" s="1"/>
      <c r="C6" s="2"/>
      <c r="D6" s="2"/>
      <c r="E6" s="2"/>
      <c r="F6" s="20"/>
      <c r="G6" s="20"/>
      <c r="H6" s="163"/>
      <c r="I6" s="163"/>
      <c r="J6" s="163"/>
      <c r="K6" s="163"/>
      <c r="L6" s="15"/>
    </row>
    <row r="7" spans="1:16" s="16" customFormat="1" ht="20.100000000000001" customHeight="1" x14ac:dyDescent="0.35">
      <c r="A7" s="9"/>
      <c r="B7" s="9"/>
      <c r="C7" s="9"/>
      <c r="D7" s="164" t="s">
        <v>10</v>
      </c>
      <c r="E7" s="165"/>
      <c r="F7" s="166" t="s">
        <v>0</v>
      </c>
      <c r="G7" s="167"/>
      <c r="H7" s="165"/>
      <c r="I7" s="168" t="s">
        <v>1</v>
      </c>
      <c r="J7" s="168"/>
      <c r="K7" s="168"/>
      <c r="L7" s="10" t="s">
        <v>2</v>
      </c>
    </row>
    <row r="8" spans="1:16" ht="21.95" customHeight="1" x14ac:dyDescent="0.25">
      <c r="A8" s="13" t="s">
        <v>7</v>
      </c>
      <c r="B8" s="13"/>
      <c r="C8" s="13"/>
      <c r="D8" s="169" t="s">
        <v>66</v>
      </c>
      <c r="E8" s="170"/>
      <c r="F8" s="171" t="s">
        <v>67</v>
      </c>
      <c r="G8" s="172"/>
      <c r="H8" s="170"/>
      <c r="I8" s="173" t="s">
        <v>68</v>
      </c>
      <c r="J8" s="174"/>
      <c r="K8" s="174"/>
      <c r="L8" s="74" t="s">
        <v>70</v>
      </c>
    </row>
    <row r="9" spans="1:16" ht="21.95" customHeight="1" thickBot="1" x14ac:dyDescent="0.3">
      <c r="A9" s="13" t="s">
        <v>8</v>
      </c>
      <c r="B9" s="13"/>
      <c r="C9" s="13"/>
      <c r="D9" s="148" t="s">
        <v>69</v>
      </c>
      <c r="E9" s="149"/>
      <c r="F9" s="150" t="s">
        <v>67</v>
      </c>
      <c r="G9" s="151"/>
      <c r="H9" s="149"/>
      <c r="I9" s="152" t="s">
        <v>68</v>
      </c>
      <c r="J9" s="153"/>
      <c r="K9" s="153"/>
      <c r="L9" s="75" t="s">
        <v>70</v>
      </c>
    </row>
    <row r="10" spans="1:16" ht="11.1" customHeight="1" thickBot="1" x14ac:dyDescent="0.3">
      <c r="A10" s="1"/>
      <c r="B10" s="1"/>
      <c r="C10" s="2"/>
      <c r="D10" s="2"/>
      <c r="E10" s="3"/>
      <c r="F10" s="3"/>
      <c r="G10" s="3"/>
      <c r="H10" s="3"/>
      <c r="I10" s="3"/>
      <c r="J10" s="3"/>
      <c r="K10" s="3"/>
      <c r="L10" s="22"/>
    </row>
    <row r="11" spans="1:16" ht="39.75" customHeight="1" thickTop="1" thickBot="1" x14ac:dyDescent="0.3">
      <c r="A11" s="4"/>
      <c r="B11" s="4"/>
      <c r="C11" s="4"/>
      <c r="D11" s="4"/>
      <c r="E11" s="4"/>
      <c r="F11" s="154" t="s">
        <v>13</v>
      </c>
      <c r="G11" s="155"/>
      <c r="H11" s="29" t="s">
        <v>12</v>
      </c>
      <c r="I11" s="29" t="s">
        <v>11</v>
      </c>
      <c r="J11" s="29" t="s">
        <v>45</v>
      </c>
      <c r="K11" s="29" t="s">
        <v>3</v>
      </c>
      <c r="L11" s="156" t="s">
        <v>9</v>
      </c>
    </row>
    <row r="12" spans="1:16" s="16" customFormat="1" ht="20.100000000000001" customHeight="1" thickTop="1" thickBot="1" x14ac:dyDescent="0.4">
      <c r="A12" s="158" t="s">
        <v>4</v>
      </c>
      <c r="B12" s="159"/>
      <c r="C12" s="159"/>
      <c r="D12" s="159"/>
      <c r="E12" s="160"/>
      <c r="F12" s="161">
        <v>1</v>
      </c>
      <c r="G12" s="162"/>
      <c r="H12" s="30">
        <v>3</v>
      </c>
      <c r="I12" s="30">
        <v>5</v>
      </c>
      <c r="J12" s="30">
        <v>0.5</v>
      </c>
      <c r="K12" s="30">
        <v>10</v>
      </c>
      <c r="L12" s="157"/>
    </row>
    <row r="13" spans="1:16" ht="19.899999999999999" customHeight="1" thickBot="1" x14ac:dyDescent="0.3">
      <c r="A13" s="5">
        <v>1</v>
      </c>
      <c r="B13" s="5"/>
      <c r="C13" s="23"/>
      <c r="D13" s="144" t="s">
        <v>5</v>
      </c>
      <c r="E13" s="145"/>
      <c r="F13" s="57" t="s">
        <v>46</v>
      </c>
      <c r="G13" s="58"/>
      <c r="H13" s="59"/>
      <c r="I13" s="59"/>
      <c r="J13" s="59"/>
      <c r="K13" s="60"/>
      <c r="L13" s="34">
        <f>IF($L$37&lt;&gt;"",IF(SUMPRODUCT(--(TRIM(K13)&lt;&gt;""))&lt;&gt;0,0,MIN(10,MAX(1,10-5*(SUMPRODUCT(--(TRIM(I13)&lt;&gt;"")))-3*(SUMPRODUCT(--(TRIM(H13)&lt;&gt;"")))-1*SUMPRODUCT(--(TRIM(F13:G13)&lt;&gt;""))+IF(TRIM(J13)="-",-0.5,IF(TRIM(J13)="+",0.5,0))))),"")</f>
        <v>9</v>
      </c>
      <c r="N13" s="76" t="s">
        <v>51</v>
      </c>
      <c r="O13" s="76"/>
      <c r="P13" s="76" t="s">
        <v>46</v>
      </c>
    </row>
    <row r="14" spans="1:16" ht="19.899999999999999" customHeight="1" x14ac:dyDescent="0.25">
      <c r="A14" s="6">
        <v>2</v>
      </c>
      <c r="B14" s="6"/>
      <c r="C14" s="139" t="s">
        <v>19</v>
      </c>
      <c r="D14" s="146" t="s">
        <v>15</v>
      </c>
      <c r="E14" s="147"/>
      <c r="F14" s="61" t="s">
        <v>46</v>
      </c>
      <c r="G14" s="62" t="s">
        <v>46</v>
      </c>
      <c r="H14" s="63"/>
      <c r="I14" s="63"/>
      <c r="J14" s="63"/>
      <c r="K14" s="77"/>
      <c r="L14" s="35">
        <f t="shared" ref="L14:L35" si="0">IF($L$37&lt;&gt;"",IF(SUMPRODUCT(--(TRIM(K14)&lt;&gt;""))&lt;&gt;0,0,MIN(10,MAX(1,10-5*(SUMPRODUCT(--(TRIM(I14)&lt;&gt;"")))-3*(SUMPRODUCT(--(TRIM(H14)&lt;&gt;"")))-1*SUMPRODUCT(--(TRIM(F14:G14)&lt;&gt;""))+IF(TRIM(J14)="-",-0.5,IF(TRIM(J14)="+",0.5,0))))),"")</f>
        <v>8</v>
      </c>
      <c r="N14" s="76" t="s">
        <v>49</v>
      </c>
      <c r="O14" s="76"/>
      <c r="P14" s="76" t="s">
        <v>47</v>
      </c>
    </row>
    <row r="15" spans="1:16" ht="19.899999999999999" customHeight="1" x14ac:dyDescent="0.25">
      <c r="A15" s="7">
        <v>3</v>
      </c>
      <c r="B15" s="6"/>
      <c r="C15" s="126"/>
      <c r="D15" s="142" t="s">
        <v>20</v>
      </c>
      <c r="E15" s="143"/>
      <c r="F15" s="53"/>
      <c r="G15" s="54"/>
      <c r="H15" s="55" t="s">
        <v>46</v>
      </c>
      <c r="I15" s="55"/>
      <c r="J15" s="55"/>
      <c r="K15" s="56"/>
      <c r="L15" s="36">
        <f t="shared" si="0"/>
        <v>7</v>
      </c>
      <c r="N15" s="76" t="s">
        <v>50</v>
      </c>
      <c r="O15" s="76"/>
      <c r="P15" s="76" t="s">
        <v>48</v>
      </c>
    </row>
    <row r="16" spans="1:16" ht="19.899999999999999" customHeight="1" x14ac:dyDescent="0.25">
      <c r="A16" s="18">
        <v>4</v>
      </c>
      <c r="B16" s="21"/>
      <c r="C16" s="126"/>
      <c r="D16" s="130" t="s">
        <v>21</v>
      </c>
      <c r="E16" s="131"/>
      <c r="F16" s="42" t="s">
        <v>46</v>
      </c>
      <c r="G16" s="43"/>
      <c r="H16" s="44" t="s">
        <v>46</v>
      </c>
      <c r="I16" s="44"/>
      <c r="J16" s="44"/>
      <c r="K16" s="45"/>
      <c r="L16" s="37">
        <f t="shared" si="0"/>
        <v>6</v>
      </c>
    </row>
    <row r="17" spans="1:12" ht="19.899999999999999" customHeight="1" x14ac:dyDescent="0.25">
      <c r="A17" s="7">
        <v>5</v>
      </c>
      <c r="B17" s="6"/>
      <c r="C17" s="126"/>
      <c r="D17" s="142" t="s">
        <v>22</v>
      </c>
      <c r="E17" s="143"/>
      <c r="F17" s="53" t="s">
        <v>46</v>
      </c>
      <c r="G17" s="54" t="s">
        <v>46</v>
      </c>
      <c r="H17" s="55" t="s">
        <v>46</v>
      </c>
      <c r="I17" s="55"/>
      <c r="J17" s="55"/>
      <c r="K17" s="56"/>
      <c r="L17" s="36">
        <f t="shared" si="0"/>
        <v>5</v>
      </c>
    </row>
    <row r="18" spans="1:12" ht="19.899999999999999" customHeight="1" x14ac:dyDescent="0.25">
      <c r="A18" s="7">
        <v>6</v>
      </c>
      <c r="B18" s="6"/>
      <c r="C18" s="126"/>
      <c r="D18" s="130" t="s">
        <v>23</v>
      </c>
      <c r="E18" s="131"/>
      <c r="F18" s="42"/>
      <c r="G18" s="43"/>
      <c r="H18" s="44"/>
      <c r="I18" s="44" t="s">
        <v>46</v>
      </c>
      <c r="J18" s="44"/>
      <c r="K18" s="45"/>
      <c r="L18" s="37">
        <f t="shared" si="0"/>
        <v>5</v>
      </c>
    </row>
    <row r="19" spans="1:12" ht="19.899999999999999" customHeight="1" x14ac:dyDescent="0.25">
      <c r="A19" s="7">
        <v>7</v>
      </c>
      <c r="B19" s="6"/>
      <c r="C19" s="126"/>
      <c r="D19" s="142" t="s">
        <v>24</v>
      </c>
      <c r="E19" s="143"/>
      <c r="F19" s="53" t="s">
        <v>46</v>
      </c>
      <c r="G19" s="54"/>
      <c r="H19" s="55"/>
      <c r="I19" s="55" t="s">
        <v>46</v>
      </c>
      <c r="J19" s="55"/>
      <c r="K19" s="56"/>
      <c r="L19" s="36">
        <f t="shared" si="0"/>
        <v>4</v>
      </c>
    </row>
    <row r="20" spans="1:12" ht="19.899999999999999" customHeight="1" thickBot="1" x14ac:dyDescent="0.3">
      <c r="A20" s="7">
        <v>8</v>
      </c>
      <c r="B20" s="6"/>
      <c r="C20" s="126"/>
      <c r="D20" s="146" t="s">
        <v>25</v>
      </c>
      <c r="E20" s="147"/>
      <c r="F20" s="61" t="s">
        <v>46</v>
      </c>
      <c r="G20" s="62" t="s">
        <v>46</v>
      </c>
      <c r="H20" s="63"/>
      <c r="I20" s="63" t="s">
        <v>46</v>
      </c>
      <c r="J20" s="63"/>
      <c r="K20" s="77"/>
      <c r="L20" s="35">
        <f t="shared" si="0"/>
        <v>3</v>
      </c>
    </row>
    <row r="21" spans="1:12" ht="19.899999999999999" customHeight="1" x14ac:dyDescent="0.25">
      <c r="A21" s="24">
        <v>9</v>
      </c>
      <c r="B21" s="24"/>
      <c r="C21" s="139" t="s">
        <v>26</v>
      </c>
      <c r="D21" s="140" t="s">
        <v>14</v>
      </c>
      <c r="E21" s="141"/>
      <c r="F21" s="49"/>
      <c r="G21" s="50"/>
      <c r="H21" s="51" t="s">
        <v>46</v>
      </c>
      <c r="I21" s="51" t="s">
        <v>46</v>
      </c>
      <c r="J21" s="51"/>
      <c r="K21" s="52"/>
      <c r="L21" s="38">
        <f t="shared" si="0"/>
        <v>2</v>
      </c>
    </row>
    <row r="22" spans="1:12" ht="19.899999999999999" customHeight="1" x14ac:dyDescent="0.25">
      <c r="A22" s="7">
        <v>10</v>
      </c>
      <c r="B22" s="6"/>
      <c r="C22" s="126"/>
      <c r="D22" s="130" t="s">
        <v>27</v>
      </c>
      <c r="E22" s="131"/>
      <c r="F22" s="42" t="s">
        <v>46</v>
      </c>
      <c r="G22" s="43"/>
      <c r="H22" s="44" t="s">
        <v>46</v>
      </c>
      <c r="I22" s="44" t="s">
        <v>46</v>
      </c>
      <c r="J22" s="44"/>
      <c r="K22" s="45"/>
      <c r="L22" s="37">
        <f t="shared" si="0"/>
        <v>1</v>
      </c>
    </row>
    <row r="23" spans="1:12" ht="19.899999999999999" customHeight="1" x14ac:dyDescent="0.25">
      <c r="A23" s="7">
        <v>11</v>
      </c>
      <c r="B23" s="6"/>
      <c r="C23" s="126"/>
      <c r="D23" s="142" t="s">
        <v>28</v>
      </c>
      <c r="E23" s="143"/>
      <c r="F23" s="53" t="s">
        <v>46</v>
      </c>
      <c r="G23" s="54" t="s">
        <v>46</v>
      </c>
      <c r="H23" s="55" t="s">
        <v>46</v>
      </c>
      <c r="I23" s="55" t="s">
        <v>46</v>
      </c>
      <c r="J23" s="55"/>
      <c r="K23" s="56"/>
      <c r="L23" s="36">
        <f t="shared" si="0"/>
        <v>1</v>
      </c>
    </row>
    <row r="24" spans="1:12" ht="19.899999999999999" customHeight="1" x14ac:dyDescent="0.25">
      <c r="A24" s="18">
        <v>12</v>
      </c>
      <c r="B24" s="21"/>
      <c r="C24" s="126"/>
      <c r="D24" s="130" t="s">
        <v>29</v>
      </c>
      <c r="E24" s="131"/>
      <c r="F24" s="42"/>
      <c r="G24" s="43"/>
      <c r="H24" s="44"/>
      <c r="I24" s="44"/>
      <c r="J24" s="44" t="s">
        <v>47</v>
      </c>
      <c r="K24" s="45"/>
      <c r="L24" s="37">
        <f t="shared" si="0"/>
        <v>10</v>
      </c>
    </row>
    <row r="25" spans="1:12" ht="19.899999999999999" customHeight="1" thickBot="1" x14ac:dyDescent="0.3">
      <c r="A25" s="8">
        <v>13</v>
      </c>
      <c r="B25" s="28"/>
      <c r="C25" s="127"/>
      <c r="D25" s="132" t="s">
        <v>30</v>
      </c>
      <c r="E25" s="133"/>
      <c r="F25" s="68" t="s">
        <v>46</v>
      </c>
      <c r="G25" s="69" t="s">
        <v>46</v>
      </c>
      <c r="H25" s="70" t="s">
        <v>46</v>
      </c>
      <c r="I25" s="70" t="s">
        <v>46</v>
      </c>
      <c r="J25" s="70" t="s">
        <v>48</v>
      </c>
      <c r="K25" s="71"/>
      <c r="L25" s="39">
        <f t="shared" si="0"/>
        <v>1</v>
      </c>
    </row>
    <row r="26" spans="1:12" ht="19.899999999999999" customHeight="1" x14ac:dyDescent="0.25">
      <c r="A26" s="19">
        <v>14</v>
      </c>
      <c r="B26" s="21"/>
      <c r="C26" s="126" t="s">
        <v>17</v>
      </c>
      <c r="D26" s="128" t="s">
        <v>16</v>
      </c>
      <c r="E26" s="129"/>
      <c r="F26" s="64" t="s">
        <v>46</v>
      </c>
      <c r="G26" s="65" t="s">
        <v>46</v>
      </c>
      <c r="H26" s="66"/>
      <c r="I26" s="66"/>
      <c r="J26" s="66" t="s">
        <v>47</v>
      </c>
      <c r="K26" s="67"/>
      <c r="L26" s="40">
        <f t="shared" si="0"/>
        <v>8.5</v>
      </c>
    </row>
    <row r="27" spans="1:12" ht="19.899999999999999" customHeight="1" x14ac:dyDescent="0.25">
      <c r="A27" s="18">
        <v>15</v>
      </c>
      <c r="B27" s="21"/>
      <c r="C27" s="126"/>
      <c r="D27" s="130" t="s">
        <v>31</v>
      </c>
      <c r="E27" s="131"/>
      <c r="F27" s="42" t="s">
        <v>46</v>
      </c>
      <c r="G27" s="43" t="s">
        <v>46</v>
      </c>
      <c r="H27" s="44"/>
      <c r="I27" s="44"/>
      <c r="J27" s="44" t="s">
        <v>48</v>
      </c>
      <c r="K27" s="45"/>
      <c r="L27" s="37">
        <f t="shared" si="0"/>
        <v>7.5</v>
      </c>
    </row>
    <row r="28" spans="1:12" ht="19.899999999999999" customHeight="1" thickBot="1" x14ac:dyDescent="0.3">
      <c r="A28" s="8">
        <v>16</v>
      </c>
      <c r="B28" s="28"/>
      <c r="C28" s="127"/>
      <c r="D28" s="132" t="s">
        <v>32</v>
      </c>
      <c r="E28" s="133"/>
      <c r="F28" s="68"/>
      <c r="G28" s="69"/>
      <c r="H28" s="70" t="s">
        <v>46</v>
      </c>
      <c r="I28" s="70"/>
      <c r="J28" s="70"/>
      <c r="K28" s="71"/>
      <c r="L28" s="39">
        <f t="shared" si="0"/>
        <v>7</v>
      </c>
    </row>
    <row r="29" spans="1:12" ht="19.899999999999999" customHeight="1" x14ac:dyDescent="0.25">
      <c r="A29" s="19">
        <v>17</v>
      </c>
      <c r="B29" s="21"/>
      <c r="C29" s="126" t="s">
        <v>33</v>
      </c>
      <c r="D29" s="128" t="s">
        <v>34</v>
      </c>
      <c r="E29" s="129"/>
      <c r="F29" s="64" t="s">
        <v>46</v>
      </c>
      <c r="G29" s="65"/>
      <c r="H29" s="66"/>
      <c r="I29" s="66"/>
      <c r="J29" s="66"/>
      <c r="K29" s="67"/>
      <c r="L29" s="40">
        <f t="shared" si="0"/>
        <v>9</v>
      </c>
    </row>
    <row r="30" spans="1:12" ht="19.899999999999999" customHeight="1" x14ac:dyDescent="0.25">
      <c r="A30" s="18">
        <v>18</v>
      </c>
      <c r="B30" s="21"/>
      <c r="C30" s="126"/>
      <c r="D30" s="130" t="s">
        <v>35</v>
      </c>
      <c r="E30" s="131"/>
      <c r="F30" s="42" t="s">
        <v>46</v>
      </c>
      <c r="G30" s="43" t="s">
        <v>46</v>
      </c>
      <c r="H30" s="44"/>
      <c r="I30" s="44"/>
      <c r="J30" s="44"/>
      <c r="K30" s="45"/>
      <c r="L30" s="37">
        <f t="shared" si="0"/>
        <v>8</v>
      </c>
    </row>
    <row r="31" spans="1:12" ht="19.899999999999999" customHeight="1" thickBot="1" x14ac:dyDescent="0.3">
      <c r="A31" s="8">
        <v>19</v>
      </c>
      <c r="B31" s="28"/>
      <c r="C31" s="127"/>
      <c r="D31" s="132" t="s">
        <v>36</v>
      </c>
      <c r="E31" s="133"/>
      <c r="F31" s="68"/>
      <c r="G31" s="69"/>
      <c r="H31" s="70" t="s">
        <v>46</v>
      </c>
      <c r="I31" s="70"/>
      <c r="J31" s="70"/>
      <c r="K31" s="71"/>
      <c r="L31" s="39">
        <f t="shared" si="0"/>
        <v>7</v>
      </c>
    </row>
    <row r="32" spans="1:12" ht="19.899999999999999" customHeight="1" x14ac:dyDescent="0.25">
      <c r="A32" s="19">
        <v>20</v>
      </c>
      <c r="B32" s="21"/>
      <c r="C32" s="126" t="s">
        <v>37</v>
      </c>
      <c r="D32" s="128" t="s">
        <v>38</v>
      </c>
      <c r="E32" s="129"/>
      <c r="F32" s="64" t="s">
        <v>46</v>
      </c>
      <c r="G32" s="65"/>
      <c r="H32" s="66" t="s">
        <v>46</v>
      </c>
      <c r="I32" s="66"/>
      <c r="J32" s="66"/>
      <c r="K32" s="67"/>
      <c r="L32" s="40">
        <f t="shared" si="0"/>
        <v>6</v>
      </c>
    </row>
    <row r="33" spans="1:12" ht="19.899999999999999" customHeight="1" x14ac:dyDescent="0.25">
      <c r="A33" s="18">
        <v>21</v>
      </c>
      <c r="B33" s="21"/>
      <c r="C33" s="126"/>
      <c r="D33" s="130" t="s">
        <v>39</v>
      </c>
      <c r="E33" s="131"/>
      <c r="F33" s="42" t="s">
        <v>46</v>
      </c>
      <c r="G33" s="43" t="s">
        <v>46</v>
      </c>
      <c r="H33" s="44" t="s">
        <v>46</v>
      </c>
      <c r="I33" s="44"/>
      <c r="J33" s="44"/>
      <c r="K33" s="45"/>
      <c r="L33" s="37">
        <f t="shared" si="0"/>
        <v>5</v>
      </c>
    </row>
    <row r="34" spans="1:12" ht="19.899999999999999" customHeight="1" thickBot="1" x14ac:dyDescent="0.3">
      <c r="A34" s="8">
        <v>22</v>
      </c>
      <c r="B34" s="28"/>
      <c r="C34" s="127"/>
      <c r="D34" s="132" t="s">
        <v>40</v>
      </c>
      <c r="E34" s="133"/>
      <c r="F34" s="68"/>
      <c r="G34" s="69"/>
      <c r="H34" s="70"/>
      <c r="I34" s="70" t="s">
        <v>46</v>
      </c>
      <c r="J34" s="70"/>
      <c r="K34" s="71"/>
      <c r="L34" s="39">
        <f t="shared" si="0"/>
        <v>5</v>
      </c>
    </row>
    <row r="35" spans="1:12" ht="19.899999999999999" customHeight="1" thickBot="1" x14ac:dyDescent="0.3">
      <c r="A35" s="19">
        <v>23</v>
      </c>
      <c r="B35" s="21"/>
      <c r="C35" s="25"/>
      <c r="D35" s="134" t="s">
        <v>6</v>
      </c>
      <c r="E35" s="135"/>
      <c r="F35" s="78"/>
      <c r="G35" s="79"/>
      <c r="H35" s="80"/>
      <c r="I35" s="80"/>
      <c r="J35" s="80"/>
      <c r="K35" s="81"/>
      <c r="L35" s="41">
        <f t="shared" si="0"/>
        <v>10</v>
      </c>
    </row>
    <row r="36" spans="1:12" ht="21.95" customHeight="1" thickTop="1" thickBot="1" x14ac:dyDescent="0.3">
      <c r="A36" s="136" t="s">
        <v>41</v>
      </c>
      <c r="B36" s="137"/>
      <c r="C36" s="137"/>
      <c r="D36" s="137"/>
      <c r="E36" s="138"/>
      <c r="F36" s="119">
        <f>IF($L$37&lt;&gt;"",SUMPRODUCT(--(TRIM(F13:G35)&lt;&gt;"")),"")</f>
        <v>24</v>
      </c>
      <c r="G36" s="120">
        <f t="shared" ref="G36" si="1">IF($L$37&lt;&gt;"",COUNTIF(G13:G29,"x"))</f>
        <v>7</v>
      </c>
      <c r="H36" s="46">
        <f>IF($L$37&lt;&gt;"",SUMPRODUCT(--(TRIM(H13:H35)&lt;&gt;"")),"")</f>
        <v>11</v>
      </c>
      <c r="I36" s="46">
        <f>IF($L$37&lt;&gt;"",SUMPRODUCT(--(TRIM(I13:I35)&lt;&gt;"")),"")</f>
        <v>8</v>
      </c>
      <c r="J36" s="48">
        <f>IF($L$37&lt;&gt;"",(COUNTIFS(J13:J35,"+")-COUNTIFS(J13:J35,"-"))*0.5,"")</f>
        <v>0</v>
      </c>
      <c r="K36" s="47">
        <f>IF($L$37&lt;&gt;"",SUMPRODUCT(--(TRIM(K13:K35)&lt;&gt;"")),"")</f>
        <v>0</v>
      </c>
      <c r="L36" s="33">
        <f>IF(L37&lt;&gt;"",IF(K36&lt;1,SUM(L13:L35),IF(K36&gt;=1,ROUNDUP(SUM(L13:L35)/2,0),"")),"")</f>
        <v>135</v>
      </c>
    </row>
    <row r="37" spans="1:12" s="27" customFormat="1" ht="20.100000000000001" customHeight="1" thickTop="1" thickBot="1" x14ac:dyDescent="0.35">
      <c r="A37" s="121" t="s">
        <v>57</v>
      </c>
      <c r="B37" s="122"/>
      <c r="C37" s="122"/>
      <c r="D37" s="122"/>
      <c r="E37" s="26" t="s">
        <v>78</v>
      </c>
      <c r="F37" s="123" t="s">
        <v>42</v>
      </c>
      <c r="G37" s="124"/>
      <c r="H37" s="124"/>
      <c r="I37" s="124"/>
      <c r="J37" s="124"/>
      <c r="K37" s="125"/>
      <c r="L37" s="82" t="s">
        <v>53</v>
      </c>
    </row>
    <row r="38" spans="1:12" ht="15.75" thickTop="1" x14ac:dyDescent="0.25"/>
  </sheetData>
  <sheetProtection algorithmName="SHA-512" hashValue="KnyEVo+2eIlR7SYEodn15pcxuXfXENBEBcAotVGOqf81T/SI3mKrtkFyfky9GXz4vHRCwMwNEcqC+NG+egv9Bw==" saltValue="N1X+meC4iqnUcpUNEwrObA==" spinCount="100000" sheet="1" objects="1" scenarios="1"/>
  <mergeCells count="52">
    <mergeCell ref="E1:I1"/>
    <mergeCell ref="A2:L2"/>
    <mergeCell ref="A3:L3"/>
    <mergeCell ref="A5:D5"/>
    <mergeCell ref="H5:I5"/>
    <mergeCell ref="J5:K5"/>
    <mergeCell ref="H6:K6"/>
    <mergeCell ref="D7:E7"/>
    <mergeCell ref="F7:H7"/>
    <mergeCell ref="I7:K7"/>
    <mergeCell ref="D8:E8"/>
    <mergeCell ref="F8:H8"/>
    <mergeCell ref="I8:K8"/>
    <mergeCell ref="D9:E9"/>
    <mergeCell ref="F9:H9"/>
    <mergeCell ref="I9:K9"/>
    <mergeCell ref="F11:G11"/>
    <mergeCell ref="L11:L12"/>
    <mergeCell ref="A12:E12"/>
    <mergeCell ref="F12:G12"/>
    <mergeCell ref="D13:E13"/>
    <mergeCell ref="C14:C20"/>
    <mergeCell ref="D14:E14"/>
    <mergeCell ref="D15:E15"/>
    <mergeCell ref="D16:E16"/>
    <mergeCell ref="D17:E17"/>
    <mergeCell ref="D18:E18"/>
    <mergeCell ref="D19:E19"/>
    <mergeCell ref="D20:E20"/>
    <mergeCell ref="C21:C25"/>
    <mergeCell ref="D21:E21"/>
    <mergeCell ref="D22:E22"/>
    <mergeCell ref="D23:E23"/>
    <mergeCell ref="D24:E24"/>
    <mergeCell ref="D25:E25"/>
    <mergeCell ref="C26:C28"/>
    <mergeCell ref="D26:E26"/>
    <mergeCell ref="D27:E27"/>
    <mergeCell ref="D28:E28"/>
    <mergeCell ref="C29:C31"/>
    <mergeCell ref="D29:E29"/>
    <mergeCell ref="D30:E30"/>
    <mergeCell ref="D31:E31"/>
    <mergeCell ref="F36:G36"/>
    <mergeCell ref="A37:D37"/>
    <mergeCell ref="F37:K37"/>
    <mergeCell ref="C32:C34"/>
    <mergeCell ref="D32:E32"/>
    <mergeCell ref="D33:E33"/>
    <mergeCell ref="D34:E34"/>
    <mergeCell ref="D35:E35"/>
    <mergeCell ref="A36:E36"/>
  </mergeCells>
  <dataValidations count="2">
    <dataValidation type="list" allowBlank="1" showDropDown="1" showInputMessage="1" showErrorMessage="1" sqref="J13:J35" xr:uid="{B0187708-414D-4A40-9632-61A341D1232E}">
      <formula1>$P$14:$P$15</formula1>
    </dataValidation>
    <dataValidation type="list" allowBlank="1" showDropDown="1" showInputMessage="1" showErrorMessage="1" sqref="F13:I35 K13:K35" xr:uid="{1E041956-BC33-4A9A-BCEF-442E3823375A}">
      <formula1>$P$13</formula1>
    </dataValidation>
  </dataValidations>
  <printOptions horizontalCentered="1" verticalCentered="1"/>
  <pageMargins left="0.78740157480314965" right="0.31496062992125984" top="0.39370078740157483" bottom="0.39370078740157483" header="0.39370078740157483" footer="0.23622047244094491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1D55DF-B607-4D15-B231-4B7622F65A99}">
  <sheetPr codeName="Tabelle16"/>
  <dimension ref="A1:P38"/>
  <sheetViews>
    <sheetView workbookViewId="0">
      <selection activeCell="F13" sqref="F13"/>
    </sheetView>
  </sheetViews>
  <sheetFormatPr baseColWidth="10" defaultColWidth="11.42578125" defaultRowHeight="15" x14ac:dyDescent="0.25"/>
  <cols>
    <col min="1" max="1" width="3.7109375" customWidth="1"/>
    <col min="2" max="2" width="3.7109375" hidden="1" customWidth="1"/>
    <col min="3" max="3" width="3.7109375" customWidth="1"/>
    <col min="4" max="4" width="5.7109375" customWidth="1"/>
    <col min="5" max="5" width="18.140625" customWidth="1"/>
    <col min="6" max="7" width="4.7109375" customWidth="1"/>
    <col min="8" max="12" width="8.7109375" customWidth="1"/>
  </cols>
  <sheetData>
    <row r="1" spans="1:16" s="15" customFormat="1" ht="24.95" customHeight="1" x14ac:dyDescent="0.5">
      <c r="A1" s="31"/>
      <c r="B1" s="31"/>
      <c r="C1" s="31"/>
      <c r="D1" s="31"/>
      <c r="E1" s="175" t="s">
        <v>44</v>
      </c>
      <c r="F1" s="175"/>
      <c r="G1" s="175"/>
      <c r="H1" s="175"/>
      <c r="I1" s="175"/>
      <c r="J1" s="32"/>
      <c r="K1" s="31"/>
      <c r="L1" s="31"/>
    </row>
    <row r="2" spans="1:16" s="15" customFormat="1" ht="20.100000000000001" customHeight="1" x14ac:dyDescent="0.5">
      <c r="A2" s="176" t="s">
        <v>63</v>
      </c>
      <c r="B2" s="176"/>
      <c r="C2" s="176"/>
      <c r="D2" s="176"/>
      <c r="E2" s="176"/>
      <c r="F2" s="176"/>
      <c r="G2" s="176"/>
      <c r="H2" s="176"/>
      <c r="I2" s="176"/>
      <c r="J2" s="176"/>
      <c r="K2" s="176"/>
      <c r="L2" s="176"/>
    </row>
    <row r="3" spans="1:16" s="15" customFormat="1" ht="39.950000000000003" customHeight="1" x14ac:dyDescent="0.5">
      <c r="A3" s="177" t="s">
        <v>18</v>
      </c>
      <c r="B3" s="177"/>
      <c r="C3" s="177"/>
      <c r="D3" s="177"/>
      <c r="E3" s="177"/>
      <c r="F3" s="177"/>
      <c r="G3" s="177"/>
      <c r="H3" s="177"/>
      <c r="I3" s="177"/>
      <c r="J3" s="177"/>
      <c r="K3" s="177"/>
      <c r="L3" s="177"/>
    </row>
    <row r="4" spans="1:16" s="15" customFormat="1" ht="11.1" customHeight="1" x14ac:dyDescent="0.5">
      <c r="A4" s="11"/>
      <c r="B4" s="11"/>
      <c r="C4" s="11"/>
      <c r="D4" s="11"/>
      <c r="E4" s="11"/>
      <c r="F4" s="12"/>
      <c r="G4" s="12"/>
      <c r="H4" s="12"/>
      <c r="I4" s="12"/>
      <c r="J4" s="12"/>
      <c r="K4" s="12"/>
    </row>
    <row r="5" spans="1:16" ht="21.95" customHeight="1" x14ac:dyDescent="0.25">
      <c r="A5" s="178" t="s">
        <v>54</v>
      </c>
      <c r="B5" s="178"/>
      <c r="C5" s="178"/>
      <c r="D5" s="178"/>
      <c r="E5" s="72" t="s">
        <v>79</v>
      </c>
      <c r="F5" s="13"/>
      <c r="G5" s="14" t="s">
        <v>55</v>
      </c>
      <c r="H5" s="179" t="s">
        <v>64</v>
      </c>
      <c r="I5" s="179"/>
      <c r="J5" s="180" t="s">
        <v>56</v>
      </c>
      <c r="K5" s="180"/>
      <c r="L5" s="73" t="s">
        <v>65</v>
      </c>
    </row>
    <row r="6" spans="1:16" ht="11.1" customHeight="1" thickBot="1" x14ac:dyDescent="0.55000000000000004">
      <c r="A6" s="1"/>
      <c r="B6" s="1"/>
      <c r="C6" s="2"/>
      <c r="D6" s="2"/>
      <c r="E6" s="2"/>
      <c r="F6" s="20"/>
      <c r="G6" s="20"/>
      <c r="H6" s="163"/>
      <c r="I6" s="163"/>
      <c r="J6" s="163"/>
      <c r="K6" s="163"/>
      <c r="L6" s="15"/>
    </row>
    <row r="7" spans="1:16" s="16" customFormat="1" ht="20.100000000000001" customHeight="1" x14ac:dyDescent="0.35">
      <c r="A7" s="9"/>
      <c r="B7" s="9"/>
      <c r="C7" s="9"/>
      <c r="D7" s="164" t="s">
        <v>10</v>
      </c>
      <c r="E7" s="165"/>
      <c r="F7" s="166" t="s">
        <v>0</v>
      </c>
      <c r="G7" s="167"/>
      <c r="H7" s="165"/>
      <c r="I7" s="168" t="s">
        <v>1</v>
      </c>
      <c r="J7" s="168"/>
      <c r="K7" s="168"/>
      <c r="L7" s="10" t="s">
        <v>2</v>
      </c>
    </row>
    <row r="8" spans="1:16" ht="21.95" customHeight="1" x14ac:dyDescent="0.25">
      <c r="A8" s="13" t="s">
        <v>7</v>
      </c>
      <c r="B8" s="13"/>
      <c r="C8" s="13"/>
      <c r="D8" s="169" t="s">
        <v>66</v>
      </c>
      <c r="E8" s="170"/>
      <c r="F8" s="171" t="s">
        <v>67</v>
      </c>
      <c r="G8" s="172"/>
      <c r="H8" s="170"/>
      <c r="I8" s="173" t="s">
        <v>68</v>
      </c>
      <c r="J8" s="174"/>
      <c r="K8" s="174"/>
      <c r="L8" s="74" t="s">
        <v>70</v>
      </c>
    </row>
    <row r="9" spans="1:16" ht="21.95" customHeight="1" thickBot="1" x14ac:dyDescent="0.3">
      <c r="A9" s="13" t="s">
        <v>8</v>
      </c>
      <c r="B9" s="13"/>
      <c r="C9" s="13"/>
      <c r="D9" s="148" t="s">
        <v>69</v>
      </c>
      <c r="E9" s="149"/>
      <c r="F9" s="150" t="s">
        <v>67</v>
      </c>
      <c r="G9" s="151"/>
      <c r="H9" s="149"/>
      <c r="I9" s="152" t="s">
        <v>68</v>
      </c>
      <c r="J9" s="153"/>
      <c r="K9" s="153"/>
      <c r="L9" s="75" t="s">
        <v>70</v>
      </c>
    </row>
    <row r="10" spans="1:16" ht="11.1" customHeight="1" thickBot="1" x14ac:dyDescent="0.3">
      <c r="A10" s="1"/>
      <c r="B10" s="1"/>
      <c r="C10" s="2"/>
      <c r="D10" s="2"/>
      <c r="E10" s="3"/>
      <c r="F10" s="3"/>
      <c r="G10" s="3"/>
      <c r="H10" s="3"/>
      <c r="I10" s="3"/>
      <c r="J10" s="3"/>
      <c r="K10" s="3"/>
      <c r="L10" s="22"/>
    </row>
    <row r="11" spans="1:16" ht="39.75" customHeight="1" thickTop="1" thickBot="1" x14ac:dyDescent="0.3">
      <c r="A11" s="4"/>
      <c r="B11" s="4"/>
      <c r="C11" s="4"/>
      <c r="D11" s="4"/>
      <c r="E11" s="4"/>
      <c r="F11" s="154" t="s">
        <v>13</v>
      </c>
      <c r="G11" s="155"/>
      <c r="H11" s="29" t="s">
        <v>12</v>
      </c>
      <c r="I11" s="29" t="s">
        <v>11</v>
      </c>
      <c r="J11" s="29" t="s">
        <v>45</v>
      </c>
      <c r="K11" s="29" t="s">
        <v>3</v>
      </c>
      <c r="L11" s="156" t="s">
        <v>9</v>
      </c>
    </row>
    <row r="12" spans="1:16" s="16" customFormat="1" ht="20.100000000000001" customHeight="1" thickTop="1" thickBot="1" x14ac:dyDescent="0.4">
      <c r="A12" s="158" t="s">
        <v>4</v>
      </c>
      <c r="B12" s="159"/>
      <c r="C12" s="159"/>
      <c r="D12" s="159"/>
      <c r="E12" s="160"/>
      <c r="F12" s="161">
        <v>1</v>
      </c>
      <c r="G12" s="162"/>
      <c r="H12" s="30">
        <v>3</v>
      </c>
      <c r="I12" s="30">
        <v>5</v>
      </c>
      <c r="J12" s="30">
        <v>0.5</v>
      </c>
      <c r="K12" s="30">
        <v>10</v>
      </c>
      <c r="L12" s="157"/>
    </row>
    <row r="13" spans="1:16" ht="19.899999999999999" customHeight="1" thickBot="1" x14ac:dyDescent="0.3">
      <c r="A13" s="5">
        <v>1</v>
      </c>
      <c r="B13" s="5"/>
      <c r="C13" s="23"/>
      <c r="D13" s="144" t="s">
        <v>5</v>
      </c>
      <c r="E13" s="145"/>
      <c r="F13" s="57" t="s">
        <v>46</v>
      </c>
      <c r="G13" s="58"/>
      <c r="H13" s="59"/>
      <c r="I13" s="59"/>
      <c r="J13" s="59"/>
      <c r="K13" s="60"/>
      <c r="L13" s="34">
        <f>IF($L$37&lt;&gt;"",IF(SUMPRODUCT(--(TRIM(K13)&lt;&gt;""))&lt;&gt;0,0,MIN(10,MAX(1,10-5*(SUMPRODUCT(--(TRIM(I13)&lt;&gt;"")))-3*(SUMPRODUCT(--(TRIM(H13)&lt;&gt;"")))-1*SUMPRODUCT(--(TRIM(F13:G13)&lt;&gt;""))+IF(TRIM(J13)="-",-0.5,IF(TRIM(J13)="+",0.5,0))))),"")</f>
        <v>9</v>
      </c>
      <c r="N13" s="76" t="s">
        <v>51</v>
      </c>
      <c r="O13" s="76"/>
      <c r="P13" s="76" t="s">
        <v>46</v>
      </c>
    </row>
    <row r="14" spans="1:16" ht="19.899999999999999" customHeight="1" x14ac:dyDescent="0.25">
      <c r="A14" s="6">
        <v>2</v>
      </c>
      <c r="B14" s="6"/>
      <c r="C14" s="139" t="s">
        <v>19</v>
      </c>
      <c r="D14" s="146" t="s">
        <v>15</v>
      </c>
      <c r="E14" s="147"/>
      <c r="F14" s="61" t="s">
        <v>46</v>
      </c>
      <c r="G14" s="62" t="s">
        <v>46</v>
      </c>
      <c r="H14" s="63"/>
      <c r="I14" s="63"/>
      <c r="J14" s="63"/>
      <c r="K14" s="77"/>
      <c r="L14" s="35">
        <f t="shared" ref="L14:L35" si="0">IF($L$37&lt;&gt;"",IF(SUMPRODUCT(--(TRIM(K14)&lt;&gt;""))&lt;&gt;0,0,MIN(10,MAX(1,10-5*(SUMPRODUCT(--(TRIM(I14)&lt;&gt;"")))-3*(SUMPRODUCT(--(TRIM(H14)&lt;&gt;"")))-1*SUMPRODUCT(--(TRIM(F14:G14)&lt;&gt;""))+IF(TRIM(J14)="-",-0.5,IF(TRIM(J14)="+",0.5,0))))),"")</f>
        <v>8</v>
      </c>
      <c r="N14" s="76" t="s">
        <v>49</v>
      </c>
      <c r="O14" s="76"/>
      <c r="P14" s="76" t="s">
        <v>47</v>
      </c>
    </row>
    <row r="15" spans="1:16" ht="19.899999999999999" customHeight="1" x14ac:dyDescent="0.25">
      <c r="A15" s="7">
        <v>3</v>
      </c>
      <c r="B15" s="6"/>
      <c r="C15" s="126"/>
      <c r="D15" s="142" t="s">
        <v>20</v>
      </c>
      <c r="E15" s="143"/>
      <c r="F15" s="53"/>
      <c r="G15" s="54"/>
      <c r="H15" s="55" t="s">
        <v>46</v>
      </c>
      <c r="I15" s="55"/>
      <c r="J15" s="55"/>
      <c r="K15" s="56"/>
      <c r="L15" s="36">
        <f t="shared" si="0"/>
        <v>7</v>
      </c>
      <c r="N15" s="76" t="s">
        <v>50</v>
      </c>
      <c r="O15" s="76"/>
      <c r="P15" s="76" t="s">
        <v>48</v>
      </c>
    </row>
    <row r="16" spans="1:16" ht="19.899999999999999" customHeight="1" x14ac:dyDescent="0.25">
      <c r="A16" s="18">
        <v>4</v>
      </c>
      <c r="B16" s="21"/>
      <c r="C16" s="126"/>
      <c r="D16" s="130" t="s">
        <v>21</v>
      </c>
      <c r="E16" s="131"/>
      <c r="F16" s="42" t="s">
        <v>46</v>
      </c>
      <c r="G16" s="43"/>
      <c r="H16" s="44" t="s">
        <v>46</v>
      </c>
      <c r="I16" s="44"/>
      <c r="J16" s="44"/>
      <c r="K16" s="45"/>
      <c r="L16" s="37">
        <f t="shared" si="0"/>
        <v>6</v>
      </c>
    </row>
    <row r="17" spans="1:12" ht="19.899999999999999" customHeight="1" x14ac:dyDescent="0.25">
      <c r="A17" s="7">
        <v>5</v>
      </c>
      <c r="B17" s="6"/>
      <c r="C17" s="126"/>
      <c r="D17" s="142" t="s">
        <v>22</v>
      </c>
      <c r="E17" s="143"/>
      <c r="F17" s="53" t="s">
        <v>46</v>
      </c>
      <c r="G17" s="54" t="s">
        <v>46</v>
      </c>
      <c r="H17" s="55" t="s">
        <v>46</v>
      </c>
      <c r="I17" s="55"/>
      <c r="J17" s="55"/>
      <c r="K17" s="56"/>
      <c r="L17" s="36">
        <f t="shared" si="0"/>
        <v>5</v>
      </c>
    </row>
    <row r="18" spans="1:12" ht="19.899999999999999" customHeight="1" x14ac:dyDescent="0.25">
      <c r="A18" s="7">
        <v>6</v>
      </c>
      <c r="B18" s="6"/>
      <c r="C18" s="126"/>
      <c r="D18" s="130" t="s">
        <v>23</v>
      </c>
      <c r="E18" s="131"/>
      <c r="F18" s="42"/>
      <c r="G18" s="43"/>
      <c r="H18" s="44"/>
      <c r="I18" s="44" t="s">
        <v>46</v>
      </c>
      <c r="J18" s="44"/>
      <c r="K18" s="45"/>
      <c r="L18" s="37">
        <f t="shared" si="0"/>
        <v>5</v>
      </c>
    </row>
    <row r="19" spans="1:12" ht="19.899999999999999" customHeight="1" x14ac:dyDescent="0.25">
      <c r="A19" s="7">
        <v>7</v>
      </c>
      <c r="B19" s="6"/>
      <c r="C19" s="126"/>
      <c r="D19" s="142" t="s">
        <v>24</v>
      </c>
      <c r="E19" s="143"/>
      <c r="F19" s="53" t="s">
        <v>46</v>
      </c>
      <c r="G19" s="54"/>
      <c r="H19" s="55"/>
      <c r="I19" s="55" t="s">
        <v>46</v>
      </c>
      <c r="J19" s="55"/>
      <c r="K19" s="56"/>
      <c r="L19" s="36">
        <f t="shared" si="0"/>
        <v>4</v>
      </c>
    </row>
    <row r="20" spans="1:12" ht="19.899999999999999" customHeight="1" thickBot="1" x14ac:dyDescent="0.3">
      <c r="A20" s="7">
        <v>8</v>
      </c>
      <c r="B20" s="6"/>
      <c r="C20" s="126"/>
      <c r="D20" s="146" t="s">
        <v>25</v>
      </c>
      <c r="E20" s="147"/>
      <c r="F20" s="61" t="s">
        <v>46</v>
      </c>
      <c r="G20" s="62" t="s">
        <v>46</v>
      </c>
      <c r="H20" s="63"/>
      <c r="I20" s="63" t="s">
        <v>46</v>
      </c>
      <c r="J20" s="63"/>
      <c r="K20" s="77"/>
      <c r="L20" s="35">
        <f t="shared" si="0"/>
        <v>3</v>
      </c>
    </row>
    <row r="21" spans="1:12" ht="19.899999999999999" customHeight="1" x14ac:dyDescent="0.25">
      <c r="A21" s="24">
        <v>9</v>
      </c>
      <c r="B21" s="24"/>
      <c r="C21" s="139" t="s">
        <v>26</v>
      </c>
      <c r="D21" s="140" t="s">
        <v>14</v>
      </c>
      <c r="E21" s="141"/>
      <c r="F21" s="49"/>
      <c r="G21" s="50"/>
      <c r="H21" s="51" t="s">
        <v>46</v>
      </c>
      <c r="I21" s="51" t="s">
        <v>46</v>
      </c>
      <c r="J21" s="51"/>
      <c r="K21" s="52"/>
      <c r="L21" s="38">
        <f t="shared" si="0"/>
        <v>2</v>
      </c>
    </row>
    <row r="22" spans="1:12" ht="19.899999999999999" customHeight="1" x14ac:dyDescent="0.25">
      <c r="A22" s="7">
        <v>10</v>
      </c>
      <c r="B22" s="6"/>
      <c r="C22" s="126"/>
      <c r="D22" s="130" t="s">
        <v>27</v>
      </c>
      <c r="E22" s="131"/>
      <c r="F22" s="42" t="s">
        <v>46</v>
      </c>
      <c r="G22" s="43"/>
      <c r="H22" s="44" t="s">
        <v>46</v>
      </c>
      <c r="I22" s="44" t="s">
        <v>46</v>
      </c>
      <c r="J22" s="44"/>
      <c r="K22" s="45"/>
      <c r="L22" s="37">
        <f t="shared" si="0"/>
        <v>1</v>
      </c>
    </row>
    <row r="23" spans="1:12" ht="19.899999999999999" customHeight="1" x14ac:dyDescent="0.25">
      <c r="A23" s="7">
        <v>11</v>
      </c>
      <c r="B23" s="6"/>
      <c r="C23" s="126"/>
      <c r="D23" s="142" t="s">
        <v>28</v>
      </c>
      <c r="E23" s="143"/>
      <c r="F23" s="53" t="s">
        <v>46</v>
      </c>
      <c r="G23" s="54" t="s">
        <v>46</v>
      </c>
      <c r="H23" s="55" t="s">
        <v>46</v>
      </c>
      <c r="I23" s="55" t="s">
        <v>46</v>
      </c>
      <c r="J23" s="55"/>
      <c r="K23" s="56"/>
      <c r="L23" s="36">
        <f t="shared" si="0"/>
        <v>1</v>
      </c>
    </row>
    <row r="24" spans="1:12" ht="19.899999999999999" customHeight="1" x14ac:dyDescent="0.25">
      <c r="A24" s="18">
        <v>12</v>
      </c>
      <c r="B24" s="21"/>
      <c r="C24" s="126"/>
      <c r="D24" s="130" t="s">
        <v>29</v>
      </c>
      <c r="E24" s="131"/>
      <c r="F24" s="42"/>
      <c r="G24" s="43"/>
      <c r="H24" s="44"/>
      <c r="I24" s="44"/>
      <c r="J24" s="44" t="s">
        <v>47</v>
      </c>
      <c r="K24" s="45"/>
      <c r="L24" s="37">
        <f t="shared" si="0"/>
        <v>10</v>
      </c>
    </row>
    <row r="25" spans="1:12" ht="19.899999999999999" customHeight="1" thickBot="1" x14ac:dyDescent="0.3">
      <c r="A25" s="8">
        <v>13</v>
      </c>
      <c r="B25" s="28"/>
      <c r="C25" s="127"/>
      <c r="D25" s="132" t="s">
        <v>30</v>
      </c>
      <c r="E25" s="133"/>
      <c r="F25" s="68" t="s">
        <v>46</v>
      </c>
      <c r="G25" s="69" t="s">
        <v>46</v>
      </c>
      <c r="H25" s="70" t="s">
        <v>46</v>
      </c>
      <c r="I25" s="70" t="s">
        <v>46</v>
      </c>
      <c r="J25" s="70" t="s">
        <v>48</v>
      </c>
      <c r="K25" s="71"/>
      <c r="L25" s="39">
        <f t="shared" si="0"/>
        <v>1</v>
      </c>
    </row>
    <row r="26" spans="1:12" ht="19.899999999999999" customHeight="1" x14ac:dyDescent="0.25">
      <c r="A26" s="19">
        <v>14</v>
      </c>
      <c r="B26" s="21"/>
      <c r="C26" s="126" t="s">
        <v>17</v>
      </c>
      <c r="D26" s="128" t="s">
        <v>16</v>
      </c>
      <c r="E26" s="129"/>
      <c r="F26" s="64" t="s">
        <v>46</v>
      </c>
      <c r="G26" s="65" t="s">
        <v>46</v>
      </c>
      <c r="H26" s="66"/>
      <c r="I26" s="66"/>
      <c r="J26" s="66" t="s">
        <v>47</v>
      </c>
      <c r="K26" s="67"/>
      <c r="L26" s="40">
        <f t="shared" si="0"/>
        <v>8.5</v>
      </c>
    </row>
    <row r="27" spans="1:12" ht="19.899999999999999" customHeight="1" x14ac:dyDescent="0.25">
      <c r="A27" s="18">
        <v>15</v>
      </c>
      <c r="B27" s="21"/>
      <c r="C27" s="126"/>
      <c r="D27" s="130" t="s">
        <v>31</v>
      </c>
      <c r="E27" s="131"/>
      <c r="F27" s="42" t="s">
        <v>46</v>
      </c>
      <c r="G27" s="43" t="s">
        <v>46</v>
      </c>
      <c r="H27" s="44"/>
      <c r="I27" s="44"/>
      <c r="J27" s="44" t="s">
        <v>48</v>
      </c>
      <c r="K27" s="45"/>
      <c r="L27" s="37">
        <f t="shared" si="0"/>
        <v>7.5</v>
      </c>
    </row>
    <row r="28" spans="1:12" ht="19.899999999999999" customHeight="1" thickBot="1" x14ac:dyDescent="0.3">
      <c r="A28" s="8">
        <v>16</v>
      </c>
      <c r="B28" s="28"/>
      <c r="C28" s="127"/>
      <c r="D28" s="132" t="s">
        <v>32</v>
      </c>
      <c r="E28" s="133"/>
      <c r="F28" s="68"/>
      <c r="G28" s="69"/>
      <c r="H28" s="70" t="s">
        <v>46</v>
      </c>
      <c r="I28" s="70"/>
      <c r="J28" s="70"/>
      <c r="K28" s="71"/>
      <c r="L28" s="39">
        <f t="shared" si="0"/>
        <v>7</v>
      </c>
    </row>
    <row r="29" spans="1:12" ht="19.899999999999999" customHeight="1" x14ac:dyDescent="0.25">
      <c r="A29" s="19">
        <v>17</v>
      </c>
      <c r="B29" s="21"/>
      <c r="C29" s="126" t="s">
        <v>33</v>
      </c>
      <c r="D29" s="128" t="s">
        <v>34</v>
      </c>
      <c r="E29" s="129"/>
      <c r="F29" s="64" t="s">
        <v>46</v>
      </c>
      <c r="G29" s="65"/>
      <c r="H29" s="66"/>
      <c r="I29" s="66"/>
      <c r="J29" s="66"/>
      <c r="K29" s="67"/>
      <c r="L29" s="40">
        <f t="shared" si="0"/>
        <v>9</v>
      </c>
    </row>
    <row r="30" spans="1:12" ht="19.899999999999999" customHeight="1" x14ac:dyDescent="0.25">
      <c r="A30" s="18">
        <v>18</v>
      </c>
      <c r="B30" s="21"/>
      <c r="C30" s="126"/>
      <c r="D30" s="130" t="s">
        <v>35</v>
      </c>
      <c r="E30" s="131"/>
      <c r="F30" s="42" t="s">
        <v>46</v>
      </c>
      <c r="G30" s="43" t="s">
        <v>46</v>
      </c>
      <c r="H30" s="44"/>
      <c r="I30" s="44"/>
      <c r="J30" s="44"/>
      <c r="K30" s="45"/>
      <c r="L30" s="37">
        <f t="shared" si="0"/>
        <v>8</v>
      </c>
    </row>
    <row r="31" spans="1:12" ht="19.899999999999999" customHeight="1" thickBot="1" x14ac:dyDescent="0.3">
      <c r="A31" s="8">
        <v>19</v>
      </c>
      <c r="B31" s="28"/>
      <c r="C31" s="127"/>
      <c r="D31" s="132" t="s">
        <v>36</v>
      </c>
      <c r="E31" s="133"/>
      <c r="F31" s="68"/>
      <c r="G31" s="69"/>
      <c r="H31" s="70" t="s">
        <v>46</v>
      </c>
      <c r="I31" s="70"/>
      <c r="J31" s="70"/>
      <c r="K31" s="71"/>
      <c r="L31" s="39">
        <f t="shared" si="0"/>
        <v>7</v>
      </c>
    </row>
    <row r="32" spans="1:12" ht="19.899999999999999" customHeight="1" x14ac:dyDescent="0.25">
      <c r="A32" s="19">
        <v>20</v>
      </c>
      <c r="B32" s="21"/>
      <c r="C32" s="126" t="s">
        <v>37</v>
      </c>
      <c r="D32" s="128" t="s">
        <v>38</v>
      </c>
      <c r="E32" s="129"/>
      <c r="F32" s="64" t="s">
        <v>46</v>
      </c>
      <c r="G32" s="65"/>
      <c r="H32" s="66" t="s">
        <v>46</v>
      </c>
      <c r="I32" s="66"/>
      <c r="J32" s="66"/>
      <c r="K32" s="67"/>
      <c r="L32" s="40">
        <f t="shared" si="0"/>
        <v>6</v>
      </c>
    </row>
    <row r="33" spans="1:12" ht="19.899999999999999" customHeight="1" x14ac:dyDescent="0.25">
      <c r="A33" s="18">
        <v>21</v>
      </c>
      <c r="B33" s="21"/>
      <c r="C33" s="126"/>
      <c r="D33" s="130" t="s">
        <v>39</v>
      </c>
      <c r="E33" s="131"/>
      <c r="F33" s="42" t="s">
        <v>46</v>
      </c>
      <c r="G33" s="43" t="s">
        <v>46</v>
      </c>
      <c r="H33" s="44" t="s">
        <v>46</v>
      </c>
      <c r="I33" s="44"/>
      <c r="J33" s="44"/>
      <c r="K33" s="45"/>
      <c r="L33" s="37">
        <f t="shared" si="0"/>
        <v>5</v>
      </c>
    </row>
    <row r="34" spans="1:12" ht="19.899999999999999" customHeight="1" thickBot="1" x14ac:dyDescent="0.3">
      <c r="A34" s="8">
        <v>22</v>
      </c>
      <c r="B34" s="28"/>
      <c r="C34" s="127"/>
      <c r="D34" s="132" t="s">
        <v>40</v>
      </c>
      <c r="E34" s="133"/>
      <c r="F34" s="68"/>
      <c r="G34" s="69"/>
      <c r="H34" s="70"/>
      <c r="I34" s="70" t="s">
        <v>46</v>
      </c>
      <c r="J34" s="70"/>
      <c r="K34" s="71"/>
      <c r="L34" s="39">
        <f t="shared" si="0"/>
        <v>5</v>
      </c>
    </row>
    <row r="35" spans="1:12" ht="19.899999999999999" customHeight="1" thickBot="1" x14ac:dyDescent="0.3">
      <c r="A35" s="19">
        <v>23</v>
      </c>
      <c r="B35" s="21"/>
      <c r="C35" s="25"/>
      <c r="D35" s="134" t="s">
        <v>6</v>
      </c>
      <c r="E35" s="135"/>
      <c r="F35" s="78"/>
      <c r="G35" s="79"/>
      <c r="H35" s="80"/>
      <c r="I35" s="80"/>
      <c r="J35" s="80"/>
      <c r="K35" s="81"/>
      <c r="L35" s="41">
        <f t="shared" si="0"/>
        <v>10</v>
      </c>
    </row>
    <row r="36" spans="1:12" ht="21.95" customHeight="1" thickTop="1" thickBot="1" x14ac:dyDescent="0.3">
      <c r="A36" s="136" t="s">
        <v>41</v>
      </c>
      <c r="B36" s="137"/>
      <c r="C36" s="137"/>
      <c r="D36" s="137"/>
      <c r="E36" s="138"/>
      <c r="F36" s="119">
        <f>IF($L$37&lt;&gt;"",SUMPRODUCT(--(TRIM(F13:G35)&lt;&gt;"")),"")</f>
        <v>24</v>
      </c>
      <c r="G36" s="120">
        <f t="shared" ref="G36" si="1">IF($L$37&lt;&gt;"",COUNTIF(G13:G29,"x"))</f>
        <v>7</v>
      </c>
      <c r="H36" s="46">
        <f>IF($L$37&lt;&gt;"",SUMPRODUCT(--(TRIM(H13:H35)&lt;&gt;"")),"")</f>
        <v>11</v>
      </c>
      <c r="I36" s="46">
        <f>IF($L$37&lt;&gt;"",SUMPRODUCT(--(TRIM(I13:I35)&lt;&gt;"")),"")</f>
        <v>8</v>
      </c>
      <c r="J36" s="48">
        <f>IF($L$37&lt;&gt;"",(COUNTIFS(J13:J35,"+")-COUNTIFS(J13:J35,"-"))*0.5,"")</f>
        <v>0</v>
      </c>
      <c r="K36" s="47">
        <f>IF($L$37&lt;&gt;"",SUMPRODUCT(--(TRIM(K13:K35)&lt;&gt;"")),"")</f>
        <v>0</v>
      </c>
      <c r="L36" s="33">
        <f>IF(L37&lt;&gt;"",IF(K36&lt;1,SUM(L13:L35),IF(K36&gt;=1,ROUNDUP(SUM(L13:L35)/2,0),"")),"")</f>
        <v>135</v>
      </c>
    </row>
    <row r="37" spans="1:12" s="27" customFormat="1" ht="20.100000000000001" customHeight="1" thickTop="1" thickBot="1" x14ac:dyDescent="0.35">
      <c r="A37" s="121" t="s">
        <v>57</v>
      </c>
      <c r="B37" s="122"/>
      <c r="C37" s="122"/>
      <c r="D37" s="122"/>
      <c r="E37" s="26" t="s">
        <v>80</v>
      </c>
      <c r="F37" s="123" t="s">
        <v>42</v>
      </c>
      <c r="G37" s="124"/>
      <c r="H37" s="124"/>
      <c r="I37" s="124"/>
      <c r="J37" s="124"/>
      <c r="K37" s="125"/>
      <c r="L37" s="82" t="s">
        <v>53</v>
      </c>
    </row>
    <row r="38" spans="1:12" ht="15.75" thickTop="1" x14ac:dyDescent="0.25"/>
  </sheetData>
  <sheetProtection algorithmName="SHA-512" hashValue="dxEtlnbpEGs5U4tVVe9X0eb9zT6UZK2SL26UPCUP+ihWjf+83X4zazDGxFbr01+M4O7xWmv8Z6ZGOq8ZzUwX7g==" saltValue="3u5EENCt5LSI6DuvVQzwsQ==" spinCount="100000" sheet="1" objects="1" scenarios="1"/>
  <mergeCells count="52">
    <mergeCell ref="E1:I1"/>
    <mergeCell ref="A2:L2"/>
    <mergeCell ref="A3:L3"/>
    <mergeCell ref="A5:D5"/>
    <mergeCell ref="H5:I5"/>
    <mergeCell ref="J5:K5"/>
    <mergeCell ref="H6:K6"/>
    <mergeCell ref="D7:E7"/>
    <mergeCell ref="F7:H7"/>
    <mergeCell ref="I7:K7"/>
    <mergeCell ref="D8:E8"/>
    <mergeCell ref="F8:H8"/>
    <mergeCell ref="I8:K8"/>
    <mergeCell ref="D9:E9"/>
    <mergeCell ref="F9:H9"/>
    <mergeCell ref="I9:K9"/>
    <mergeCell ref="F11:G11"/>
    <mergeCell ref="L11:L12"/>
    <mergeCell ref="A12:E12"/>
    <mergeCell ref="F12:G12"/>
    <mergeCell ref="D13:E13"/>
    <mergeCell ref="C14:C20"/>
    <mergeCell ref="D14:E14"/>
    <mergeCell ref="D15:E15"/>
    <mergeCell ref="D16:E16"/>
    <mergeCell ref="D17:E17"/>
    <mergeCell ref="D18:E18"/>
    <mergeCell ref="D19:E19"/>
    <mergeCell ref="D20:E20"/>
    <mergeCell ref="C21:C25"/>
    <mergeCell ref="D21:E21"/>
    <mergeCell ref="D22:E22"/>
    <mergeCell ref="D23:E23"/>
    <mergeCell ref="D24:E24"/>
    <mergeCell ref="D25:E25"/>
    <mergeCell ref="C26:C28"/>
    <mergeCell ref="D26:E26"/>
    <mergeCell ref="D27:E27"/>
    <mergeCell ref="D28:E28"/>
    <mergeCell ref="C29:C31"/>
    <mergeCell ref="D29:E29"/>
    <mergeCell ref="D30:E30"/>
    <mergeCell ref="D31:E31"/>
    <mergeCell ref="F36:G36"/>
    <mergeCell ref="A37:D37"/>
    <mergeCell ref="F37:K37"/>
    <mergeCell ref="C32:C34"/>
    <mergeCell ref="D32:E32"/>
    <mergeCell ref="D33:E33"/>
    <mergeCell ref="D34:E34"/>
    <mergeCell ref="D35:E35"/>
    <mergeCell ref="A36:E36"/>
  </mergeCells>
  <dataValidations count="2">
    <dataValidation type="list" allowBlank="1" showDropDown="1" showInputMessage="1" showErrorMessage="1" sqref="J13:J35" xr:uid="{A6A3B757-B1F9-442A-9E64-256EF39BA338}">
      <formula1>$P$14:$P$15</formula1>
    </dataValidation>
    <dataValidation type="list" allowBlank="1" showDropDown="1" showInputMessage="1" showErrorMessage="1" sqref="F13:I35 K13:K35" xr:uid="{A4EB7811-AD64-4CA8-8026-4D2641794C5B}">
      <formula1>$P$13</formula1>
    </dataValidation>
  </dataValidations>
  <printOptions horizontalCentered="1" verticalCentered="1"/>
  <pageMargins left="0.78740157480314965" right="0.31496062992125984" top="0.39370078740157483" bottom="0.39370078740157483" header="0.39370078740157483" footer="0.23622047244094491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319AB8-0BE9-4F27-BC6C-451480EADBE9}">
  <sheetPr codeName="Tabelle17"/>
  <dimension ref="A1:P38"/>
  <sheetViews>
    <sheetView workbookViewId="0">
      <selection activeCell="F13" sqref="F13"/>
    </sheetView>
  </sheetViews>
  <sheetFormatPr baseColWidth="10" defaultColWidth="11.42578125" defaultRowHeight="15" x14ac:dyDescent="0.25"/>
  <cols>
    <col min="1" max="1" width="3.7109375" customWidth="1"/>
    <col min="2" max="2" width="3.7109375" hidden="1" customWidth="1"/>
    <col min="3" max="3" width="3.7109375" customWidth="1"/>
    <col min="4" max="4" width="5.7109375" customWidth="1"/>
    <col min="5" max="5" width="18.140625" customWidth="1"/>
    <col min="6" max="7" width="4.7109375" customWidth="1"/>
    <col min="8" max="12" width="8.7109375" customWidth="1"/>
  </cols>
  <sheetData>
    <row r="1" spans="1:16" s="15" customFormat="1" ht="24.95" customHeight="1" x14ac:dyDescent="0.5">
      <c r="A1" s="31"/>
      <c r="B1" s="31"/>
      <c r="C1" s="31"/>
      <c r="D1" s="31"/>
      <c r="E1" s="175" t="s">
        <v>44</v>
      </c>
      <c r="F1" s="175"/>
      <c r="G1" s="175"/>
      <c r="H1" s="175"/>
      <c r="I1" s="175"/>
      <c r="J1" s="32"/>
      <c r="K1" s="31"/>
      <c r="L1" s="31"/>
    </row>
    <row r="2" spans="1:16" s="15" customFormat="1" ht="20.100000000000001" customHeight="1" x14ac:dyDescent="0.5">
      <c r="A2" s="176" t="s">
        <v>63</v>
      </c>
      <c r="B2" s="176"/>
      <c r="C2" s="176"/>
      <c r="D2" s="176"/>
      <c r="E2" s="176"/>
      <c r="F2" s="176"/>
      <c r="G2" s="176"/>
      <c r="H2" s="176"/>
      <c r="I2" s="176"/>
      <c r="J2" s="176"/>
      <c r="K2" s="176"/>
      <c r="L2" s="176"/>
    </row>
    <row r="3" spans="1:16" s="15" customFormat="1" ht="39.950000000000003" customHeight="1" x14ac:dyDescent="0.5">
      <c r="A3" s="177" t="s">
        <v>18</v>
      </c>
      <c r="B3" s="177"/>
      <c r="C3" s="177"/>
      <c r="D3" s="177"/>
      <c r="E3" s="177"/>
      <c r="F3" s="177"/>
      <c r="G3" s="177"/>
      <c r="H3" s="177"/>
      <c r="I3" s="177"/>
      <c r="J3" s="177"/>
      <c r="K3" s="177"/>
      <c r="L3" s="177"/>
    </row>
    <row r="4" spans="1:16" s="15" customFormat="1" ht="11.1" customHeight="1" x14ac:dyDescent="0.5">
      <c r="A4" s="11"/>
      <c r="B4" s="11"/>
      <c r="C4" s="11"/>
      <c r="D4" s="11"/>
      <c r="E4" s="11"/>
      <c r="F4" s="12"/>
      <c r="G4" s="12"/>
      <c r="H4" s="12"/>
      <c r="I4" s="12"/>
      <c r="J4" s="12"/>
      <c r="K4" s="12"/>
    </row>
    <row r="5" spans="1:16" ht="21.95" customHeight="1" x14ac:dyDescent="0.25">
      <c r="A5" s="178" t="s">
        <v>54</v>
      </c>
      <c r="B5" s="178"/>
      <c r="C5" s="178"/>
      <c r="D5" s="178"/>
      <c r="E5" s="72" t="s">
        <v>81</v>
      </c>
      <c r="F5" s="13"/>
      <c r="G5" s="14" t="s">
        <v>55</v>
      </c>
      <c r="H5" s="179" t="s">
        <v>64</v>
      </c>
      <c r="I5" s="179"/>
      <c r="J5" s="180" t="s">
        <v>56</v>
      </c>
      <c r="K5" s="180"/>
      <c r="L5" s="73" t="s">
        <v>65</v>
      </c>
    </row>
    <row r="6" spans="1:16" ht="11.1" customHeight="1" thickBot="1" x14ac:dyDescent="0.55000000000000004">
      <c r="A6" s="1"/>
      <c r="B6" s="1"/>
      <c r="C6" s="2"/>
      <c r="D6" s="2"/>
      <c r="E6" s="2"/>
      <c r="F6" s="20"/>
      <c r="G6" s="20"/>
      <c r="H6" s="163"/>
      <c r="I6" s="163"/>
      <c r="J6" s="163"/>
      <c r="K6" s="163"/>
      <c r="L6" s="15"/>
    </row>
    <row r="7" spans="1:16" s="16" customFormat="1" ht="20.100000000000001" customHeight="1" x14ac:dyDescent="0.35">
      <c r="A7" s="9"/>
      <c r="B7" s="9"/>
      <c r="C7" s="9"/>
      <c r="D7" s="164" t="s">
        <v>10</v>
      </c>
      <c r="E7" s="165"/>
      <c r="F7" s="166" t="s">
        <v>0</v>
      </c>
      <c r="G7" s="167"/>
      <c r="H7" s="165"/>
      <c r="I7" s="168" t="s">
        <v>1</v>
      </c>
      <c r="J7" s="168"/>
      <c r="K7" s="168"/>
      <c r="L7" s="10" t="s">
        <v>2</v>
      </c>
    </row>
    <row r="8" spans="1:16" ht="21.95" customHeight="1" x14ac:dyDescent="0.25">
      <c r="A8" s="13" t="s">
        <v>7</v>
      </c>
      <c r="B8" s="13"/>
      <c r="C8" s="13"/>
      <c r="D8" s="169" t="s">
        <v>66</v>
      </c>
      <c r="E8" s="170"/>
      <c r="F8" s="171" t="s">
        <v>67</v>
      </c>
      <c r="G8" s="172"/>
      <c r="H8" s="170"/>
      <c r="I8" s="173" t="s">
        <v>68</v>
      </c>
      <c r="J8" s="174"/>
      <c r="K8" s="174"/>
      <c r="L8" s="74" t="s">
        <v>70</v>
      </c>
    </row>
    <row r="9" spans="1:16" ht="21.95" customHeight="1" thickBot="1" x14ac:dyDescent="0.3">
      <c r="A9" s="13" t="s">
        <v>8</v>
      </c>
      <c r="B9" s="13"/>
      <c r="C9" s="13"/>
      <c r="D9" s="148" t="s">
        <v>69</v>
      </c>
      <c r="E9" s="149"/>
      <c r="F9" s="150" t="s">
        <v>67</v>
      </c>
      <c r="G9" s="151"/>
      <c r="H9" s="149"/>
      <c r="I9" s="152" t="s">
        <v>68</v>
      </c>
      <c r="J9" s="153"/>
      <c r="K9" s="153"/>
      <c r="L9" s="75" t="s">
        <v>70</v>
      </c>
    </row>
    <row r="10" spans="1:16" ht="11.1" customHeight="1" thickBot="1" x14ac:dyDescent="0.3">
      <c r="A10" s="1"/>
      <c r="B10" s="1"/>
      <c r="C10" s="2"/>
      <c r="D10" s="2"/>
      <c r="E10" s="3"/>
      <c r="F10" s="3"/>
      <c r="G10" s="3"/>
      <c r="H10" s="3"/>
      <c r="I10" s="3"/>
      <c r="J10" s="3"/>
      <c r="K10" s="3"/>
      <c r="L10" s="22"/>
    </row>
    <row r="11" spans="1:16" ht="39.75" customHeight="1" thickTop="1" thickBot="1" x14ac:dyDescent="0.3">
      <c r="A11" s="4"/>
      <c r="B11" s="4"/>
      <c r="C11" s="4"/>
      <c r="D11" s="4"/>
      <c r="E11" s="4"/>
      <c r="F11" s="154" t="s">
        <v>13</v>
      </c>
      <c r="G11" s="155"/>
      <c r="H11" s="29" t="s">
        <v>12</v>
      </c>
      <c r="I11" s="29" t="s">
        <v>11</v>
      </c>
      <c r="J11" s="29" t="s">
        <v>45</v>
      </c>
      <c r="K11" s="29" t="s">
        <v>3</v>
      </c>
      <c r="L11" s="156" t="s">
        <v>9</v>
      </c>
    </row>
    <row r="12" spans="1:16" s="16" customFormat="1" ht="20.100000000000001" customHeight="1" thickTop="1" thickBot="1" x14ac:dyDescent="0.4">
      <c r="A12" s="158" t="s">
        <v>4</v>
      </c>
      <c r="B12" s="159"/>
      <c r="C12" s="159"/>
      <c r="D12" s="159"/>
      <c r="E12" s="160"/>
      <c r="F12" s="161">
        <v>1</v>
      </c>
      <c r="G12" s="162"/>
      <c r="H12" s="30">
        <v>3</v>
      </c>
      <c r="I12" s="30">
        <v>5</v>
      </c>
      <c r="J12" s="30">
        <v>0.5</v>
      </c>
      <c r="K12" s="30">
        <v>10</v>
      </c>
      <c r="L12" s="157"/>
    </row>
    <row r="13" spans="1:16" ht="19.899999999999999" customHeight="1" thickBot="1" x14ac:dyDescent="0.3">
      <c r="A13" s="5">
        <v>1</v>
      </c>
      <c r="B13" s="5"/>
      <c r="C13" s="23"/>
      <c r="D13" s="144" t="s">
        <v>5</v>
      </c>
      <c r="E13" s="145"/>
      <c r="F13" s="57" t="s">
        <v>46</v>
      </c>
      <c r="G13" s="58"/>
      <c r="H13" s="59"/>
      <c r="I13" s="59"/>
      <c r="J13" s="59"/>
      <c r="K13" s="60"/>
      <c r="L13" s="34">
        <f>IF($L$37&lt;&gt;"",IF(SUMPRODUCT(--(TRIM(K13)&lt;&gt;""))&lt;&gt;0,0,MIN(10,MAX(1,10-5*(SUMPRODUCT(--(TRIM(I13)&lt;&gt;"")))-3*(SUMPRODUCT(--(TRIM(H13)&lt;&gt;"")))-1*SUMPRODUCT(--(TRIM(F13:G13)&lt;&gt;""))+IF(TRIM(J13)="-",-0.5,IF(TRIM(J13)="+",0.5,0))))),"")</f>
        <v>9</v>
      </c>
      <c r="N13" s="76" t="s">
        <v>51</v>
      </c>
      <c r="O13" s="76"/>
      <c r="P13" s="76" t="s">
        <v>46</v>
      </c>
    </row>
    <row r="14" spans="1:16" ht="19.899999999999999" customHeight="1" x14ac:dyDescent="0.25">
      <c r="A14" s="6">
        <v>2</v>
      </c>
      <c r="B14" s="6"/>
      <c r="C14" s="139" t="s">
        <v>19</v>
      </c>
      <c r="D14" s="146" t="s">
        <v>15</v>
      </c>
      <c r="E14" s="147"/>
      <c r="F14" s="61" t="s">
        <v>46</v>
      </c>
      <c r="G14" s="62" t="s">
        <v>46</v>
      </c>
      <c r="H14" s="63"/>
      <c r="I14" s="63"/>
      <c r="J14" s="63"/>
      <c r="K14" s="77"/>
      <c r="L14" s="35">
        <f t="shared" ref="L14:L35" si="0">IF($L$37&lt;&gt;"",IF(SUMPRODUCT(--(TRIM(K14)&lt;&gt;""))&lt;&gt;0,0,MIN(10,MAX(1,10-5*(SUMPRODUCT(--(TRIM(I14)&lt;&gt;"")))-3*(SUMPRODUCT(--(TRIM(H14)&lt;&gt;"")))-1*SUMPRODUCT(--(TRIM(F14:G14)&lt;&gt;""))+IF(TRIM(J14)="-",-0.5,IF(TRIM(J14)="+",0.5,0))))),"")</f>
        <v>8</v>
      </c>
      <c r="N14" s="76" t="s">
        <v>49</v>
      </c>
      <c r="O14" s="76"/>
      <c r="P14" s="76" t="s">
        <v>47</v>
      </c>
    </row>
    <row r="15" spans="1:16" ht="19.899999999999999" customHeight="1" x14ac:dyDescent="0.25">
      <c r="A15" s="7">
        <v>3</v>
      </c>
      <c r="B15" s="6"/>
      <c r="C15" s="126"/>
      <c r="D15" s="142" t="s">
        <v>20</v>
      </c>
      <c r="E15" s="143"/>
      <c r="F15" s="53"/>
      <c r="G15" s="54"/>
      <c r="H15" s="55" t="s">
        <v>46</v>
      </c>
      <c r="I15" s="55"/>
      <c r="J15" s="55"/>
      <c r="K15" s="56"/>
      <c r="L15" s="36">
        <f t="shared" si="0"/>
        <v>7</v>
      </c>
      <c r="N15" s="76" t="s">
        <v>50</v>
      </c>
      <c r="O15" s="76"/>
      <c r="P15" s="76" t="s">
        <v>48</v>
      </c>
    </row>
    <row r="16" spans="1:16" ht="19.899999999999999" customHeight="1" x14ac:dyDescent="0.25">
      <c r="A16" s="18">
        <v>4</v>
      </c>
      <c r="B16" s="21"/>
      <c r="C16" s="126"/>
      <c r="D16" s="130" t="s">
        <v>21</v>
      </c>
      <c r="E16" s="131"/>
      <c r="F16" s="42" t="s">
        <v>46</v>
      </c>
      <c r="G16" s="43"/>
      <c r="H16" s="44" t="s">
        <v>46</v>
      </c>
      <c r="I16" s="44"/>
      <c r="J16" s="44"/>
      <c r="K16" s="45"/>
      <c r="L16" s="37">
        <f t="shared" si="0"/>
        <v>6</v>
      </c>
    </row>
    <row r="17" spans="1:12" ht="19.899999999999999" customHeight="1" x14ac:dyDescent="0.25">
      <c r="A17" s="7">
        <v>5</v>
      </c>
      <c r="B17" s="6"/>
      <c r="C17" s="126"/>
      <c r="D17" s="142" t="s">
        <v>22</v>
      </c>
      <c r="E17" s="143"/>
      <c r="F17" s="53" t="s">
        <v>46</v>
      </c>
      <c r="G17" s="54" t="s">
        <v>46</v>
      </c>
      <c r="H17" s="55" t="s">
        <v>46</v>
      </c>
      <c r="I17" s="55"/>
      <c r="J17" s="55"/>
      <c r="K17" s="56"/>
      <c r="L17" s="36">
        <f t="shared" si="0"/>
        <v>5</v>
      </c>
    </row>
    <row r="18" spans="1:12" ht="19.899999999999999" customHeight="1" x14ac:dyDescent="0.25">
      <c r="A18" s="7">
        <v>6</v>
      </c>
      <c r="B18" s="6"/>
      <c r="C18" s="126"/>
      <c r="D18" s="130" t="s">
        <v>23</v>
      </c>
      <c r="E18" s="131"/>
      <c r="F18" s="42"/>
      <c r="G18" s="43"/>
      <c r="H18" s="44"/>
      <c r="I18" s="44" t="s">
        <v>46</v>
      </c>
      <c r="J18" s="44"/>
      <c r="K18" s="45"/>
      <c r="L18" s="37">
        <f t="shared" si="0"/>
        <v>5</v>
      </c>
    </row>
    <row r="19" spans="1:12" ht="19.899999999999999" customHeight="1" x14ac:dyDescent="0.25">
      <c r="A19" s="7">
        <v>7</v>
      </c>
      <c r="B19" s="6"/>
      <c r="C19" s="126"/>
      <c r="D19" s="142" t="s">
        <v>24</v>
      </c>
      <c r="E19" s="143"/>
      <c r="F19" s="53" t="s">
        <v>46</v>
      </c>
      <c r="G19" s="54"/>
      <c r="H19" s="55"/>
      <c r="I19" s="55" t="s">
        <v>46</v>
      </c>
      <c r="J19" s="55"/>
      <c r="K19" s="56"/>
      <c r="L19" s="36">
        <f t="shared" si="0"/>
        <v>4</v>
      </c>
    </row>
    <row r="20" spans="1:12" ht="19.899999999999999" customHeight="1" thickBot="1" x14ac:dyDescent="0.3">
      <c r="A20" s="7">
        <v>8</v>
      </c>
      <c r="B20" s="6"/>
      <c r="C20" s="126"/>
      <c r="D20" s="146" t="s">
        <v>25</v>
      </c>
      <c r="E20" s="147"/>
      <c r="F20" s="61" t="s">
        <v>46</v>
      </c>
      <c r="G20" s="62" t="s">
        <v>46</v>
      </c>
      <c r="H20" s="63"/>
      <c r="I20" s="63" t="s">
        <v>46</v>
      </c>
      <c r="J20" s="63"/>
      <c r="K20" s="77"/>
      <c r="L20" s="35">
        <f t="shared" si="0"/>
        <v>3</v>
      </c>
    </row>
    <row r="21" spans="1:12" ht="19.899999999999999" customHeight="1" x14ac:dyDescent="0.25">
      <c r="A21" s="24">
        <v>9</v>
      </c>
      <c r="B21" s="24"/>
      <c r="C21" s="139" t="s">
        <v>26</v>
      </c>
      <c r="D21" s="140" t="s">
        <v>14</v>
      </c>
      <c r="E21" s="141"/>
      <c r="F21" s="49"/>
      <c r="G21" s="50"/>
      <c r="H21" s="51" t="s">
        <v>46</v>
      </c>
      <c r="I21" s="51" t="s">
        <v>46</v>
      </c>
      <c r="J21" s="51"/>
      <c r="K21" s="52"/>
      <c r="L21" s="38">
        <f t="shared" si="0"/>
        <v>2</v>
      </c>
    </row>
    <row r="22" spans="1:12" ht="19.899999999999999" customHeight="1" x14ac:dyDescent="0.25">
      <c r="A22" s="7">
        <v>10</v>
      </c>
      <c r="B22" s="6"/>
      <c r="C22" s="126"/>
      <c r="D22" s="130" t="s">
        <v>27</v>
      </c>
      <c r="E22" s="131"/>
      <c r="F22" s="42" t="s">
        <v>46</v>
      </c>
      <c r="G22" s="43"/>
      <c r="H22" s="44" t="s">
        <v>46</v>
      </c>
      <c r="I22" s="44" t="s">
        <v>46</v>
      </c>
      <c r="J22" s="44"/>
      <c r="K22" s="45"/>
      <c r="L22" s="37">
        <f t="shared" si="0"/>
        <v>1</v>
      </c>
    </row>
    <row r="23" spans="1:12" ht="19.899999999999999" customHeight="1" x14ac:dyDescent="0.25">
      <c r="A23" s="7">
        <v>11</v>
      </c>
      <c r="B23" s="6"/>
      <c r="C23" s="126"/>
      <c r="D23" s="142" t="s">
        <v>28</v>
      </c>
      <c r="E23" s="143"/>
      <c r="F23" s="53" t="s">
        <v>46</v>
      </c>
      <c r="G23" s="54" t="s">
        <v>46</v>
      </c>
      <c r="H23" s="55" t="s">
        <v>46</v>
      </c>
      <c r="I23" s="55" t="s">
        <v>46</v>
      </c>
      <c r="J23" s="55"/>
      <c r="K23" s="56"/>
      <c r="L23" s="36">
        <f t="shared" si="0"/>
        <v>1</v>
      </c>
    </row>
    <row r="24" spans="1:12" ht="19.899999999999999" customHeight="1" x14ac:dyDescent="0.25">
      <c r="A24" s="18">
        <v>12</v>
      </c>
      <c r="B24" s="21"/>
      <c r="C24" s="126"/>
      <c r="D24" s="130" t="s">
        <v>29</v>
      </c>
      <c r="E24" s="131"/>
      <c r="F24" s="42"/>
      <c r="G24" s="43"/>
      <c r="H24" s="44"/>
      <c r="I24" s="44"/>
      <c r="J24" s="44" t="s">
        <v>47</v>
      </c>
      <c r="K24" s="45"/>
      <c r="L24" s="37">
        <f t="shared" si="0"/>
        <v>10</v>
      </c>
    </row>
    <row r="25" spans="1:12" ht="19.899999999999999" customHeight="1" thickBot="1" x14ac:dyDescent="0.3">
      <c r="A25" s="8">
        <v>13</v>
      </c>
      <c r="B25" s="28"/>
      <c r="C25" s="127"/>
      <c r="D25" s="132" t="s">
        <v>30</v>
      </c>
      <c r="E25" s="133"/>
      <c r="F25" s="68" t="s">
        <v>46</v>
      </c>
      <c r="G25" s="69" t="s">
        <v>46</v>
      </c>
      <c r="H25" s="70" t="s">
        <v>46</v>
      </c>
      <c r="I25" s="70" t="s">
        <v>46</v>
      </c>
      <c r="J25" s="70" t="s">
        <v>48</v>
      </c>
      <c r="K25" s="71"/>
      <c r="L25" s="39">
        <f t="shared" si="0"/>
        <v>1</v>
      </c>
    </row>
    <row r="26" spans="1:12" ht="19.899999999999999" customHeight="1" x14ac:dyDescent="0.25">
      <c r="A26" s="19">
        <v>14</v>
      </c>
      <c r="B26" s="21"/>
      <c r="C26" s="126" t="s">
        <v>17</v>
      </c>
      <c r="D26" s="128" t="s">
        <v>16</v>
      </c>
      <c r="E26" s="129"/>
      <c r="F26" s="64" t="s">
        <v>46</v>
      </c>
      <c r="G26" s="65" t="s">
        <v>46</v>
      </c>
      <c r="H26" s="66"/>
      <c r="I26" s="66"/>
      <c r="J26" s="66" t="s">
        <v>47</v>
      </c>
      <c r="K26" s="67"/>
      <c r="L26" s="40">
        <f t="shared" si="0"/>
        <v>8.5</v>
      </c>
    </row>
    <row r="27" spans="1:12" ht="19.899999999999999" customHeight="1" x14ac:dyDescent="0.25">
      <c r="A27" s="18">
        <v>15</v>
      </c>
      <c r="B27" s="21"/>
      <c r="C27" s="126"/>
      <c r="D27" s="130" t="s">
        <v>31</v>
      </c>
      <c r="E27" s="131"/>
      <c r="F27" s="42" t="s">
        <v>46</v>
      </c>
      <c r="G27" s="43" t="s">
        <v>46</v>
      </c>
      <c r="H27" s="44"/>
      <c r="I27" s="44"/>
      <c r="J27" s="44" t="s">
        <v>48</v>
      </c>
      <c r="K27" s="45"/>
      <c r="L27" s="37">
        <f t="shared" si="0"/>
        <v>7.5</v>
      </c>
    </row>
    <row r="28" spans="1:12" ht="19.899999999999999" customHeight="1" thickBot="1" x14ac:dyDescent="0.3">
      <c r="A28" s="8">
        <v>16</v>
      </c>
      <c r="B28" s="28"/>
      <c r="C28" s="127"/>
      <c r="D28" s="132" t="s">
        <v>32</v>
      </c>
      <c r="E28" s="133"/>
      <c r="F28" s="68"/>
      <c r="G28" s="69"/>
      <c r="H28" s="70" t="s">
        <v>46</v>
      </c>
      <c r="I28" s="70"/>
      <c r="J28" s="70"/>
      <c r="K28" s="71"/>
      <c r="L28" s="39">
        <f t="shared" si="0"/>
        <v>7</v>
      </c>
    </row>
    <row r="29" spans="1:12" ht="19.899999999999999" customHeight="1" x14ac:dyDescent="0.25">
      <c r="A29" s="19">
        <v>17</v>
      </c>
      <c r="B29" s="21"/>
      <c r="C29" s="126" t="s">
        <v>33</v>
      </c>
      <c r="D29" s="128" t="s">
        <v>34</v>
      </c>
      <c r="E29" s="129"/>
      <c r="F29" s="64" t="s">
        <v>46</v>
      </c>
      <c r="G29" s="65"/>
      <c r="H29" s="66"/>
      <c r="I29" s="66"/>
      <c r="J29" s="66"/>
      <c r="K29" s="67"/>
      <c r="L29" s="40">
        <f t="shared" si="0"/>
        <v>9</v>
      </c>
    </row>
    <row r="30" spans="1:12" ht="19.899999999999999" customHeight="1" x14ac:dyDescent="0.25">
      <c r="A30" s="18">
        <v>18</v>
      </c>
      <c r="B30" s="21"/>
      <c r="C30" s="126"/>
      <c r="D30" s="130" t="s">
        <v>35</v>
      </c>
      <c r="E30" s="131"/>
      <c r="F30" s="42" t="s">
        <v>46</v>
      </c>
      <c r="G30" s="43" t="s">
        <v>46</v>
      </c>
      <c r="H30" s="44"/>
      <c r="I30" s="44"/>
      <c r="J30" s="44"/>
      <c r="K30" s="45"/>
      <c r="L30" s="37">
        <f t="shared" si="0"/>
        <v>8</v>
      </c>
    </row>
    <row r="31" spans="1:12" ht="19.899999999999999" customHeight="1" thickBot="1" x14ac:dyDescent="0.3">
      <c r="A31" s="8">
        <v>19</v>
      </c>
      <c r="B31" s="28"/>
      <c r="C31" s="127"/>
      <c r="D31" s="132" t="s">
        <v>36</v>
      </c>
      <c r="E31" s="133"/>
      <c r="F31" s="68"/>
      <c r="G31" s="69"/>
      <c r="H31" s="70" t="s">
        <v>46</v>
      </c>
      <c r="I31" s="70"/>
      <c r="J31" s="70"/>
      <c r="K31" s="71"/>
      <c r="L31" s="39">
        <f t="shared" si="0"/>
        <v>7</v>
      </c>
    </row>
    <row r="32" spans="1:12" ht="19.899999999999999" customHeight="1" x14ac:dyDescent="0.25">
      <c r="A32" s="19">
        <v>20</v>
      </c>
      <c r="B32" s="21"/>
      <c r="C32" s="126" t="s">
        <v>37</v>
      </c>
      <c r="D32" s="128" t="s">
        <v>38</v>
      </c>
      <c r="E32" s="129"/>
      <c r="F32" s="64" t="s">
        <v>46</v>
      </c>
      <c r="G32" s="65"/>
      <c r="H32" s="66" t="s">
        <v>46</v>
      </c>
      <c r="I32" s="66"/>
      <c r="J32" s="66"/>
      <c r="K32" s="67"/>
      <c r="L32" s="40">
        <f t="shared" si="0"/>
        <v>6</v>
      </c>
    </row>
    <row r="33" spans="1:12" ht="19.899999999999999" customHeight="1" x14ac:dyDescent="0.25">
      <c r="A33" s="18">
        <v>21</v>
      </c>
      <c r="B33" s="21"/>
      <c r="C33" s="126"/>
      <c r="D33" s="130" t="s">
        <v>39</v>
      </c>
      <c r="E33" s="131"/>
      <c r="F33" s="42" t="s">
        <v>46</v>
      </c>
      <c r="G33" s="43" t="s">
        <v>46</v>
      </c>
      <c r="H33" s="44" t="s">
        <v>46</v>
      </c>
      <c r="I33" s="44"/>
      <c r="J33" s="44"/>
      <c r="K33" s="45"/>
      <c r="L33" s="37">
        <f t="shared" si="0"/>
        <v>5</v>
      </c>
    </row>
    <row r="34" spans="1:12" ht="19.899999999999999" customHeight="1" thickBot="1" x14ac:dyDescent="0.3">
      <c r="A34" s="8">
        <v>22</v>
      </c>
      <c r="B34" s="28"/>
      <c r="C34" s="127"/>
      <c r="D34" s="132" t="s">
        <v>40</v>
      </c>
      <c r="E34" s="133"/>
      <c r="F34" s="68"/>
      <c r="G34" s="69"/>
      <c r="H34" s="70"/>
      <c r="I34" s="70" t="s">
        <v>46</v>
      </c>
      <c r="J34" s="70"/>
      <c r="K34" s="71"/>
      <c r="L34" s="39">
        <f t="shared" si="0"/>
        <v>5</v>
      </c>
    </row>
    <row r="35" spans="1:12" ht="19.899999999999999" customHeight="1" thickBot="1" x14ac:dyDescent="0.3">
      <c r="A35" s="19">
        <v>23</v>
      </c>
      <c r="B35" s="21"/>
      <c r="C35" s="25"/>
      <c r="D35" s="134" t="s">
        <v>6</v>
      </c>
      <c r="E35" s="135"/>
      <c r="F35" s="78"/>
      <c r="G35" s="79"/>
      <c r="H35" s="80"/>
      <c r="I35" s="80"/>
      <c r="J35" s="80"/>
      <c r="K35" s="81"/>
      <c r="L35" s="41">
        <f t="shared" si="0"/>
        <v>10</v>
      </c>
    </row>
    <row r="36" spans="1:12" ht="21.95" customHeight="1" thickTop="1" thickBot="1" x14ac:dyDescent="0.3">
      <c r="A36" s="136" t="s">
        <v>41</v>
      </c>
      <c r="B36" s="137"/>
      <c r="C36" s="137"/>
      <c r="D36" s="137"/>
      <c r="E36" s="138"/>
      <c r="F36" s="119">
        <f>IF($L$37&lt;&gt;"",SUMPRODUCT(--(TRIM(F13:G35)&lt;&gt;"")),"")</f>
        <v>24</v>
      </c>
      <c r="G36" s="120">
        <f t="shared" ref="G36" si="1">IF($L$37&lt;&gt;"",COUNTIF(G13:G29,"x"))</f>
        <v>7</v>
      </c>
      <c r="H36" s="46">
        <f>IF($L$37&lt;&gt;"",SUMPRODUCT(--(TRIM(H13:H35)&lt;&gt;"")),"")</f>
        <v>11</v>
      </c>
      <c r="I36" s="46">
        <f>IF($L$37&lt;&gt;"",SUMPRODUCT(--(TRIM(I13:I35)&lt;&gt;"")),"")</f>
        <v>8</v>
      </c>
      <c r="J36" s="48">
        <f>IF($L$37&lt;&gt;"",(COUNTIFS(J13:J35,"+")-COUNTIFS(J13:J35,"-"))*0.5,"")</f>
        <v>0</v>
      </c>
      <c r="K36" s="47">
        <f>IF($L$37&lt;&gt;"",SUMPRODUCT(--(TRIM(K13:K35)&lt;&gt;"")),"")</f>
        <v>0</v>
      </c>
      <c r="L36" s="33">
        <f>IF(L37&lt;&gt;"",IF(K36&lt;1,SUM(L13:L35),IF(K36&gt;=1,ROUNDUP(SUM(L13:L35)/2,0),"")),"")</f>
        <v>135</v>
      </c>
    </row>
    <row r="37" spans="1:12" s="27" customFormat="1" ht="20.100000000000001" customHeight="1" thickTop="1" thickBot="1" x14ac:dyDescent="0.35">
      <c r="A37" s="121" t="s">
        <v>57</v>
      </c>
      <c r="B37" s="122"/>
      <c r="C37" s="122"/>
      <c r="D37" s="122"/>
      <c r="E37" s="26" t="s">
        <v>82</v>
      </c>
      <c r="F37" s="123" t="s">
        <v>42</v>
      </c>
      <c r="G37" s="124"/>
      <c r="H37" s="124"/>
      <c r="I37" s="124"/>
      <c r="J37" s="124"/>
      <c r="K37" s="125"/>
      <c r="L37" s="82" t="s">
        <v>53</v>
      </c>
    </row>
    <row r="38" spans="1:12" ht="15.75" thickTop="1" x14ac:dyDescent="0.25"/>
  </sheetData>
  <sheetProtection algorithmName="SHA-512" hashValue="wWg8AWT2U3YtI/Qi4EQLxG6nCbz4B2MoJf8VNH855kyPGQwjDN/xJGcKj7NXzl16WRKjEY8wTV0H1MUZ3Ow8/Q==" saltValue="I3Hj0tvozUukrzLEcwygIw==" spinCount="100000" sheet="1" objects="1" scenarios="1"/>
  <mergeCells count="52">
    <mergeCell ref="E1:I1"/>
    <mergeCell ref="A2:L2"/>
    <mergeCell ref="A3:L3"/>
    <mergeCell ref="A5:D5"/>
    <mergeCell ref="H5:I5"/>
    <mergeCell ref="J5:K5"/>
    <mergeCell ref="H6:K6"/>
    <mergeCell ref="D7:E7"/>
    <mergeCell ref="F7:H7"/>
    <mergeCell ref="I7:K7"/>
    <mergeCell ref="D8:E8"/>
    <mergeCell ref="F8:H8"/>
    <mergeCell ref="I8:K8"/>
    <mergeCell ref="D9:E9"/>
    <mergeCell ref="F9:H9"/>
    <mergeCell ref="I9:K9"/>
    <mergeCell ref="F11:G11"/>
    <mergeCell ref="L11:L12"/>
    <mergeCell ref="A12:E12"/>
    <mergeCell ref="F12:G12"/>
    <mergeCell ref="D13:E13"/>
    <mergeCell ref="C14:C20"/>
    <mergeCell ref="D14:E14"/>
    <mergeCell ref="D15:E15"/>
    <mergeCell ref="D16:E16"/>
    <mergeCell ref="D17:E17"/>
    <mergeCell ref="D18:E18"/>
    <mergeCell ref="D19:E19"/>
    <mergeCell ref="D20:E20"/>
    <mergeCell ref="C21:C25"/>
    <mergeCell ref="D21:E21"/>
    <mergeCell ref="D22:E22"/>
    <mergeCell ref="D23:E23"/>
    <mergeCell ref="D24:E24"/>
    <mergeCell ref="D25:E25"/>
    <mergeCell ref="C26:C28"/>
    <mergeCell ref="D26:E26"/>
    <mergeCell ref="D27:E27"/>
    <mergeCell ref="D28:E28"/>
    <mergeCell ref="C29:C31"/>
    <mergeCell ref="D29:E29"/>
    <mergeCell ref="D30:E30"/>
    <mergeCell ref="D31:E31"/>
    <mergeCell ref="F36:G36"/>
    <mergeCell ref="A37:D37"/>
    <mergeCell ref="F37:K37"/>
    <mergeCell ref="C32:C34"/>
    <mergeCell ref="D32:E32"/>
    <mergeCell ref="D33:E33"/>
    <mergeCell ref="D34:E34"/>
    <mergeCell ref="D35:E35"/>
    <mergeCell ref="A36:E36"/>
  </mergeCells>
  <dataValidations count="2">
    <dataValidation type="list" allowBlank="1" showDropDown="1" showInputMessage="1" showErrorMessage="1" sqref="J13:J35" xr:uid="{48AEFD23-466B-4492-A588-C7AA6BCD85DB}">
      <formula1>$P$14:$P$15</formula1>
    </dataValidation>
    <dataValidation type="list" allowBlank="1" showDropDown="1" showInputMessage="1" showErrorMessage="1" sqref="F13:I35 K13:K35" xr:uid="{B0B1293D-5225-4733-9970-BBEF96817D9C}">
      <formula1>$P$13</formula1>
    </dataValidation>
  </dataValidations>
  <printOptions horizontalCentered="1" verticalCentered="1"/>
  <pageMargins left="0.78740157480314965" right="0.31496062992125984" top="0.39370078740157483" bottom="0.39370078740157483" header="0.39370078740157483" footer="0.23622047244094491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DE144C-480F-4F4B-9E24-CD48C48B638B}">
  <sheetPr codeName="Tabelle18"/>
  <dimension ref="A1:P38"/>
  <sheetViews>
    <sheetView workbookViewId="0">
      <selection activeCell="F13" sqref="F13"/>
    </sheetView>
  </sheetViews>
  <sheetFormatPr baseColWidth="10" defaultColWidth="11.42578125" defaultRowHeight="15" x14ac:dyDescent="0.25"/>
  <cols>
    <col min="1" max="1" width="3.7109375" customWidth="1"/>
    <col min="2" max="2" width="3.7109375" hidden="1" customWidth="1"/>
    <col min="3" max="3" width="3.7109375" customWidth="1"/>
    <col min="4" max="4" width="5.7109375" customWidth="1"/>
    <col min="5" max="5" width="18.140625" customWidth="1"/>
    <col min="6" max="7" width="4.7109375" customWidth="1"/>
    <col min="8" max="12" width="8.7109375" customWidth="1"/>
  </cols>
  <sheetData>
    <row r="1" spans="1:16" s="15" customFormat="1" ht="24.95" customHeight="1" x14ac:dyDescent="0.5">
      <c r="A1" s="31"/>
      <c r="B1" s="31"/>
      <c r="C1" s="31"/>
      <c r="D1" s="31"/>
      <c r="E1" s="175" t="s">
        <v>44</v>
      </c>
      <c r="F1" s="175"/>
      <c r="G1" s="175"/>
      <c r="H1" s="175"/>
      <c r="I1" s="175"/>
      <c r="J1" s="32"/>
      <c r="K1" s="31"/>
      <c r="L1" s="31"/>
    </row>
    <row r="2" spans="1:16" s="15" customFormat="1" ht="20.100000000000001" customHeight="1" x14ac:dyDescent="0.5">
      <c r="A2" s="176" t="s">
        <v>63</v>
      </c>
      <c r="B2" s="176"/>
      <c r="C2" s="176"/>
      <c r="D2" s="176"/>
      <c r="E2" s="176"/>
      <c r="F2" s="176"/>
      <c r="G2" s="176"/>
      <c r="H2" s="176"/>
      <c r="I2" s="176"/>
      <c r="J2" s="176"/>
      <c r="K2" s="176"/>
      <c r="L2" s="176"/>
    </row>
    <row r="3" spans="1:16" s="15" customFormat="1" ht="39.950000000000003" customHeight="1" x14ac:dyDescent="0.5">
      <c r="A3" s="177" t="s">
        <v>18</v>
      </c>
      <c r="B3" s="177"/>
      <c r="C3" s="177"/>
      <c r="D3" s="177"/>
      <c r="E3" s="177"/>
      <c r="F3" s="177"/>
      <c r="G3" s="177"/>
      <c r="H3" s="177"/>
      <c r="I3" s="177"/>
      <c r="J3" s="177"/>
      <c r="K3" s="177"/>
      <c r="L3" s="177"/>
    </row>
    <row r="4" spans="1:16" s="15" customFormat="1" ht="11.1" customHeight="1" x14ac:dyDescent="0.5">
      <c r="A4" s="11"/>
      <c r="B4" s="11"/>
      <c r="C4" s="11"/>
      <c r="D4" s="11"/>
      <c r="E4" s="11"/>
      <c r="F4" s="12"/>
      <c r="G4" s="12"/>
      <c r="H4" s="12"/>
      <c r="I4" s="12"/>
      <c r="J4" s="12"/>
      <c r="K4" s="12"/>
    </row>
    <row r="5" spans="1:16" ht="21.95" customHeight="1" x14ac:dyDescent="0.25">
      <c r="A5" s="178" t="s">
        <v>54</v>
      </c>
      <c r="B5" s="178"/>
      <c r="C5" s="178"/>
      <c r="D5" s="178"/>
      <c r="E5" s="72" t="s">
        <v>83</v>
      </c>
      <c r="F5" s="13"/>
      <c r="G5" s="14" t="s">
        <v>55</v>
      </c>
      <c r="H5" s="179" t="s">
        <v>64</v>
      </c>
      <c r="I5" s="179"/>
      <c r="J5" s="180" t="s">
        <v>56</v>
      </c>
      <c r="K5" s="180"/>
      <c r="L5" s="73" t="s">
        <v>65</v>
      </c>
    </row>
    <row r="6" spans="1:16" ht="11.1" customHeight="1" thickBot="1" x14ac:dyDescent="0.55000000000000004">
      <c r="A6" s="1"/>
      <c r="B6" s="1"/>
      <c r="C6" s="2"/>
      <c r="D6" s="2"/>
      <c r="E6" s="2"/>
      <c r="F6" s="20"/>
      <c r="G6" s="20"/>
      <c r="H6" s="163"/>
      <c r="I6" s="163"/>
      <c r="J6" s="163"/>
      <c r="K6" s="163"/>
      <c r="L6" s="15"/>
    </row>
    <row r="7" spans="1:16" s="16" customFormat="1" ht="20.100000000000001" customHeight="1" x14ac:dyDescent="0.35">
      <c r="A7" s="9"/>
      <c r="B7" s="9"/>
      <c r="C7" s="9"/>
      <c r="D7" s="164" t="s">
        <v>10</v>
      </c>
      <c r="E7" s="165"/>
      <c r="F7" s="166" t="s">
        <v>0</v>
      </c>
      <c r="G7" s="167"/>
      <c r="H7" s="165"/>
      <c r="I7" s="168" t="s">
        <v>1</v>
      </c>
      <c r="J7" s="168"/>
      <c r="K7" s="168"/>
      <c r="L7" s="10" t="s">
        <v>2</v>
      </c>
    </row>
    <row r="8" spans="1:16" ht="21.95" customHeight="1" x14ac:dyDescent="0.25">
      <c r="A8" s="13" t="s">
        <v>7</v>
      </c>
      <c r="B8" s="13"/>
      <c r="C8" s="13"/>
      <c r="D8" s="169" t="s">
        <v>66</v>
      </c>
      <c r="E8" s="170"/>
      <c r="F8" s="171" t="s">
        <v>67</v>
      </c>
      <c r="G8" s="172"/>
      <c r="H8" s="170"/>
      <c r="I8" s="173" t="s">
        <v>68</v>
      </c>
      <c r="J8" s="174"/>
      <c r="K8" s="174"/>
      <c r="L8" s="74" t="s">
        <v>70</v>
      </c>
    </row>
    <row r="9" spans="1:16" ht="21.95" customHeight="1" thickBot="1" x14ac:dyDescent="0.3">
      <c r="A9" s="13" t="s">
        <v>8</v>
      </c>
      <c r="B9" s="13"/>
      <c r="C9" s="13"/>
      <c r="D9" s="148" t="s">
        <v>69</v>
      </c>
      <c r="E9" s="149"/>
      <c r="F9" s="150" t="s">
        <v>67</v>
      </c>
      <c r="G9" s="151"/>
      <c r="H9" s="149"/>
      <c r="I9" s="152" t="s">
        <v>68</v>
      </c>
      <c r="J9" s="153"/>
      <c r="K9" s="153"/>
      <c r="L9" s="75" t="s">
        <v>70</v>
      </c>
    </row>
    <row r="10" spans="1:16" ht="11.1" customHeight="1" thickBot="1" x14ac:dyDescent="0.3">
      <c r="A10" s="1"/>
      <c r="B10" s="1"/>
      <c r="C10" s="2"/>
      <c r="D10" s="2"/>
      <c r="E10" s="3"/>
      <c r="F10" s="3"/>
      <c r="G10" s="3"/>
      <c r="H10" s="3"/>
      <c r="I10" s="3"/>
      <c r="J10" s="3"/>
      <c r="K10" s="3"/>
      <c r="L10" s="22"/>
    </row>
    <row r="11" spans="1:16" ht="39.75" customHeight="1" thickTop="1" thickBot="1" x14ac:dyDescent="0.3">
      <c r="A11" s="4"/>
      <c r="B11" s="4"/>
      <c r="C11" s="4"/>
      <c r="D11" s="4"/>
      <c r="E11" s="4"/>
      <c r="F11" s="154" t="s">
        <v>13</v>
      </c>
      <c r="G11" s="155"/>
      <c r="H11" s="29" t="s">
        <v>12</v>
      </c>
      <c r="I11" s="29" t="s">
        <v>11</v>
      </c>
      <c r="J11" s="29" t="s">
        <v>45</v>
      </c>
      <c r="K11" s="29" t="s">
        <v>3</v>
      </c>
      <c r="L11" s="156" t="s">
        <v>9</v>
      </c>
    </row>
    <row r="12" spans="1:16" s="16" customFormat="1" ht="20.100000000000001" customHeight="1" thickTop="1" thickBot="1" x14ac:dyDescent="0.4">
      <c r="A12" s="158" t="s">
        <v>4</v>
      </c>
      <c r="B12" s="159"/>
      <c r="C12" s="159"/>
      <c r="D12" s="159"/>
      <c r="E12" s="160"/>
      <c r="F12" s="161">
        <v>1</v>
      </c>
      <c r="G12" s="162"/>
      <c r="H12" s="30">
        <v>3</v>
      </c>
      <c r="I12" s="30">
        <v>5</v>
      </c>
      <c r="J12" s="30">
        <v>0.5</v>
      </c>
      <c r="K12" s="30">
        <v>10</v>
      </c>
      <c r="L12" s="157"/>
    </row>
    <row r="13" spans="1:16" ht="19.899999999999999" customHeight="1" thickBot="1" x14ac:dyDescent="0.3">
      <c r="A13" s="5">
        <v>1</v>
      </c>
      <c r="B13" s="5"/>
      <c r="C13" s="23"/>
      <c r="D13" s="144" t="s">
        <v>5</v>
      </c>
      <c r="E13" s="145"/>
      <c r="F13" s="57" t="s">
        <v>46</v>
      </c>
      <c r="G13" s="58"/>
      <c r="H13" s="59"/>
      <c r="I13" s="59"/>
      <c r="J13" s="59"/>
      <c r="K13" s="60"/>
      <c r="L13" s="34">
        <f>IF($L$37&lt;&gt;"",IF(SUMPRODUCT(--(TRIM(K13)&lt;&gt;""))&lt;&gt;0,0,MIN(10,MAX(1,10-5*(SUMPRODUCT(--(TRIM(I13)&lt;&gt;"")))-3*(SUMPRODUCT(--(TRIM(H13)&lt;&gt;"")))-1*SUMPRODUCT(--(TRIM(F13:G13)&lt;&gt;""))+IF(TRIM(J13)="-",-0.5,IF(TRIM(J13)="+",0.5,0))))),"")</f>
        <v>9</v>
      </c>
      <c r="N13" s="76" t="s">
        <v>51</v>
      </c>
      <c r="O13" s="76"/>
      <c r="P13" s="76" t="s">
        <v>46</v>
      </c>
    </row>
    <row r="14" spans="1:16" ht="19.899999999999999" customHeight="1" x14ac:dyDescent="0.25">
      <c r="A14" s="6">
        <v>2</v>
      </c>
      <c r="B14" s="6"/>
      <c r="C14" s="139" t="s">
        <v>19</v>
      </c>
      <c r="D14" s="146" t="s">
        <v>15</v>
      </c>
      <c r="E14" s="147"/>
      <c r="F14" s="61" t="s">
        <v>46</v>
      </c>
      <c r="G14" s="62" t="s">
        <v>46</v>
      </c>
      <c r="H14" s="63"/>
      <c r="I14" s="63"/>
      <c r="J14" s="63"/>
      <c r="K14" s="77"/>
      <c r="L14" s="35">
        <f t="shared" ref="L14:L35" si="0">IF($L$37&lt;&gt;"",IF(SUMPRODUCT(--(TRIM(K14)&lt;&gt;""))&lt;&gt;0,0,MIN(10,MAX(1,10-5*(SUMPRODUCT(--(TRIM(I14)&lt;&gt;"")))-3*(SUMPRODUCT(--(TRIM(H14)&lt;&gt;"")))-1*SUMPRODUCT(--(TRIM(F14:G14)&lt;&gt;""))+IF(TRIM(J14)="-",-0.5,IF(TRIM(J14)="+",0.5,0))))),"")</f>
        <v>8</v>
      </c>
      <c r="N14" s="76" t="s">
        <v>49</v>
      </c>
      <c r="O14" s="76"/>
      <c r="P14" s="76" t="s">
        <v>47</v>
      </c>
    </row>
    <row r="15" spans="1:16" ht="19.899999999999999" customHeight="1" x14ac:dyDescent="0.25">
      <c r="A15" s="7">
        <v>3</v>
      </c>
      <c r="B15" s="6"/>
      <c r="C15" s="126"/>
      <c r="D15" s="142" t="s">
        <v>20</v>
      </c>
      <c r="E15" s="143"/>
      <c r="F15" s="53"/>
      <c r="G15" s="54"/>
      <c r="H15" s="55" t="s">
        <v>46</v>
      </c>
      <c r="I15" s="55"/>
      <c r="J15" s="55"/>
      <c r="K15" s="56"/>
      <c r="L15" s="36">
        <f t="shared" si="0"/>
        <v>7</v>
      </c>
      <c r="N15" s="76" t="s">
        <v>50</v>
      </c>
      <c r="O15" s="76"/>
      <c r="P15" s="76" t="s">
        <v>48</v>
      </c>
    </row>
    <row r="16" spans="1:16" ht="19.899999999999999" customHeight="1" x14ac:dyDescent="0.25">
      <c r="A16" s="18">
        <v>4</v>
      </c>
      <c r="B16" s="21"/>
      <c r="C16" s="126"/>
      <c r="D16" s="130" t="s">
        <v>21</v>
      </c>
      <c r="E16" s="131"/>
      <c r="F16" s="42" t="s">
        <v>46</v>
      </c>
      <c r="G16" s="43"/>
      <c r="H16" s="44" t="s">
        <v>46</v>
      </c>
      <c r="I16" s="44"/>
      <c r="J16" s="44"/>
      <c r="K16" s="45"/>
      <c r="L16" s="37">
        <f t="shared" si="0"/>
        <v>6</v>
      </c>
    </row>
    <row r="17" spans="1:12" ht="19.899999999999999" customHeight="1" x14ac:dyDescent="0.25">
      <c r="A17" s="7">
        <v>5</v>
      </c>
      <c r="B17" s="6"/>
      <c r="C17" s="126"/>
      <c r="D17" s="142" t="s">
        <v>22</v>
      </c>
      <c r="E17" s="143"/>
      <c r="F17" s="53" t="s">
        <v>46</v>
      </c>
      <c r="G17" s="54" t="s">
        <v>46</v>
      </c>
      <c r="H17" s="55" t="s">
        <v>46</v>
      </c>
      <c r="I17" s="55"/>
      <c r="J17" s="55"/>
      <c r="K17" s="56"/>
      <c r="L17" s="36">
        <f t="shared" si="0"/>
        <v>5</v>
      </c>
    </row>
    <row r="18" spans="1:12" ht="19.899999999999999" customHeight="1" x14ac:dyDescent="0.25">
      <c r="A18" s="7">
        <v>6</v>
      </c>
      <c r="B18" s="6"/>
      <c r="C18" s="126"/>
      <c r="D18" s="130" t="s">
        <v>23</v>
      </c>
      <c r="E18" s="131"/>
      <c r="F18" s="42"/>
      <c r="G18" s="43"/>
      <c r="H18" s="44"/>
      <c r="I18" s="44" t="s">
        <v>46</v>
      </c>
      <c r="J18" s="44"/>
      <c r="K18" s="45"/>
      <c r="L18" s="37">
        <f t="shared" si="0"/>
        <v>5</v>
      </c>
    </row>
    <row r="19" spans="1:12" ht="19.899999999999999" customHeight="1" x14ac:dyDescent="0.25">
      <c r="A19" s="7">
        <v>7</v>
      </c>
      <c r="B19" s="6"/>
      <c r="C19" s="126"/>
      <c r="D19" s="142" t="s">
        <v>24</v>
      </c>
      <c r="E19" s="143"/>
      <c r="F19" s="53" t="s">
        <v>46</v>
      </c>
      <c r="G19" s="54"/>
      <c r="H19" s="55"/>
      <c r="I19" s="55" t="s">
        <v>46</v>
      </c>
      <c r="J19" s="55"/>
      <c r="K19" s="56"/>
      <c r="L19" s="36">
        <f t="shared" si="0"/>
        <v>4</v>
      </c>
    </row>
    <row r="20" spans="1:12" ht="19.899999999999999" customHeight="1" thickBot="1" x14ac:dyDescent="0.3">
      <c r="A20" s="7">
        <v>8</v>
      </c>
      <c r="B20" s="6"/>
      <c r="C20" s="126"/>
      <c r="D20" s="146" t="s">
        <v>25</v>
      </c>
      <c r="E20" s="147"/>
      <c r="F20" s="61" t="s">
        <v>46</v>
      </c>
      <c r="G20" s="62" t="s">
        <v>46</v>
      </c>
      <c r="H20" s="63"/>
      <c r="I20" s="63" t="s">
        <v>46</v>
      </c>
      <c r="J20" s="63"/>
      <c r="K20" s="77"/>
      <c r="L20" s="35">
        <f t="shared" si="0"/>
        <v>3</v>
      </c>
    </row>
    <row r="21" spans="1:12" ht="19.899999999999999" customHeight="1" x14ac:dyDescent="0.25">
      <c r="A21" s="24">
        <v>9</v>
      </c>
      <c r="B21" s="24"/>
      <c r="C21" s="139" t="s">
        <v>26</v>
      </c>
      <c r="D21" s="140" t="s">
        <v>14</v>
      </c>
      <c r="E21" s="141"/>
      <c r="F21" s="49"/>
      <c r="G21" s="50"/>
      <c r="H21" s="51" t="s">
        <v>46</v>
      </c>
      <c r="I21" s="51" t="s">
        <v>46</v>
      </c>
      <c r="J21" s="51"/>
      <c r="K21" s="52"/>
      <c r="L21" s="38">
        <f t="shared" si="0"/>
        <v>2</v>
      </c>
    </row>
    <row r="22" spans="1:12" ht="19.899999999999999" customHeight="1" x14ac:dyDescent="0.25">
      <c r="A22" s="7">
        <v>10</v>
      </c>
      <c r="B22" s="6"/>
      <c r="C22" s="126"/>
      <c r="D22" s="130" t="s">
        <v>27</v>
      </c>
      <c r="E22" s="131"/>
      <c r="F22" s="42" t="s">
        <v>46</v>
      </c>
      <c r="G22" s="43"/>
      <c r="H22" s="44" t="s">
        <v>46</v>
      </c>
      <c r="I22" s="44" t="s">
        <v>46</v>
      </c>
      <c r="J22" s="44"/>
      <c r="K22" s="45"/>
      <c r="L22" s="37">
        <f t="shared" si="0"/>
        <v>1</v>
      </c>
    </row>
    <row r="23" spans="1:12" ht="19.899999999999999" customHeight="1" x14ac:dyDescent="0.25">
      <c r="A23" s="7">
        <v>11</v>
      </c>
      <c r="B23" s="6"/>
      <c r="C23" s="126"/>
      <c r="D23" s="142" t="s">
        <v>28</v>
      </c>
      <c r="E23" s="143"/>
      <c r="F23" s="53" t="s">
        <v>46</v>
      </c>
      <c r="G23" s="54" t="s">
        <v>46</v>
      </c>
      <c r="H23" s="55" t="s">
        <v>46</v>
      </c>
      <c r="I23" s="55" t="s">
        <v>46</v>
      </c>
      <c r="J23" s="55"/>
      <c r="K23" s="56"/>
      <c r="L23" s="36">
        <f t="shared" si="0"/>
        <v>1</v>
      </c>
    </row>
    <row r="24" spans="1:12" ht="19.899999999999999" customHeight="1" x14ac:dyDescent="0.25">
      <c r="A24" s="18">
        <v>12</v>
      </c>
      <c r="B24" s="21"/>
      <c r="C24" s="126"/>
      <c r="D24" s="130" t="s">
        <v>29</v>
      </c>
      <c r="E24" s="131"/>
      <c r="F24" s="42"/>
      <c r="G24" s="43"/>
      <c r="H24" s="44"/>
      <c r="I24" s="44"/>
      <c r="J24" s="44" t="s">
        <v>47</v>
      </c>
      <c r="K24" s="45"/>
      <c r="L24" s="37">
        <f t="shared" si="0"/>
        <v>10</v>
      </c>
    </row>
    <row r="25" spans="1:12" ht="19.899999999999999" customHeight="1" thickBot="1" x14ac:dyDescent="0.3">
      <c r="A25" s="8">
        <v>13</v>
      </c>
      <c r="B25" s="28"/>
      <c r="C25" s="127"/>
      <c r="D25" s="132" t="s">
        <v>30</v>
      </c>
      <c r="E25" s="133"/>
      <c r="F25" s="68" t="s">
        <v>46</v>
      </c>
      <c r="G25" s="69" t="s">
        <v>46</v>
      </c>
      <c r="H25" s="70" t="s">
        <v>46</v>
      </c>
      <c r="I25" s="70" t="s">
        <v>46</v>
      </c>
      <c r="J25" s="70" t="s">
        <v>48</v>
      </c>
      <c r="K25" s="71"/>
      <c r="L25" s="39">
        <f t="shared" si="0"/>
        <v>1</v>
      </c>
    </row>
    <row r="26" spans="1:12" ht="19.899999999999999" customHeight="1" x14ac:dyDescent="0.25">
      <c r="A26" s="19">
        <v>14</v>
      </c>
      <c r="B26" s="21"/>
      <c r="C26" s="126" t="s">
        <v>17</v>
      </c>
      <c r="D26" s="128" t="s">
        <v>16</v>
      </c>
      <c r="E26" s="129"/>
      <c r="F26" s="64" t="s">
        <v>46</v>
      </c>
      <c r="G26" s="65" t="s">
        <v>46</v>
      </c>
      <c r="H26" s="66"/>
      <c r="I26" s="66"/>
      <c r="J26" s="66" t="s">
        <v>47</v>
      </c>
      <c r="K26" s="67"/>
      <c r="L26" s="40">
        <f t="shared" si="0"/>
        <v>8.5</v>
      </c>
    </row>
    <row r="27" spans="1:12" ht="19.899999999999999" customHeight="1" x14ac:dyDescent="0.25">
      <c r="A27" s="18">
        <v>15</v>
      </c>
      <c r="B27" s="21"/>
      <c r="C27" s="126"/>
      <c r="D27" s="130" t="s">
        <v>31</v>
      </c>
      <c r="E27" s="131"/>
      <c r="F27" s="42" t="s">
        <v>46</v>
      </c>
      <c r="G27" s="43" t="s">
        <v>46</v>
      </c>
      <c r="H27" s="44"/>
      <c r="I27" s="44"/>
      <c r="J27" s="44" t="s">
        <v>48</v>
      </c>
      <c r="K27" s="45"/>
      <c r="L27" s="37">
        <f t="shared" si="0"/>
        <v>7.5</v>
      </c>
    </row>
    <row r="28" spans="1:12" ht="19.899999999999999" customHeight="1" thickBot="1" x14ac:dyDescent="0.3">
      <c r="A28" s="8">
        <v>16</v>
      </c>
      <c r="B28" s="28"/>
      <c r="C28" s="127"/>
      <c r="D28" s="132" t="s">
        <v>32</v>
      </c>
      <c r="E28" s="133"/>
      <c r="F28" s="68"/>
      <c r="G28" s="69"/>
      <c r="H28" s="70" t="s">
        <v>46</v>
      </c>
      <c r="I28" s="70"/>
      <c r="J28" s="70"/>
      <c r="K28" s="71"/>
      <c r="L28" s="39">
        <f t="shared" si="0"/>
        <v>7</v>
      </c>
    </row>
    <row r="29" spans="1:12" ht="19.899999999999999" customHeight="1" x14ac:dyDescent="0.25">
      <c r="A29" s="19">
        <v>17</v>
      </c>
      <c r="B29" s="21"/>
      <c r="C29" s="126" t="s">
        <v>33</v>
      </c>
      <c r="D29" s="128" t="s">
        <v>34</v>
      </c>
      <c r="E29" s="129"/>
      <c r="F29" s="64" t="s">
        <v>46</v>
      </c>
      <c r="G29" s="65"/>
      <c r="H29" s="66"/>
      <c r="I29" s="66"/>
      <c r="J29" s="66"/>
      <c r="K29" s="67"/>
      <c r="L29" s="40">
        <f t="shared" si="0"/>
        <v>9</v>
      </c>
    </row>
    <row r="30" spans="1:12" ht="19.899999999999999" customHeight="1" x14ac:dyDescent="0.25">
      <c r="A30" s="18">
        <v>18</v>
      </c>
      <c r="B30" s="21"/>
      <c r="C30" s="126"/>
      <c r="D30" s="130" t="s">
        <v>35</v>
      </c>
      <c r="E30" s="131"/>
      <c r="F30" s="42" t="s">
        <v>46</v>
      </c>
      <c r="G30" s="43" t="s">
        <v>46</v>
      </c>
      <c r="H30" s="44"/>
      <c r="I30" s="44"/>
      <c r="J30" s="44"/>
      <c r="K30" s="45"/>
      <c r="L30" s="37">
        <f t="shared" si="0"/>
        <v>8</v>
      </c>
    </row>
    <row r="31" spans="1:12" ht="19.899999999999999" customHeight="1" thickBot="1" x14ac:dyDescent="0.3">
      <c r="A31" s="8">
        <v>19</v>
      </c>
      <c r="B31" s="28"/>
      <c r="C31" s="127"/>
      <c r="D31" s="132" t="s">
        <v>36</v>
      </c>
      <c r="E31" s="133"/>
      <c r="F31" s="68"/>
      <c r="G31" s="69"/>
      <c r="H31" s="70" t="s">
        <v>46</v>
      </c>
      <c r="I31" s="70"/>
      <c r="J31" s="70"/>
      <c r="K31" s="71"/>
      <c r="L31" s="39">
        <f t="shared" si="0"/>
        <v>7</v>
      </c>
    </row>
    <row r="32" spans="1:12" ht="19.899999999999999" customHeight="1" x14ac:dyDescent="0.25">
      <c r="A32" s="19">
        <v>20</v>
      </c>
      <c r="B32" s="21"/>
      <c r="C32" s="126" t="s">
        <v>37</v>
      </c>
      <c r="D32" s="128" t="s">
        <v>38</v>
      </c>
      <c r="E32" s="129"/>
      <c r="F32" s="64" t="s">
        <v>46</v>
      </c>
      <c r="G32" s="65"/>
      <c r="H32" s="66" t="s">
        <v>46</v>
      </c>
      <c r="I32" s="66"/>
      <c r="J32" s="66"/>
      <c r="K32" s="67"/>
      <c r="L32" s="40">
        <f t="shared" si="0"/>
        <v>6</v>
      </c>
    </row>
    <row r="33" spans="1:12" ht="19.899999999999999" customHeight="1" x14ac:dyDescent="0.25">
      <c r="A33" s="18">
        <v>21</v>
      </c>
      <c r="B33" s="21"/>
      <c r="C33" s="126"/>
      <c r="D33" s="130" t="s">
        <v>39</v>
      </c>
      <c r="E33" s="131"/>
      <c r="F33" s="42" t="s">
        <v>46</v>
      </c>
      <c r="G33" s="43" t="s">
        <v>46</v>
      </c>
      <c r="H33" s="44" t="s">
        <v>46</v>
      </c>
      <c r="I33" s="44"/>
      <c r="J33" s="44"/>
      <c r="K33" s="45"/>
      <c r="L33" s="37">
        <f t="shared" si="0"/>
        <v>5</v>
      </c>
    </row>
    <row r="34" spans="1:12" ht="19.899999999999999" customHeight="1" thickBot="1" x14ac:dyDescent="0.3">
      <c r="A34" s="8">
        <v>22</v>
      </c>
      <c r="B34" s="28"/>
      <c r="C34" s="127"/>
      <c r="D34" s="132" t="s">
        <v>40</v>
      </c>
      <c r="E34" s="133"/>
      <c r="F34" s="68"/>
      <c r="G34" s="69"/>
      <c r="H34" s="70"/>
      <c r="I34" s="70" t="s">
        <v>46</v>
      </c>
      <c r="J34" s="70"/>
      <c r="K34" s="71"/>
      <c r="L34" s="39">
        <f t="shared" si="0"/>
        <v>5</v>
      </c>
    </row>
    <row r="35" spans="1:12" ht="19.899999999999999" customHeight="1" thickBot="1" x14ac:dyDescent="0.3">
      <c r="A35" s="19">
        <v>23</v>
      </c>
      <c r="B35" s="21"/>
      <c r="C35" s="25"/>
      <c r="D35" s="134" t="s">
        <v>6</v>
      </c>
      <c r="E35" s="135"/>
      <c r="F35" s="78"/>
      <c r="G35" s="79"/>
      <c r="H35" s="80"/>
      <c r="I35" s="80"/>
      <c r="J35" s="80"/>
      <c r="K35" s="81"/>
      <c r="L35" s="41">
        <f t="shared" si="0"/>
        <v>10</v>
      </c>
    </row>
    <row r="36" spans="1:12" ht="21.95" customHeight="1" thickTop="1" thickBot="1" x14ac:dyDescent="0.3">
      <c r="A36" s="136" t="s">
        <v>41</v>
      </c>
      <c r="B36" s="137"/>
      <c r="C36" s="137"/>
      <c r="D36" s="137"/>
      <c r="E36" s="138"/>
      <c r="F36" s="119">
        <f>IF($L$37&lt;&gt;"",SUMPRODUCT(--(TRIM(F13:G35)&lt;&gt;"")),"")</f>
        <v>24</v>
      </c>
      <c r="G36" s="120">
        <f t="shared" ref="G36" si="1">IF($L$37&lt;&gt;"",COUNTIF(G13:G29,"x"))</f>
        <v>7</v>
      </c>
      <c r="H36" s="46">
        <f>IF($L$37&lt;&gt;"",SUMPRODUCT(--(TRIM(H13:H35)&lt;&gt;"")),"")</f>
        <v>11</v>
      </c>
      <c r="I36" s="46">
        <f>IF($L$37&lt;&gt;"",SUMPRODUCT(--(TRIM(I13:I35)&lt;&gt;"")),"")</f>
        <v>8</v>
      </c>
      <c r="J36" s="48">
        <f>IF($L$37&lt;&gt;"",(COUNTIFS(J13:J35,"+")-COUNTIFS(J13:J35,"-"))*0.5,"")</f>
        <v>0</v>
      </c>
      <c r="K36" s="47">
        <f>IF($L$37&lt;&gt;"",SUMPRODUCT(--(TRIM(K13:K35)&lt;&gt;"")),"")</f>
        <v>0</v>
      </c>
      <c r="L36" s="33">
        <f>IF(L37&lt;&gt;"",IF(K36&lt;1,SUM(L13:L35),IF(K36&gt;=1,ROUNDUP(SUM(L13:L35)/2,0),"")),"")</f>
        <v>135</v>
      </c>
    </row>
    <row r="37" spans="1:12" s="27" customFormat="1" ht="20.100000000000001" customHeight="1" thickTop="1" thickBot="1" x14ac:dyDescent="0.35">
      <c r="A37" s="121" t="s">
        <v>57</v>
      </c>
      <c r="B37" s="122"/>
      <c r="C37" s="122"/>
      <c r="D37" s="122"/>
      <c r="E37" s="26" t="s">
        <v>84</v>
      </c>
      <c r="F37" s="123" t="s">
        <v>42</v>
      </c>
      <c r="G37" s="124"/>
      <c r="H37" s="124"/>
      <c r="I37" s="124"/>
      <c r="J37" s="124"/>
      <c r="K37" s="125"/>
      <c r="L37" s="82" t="s">
        <v>53</v>
      </c>
    </row>
    <row r="38" spans="1:12" ht="15.75" thickTop="1" x14ac:dyDescent="0.25"/>
  </sheetData>
  <sheetProtection algorithmName="SHA-512" hashValue="Lu5awZV/BeQTVICZ5Wg7ye7ydKT8Mt5rFrQmn30aS5Xu1Br5jEmq/uF9R9EgOhziCQ7Qczv4lDMwWJKTBDzqGw==" saltValue="bwc2W/nWYM5bPTxVqatC+w==" spinCount="100000" sheet="1" objects="1" scenarios="1"/>
  <mergeCells count="52">
    <mergeCell ref="E1:I1"/>
    <mergeCell ref="A2:L2"/>
    <mergeCell ref="A3:L3"/>
    <mergeCell ref="A5:D5"/>
    <mergeCell ref="H5:I5"/>
    <mergeCell ref="J5:K5"/>
    <mergeCell ref="H6:K6"/>
    <mergeCell ref="D7:E7"/>
    <mergeCell ref="F7:H7"/>
    <mergeCell ref="I7:K7"/>
    <mergeCell ref="D8:E8"/>
    <mergeCell ref="F8:H8"/>
    <mergeCell ref="I8:K8"/>
    <mergeCell ref="D9:E9"/>
    <mergeCell ref="F9:H9"/>
    <mergeCell ref="I9:K9"/>
    <mergeCell ref="F11:G11"/>
    <mergeCell ref="L11:L12"/>
    <mergeCell ref="A12:E12"/>
    <mergeCell ref="F12:G12"/>
    <mergeCell ref="D13:E13"/>
    <mergeCell ref="C14:C20"/>
    <mergeCell ref="D14:E14"/>
    <mergeCell ref="D15:E15"/>
    <mergeCell ref="D16:E16"/>
    <mergeCell ref="D17:E17"/>
    <mergeCell ref="D18:E18"/>
    <mergeCell ref="D19:E19"/>
    <mergeCell ref="D20:E20"/>
    <mergeCell ref="C21:C25"/>
    <mergeCell ref="D21:E21"/>
    <mergeCell ref="D22:E22"/>
    <mergeCell ref="D23:E23"/>
    <mergeCell ref="D24:E24"/>
    <mergeCell ref="D25:E25"/>
    <mergeCell ref="C26:C28"/>
    <mergeCell ref="D26:E26"/>
    <mergeCell ref="D27:E27"/>
    <mergeCell ref="D28:E28"/>
    <mergeCell ref="C29:C31"/>
    <mergeCell ref="D29:E29"/>
    <mergeCell ref="D30:E30"/>
    <mergeCell ref="D31:E31"/>
    <mergeCell ref="F36:G36"/>
    <mergeCell ref="A37:D37"/>
    <mergeCell ref="F37:K37"/>
    <mergeCell ref="C32:C34"/>
    <mergeCell ref="D32:E32"/>
    <mergeCell ref="D33:E33"/>
    <mergeCell ref="D34:E34"/>
    <mergeCell ref="D35:E35"/>
    <mergeCell ref="A36:E36"/>
  </mergeCells>
  <dataValidations count="2">
    <dataValidation type="list" allowBlank="1" showDropDown="1" showInputMessage="1" showErrorMessage="1" sqref="J13:J35" xr:uid="{2E7C4E09-A061-4372-8A6A-3226E313FA78}">
      <formula1>$P$14:$P$15</formula1>
    </dataValidation>
    <dataValidation type="list" allowBlank="1" showDropDown="1" showInputMessage="1" showErrorMessage="1" sqref="F13:I35 K13:K35" xr:uid="{EF0808EE-18C2-4272-BD44-2554777CFEA0}">
      <formula1>$P$13</formula1>
    </dataValidation>
  </dataValidations>
  <printOptions horizontalCentered="1" verticalCentered="1"/>
  <pageMargins left="0.78740157480314965" right="0.31496062992125984" top="0.39370078740157483" bottom="0.39370078740157483" header="0.39370078740157483" footer="0.23622047244094491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Tabelle11"/>
  <dimension ref="A1:AF30"/>
  <sheetViews>
    <sheetView zoomScaleNormal="100" workbookViewId="0"/>
  </sheetViews>
  <sheetFormatPr baseColWidth="10" defaultColWidth="11.5703125" defaultRowHeight="12.75" x14ac:dyDescent="0.2"/>
  <cols>
    <col min="1" max="1" width="11.7109375" style="17" customWidth="1"/>
    <col min="2" max="2" width="14.85546875" style="17" customWidth="1"/>
    <col min="3" max="25" width="5.7109375" style="17" customWidth="1"/>
    <col min="26" max="27" width="6.7109375" style="17" customWidth="1"/>
    <col min="28" max="32" width="5.7109375" style="17" customWidth="1"/>
    <col min="33" max="16384" width="11.5703125" style="17"/>
  </cols>
  <sheetData>
    <row r="1" spans="1:32" ht="15" customHeight="1" x14ac:dyDescent="0.2">
      <c r="A1" s="17" t="s">
        <v>58</v>
      </c>
      <c r="B1" s="83" t="str">
        <f ca="1">INDIRECT("'"&amp;$A8&amp;"'!D8") &amp; "-" &amp; INDIRECT("'"&amp;$A8&amp;"'!D9") &amp; " (" &amp; INDIRECT("'"&amp;$A8&amp;"'!L8") &amp;")"</f>
        <v>tori-uke (C1)</v>
      </c>
      <c r="Z1" s="84"/>
      <c r="AA1" s="84"/>
      <c r="AF1" s="85"/>
    </row>
    <row r="2" spans="1:32" ht="128.1" customHeight="1" x14ac:dyDescent="0.2">
      <c r="A2" s="86" t="s">
        <v>57</v>
      </c>
      <c r="B2" s="86" t="s">
        <v>10</v>
      </c>
      <c r="C2" s="87" t="s">
        <v>5</v>
      </c>
      <c r="D2" s="87" t="s">
        <v>15</v>
      </c>
      <c r="E2" s="87" t="s">
        <v>20</v>
      </c>
      <c r="F2" s="87" t="s">
        <v>21</v>
      </c>
      <c r="G2" s="87" t="s">
        <v>22</v>
      </c>
      <c r="H2" s="87" t="s">
        <v>23</v>
      </c>
      <c r="I2" s="87" t="s">
        <v>24</v>
      </c>
      <c r="J2" s="87" t="s">
        <v>25</v>
      </c>
      <c r="K2" s="87" t="s">
        <v>14</v>
      </c>
      <c r="L2" s="87" t="s">
        <v>27</v>
      </c>
      <c r="M2" s="87" t="s">
        <v>28</v>
      </c>
      <c r="N2" s="87" t="s">
        <v>29</v>
      </c>
      <c r="O2" s="87" t="s">
        <v>30</v>
      </c>
      <c r="P2" s="87" t="s">
        <v>16</v>
      </c>
      <c r="Q2" s="87" t="s">
        <v>31</v>
      </c>
      <c r="R2" s="87" t="s">
        <v>32</v>
      </c>
      <c r="S2" s="87" t="s">
        <v>34</v>
      </c>
      <c r="T2" s="87" t="s">
        <v>35</v>
      </c>
      <c r="U2" s="87" t="s">
        <v>36</v>
      </c>
      <c r="V2" s="87" t="s">
        <v>38</v>
      </c>
      <c r="W2" s="87" t="s">
        <v>39</v>
      </c>
      <c r="X2" s="87" t="s">
        <v>40</v>
      </c>
      <c r="Y2" s="87" t="s">
        <v>6</v>
      </c>
      <c r="Z2" s="88" t="s">
        <v>9</v>
      </c>
      <c r="AA2" s="88" t="s">
        <v>59</v>
      </c>
      <c r="AB2" s="87" t="s">
        <v>13</v>
      </c>
      <c r="AC2" s="87" t="s">
        <v>12</v>
      </c>
      <c r="AD2" s="87" t="s">
        <v>11</v>
      </c>
      <c r="AE2" s="87" t="s">
        <v>45</v>
      </c>
      <c r="AF2" s="87" t="s">
        <v>3</v>
      </c>
    </row>
    <row r="3" spans="1:32" ht="15" customHeight="1" x14ac:dyDescent="0.2">
      <c r="A3" s="182" t="s">
        <v>52</v>
      </c>
      <c r="B3" s="182"/>
      <c r="C3" s="89">
        <f ca="1">IF(COUNTIF(C8:C12,"")&gt;0,SUM(C8:C12),SUM(C8:C12)-MAX(C8:C12)-MIN(C8:C12))</f>
        <v>27</v>
      </c>
      <c r="D3" s="89">
        <f t="shared" ref="D3:Y3" ca="1" si="0">IF(COUNTIF(D8:D12,"")&gt;0,SUM(D8:D12),SUM(D8:D12)-MAX(D8:D12)-MIN(D8:D12))</f>
        <v>24</v>
      </c>
      <c r="E3" s="89">
        <f t="shared" ca="1" si="0"/>
        <v>21</v>
      </c>
      <c r="F3" s="89">
        <f t="shared" ca="1" si="0"/>
        <v>18</v>
      </c>
      <c r="G3" s="89">
        <f t="shared" ca="1" si="0"/>
        <v>15</v>
      </c>
      <c r="H3" s="89">
        <f t="shared" ca="1" si="0"/>
        <v>15</v>
      </c>
      <c r="I3" s="89">
        <f t="shared" ca="1" si="0"/>
        <v>12</v>
      </c>
      <c r="J3" s="89">
        <f t="shared" ca="1" si="0"/>
        <v>9</v>
      </c>
      <c r="K3" s="89">
        <f t="shared" ca="1" si="0"/>
        <v>6</v>
      </c>
      <c r="L3" s="89">
        <f t="shared" ca="1" si="0"/>
        <v>3</v>
      </c>
      <c r="M3" s="89">
        <f t="shared" ca="1" si="0"/>
        <v>3</v>
      </c>
      <c r="N3" s="89">
        <f t="shared" ca="1" si="0"/>
        <v>30</v>
      </c>
      <c r="O3" s="89">
        <f t="shared" ca="1" si="0"/>
        <v>3</v>
      </c>
      <c r="P3" s="89">
        <f t="shared" ca="1" si="0"/>
        <v>25.5</v>
      </c>
      <c r="Q3" s="89">
        <f t="shared" ca="1" si="0"/>
        <v>22.5</v>
      </c>
      <c r="R3" s="89">
        <f t="shared" ca="1" si="0"/>
        <v>21</v>
      </c>
      <c r="S3" s="89">
        <f t="shared" ca="1" si="0"/>
        <v>27</v>
      </c>
      <c r="T3" s="89">
        <f t="shared" ca="1" si="0"/>
        <v>24</v>
      </c>
      <c r="U3" s="89">
        <f t="shared" ca="1" si="0"/>
        <v>21</v>
      </c>
      <c r="V3" s="89">
        <f t="shared" ca="1" si="0"/>
        <v>18</v>
      </c>
      <c r="W3" s="89">
        <f t="shared" ca="1" si="0"/>
        <v>15</v>
      </c>
      <c r="X3" s="89">
        <f t="shared" ca="1" si="0"/>
        <v>15</v>
      </c>
      <c r="Y3" s="89">
        <f t="shared" ca="1" si="0"/>
        <v>30</v>
      </c>
      <c r="Z3" s="90">
        <f ca="1">IF(SUM(AF8:AF12)&gt;0,SUM(C3:Y3)/2,SUM(C3:Y3))</f>
        <v>405</v>
      </c>
      <c r="AA3" s="91"/>
      <c r="AB3" s="90">
        <f t="shared" ref="AB3:AF3" ca="1" si="1">IF(COUNTIF(AB8:AB12,"")&gt;0,SUM(AB8:AB12),SUM(AB8:AB12)-MAX(AB8:AB12)-MIN(AB8:AB12))</f>
        <v>72</v>
      </c>
      <c r="AC3" s="90">
        <f t="shared" ca="1" si="1"/>
        <v>33</v>
      </c>
      <c r="AD3" s="90">
        <f t="shared" ca="1" si="1"/>
        <v>24</v>
      </c>
      <c r="AE3" s="89">
        <f t="shared" ca="1" si="1"/>
        <v>0</v>
      </c>
      <c r="AF3" s="90">
        <f t="shared" ca="1" si="1"/>
        <v>0</v>
      </c>
    </row>
    <row r="4" spans="1:32" ht="15" customHeight="1" x14ac:dyDescent="0.2">
      <c r="A4" s="181" t="s">
        <v>60</v>
      </c>
      <c r="B4" s="181"/>
      <c r="C4" s="92">
        <f t="shared" ref="C4:X4" ca="1" si="2">MAX(C8:C12)-MIN(C8:C12)</f>
        <v>0</v>
      </c>
      <c r="D4" s="92">
        <f t="shared" ca="1" si="2"/>
        <v>0</v>
      </c>
      <c r="E4" s="92">
        <f t="shared" ca="1" si="2"/>
        <v>0</v>
      </c>
      <c r="F4" s="92">
        <f t="shared" ca="1" si="2"/>
        <v>0</v>
      </c>
      <c r="G4" s="92">
        <f t="shared" ca="1" si="2"/>
        <v>0</v>
      </c>
      <c r="H4" s="92">
        <f t="shared" ca="1" si="2"/>
        <v>0</v>
      </c>
      <c r="I4" s="92">
        <f t="shared" ca="1" si="2"/>
        <v>0</v>
      </c>
      <c r="J4" s="92">
        <f t="shared" ca="1" si="2"/>
        <v>0</v>
      </c>
      <c r="K4" s="92">
        <f t="shared" ca="1" si="2"/>
        <v>0</v>
      </c>
      <c r="L4" s="92">
        <f t="shared" ca="1" si="2"/>
        <v>0</v>
      </c>
      <c r="M4" s="92">
        <f t="shared" ca="1" si="2"/>
        <v>0</v>
      </c>
      <c r="N4" s="92">
        <f t="shared" ca="1" si="2"/>
        <v>0</v>
      </c>
      <c r="O4" s="92">
        <f t="shared" ca="1" si="2"/>
        <v>0</v>
      </c>
      <c r="P4" s="92">
        <f t="shared" ca="1" si="2"/>
        <v>0</v>
      </c>
      <c r="Q4" s="92">
        <f t="shared" ca="1" si="2"/>
        <v>0</v>
      </c>
      <c r="R4" s="92">
        <f t="shared" ca="1" si="2"/>
        <v>0</v>
      </c>
      <c r="S4" s="92">
        <f t="shared" ca="1" si="2"/>
        <v>0</v>
      </c>
      <c r="T4" s="92">
        <f t="shared" ca="1" si="2"/>
        <v>0</v>
      </c>
      <c r="U4" s="92">
        <f t="shared" ca="1" si="2"/>
        <v>0</v>
      </c>
      <c r="V4" s="92">
        <f t="shared" ca="1" si="2"/>
        <v>0</v>
      </c>
      <c r="W4" s="92">
        <f t="shared" ca="1" si="2"/>
        <v>0</v>
      </c>
      <c r="X4" s="92">
        <f t="shared" ca="1" si="2"/>
        <v>0</v>
      </c>
      <c r="Y4" s="92">
        <f ca="1">MAX(Y8:Y12)-MIN(Y8:Y12)</f>
        <v>0</v>
      </c>
      <c r="Z4" s="93">
        <f ca="1">MAX(Z8:Z12)-MIN(Z8:Z12)</f>
        <v>0</v>
      </c>
      <c r="AA4" s="94"/>
      <c r="AB4" s="93">
        <f ca="1">MAX(AB8:AB12)-MIN(AB8:AB12)</f>
        <v>0</v>
      </c>
      <c r="AC4" s="93">
        <f ca="1">MAX(AC8:AC12)-MIN(AC8:AC12)</f>
        <v>0</v>
      </c>
      <c r="AD4" s="93">
        <f ca="1">MAX(AD8:AD12)-MIN(AD8:AD12)</f>
        <v>0</v>
      </c>
      <c r="AE4" s="92">
        <f ca="1">MAX(AE8:AE12)-MIN(AE8:AE12)</f>
        <v>0</v>
      </c>
      <c r="AF4" s="93">
        <f ca="1">MAX(AF8:AF12)-MIN(AF8:AF12)</f>
        <v>0</v>
      </c>
    </row>
    <row r="5" spans="1:32" ht="15" customHeight="1" x14ac:dyDescent="0.2">
      <c r="A5" s="181" t="s">
        <v>61</v>
      </c>
      <c r="B5" s="181"/>
      <c r="C5" s="92">
        <f ca="1">C3/3</f>
        <v>9</v>
      </c>
      <c r="D5" s="92">
        <f t="shared" ref="D5:AF5" ca="1" si="3">D3/3</f>
        <v>8</v>
      </c>
      <c r="E5" s="92">
        <f t="shared" ca="1" si="3"/>
        <v>7</v>
      </c>
      <c r="F5" s="92">
        <f t="shared" ca="1" si="3"/>
        <v>6</v>
      </c>
      <c r="G5" s="92">
        <f t="shared" ca="1" si="3"/>
        <v>5</v>
      </c>
      <c r="H5" s="92">
        <f t="shared" ca="1" si="3"/>
        <v>5</v>
      </c>
      <c r="I5" s="92">
        <f t="shared" ca="1" si="3"/>
        <v>4</v>
      </c>
      <c r="J5" s="92">
        <f t="shared" ca="1" si="3"/>
        <v>3</v>
      </c>
      <c r="K5" s="92">
        <f t="shared" ca="1" si="3"/>
        <v>2</v>
      </c>
      <c r="L5" s="92">
        <f t="shared" ca="1" si="3"/>
        <v>1</v>
      </c>
      <c r="M5" s="92">
        <f t="shared" ca="1" si="3"/>
        <v>1</v>
      </c>
      <c r="N5" s="92">
        <f t="shared" ca="1" si="3"/>
        <v>10</v>
      </c>
      <c r="O5" s="92">
        <f t="shared" ca="1" si="3"/>
        <v>1</v>
      </c>
      <c r="P5" s="92">
        <f t="shared" ca="1" si="3"/>
        <v>8.5</v>
      </c>
      <c r="Q5" s="92">
        <f t="shared" ca="1" si="3"/>
        <v>7.5</v>
      </c>
      <c r="R5" s="92">
        <f t="shared" ca="1" si="3"/>
        <v>7</v>
      </c>
      <c r="S5" s="92">
        <f t="shared" ca="1" si="3"/>
        <v>9</v>
      </c>
      <c r="T5" s="92">
        <f t="shared" ca="1" si="3"/>
        <v>8</v>
      </c>
      <c r="U5" s="92">
        <f t="shared" ca="1" si="3"/>
        <v>7</v>
      </c>
      <c r="V5" s="92">
        <f t="shared" ca="1" si="3"/>
        <v>6</v>
      </c>
      <c r="W5" s="92">
        <f t="shared" ca="1" si="3"/>
        <v>5</v>
      </c>
      <c r="X5" s="92">
        <f t="shared" ca="1" si="3"/>
        <v>5</v>
      </c>
      <c r="Y5" s="92">
        <f t="shared" ca="1" si="3"/>
        <v>10</v>
      </c>
      <c r="Z5" s="93">
        <f t="shared" ca="1" si="3"/>
        <v>135</v>
      </c>
      <c r="AA5" s="95"/>
      <c r="AB5" s="93">
        <f t="shared" ca="1" si="3"/>
        <v>24</v>
      </c>
      <c r="AC5" s="93">
        <f t="shared" ca="1" si="3"/>
        <v>11</v>
      </c>
      <c r="AD5" s="93">
        <f t="shared" ca="1" si="3"/>
        <v>8</v>
      </c>
      <c r="AE5" s="92">
        <f t="shared" ca="1" si="3"/>
        <v>0</v>
      </c>
      <c r="AF5" s="93">
        <f t="shared" ca="1" si="3"/>
        <v>0</v>
      </c>
    </row>
    <row r="6" spans="1:32" ht="15" hidden="1" customHeight="1" x14ac:dyDescent="0.2">
      <c r="A6" s="181" t="s">
        <v>62</v>
      </c>
      <c r="B6" s="181"/>
      <c r="C6" s="92"/>
      <c r="D6" s="92"/>
      <c r="E6" s="92"/>
      <c r="F6" s="92"/>
      <c r="G6" s="92"/>
      <c r="H6" s="92"/>
      <c r="I6" s="92"/>
      <c r="J6" s="92"/>
      <c r="K6" s="92"/>
      <c r="L6" s="92"/>
      <c r="M6" s="92"/>
      <c r="N6" s="92"/>
      <c r="O6" s="92"/>
      <c r="P6" s="92"/>
      <c r="Q6" s="92"/>
      <c r="R6" s="92"/>
      <c r="S6" s="92"/>
      <c r="T6" s="92"/>
      <c r="U6" s="92"/>
      <c r="V6" s="92"/>
      <c r="W6" s="92"/>
      <c r="X6" s="92"/>
      <c r="Y6" s="92"/>
      <c r="Z6" s="96"/>
      <c r="AA6" s="97"/>
      <c r="AB6" s="96"/>
      <c r="AC6" s="96"/>
      <c r="AD6" s="96"/>
      <c r="AE6" s="92"/>
      <c r="AF6" s="96"/>
    </row>
    <row r="7" spans="1:32" ht="15" customHeight="1" x14ac:dyDescent="0.2">
      <c r="A7" s="98" t="s">
        <v>84</v>
      </c>
      <c r="B7" s="98" t="str">
        <f ca="1">IF(A7&lt;&gt;"",INDIRECT("'"&amp;$A7&amp;"'!E5"),"")</f>
        <v>super(CG)</v>
      </c>
      <c r="C7" s="99">
        <f ca="1">IF($A7&lt;&gt;"",INDIRECT("'"&amp;$A7&amp;"'!L13"),"")</f>
        <v>9</v>
      </c>
      <c r="D7" s="99">
        <f ca="1">IF($A7&lt;&gt;"",INDIRECT("'"&amp;$A7&amp;"'!L14"),"")</f>
        <v>8</v>
      </c>
      <c r="E7" s="99">
        <f ca="1">IF($A7&lt;&gt;"",INDIRECT("'"&amp;$A7&amp;"'!L15"),"")</f>
        <v>7</v>
      </c>
      <c r="F7" s="99">
        <f ca="1">IF($A7&lt;&gt;"",INDIRECT("'"&amp;$A7&amp;"'!L16"),"")</f>
        <v>6</v>
      </c>
      <c r="G7" s="99">
        <f ca="1">IF($A7&lt;&gt;"",INDIRECT("'"&amp;$A7&amp;"'!L17"),"")</f>
        <v>5</v>
      </c>
      <c r="H7" s="99">
        <f ca="1">IF($A7&lt;&gt;"",INDIRECT("'"&amp;$A7&amp;"'!L18"),"")</f>
        <v>5</v>
      </c>
      <c r="I7" s="99">
        <f ca="1">IF($A7&lt;&gt;"",INDIRECT("'"&amp;$A7&amp;"'!L19"),"")</f>
        <v>4</v>
      </c>
      <c r="J7" s="99">
        <f ca="1">IF($A7&lt;&gt;"",INDIRECT("'"&amp;$A7&amp;"'!L20"),"")</f>
        <v>3</v>
      </c>
      <c r="K7" s="99">
        <f ca="1">IF($A7&lt;&gt;"",INDIRECT("'"&amp;$A7&amp;"'!L21"),"")</f>
        <v>2</v>
      </c>
      <c r="L7" s="99">
        <f ca="1">IF($A7&lt;&gt;"",INDIRECT("'"&amp;$A7&amp;"'!L22"),"")</f>
        <v>1</v>
      </c>
      <c r="M7" s="99">
        <f ca="1">IF($A7&lt;&gt;"",INDIRECT("'"&amp;$A7&amp;"'!L23"),"")</f>
        <v>1</v>
      </c>
      <c r="N7" s="99">
        <f ca="1">IF($A7&lt;&gt;"",INDIRECT("'"&amp;$A7&amp;"'!L24"),"")</f>
        <v>10</v>
      </c>
      <c r="O7" s="99">
        <f ca="1">IF($A7&lt;&gt;"",INDIRECT("'"&amp;$A7&amp;"'!L25"),"")</f>
        <v>1</v>
      </c>
      <c r="P7" s="99">
        <f ca="1">IF($A7&lt;&gt;"",INDIRECT("'"&amp;$A7&amp;"'!L26"),"")</f>
        <v>8.5</v>
      </c>
      <c r="Q7" s="99">
        <f ca="1">IF($A7&lt;&gt;"",INDIRECT("'"&amp;$A7&amp;"'!L27"),"")</f>
        <v>7.5</v>
      </c>
      <c r="R7" s="99">
        <f ca="1">IF($A7&lt;&gt;"",INDIRECT("'"&amp;$A7&amp;"'!L28"),"")</f>
        <v>7</v>
      </c>
      <c r="S7" s="99">
        <f ca="1">IF($A7&lt;&gt;"",INDIRECT("'"&amp;$A7&amp;"'!L29"),"")</f>
        <v>9</v>
      </c>
      <c r="T7" s="99">
        <f ca="1">IF($A7&lt;&gt;"",INDIRECT("'"&amp;$A7&amp;"'!L30"),"")</f>
        <v>8</v>
      </c>
      <c r="U7" s="99">
        <f ca="1">IF($A7&lt;&gt;"",INDIRECT("'"&amp;$A7&amp;"'!L31"),"")</f>
        <v>7</v>
      </c>
      <c r="V7" s="99">
        <f ca="1">IF($A7&lt;&gt;"",INDIRECT("'"&amp;$A7&amp;"'!L32"),"")</f>
        <v>6</v>
      </c>
      <c r="W7" s="99">
        <f ca="1">IF($A7&lt;&gt;"",INDIRECT("'"&amp;$A7&amp;"'!L33"),"")</f>
        <v>5</v>
      </c>
      <c r="X7" s="99">
        <f ca="1">IF($A7&lt;&gt;"",INDIRECT("'"&amp;$A7&amp;"'!L34"),"")</f>
        <v>5</v>
      </c>
      <c r="Y7" s="99">
        <f ca="1">IF($A7&lt;&gt;"",INDIRECT("'"&amp;$A7&amp;"'!L35"),"")</f>
        <v>10</v>
      </c>
      <c r="Z7" s="100">
        <f ca="1">IF($A7&lt;&gt;"",INDIRECT("'"&amp;$A7&amp;"'!L36"),"")</f>
        <v>135</v>
      </c>
      <c r="AA7" s="101">
        <f t="shared" ref="AA7:AA13" ca="1" si="4">IF($A7&lt;&gt;"",SUM(C21:Y21)/COUNT(C7:Y7),"")</f>
        <v>0</v>
      </c>
      <c r="AB7" s="100">
        <f ca="1">IF($A7&lt;&gt;"",INDIRECT("'"&amp;$A7&amp;"'!F36"),"")</f>
        <v>24</v>
      </c>
      <c r="AC7" s="100">
        <f ca="1">IF($A7&lt;&gt;"",INDIRECT("'"&amp;$A7&amp;"'!H36"),"")</f>
        <v>11</v>
      </c>
      <c r="AD7" s="100">
        <f ca="1">IF($A7&lt;&gt;"",INDIRECT("'"&amp;$A7&amp;"'!I36"),"")</f>
        <v>8</v>
      </c>
      <c r="AE7" s="99">
        <f ca="1">IF($A7&lt;&gt;"",INDIRECT("'"&amp;$A7&amp;"'!J36"),"")</f>
        <v>0</v>
      </c>
      <c r="AF7" s="100">
        <f ca="1">IF($A7&lt;&gt;"",INDIRECT("'"&amp;$A7&amp;"'!K36"),"")</f>
        <v>0</v>
      </c>
    </row>
    <row r="8" spans="1:32" ht="15" customHeight="1" x14ac:dyDescent="0.2">
      <c r="A8" s="17" t="s">
        <v>72</v>
      </c>
      <c r="B8" s="17" t="str">
        <f t="shared" ref="B8:B13" ca="1" si="5">IF(A8&lt;&gt;"",INDIRECT("'"&amp;$A8&amp;"'!E5"),"")</f>
        <v>one(CA)</v>
      </c>
      <c r="C8" s="92">
        <f t="shared" ref="C8:C13" ca="1" si="6">IF($A8&lt;&gt;"",INDIRECT("'"&amp;$A8&amp;"'!L13"),"")</f>
        <v>9</v>
      </c>
      <c r="D8" s="92">
        <f t="shared" ref="D8:D13" ca="1" si="7">IF($A8&lt;&gt;"",INDIRECT("'"&amp;$A8&amp;"'!L14"),"")</f>
        <v>8</v>
      </c>
      <c r="E8" s="92">
        <f t="shared" ref="E8:E13" ca="1" si="8">IF($A8&lt;&gt;"",INDIRECT("'"&amp;$A8&amp;"'!L15"),"")</f>
        <v>7</v>
      </c>
      <c r="F8" s="92">
        <f t="shared" ref="F8:F13" ca="1" si="9">IF($A8&lt;&gt;"",INDIRECT("'"&amp;$A8&amp;"'!L16"),"")</f>
        <v>6</v>
      </c>
      <c r="G8" s="92">
        <f t="shared" ref="G8:G13" ca="1" si="10">IF($A8&lt;&gt;"",INDIRECT("'"&amp;$A8&amp;"'!L17"),"")</f>
        <v>5</v>
      </c>
      <c r="H8" s="92">
        <f t="shared" ref="H8:H13" ca="1" si="11">IF($A8&lt;&gt;"",INDIRECT("'"&amp;$A8&amp;"'!L18"),"")</f>
        <v>5</v>
      </c>
      <c r="I8" s="92">
        <f t="shared" ref="I8:I13" ca="1" si="12">IF($A8&lt;&gt;"",INDIRECT("'"&amp;$A8&amp;"'!L19"),"")</f>
        <v>4</v>
      </c>
      <c r="J8" s="92">
        <f t="shared" ref="J8:J13" ca="1" si="13">IF($A8&lt;&gt;"",INDIRECT("'"&amp;$A8&amp;"'!L20"),"")</f>
        <v>3</v>
      </c>
      <c r="K8" s="92">
        <f t="shared" ref="K8:K13" ca="1" si="14">IF($A8&lt;&gt;"",INDIRECT("'"&amp;$A8&amp;"'!L21"),"")</f>
        <v>2</v>
      </c>
      <c r="L8" s="92">
        <f t="shared" ref="L8:L13" ca="1" si="15">IF($A8&lt;&gt;"",INDIRECT("'"&amp;$A8&amp;"'!L22"),"")</f>
        <v>1</v>
      </c>
      <c r="M8" s="92">
        <f t="shared" ref="M8:M13" ca="1" si="16">IF($A8&lt;&gt;"",INDIRECT("'"&amp;$A8&amp;"'!L23"),"")</f>
        <v>1</v>
      </c>
      <c r="N8" s="92">
        <f t="shared" ref="N8:N13" ca="1" si="17">IF($A8&lt;&gt;"",INDIRECT("'"&amp;$A8&amp;"'!L24"),"")</f>
        <v>10</v>
      </c>
      <c r="O8" s="92">
        <f t="shared" ref="O8:O13" ca="1" si="18">IF($A8&lt;&gt;"",INDIRECT("'"&amp;$A8&amp;"'!L25"),"")</f>
        <v>1</v>
      </c>
      <c r="P8" s="92">
        <f t="shared" ref="P8:P13" ca="1" si="19">IF($A8&lt;&gt;"",INDIRECT("'"&amp;$A8&amp;"'!L26"),"")</f>
        <v>8.5</v>
      </c>
      <c r="Q8" s="92">
        <f t="shared" ref="Q8:Q13" ca="1" si="20">IF($A8&lt;&gt;"",INDIRECT("'"&amp;$A8&amp;"'!L27"),"")</f>
        <v>7.5</v>
      </c>
      <c r="R8" s="92">
        <f t="shared" ref="R8:R13" ca="1" si="21">IF($A8&lt;&gt;"",INDIRECT("'"&amp;$A8&amp;"'!L28"),"")</f>
        <v>7</v>
      </c>
      <c r="S8" s="92">
        <f t="shared" ref="S8:S13" ca="1" si="22">IF($A8&lt;&gt;"",INDIRECT("'"&amp;$A8&amp;"'!L29"),"")</f>
        <v>9</v>
      </c>
      <c r="T8" s="92">
        <f t="shared" ref="T8:T13" ca="1" si="23">IF($A8&lt;&gt;"",INDIRECT("'"&amp;$A8&amp;"'!L30"),"")</f>
        <v>8</v>
      </c>
      <c r="U8" s="92">
        <f t="shared" ref="U8:U13" ca="1" si="24">IF($A8&lt;&gt;"",INDIRECT("'"&amp;$A8&amp;"'!L31"),"")</f>
        <v>7</v>
      </c>
      <c r="V8" s="92">
        <f t="shared" ref="V8:V13" ca="1" si="25">IF($A8&lt;&gt;"",INDIRECT("'"&amp;$A8&amp;"'!L32"),"")</f>
        <v>6</v>
      </c>
      <c r="W8" s="92">
        <f t="shared" ref="W8:W13" ca="1" si="26">IF($A8&lt;&gt;"",INDIRECT("'"&amp;$A8&amp;"'!L33"),"")</f>
        <v>5</v>
      </c>
      <c r="X8" s="92">
        <f t="shared" ref="X8:X13" ca="1" si="27">IF($A8&lt;&gt;"",INDIRECT("'"&amp;$A8&amp;"'!L34"),"")</f>
        <v>5</v>
      </c>
      <c r="Y8" s="92">
        <f t="shared" ref="Y8:Y13" ca="1" si="28">IF($A8&lt;&gt;"",INDIRECT("'"&amp;$A8&amp;"'!L35"),"")</f>
        <v>10</v>
      </c>
      <c r="Z8" s="93">
        <f t="shared" ref="Z8:Z13" ca="1" si="29">IF($A8&lt;&gt;"",INDIRECT("'"&amp;$A8&amp;"'!L36"),"")</f>
        <v>135</v>
      </c>
      <c r="AA8" s="102">
        <f t="shared" ca="1" si="4"/>
        <v>1</v>
      </c>
      <c r="AB8" s="93">
        <f t="shared" ref="AB8:AB13" ca="1" si="30">IF($A8&lt;&gt;"",INDIRECT("'"&amp;$A8&amp;"'!F36"),"")</f>
        <v>24</v>
      </c>
      <c r="AC8" s="93">
        <f t="shared" ref="AC8:AC13" ca="1" si="31">IF($A8&lt;&gt;"",INDIRECT("'"&amp;$A8&amp;"'!H36"),"")</f>
        <v>11</v>
      </c>
      <c r="AD8" s="93">
        <f t="shared" ref="AD8:AD13" ca="1" si="32">IF($A8&lt;&gt;"",INDIRECT("'"&amp;$A8&amp;"'!I36"),"")</f>
        <v>8</v>
      </c>
      <c r="AE8" s="92">
        <f t="shared" ref="AE8:AE13" ca="1" si="33">IF($A8&lt;&gt;"",INDIRECT("'"&amp;$A8&amp;"'!J36"),"")</f>
        <v>0</v>
      </c>
      <c r="AF8" s="93">
        <f t="shared" ref="AF8:AF13" ca="1" si="34">IF($A8&lt;&gt;"",INDIRECT("'"&amp;$A8&amp;"'!K36"),"")</f>
        <v>0</v>
      </c>
    </row>
    <row r="9" spans="1:32" ht="15" customHeight="1" x14ac:dyDescent="0.2">
      <c r="A9" s="17" t="s">
        <v>74</v>
      </c>
      <c r="B9" s="17" t="str">
        <f t="shared" ca="1" si="5"/>
        <v>two(CB)</v>
      </c>
      <c r="C9" s="92">
        <f t="shared" ca="1" si="6"/>
        <v>9</v>
      </c>
      <c r="D9" s="92">
        <f t="shared" ca="1" si="7"/>
        <v>8</v>
      </c>
      <c r="E9" s="92">
        <f t="shared" ca="1" si="8"/>
        <v>7</v>
      </c>
      <c r="F9" s="92">
        <f t="shared" ca="1" si="9"/>
        <v>6</v>
      </c>
      <c r="G9" s="92">
        <f t="shared" ca="1" si="10"/>
        <v>5</v>
      </c>
      <c r="H9" s="92">
        <f t="shared" ca="1" si="11"/>
        <v>5</v>
      </c>
      <c r="I9" s="92">
        <f t="shared" ca="1" si="12"/>
        <v>4</v>
      </c>
      <c r="J9" s="92">
        <f t="shared" ca="1" si="13"/>
        <v>3</v>
      </c>
      <c r="K9" s="92">
        <f t="shared" ca="1" si="14"/>
        <v>2</v>
      </c>
      <c r="L9" s="92">
        <f t="shared" ca="1" si="15"/>
        <v>1</v>
      </c>
      <c r="M9" s="92">
        <f t="shared" ca="1" si="16"/>
        <v>1</v>
      </c>
      <c r="N9" s="92">
        <f t="shared" ca="1" si="17"/>
        <v>10</v>
      </c>
      <c r="O9" s="92">
        <f t="shared" ca="1" si="18"/>
        <v>1</v>
      </c>
      <c r="P9" s="92">
        <f t="shared" ca="1" si="19"/>
        <v>8.5</v>
      </c>
      <c r="Q9" s="92">
        <f t="shared" ca="1" si="20"/>
        <v>7.5</v>
      </c>
      <c r="R9" s="92">
        <f t="shared" ca="1" si="21"/>
        <v>7</v>
      </c>
      <c r="S9" s="92">
        <f t="shared" ca="1" si="22"/>
        <v>9</v>
      </c>
      <c r="T9" s="92">
        <f t="shared" ca="1" si="23"/>
        <v>8</v>
      </c>
      <c r="U9" s="92">
        <f t="shared" ca="1" si="24"/>
        <v>7</v>
      </c>
      <c r="V9" s="92">
        <f t="shared" ca="1" si="25"/>
        <v>6</v>
      </c>
      <c r="W9" s="92">
        <f t="shared" ca="1" si="26"/>
        <v>5</v>
      </c>
      <c r="X9" s="92">
        <f t="shared" ca="1" si="27"/>
        <v>5</v>
      </c>
      <c r="Y9" s="92">
        <f t="shared" ca="1" si="28"/>
        <v>10</v>
      </c>
      <c r="Z9" s="93">
        <f t="shared" ca="1" si="29"/>
        <v>135</v>
      </c>
      <c r="AA9" s="103">
        <f t="shared" ca="1" si="4"/>
        <v>1</v>
      </c>
      <c r="AB9" s="93">
        <f t="shared" ca="1" si="30"/>
        <v>24</v>
      </c>
      <c r="AC9" s="93">
        <f t="shared" ca="1" si="31"/>
        <v>11</v>
      </c>
      <c r="AD9" s="93">
        <f t="shared" ca="1" si="32"/>
        <v>8</v>
      </c>
      <c r="AE9" s="92">
        <f t="shared" ca="1" si="33"/>
        <v>0</v>
      </c>
      <c r="AF9" s="93">
        <f t="shared" ca="1" si="34"/>
        <v>0</v>
      </c>
    </row>
    <row r="10" spans="1:32" ht="15" customHeight="1" x14ac:dyDescent="0.2">
      <c r="A10" s="17" t="s">
        <v>76</v>
      </c>
      <c r="B10" s="17" t="str">
        <f t="shared" ca="1" si="5"/>
        <v>head(CC)</v>
      </c>
      <c r="C10" s="92">
        <f t="shared" ca="1" si="6"/>
        <v>9</v>
      </c>
      <c r="D10" s="92">
        <f t="shared" ca="1" si="7"/>
        <v>8</v>
      </c>
      <c r="E10" s="92">
        <f t="shared" ca="1" si="8"/>
        <v>7</v>
      </c>
      <c r="F10" s="92">
        <f t="shared" ca="1" si="9"/>
        <v>6</v>
      </c>
      <c r="G10" s="92">
        <f t="shared" ca="1" si="10"/>
        <v>5</v>
      </c>
      <c r="H10" s="92">
        <f t="shared" ca="1" si="11"/>
        <v>5</v>
      </c>
      <c r="I10" s="92">
        <f t="shared" ca="1" si="12"/>
        <v>4</v>
      </c>
      <c r="J10" s="92">
        <f t="shared" ca="1" si="13"/>
        <v>3</v>
      </c>
      <c r="K10" s="92">
        <f t="shared" ca="1" si="14"/>
        <v>2</v>
      </c>
      <c r="L10" s="92">
        <f t="shared" ca="1" si="15"/>
        <v>1</v>
      </c>
      <c r="M10" s="92">
        <f t="shared" ca="1" si="16"/>
        <v>1</v>
      </c>
      <c r="N10" s="92">
        <f t="shared" ca="1" si="17"/>
        <v>10</v>
      </c>
      <c r="O10" s="92">
        <f t="shared" ca="1" si="18"/>
        <v>1</v>
      </c>
      <c r="P10" s="92">
        <f t="shared" ca="1" si="19"/>
        <v>8.5</v>
      </c>
      <c r="Q10" s="92">
        <f t="shared" ca="1" si="20"/>
        <v>7.5</v>
      </c>
      <c r="R10" s="92">
        <f t="shared" ca="1" si="21"/>
        <v>7</v>
      </c>
      <c r="S10" s="92">
        <f t="shared" ca="1" si="22"/>
        <v>9</v>
      </c>
      <c r="T10" s="92">
        <f t="shared" ca="1" si="23"/>
        <v>8</v>
      </c>
      <c r="U10" s="92">
        <f t="shared" ca="1" si="24"/>
        <v>7</v>
      </c>
      <c r="V10" s="92">
        <f t="shared" ca="1" si="25"/>
        <v>6</v>
      </c>
      <c r="W10" s="92">
        <f t="shared" ca="1" si="26"/>
        <v>5</v>
      </c>
      <c r="X10" s="92">
        <f t="shared" ca="1" si="27"/>
        <v>5</v>
      </c>
      <c r="Y10" s="92">
        <f t="shared" ca="1" si="28"/>
        <v>10</v>
      </c>
      <c r="Z10" s="93">
        <f t="shared" ca="1" si="29"/>
        <v>135</v>
      </c>
      <c r="AA10" s="103">
        <f t="shared" ca="1" si="4"/>
        <v>1</v>
      </c>
      <c r="AB10" s="93">
        <f t="shared" ca="1" si="30"/>
        <v>24</v>
      </c>
      <c r="AC10" s="93">
        <f t="shared" ca="1" si="31"/>
        <v>11</v>
      </c>
      <c r="AD10" s="93">
        <f t="shared" ca="1" si="32"/>
        <v>8</v>
      </c>
      <c r="AE10" s="92">
        <f t="shared" ca="1" si="33"/>
        <v>0</v>
      </c>
      <c r="AF10" s="93">
        <f t="shared" ca="1" si="34"/>
        <v>0</v>
      </c>
    </row>
    <row r="11" spans="1:32" ht="15" customHeight="1" x14ac:dyDescent="0.2">
      <c r="A11" s="17" t="s">
        <v>78</v>
      </c>
      <c r="B11" s="17" t="str">
        <f t="shared" ca="1" si="5"/>
        <v>four-out(C3)</v>
      </c>
      <c r="C11" s="92">
        <f t="shared" ca="1" si="6"/>
        <v>9</v>
      </c>
      <c r="D11" s="92">
        <f t="shared" ca="1" si="7"/>
        <v>8</v>
      </c>
      <c r="E11" s="92">
        <f t="shared" ca="1" si="8"/>
        <v>7</v>
      </c>
      <c r="F11" s="92">
        <f t="shared" ca="1" si="9"/>
        <v>6</v>
      </c>
      <c r="G11" s="92">
        <f t="shared" ca="1" si="10"/>
        <v>5</v>
      </c>
      <c r="H11" s="92">
        <f t="shared" ca="1" si="11"/>
        <v>5</v>
      </c>
      <c r="I11" s="92">
        <f t="shared" ca="1" si="12"/>
        <v>4</v>
      </c>
      <c r="J11" s="92">
        <f t="shared" ca="1" si="13"/>
        <v>3</v>
      </c>
      <c r="K11" s="92">
        <f t="shared" ca="1" si="14"/>
        <v>2</v>
      </c>
      <c r="L11" s="92">
        <f t="shared" ca="1" si="15"/>
        <v>1</v>
      </c>
      <c r="M11" s="92">
        <f t="shared" ca="1" si="16"/>
        <v>1</v>
      </c>
      <c r="N11" s="92">
        <f t="shared" ca="1" si="17"/>
        <v>10</v>
      </c>
      <c r="O11" s="92">
        <f t="shared" ca="1" si="18"/>
        <v>1</v>
      </c>
      <c r="P11" s="92">
        <f t="shared" ca="1" si="19"/>
        <v>8.5</v>
      </c>
      <c r="Q11" s="92">
        <f t="shared" ca="1" si="20"/>
        <v>7.5</v>
      </c>
      <c r="R11" s="92">
        <f t="shared" ca="1" si="21"/>
        <v>7</v>
      </c>
      <c r="S11" s="92">
        <f t="shared" ca="1" si="22"/>
        <v>9</v>
      </c>
      <c r="T11" s="92">
        <f t="shared" ca="1" si="23"/>
        <v>8</v>
      </c>
      <c r="U11" s="92">
        <f t="shared" ca="1" si="24"/>
        <v>7</v>
      </c>
      <c r="V11" s="92">
        <f t="shared" ca="1" si="25"/>
        <v>6</v>
      </c>
      <c r="W11" s="92">
        <f t="shared" ca="1" si="26"/>
        <v>5</v>
      </c>
      <c r="X11" s="92">
        <f t="shared" ca="1" si="27"/>
        <v>5</v>
      </c>
      <c r="Y11" s="92">
        <f t="shared" ca="1" si="28"/>
        <v>10</v>
      </c>
      <c r="Z11" s="93">
        <f t="shared" ca="1" si="29"/>
        <v>135</v>
      </c>
      <c r="AA11" s="103">
        <f t="shared" ca="1" si="4"/>
        <v>1</v>
      </c>
      <c r="AB11" s="93">
        <f t="shared" ca="1" si="30"/>
        <v>24</v>
      </c>
      <c r="AC11" s="93">
        <f t="shared" ca="1" si="31"/>
        <v>11</v>
      </c>
      <c r="AD11" s="93">
        <f t="shared" ca="1" si="32"/>
        <v>8</v>
      </c>
      <c r="AE11" s="92">
        <f t="shared" ca="1" si="33"/>
        <v>0</v>
      </c>
      <c r="AF11" s="93">
        <f t="shared" ca="1" si="34"/>
        <v>0</v>
      </c>
    </row>
    <row r="12" spans="1:32" ht="15" customHeight="1" thickBot="1" x14ac:dyDescent="0.25">
      <c r="A12" s="17" t="s">
        <v>80</v>
      </c>
      <c r="B12" s="104" t="str">
        <f t="shared" ca="1" si="5"/>
        <v>five(CE)</v>
      </c>
      <c r="C12" s="105">
        <f t="shared" ca="1" si="6"/>
        <v>9</v>
      </c>
      <c r="D12" s="105">
        <f t="shared" ca="1" si="7"/>
        <v>8</v>
      </c>
      <c r="E12" s="105">
        <f t="shared" ca="1" si="8"/>
        <v>7</v>
      </c>
      <c r="F12" s="105">
        <f t="shared" ca="1" si="9"/>
        <v>6</v>
      </c>
      <c r="G12" s="105">
        <f t="shared" ca="1" si="10"/>
        <v>5</v>
      </c>
      <c r="H12" s="105">
        <f t="shared" ca="1" si="11"/>
        <v>5</v>
      </c>
      <c r="I12" s="105">
        <f t="shared" ca="1" si="12"/>
        <v>4</v>
      </c>
      <c r="J12" s="105">
        <f t="shared" ca="1" si="13"/>
        <v>3</v>
      </c>
      <c r="K12" s="105">
        <f t="shared" ca="1" si="14"/>
        <v>2</v>
      </c>
      <c r="L12" s="105">
        <f t="shared" ca="1" si="15"/>
        <v>1</v>
      </c>
      <c r="M12" s="105">
        <f t="shared" ca="1" si="16"/>
        <v>1</v>
      </c>
      <c r="N12" s="105">
        <f t="shared" ca="1" si="17"/>
        <v>10</v>
      </c>
      <c r="O12" s="105">
        <f t="shared" ca="1" si="18"/>
        <v>1</v>
      </c>
      <c r="P12" s="105">
        <f t="shared" ca="1" si="19"/>
        <v>8.5</v>
      </c>
      <c r="Q12" s="105">
        <f t="shared" ca="1" si="20"/>
        <v>7.5</v>
      </c>
      <c r="R12" s="105">
        <f t="shared" ca="1" si="21"/>
        <v>7</v>
      </c>
      <c r="S12" s="105">
        <f t="shared" ca="1" si="22"/>
        <v>9</v>
      </c>
      <c r="T12" s="105">
        <f t="shared" ca="1" si="23"/>
        <v>8</v>
      </c>
      <c r="U12" s="105">
        <f t="shared" ca="1" si="24"/>
        <v>7</v>
      </c>
      <c r="V12" s="105">
        <f t="shared" ca="1" si="25"/>
        <v>6</v>
      </c>
      <c r="W12" s="105">
        <f t="shared" ca="1" si="26"/>
        <v>5</v>
      </c>
      <c r="X12" s="105">
        <f t="shared" ca="1" si="27"/>
        <v>5</v>
      </c>
      <c r="Y12" s="105">
        <f t="shared" ca="1" si="28"/>
        <v>10</v>
      </c>
      <c r="Z12" s="106">
        <f t="shared" ca="1" si="29"/>
        <v>135</v>
      </c>
      <c r="AA12" s="103">
        <f t="shared" ca="1" si="4"/>
        <v>1</v>
      </c>
      <c r="AB12" s="106">
        <f t="shared" ca="1" si="30"/>
        <v>24</v>
      </c>
      <c r="AC12" s="106">
        <f t="shared" ca="1" si="31"/>
        <v>11</v>
      </c>
      <c r="AD12" s="106">
        <f t="shared" ca="1" si="32"/>
        <v>8</v>
      </c>
      <c r="AE12" s="105">
        <f t="shared" ca="1" si="33"/>
        <v>0</v>
      </c>
      <c r="AF12" s="106">
        <f t="shared" ca="1" si="34"/>
        <v>0</v>
      </c>
    </row>
    <row r="13" spans="1:32" ht="13.5" thickBot="1" x14ac:dyDescent="0.25">
      <c r="A13" s="107" t="s">
        <v>82</v>
      </c>
      <c r="B13" s="107" t="str">
        <f t="shared" ca="1" si="5"/>
        <v>springer(CF)</v>
      </c>
      <c r="C13" s="108">
        <f t="shared" ca="1" si="6"/>
        <v>9</v>
      </c>
      <c r="D13" s="108">
        <f t="shared" ca="1" si="7"/>
        <v>8</v>
      </c>
      <c r="E13" s="108">
        <f t="shared" ca="1" si="8"/>
        <v>7</v>
      </c>
      <c r="F13" s="108">
        <f t="shared" ca="1" si="9"/>
        <v>6</v>
      </c>
      <c r="G13" s="108">
        <f t="shared" ca="1" si="10"/>
        <v>5</v>
      </c>
      <c r="H13" s="108">
        <f t="shared" ca="1" si="11"/>
        <v>5</v>
      </c>
      <c r="I13" s="108">
        <f t="shared" ca="1" si="12"/>
        <v>4</v>
      </c>
      <c r="J13" s="108">
        <f t="shared" ca="1" si="13"/>
        <v>3</v>
      </c>
      <c r="K13" s="108">
        <f t="shared" ca="1" si="14"/>
        <v>2</v>
      </c>
      <c r="L13" s="108">
        <f t="shared" ca="1" si="15"/>
        <v>1</v>
      </c>
      <c r="M13" s="108">
        <f t="shared" ca="1" si="16"/>
        <v>1</v>
      </c>
      <c r="N13" s="108">
        <f t="shared" ca="1" si="17"/>
        <v>10</v>
      </c>
      <c r="O13" s="108">
        <f t="shared" ca="1" si="18"/>
        <v>1</v>
      </c>
      <c r="P13" s="108">
        <f t="shared" ca="1" si="19"/>
        <v>8.5</v>
      </c>
      <c r="Q13" s="108">
        <f t="shared" ca="1" si="20"/>
        <v>7.5</v>
      </c>
      <c r="R13" s="108">
        <f t="shared" ca="1" si="21"/>
        <v>7</v>
      </c>
      <c r="S13" s="108">
        <f t="shared" ca="1" si="22"/>
        <v>9</v>
      </c>
      <c r="T13" s="108">
        <f t="shared" ca="1" si="23"/>
        <v>8</v>
      </c>
      <c r="U13" s="108">
        <f t="shared" ca="1" si="24"/>
        <v>7</v>
      </c>
      <c r="V13" s="108">
        <f t="shared" ca="1" si="25"/>
        <v>6</v>
      </c>
      <c r="W13" s="108">
        <f t="shared" ca="1" si="26"/>
        <v>5</v>
      </c>
      <c r="X13" s="108">
        <f t="shared" ca="1" si="27"/>
        <v>5</v>
      </c>
      <c r="Y13" s="108">
        <f t="shared" ca="1" si="28"/>
        <v>10</v>
      </c>
      <c r="Z13" s="109">
        <f t="shared" ca="1" si="29"/>
        <v>135</v>
      </c>
      <c r="AA13" s="110">
        <f t="shared" ca="1" si="4"/>
        <v>1</v>
      </c>
      <c r="AB13" s="109">
        <f t="shared" ca="1" si="30"/>
        <v>24</v>
      </c>
      <c r="AC13" s="109">
        <f t="shared" ca="1" si="31"/>
        <v>11</v>
      </c>
      <c r="AD13" s="109">
        <f t="shared" ca="1" si="32"/>
        <v>8</v>
      </c>
      <c r="AE13" s="108">
        <f t="shared" ca="1" si="33"/>
        <v>0</v>
      </c>
      <c r="AF13" s="109">
        <f t="shared" ca="1" si="34"/>
        <v>0</v>
      </c>
    </row>
    <row r="14" spans="1:32" ht="15" customHeight="1" x14ac:dyDescent="0.2">
      <c r="A14" s="111"/>
      <c r="B14" s="111"/>
      <c r="C14" s="112"/>
      <c r="D14" s="112"/>
      <c r="E14" s="112"/>
      <c r="F14" s="112"/>
      <c r="G14" s="112"/>
      <c r="H14" s="112"/>
      <c r="I14" s="112"/>
      <c r="J14" s="112"/>
      <c r="K14" s="112"/>
      <c r="L14" s="112"/>
      <c r="M14" s="112"/>
      <c r="N14" s="112"/>
      <c r="O14" s="112"/>
      <c r="P14" s="112"/>
      <c r="Q14" s="112"/>
      <c r="R14" s="112"/>
      <c r="S14" s="112"/>
      <c r="T14" s="112"/>
      <c r="U14" s="112"/>
      <c r="V14" s="112"/>
      <c r="W14" s="112"/>
      <c r="X14" s="112"/>
      <c r="Y14" s="112"/>
      <c r="Z14" s="113"/>
      <c r="AA14" s="114"/>
      <c r="AB14" s="115"/>
      <c r="AC14" s="115"/>
      <c r="AD14" s="115"/>
      <c r="AE14" s="112"/>
      <c r="AF14" s="115"/>
    </row>
    <row r="15" spans="1:32" x14ac:dyDescent="0.2">
      <c r="A15" s="111"/>
      <c r="B15" s="111" t="str">
        <f t="shared" ref="B15:B16" ca="1" si="35">IF(A15&lt;&gt;"",INDIRECT("'"&amp;$A15&amp;"'!E5"),"")</f>
        <v/>
      </c>
      <c r="C15" s="112" t="str">
        <f t="shared" ref="C15:C16" ca="1" si="36">IF($A15&lt;&gt;"",INDIRECT("'"&amp;$A15&amp;"'!L13"),"")</f>
        <v/>
      </c>
      <c r="D15" s="112" t="str">
        <f t="shared" ref="D15:D16" ca="1" si="37">IF($A15&lt;&gt;"",INDIRECT("'"&amp;$A15&amp;"'!L14"),"")</f>
        <v/>
      </c>
      <c r="E15" s="112" t="str">
        <f t="shared" ref="E15:E16" ca="1" si="38">IF($A15&lt;&gt;"",INDIRECT("'"&amp;$A15&amp;"'!L15"),"")</f>
        <v/>
      </c>
      <c r="F15" s="112" t="str">
        <f t="shared" ref="F15:F16" ca="1" si="39">IF($A15&lt;&gt;"",INDIRECT("'"&amp;$A15&amp;"'!L16"),"")</f>
        <v/>
      </c>
      <c r="G15" s="112" t="str">
        <f t="shared" ref="G15:G16" ca="1" si="40">IF($A15&lt;&gt;"",INDIRECT("'"&amp;$A15&amp;"'!L17"),"")</f>
        <v/>
      </c>
      <c r="H15" s="112" t="str">
        <f t="shared" ref="H15:H16" ca="1" si="41">IF($A15&lt;&gt;"",INDIRECT("'"&amp;$A15&amp;"'!L18"),"")</f>
        <v/>
      </c>
      <c r="I15" s="112" t="str">
        <f t="shared" ref="I15:I16" ca="1" si="42">IF($A15&lt;&gt;"",INDIRECT("'"&amp;$A15&amp;"'!L19"),"")</f>
        <v/>
      </c>
      <c r="J15" s="112" t="str">
        <f t="shared" ref="J15:J16" ca="1" si="43">IF($A15&lt;&gt;"",INDIRECT("'"&amp;$A15&amp;"'!L20"),"")</f>
        <v/>
      </c>
      <c r="K15" s="112" t="str">
        <f t="shared" ref="K15:K16" ca="1" si="44">IF($A15&lt;&gt;"",INDIRECT("'"&amp;$A15&amp;"'!L21"),"")</f>
        <v/>
      </c>
      <c r="L15" s="112" t="str">
        <f t="shared" ref="L15:L16" ca="1" si="45">IF($A15&lt;&gt;"",INDIRECT("'"&amp;$A15&amp;"'!L22"),"")</f>
        <v/>
      </c>
      <c r="M15" s="112" t="str">
        <f t="shared" ref="M15:M16" ca="1" si="46">IF($A15&lt;&gt;"",INDIRECT("'"&amp;$A15&amp;"'!L23"),"")</f>
        <v/>
      </c>
      <c r="N15" s="112" t="str">
        <f t="shared" ref="N15:N16" ca="1" si="47">IF($A15&lt;&gt;"",INDIRECT("'"&amp;$A15&amp;"'!L24"),"")</f>
        <v/>
      </c>
      <c r="O15" s="112" t="str">
        <f t="shared" ref="O15:O16" ca="1" si="48">IF($A15&lt;&gt;"",INDIRECT("'"&amp;$A15&amp;"'!L25"),"")</f>
        <v/>
      </c>
      <c r="P15" s="112" t="str">
        <f t="shared" ref="P15:P16" ca="1" si="49">IF($A15&lt;&gt;"",INDIRECT("'"&amp;$A15&amp;"'!L26"),"")</f>
        <v/>
      </c>
      <c r="Q15" s="112" t="str">
        <f t="shared" ref="Q15:Q16" ca="1" si="50">IF($A15&lt;&gt;"",INDIRECT("'"&amp;$A15&amp;"'!L27"),"")</f>
        <v/>
      </c>
      <c r="R15" s="112" t="str">
        <f t="shared" ref="R15:R16" ca="1" si="51">IF($A15&lt;&gt;"",INDIRECT("'"&amp;$A15&amp;"'!L28"),"")</f>
        <v/>
      </c>
      <c r="S15" s="112" t="str">
        <f t="shared" ref="S15:S16" ca="1" si="52">IF($A15&lt;&gt;"",INDIRECT("'"&amp;$A15&amp;"'!L29"),"")</f>
        <v/>
      </c>
      <c r="T15" s="112" t="str">
        <f t="shared" ref="T15:T16" ca="1" si="53">IF($A15&lt;&gt;"",INDIRECT("'"&amp;$A15&amp;"'!L30"),"")</f>
        <v/>
      </c>
      <c r="U15" s="112" t="str">
        <f t="shared" ref="U15:U16" ca="1" si="54">IF($A15&lt;&gt;"",INDIRECT("'"&amp;$A15&amp;"'!L31"),"")</f>
        <v/>
      </c>
      <c r="V15" s="112" t="str">
        <f t="shared" ref="V15:V16" ca="1" si="55">IF($A15&lt;&gt;"",INDIRECT("'"&amp;$A15&amp;"'!L32"),"")</f>
        <v/>
      </c>
      <c r="W15" s="112" t="str">
        <f t="shared" ref="W15:W16" ca="1" si="56">IF($A15&lt;&gt;"",INDIRECT("'"&amp;$A15&amp;"'!L33"),"")</f>
        <v/>
      </c>
      <c r="X15" s="112" t="str">
        <f t="shared" ref="X15:X16" ca="1" si="57">IF($A15&lt;&gt;"",INDIRECT("'"&amp;$A15&amp;"'!L34"),"")</f>
        <v/>
      </c>
      <c r="Y15" s="112" t="str">
        <f t="shared" ref="Y15:Y16" ca="1" si="58">IF($A15&lt;&gt;"",INDIRECT("'"&amp;$A15&amp;"'!L35"),"")</f>
        <v/>
      </c>
      <c r="Z15" s="115" t="str">
        <f t="shared" ref="Z15:Z16" ca="1" si="59">IF($A15&lt;&gt;"",INDIRECT("'"&amp;$A15&amp;"'!L36"),"")</f>
        <v/>
      </c>
      <c r="AA15" s="116" t="str">
        <f t="shared" ref="AA15:AA16" si="60">IF($A15&lt;&gt;"",SUM(C29:Y29)/COUNT(C15:Y15),"")</f>
        <v/>
      </c>
      <c r="AB15" s="115" t="str">
        <f t="shared" ref="AB15:AB16" ca="1" si="61">IF($A15&lt;&gt;"",INDIRECT("'"&amp;$A15&amp;"'!F36"),"")</f>
        <v/>
      </c>
      <c r="AC15" s="115" t="str">
        <f t="shared" ref="AC15:AC16" ca="1" si="62">IF($A15&lt;&gt;"",INDIRECT("'"&amp;$A15&amp;"'!H36"),"")</f>
        <v/>
      </c>
      <c r="AD15" s="115" t="str">
        <f t="shared" ref="AD15:AD16" ca="1" si="63">IF($A15&lt;&gt;"",INDIRECT("'"&amp;$A15&amp;"'!I36"),"")</f>
        <v/>
      </c>
      <c r="AE15" s="112" t="str">
        <f t="shared" ref="AE15:AE16" ca="1" si="64">IF($A15&lt;&gt;"",INDIRECT("'"&amp;$A15&amp;"'!J36"),"")</f>
        <v/>
      </c>
      <c r="AF15" s="115" t="str">
        <f t="shared" ref="AF15:AF16" ca="1" si="65">IF($A15&lt;&gt;"",INDIRECT("'"&amp;$A15&amp;"'!K36"),"")</f>
        <v/>
      </c>
    </row>
    <row r="16" spans="1:32" x14ac:dyDescent="0.2">
      <c r="A16" s="111"/>
      <c r="B16" s="111" t="str">
        <f t="shared" ca="1" si="35"/>
        <v/>
      </c>
      <c r="C16" s="112" t="str">
        <f t="shared" ca="1" si="36"/>
        <v/>
      </c>
      <c r="D16" s="112" t="str">
        <f t="shared" ca="1" si="37"/>
        <v/>
      </c>
      <c r="E16" s="112" t="str">
        <f t="shared" ca="1" si="38"/>
        <v/>
      </c>
      <c r="F16" s="112" t="str">
        <f t="shared" ca="1" si="39"/>
        <v/>
      </c>
      <c r="G16" s="112" t="str">
        <f t="shared" ca="1" si="40"/>
        <v/>
      </c>
      <c r="H16" s="112" t="str">
        <f t="shared" ca="1" si="41"/>
        <v/>
      </c>
      <c r="I16" s="112" t="str">
        <f t="shared" ca="1" si="42"/>
        <v/>
      </c>
      <c r="J16" s="112" t="str">
        <f t="shared" ca="1" si="43"/>
        <v/>
      </c>
      <c r="K16" s="112" t="str">
        <f t="shared" ca="1" si="44"/>
        <v/>
      </c>
      <c r="L16" s="112" t="str">
        <f t="shared" ca="1" si="45"/>
        <v/>
      </c>
      <c r="M16" s="112" t="str">
        <f t="shared" ca="1" si="46"/>
        <v/>
      </c>
      <c r="N16" s="112" t="str">
        <f t="shared" ca="1" si="47"/>
        <v/>
      </c>
      <c r="O16" s="112" t="str">
        <f t="shared" ca="1" si="48"/>
        <v/>
      </c>
      <c r="P16" s="112" t="str">
        <f t="shared" ca="1" si="49"/>
        <v/>
      </c>
      <c r="Q16" s="112" t="str">
        <f t="shared" ca="1" si="50"/>
        <v/>
      </c>
      <c r="R16" s="112" t="str">
        <f t="shared" ca="1" si="51"/>
        <v/>
      </c>
      <c r="S16" s="112" t="str">
        <f t="shared" ca="1" si="52"/>
        <v/>
      </c>
      <c r="T16" s="112" t="str">
        <f t="shared" ca="1" si="53"/>
        <v/>
      </c>
      <c r="U16" s="112" t="str">
        <f t="shared" ca="1" si="54"/>
        <v/>
      </c>
      <c r="V16" s="112" t="str">
        <f t="shared" ca="1" si="55"/>
        <v/>
      </c>
      <c r="W16" s="112" t="str">
        <f t="shared" ca="1" si="56"/>
        <v/>
      </c>
      <c r="X16" s="112" t="str">
        <f t="shared" ca="1" si="57"/>
        <v/>
      </c>
      <c r="Y16" s="112" t="str">
        <f t="shared" ca="1" si="58"/>
        <v/>
      </c>
      <c r="Z16" s="115" t="str">
        <f t="shared" ca="1" si="59"/>
        <v/>
      </c>
      <c r="AA16" s="116" t="str">
        <f t="shared" si="60"/>
        <v/>
      </c>
      <c r="AB16" s="115" t="str">
        <f t="shared" ca="1" si="61"/>
        <v/>
      </c>
      <c r="AC16" s="115" t="str">
        <f t="shared" ca="1" si="62"/>
        <v/>
      </c>
      <c r="AD16" s="115" t="str">
        <f t="shared" ca="1" si="63"/>
        <v/>
      </c>
      <c r="AE16" s="112" t="str">
        <f t="shared" ca="1" si="64"/>
        <v/>
      </c>
      <c r="AF16" s="115" t="str">
        <f t="shared" ca="1" si="65"/>
        <v/>
      </c>
    </row>
    <row r="17" spans="1:32" x14ac:dyDescent="0.2">
      <c r="AF17" s="117"/>
    </row>
    <row r="18" spans="1:32" x14ac:dyDescent="0.2">
      <c r="AF18" s="118"/>
    </row>
    <row r="21" spans="1:32" hidden="1" x14ac:dyDescent="0.2">
      <c r="A21" s="17" t="s">
        <v>43</v>
      </c>
    </row>
    <row r="22" spans="1:32" hidden="1" x14ac:dyDescent="0.2">
      <c r="A22" s="17" t="str">
        <f>A8</f>
        <v>Wertung 1</v>
      </c>
      <c r="B22" s="17" t="str">
        <f ca="1">B8</f>
        <v>one(CA)</v>
      </c>
      <c r="C22" s="17">
        <f t="shared" ref="C22:Y30" ca="1" si="66">IF($A8&lt;&gt;"",IF(ABS(C$3/3-C8)&lt;=0.75,1,0),"")</f>
        <v>1</v>
      </c>
      <c r="D22" s="17">
        <f t="shared" ca="1" si="66"/>
        <v>1</v>
      </c>
      <c r="E22" s="17">
        <f t="shared" ca="1" si="66"/>
        <v>1</v>
      </c>
      <c r="F22" s="17">
        <f t="shared" ca="1" si="66"/>
        <v>1</v>
      </c>
      <c r="G22" s="17">
        <f t="shared" ca="1" si="66"/>
        <v>1</v>
      </c>
      <c r="H22" s="17">
        <f t="shared" ca="1" si="66"/>
        <v>1</v>
      </c>
      <c r="I22" s="17">
        <f t="shared" ca="1" si="66"/>
        <v>1</v>
      </c>
      <c r="J22" s="17">
        <f t="shared" ca="1" si="66"/>
        <v>1</v>
      </c>
      <c r="K22" s="17">
        <f t="shared" ca="1" si="66"/>
        <v>1</v>
      </c>
      <c r="L22" s="17">
        <f t="shared" ca="1" si="66"/>
        <v>1</v>
      </c>
      <c r="M22" s="17">
        <f t="shared" ca="1" si="66"/>
        <v>1</v>
      </c>
      <c r="N22" s="17">
        <f t="shared" ca="1" si="66"/>
        <v>1</v>
      </c>
      <c r="O22" s="17">
        <f t="shared" ca="1" si="66"/>
        <v>1</v>
      </c>
      <c r="P22" s="17">
        <f t="shared" ca="1" si="66"/>
        <v>1</v>
      </c>
      <c r="Q22" s="17">
        <f t="shared" ca="1" si="66"/>
        <v>1</v>
      </c>
      <c r="R22" s="17">
        <f t="shared" ca="1" si="66"/>
        <v>1</v>
      </c>
      <c r="S22" s="17">
        <f t="shared" ca="1" si="66"/>
        <v>1</v>
      </c>
      <c r="T22" s="17">
        <f t="shared" ca="1" si="66"/>
        <v>1</v>
      </c>
      <c r="U22" s="17">
        <f t="shared" ca="1" si="66"/>
        <v>1</v>
      </c>
      <c r="V22" s="17">
        <f t="shared" ca="1" si="66"/>
        <v>1</v>
      </c>
      <c r="W22" s="17">
        <f t="shared" ca="1" si="66"/>
        <v>1</v>
      </c>
      <c r="X22" s="17">
        <f t="shared" ca="1" si="66"/>
        <v>1</v>
      </c>
      <c r="Y22" s="17">
        <f t="shared" ca="1" si="66"/>
        <v>1</v>
      </c>
    </row>
    <row r="23" spans="1:32" hidden="1" x14ac:dyDescent="0.2">
      <c r="A23" s="17" t="str">
        <f>A9</f>
        <v>Wertung 2</v>
      </c>
      <c r="B23" s="17" t="str">
        <f ca="1">B9</f>
        <v>two(CB)</v>
      </c>
      <c r="C23" s="17">
        <f t="shared" ca="1" si="66"/>
        <v>1</v>
      </c>
      <c r="D23" s="17">
        <f t="shared" ca="1" si="66"/>
        <v>1</v>
      </c>
      <c r="E23" s="17">
        <f t="shared" ca="1" si="66"/>
        <v>1</v>
      </c>
      <c r="F23" s="17">
        <f t="shared" ca="1" si="66"/>
        <v>1</v>
      </c>
      <c r="G23" s="17">
        <f t="shared" ca="1" si="66"/>
        <v>1</v>
      </c>
      <c r="H23" s="17">
        <f t="shared" ca="1" si="66"/>
        <v>1</v>
      </c>
      <c r="I23" s="17">
        <f t="shared" ca="1" si="66"/>
        <v>1</v>
      </c>
      <c r="J23" s="17">
        <f t="shared" ca="1" si="66"/>
        <v>1</v>
      </c>
      <c r="K23" s="17">
        <f t="shared" ca="1" si="66"/>
        <v>1</v>
      </c>
      <c r="L23" s="17">
        <f t="shared" ca="1" si="66"/>
        <v>1</v>
      </c>
      <c r="M23" s="17">
        <f t="shared" ca="1" si="66"/>
        <v>1</v>
      </c>
      <c r="N23" s="17">
        <f t="shared" ca="1" si="66"/>
        <v>1</v>
      </c>
      <c r="O23" s="17">
        <f t="shared" ca="1" si="66"/>
        <v>1</v>
      </c>
      <c r="P23" s="17">
        <f t="shared" ca="1" si="66"/>
        <v>1</v>
      </c>
      <c r="Q23" s="17">
        <f t="shared" ca="1" si="66"/>
        <v>1</v>
      </c>
      <c r="R23" s="17">
        <f t="shared" ca="1" si="66"/>
        <v>1</v>
      </c>
      <c r="S23" s="17">
        <f t="shared" ca="1" si="66"/>
        <v>1</v>
      </c>
      <c r="T23" s="17">
        <f t="shared" ca="1" si="66"/>
        <v>1</v>
      </c>
      <c r="U23" s="17">
        <f t="shared" ca="1" si="66"/>
        <v>1</v>
      </c>
      <c r="V23" s="17">
        <f t="shared" ca="1" si="66"/>
        <v>1</v>
      </c>
      <c r="W23" s="17">
        <f t="shared" ca="1" si="66"/>
        <v>1</v>
      </c>
      <c r="X23" s="17">
        <f t="shared" ca="1" si="66"/>
        <v>1</v>
      </c>
      <c r="Y23" s="17">
        <f t="shared" ca="1" si="66"/>
        <v>1</v>
      </c>
    </row>
    <row r="24" spans="1:32" hidden="1" x14ac:dyDescent="0.2">
      <c r="A24" s="17" t="str">
        <f>A10</f>
        <v>Wertung 3 (H)</v>
      </c>
      <c r="B24" s="17" t="str">
        <f t="shared" ref="B24:B30" ca="1" si="67">B10</f>
        <v>head(CC)</v>
      </c>
      <c r="C24" s="17">
        <f t="shared" ca="1" si="66"/>
        <v>1</v>
      </c>
      <c r="D24" s="17">
        <f t="shared" ca="1" si="66"/>
        <v>1</v>
      </c>
      <c r="E24" s="17">
        <f t="shared" ca="1" si="66"/>
        <v>1</v>
      </c>
      <c r="F24" s="17">
        <f t="shared" ca="1" si="66"/>
        <v>1</v>
      </c>
      <c r="G24" s="17">
        <f t="shared" ca="1" si="66"/>
        <v>1</v>
      </c>
      <c r="H24" s="17">
        <f t="shared" ca="1" si="66"/>
        <v>1</v>
      </c>
      <c r="I24" s="17">
        <f t="shared" ca="1" si="66"/>
        <v>1</v>
      </c>
      <c r="J24" s="17">
        <f t="shared" ca="1" si="66"/>
        <v>1</v>
      </c>
      <c r="K24" s="17">
        <f t="shared" ca="1" si="66"/>
        <v>1</v>
      </c>
      <c r="L24" s="17">
        <f t="shared" ca="1" si="66"/>
        <v>1</v>
      </c>
      <c r="M24" s="17">
        <f t="shared" ca="1" si="66"/>
        <v>1</v>
      </c>
      <c r="N24" s="17">
        <f t="shared" ca="1" si="66"/>
        <v>1</v>
      </c>
      <c r="O24" s="17">
        <f t="shared" ca="1" si="66"/>
        <v>1</v>
      </c>
      <c r="P24" s="17">
        <f t="shared" ca="1" si="66"/>
        <v>1</v>
      </c>
      <c r="Q24" s="17">
        <f t="shared" ca="1" si="66"/>
        <v>1</v>
      </c>
      <c r="R24" s="17">
        <f t="shared" ca="1" si="66"/>
        <v>1</v>
      </c>
      <c r="S24" s="17">
        <f t="shared" ca="1" si="66"/>
        <v>1</v>
      </c>
      <c r="T24" s="17">
        <f t="shared" ca="1" si="66"/>
        <v>1</v>
      </c>
      <c r="U24" s="17">
        <f t="shared" ca="1" si="66"/>
        <v>1</v>
      </c>
      <c r="V24" s="17">
        <f t="shared" ca="1" si="66"/>
        <v>1</v>
      </c>
      <c r="W24" s="17">
        <f t="shared" ca="1" si="66"/>
        <v>1</v>
      </c>
      <c r="X24" s="17">
        <f t="shared" ca="1" si="66"/>
        <v>1</v>
      </c>
      <c r="Y24" s="17">
        <f t="shared" ca="1" si="66"/>
        <v>1</v>
      </c>
    </row>
    <row r="25" spans="1:32" hidden="1" x14ac:dyDescent="0.2">
      <c r="A25" s="17" t="str">
        <f>A11</f>
        <v>Wertung 4</v>
      </c>
      <c r="B25" s="17" t="str">
        <f t="shared" ca="1" si="67"/>
        <v>four-out(C3)</v>
      </c>
      <c r="C25" s="17">
        <f t="shared" ca="1" si="66"/>
        <v>1</v>
      </c>
      <c r="D25" s="17">
        <f t="shared" ca="1" si="66"/>
        <v>1</v>
      </c>
      <c r="E25" s="17">
        <f t="shared" ca="1" si="66"/>
        <v>1</v>
      </c>
      <c r="F25" s="17">
        <f t="shared" ca="1" si="66"/>
        <v>1</v>
      </c>
      <c r="G25" s="17">
        <f t="shared" ca="1" si="66"/>
        <v>1</v>
      </c>
      <c r="H25" s="17">
        <f t="shared" ca="1" si="66"/>
        <v>1</v>
      </c>
      <c r="I25" s="17">
        <f t="shared" ca="1" si="66"/>
        <v>1</v>
      </c>
      <c r="J25" s="17">
        <f t="shared" ca="1" si="66"/>
        <v>1</v>
      </c>
      <c r="K25" s="17">
        <f t="shared" ca="1" si="66"/>
        <v>1</v>
      </c>
      <c r="L25" s="17">
        <f t="shared" ca="1" si="66"/>
        <v>1</v>
      </c>
      <c r="M25" s="17">
        <f t="shared" ca="1" si="66"/>
        <v>1</v>
      </c>
      <c r="N25" s="17">
        <f t="shared" ca="1" si="66"/>
        <v>1</v>
      </c>
      <c r="O25" s="17">
        <f t="shared" ca="1" si="66"/>
        <v>1</v>
      </c>
      <c r="P25" s="17">
        <f t="shared" ca="1" si="66"/>
        <v>1</v>
      </c>
      <c r="Q25" s="17">
        <f t="shared" ca="1" si="66"/>
        <v>1</v>
      </c>
      <c r="R25" s="17">
        <f t="shared" ca="1" si="66"/>
        <v>1</v>
      </c>
      <c r="S25" s="17">
        <f t="shared" ca="1" si="66"/>
        <v>1</v>
      </c>
      <c r="T25" s="17">
        <f t="shared" ca="1" si="66"/>
        <v>1</v>
      </c>
      <c r="U25" s="17">
        <f t="shared" ca="1" si="66"/>
        <v>1</v>
      </c>
      <c r="V25" s="17">
        <f t="shared" ca="1" si="66"/>
        <v>1</v>
      </c>
      <c r="W25" s="17">
        <f t="shared" ca="1" si="66"/>
        <v>1</v>
      </c>
      <c r="X25" s="17">
        <f t="shared" ca="1" si="66"/>
        <v>1</v>
      </c>
      <c r="Y25" s="17">
        <f t="shared" ca="1" si="66"/>
        <v>1</v>
      </c>
    </row>
    <row r="26" spans="1:32" hidden="1" x14ac:dyDescent="0.2">
      <c r="A26" s="17" t="str">
        <f>A12</f>
        <v>Wertung 5</v>
      </c>
      <c r="B26" s="17" t="str">
        <f t="shared" ca="1" si="67"/>
        <v>five(CE)</v>
      </c>
      <c r="C26" s="17">
        <f t="shared" ca="1" si="66"/>
        <v>1</v>
      </c>
      <c r="D26" s="17">
        <f t="shared" ca="1" si="66"/>
        <v>1</v>
      </c>
      <c r="E26" s="17">
        <f t="shared" ca="1" si="66"/>
        <v>1</v>
      </c>
      <c r="F26" s="17">
        <f t="shared" ca="1" si="66"/>
        <v>1</v>
      </c>
      <c r="G26" s="17">
        <f t="shared" ca="1" si="66"/>
        <v>1</v>
      </c>
      <c r="H26" s="17">
        <f t="shared" ca="1" si="66"/>
        <v>1</v>
      </c>
      <c r="I26" s="17">
        <f t="shared" ca="1" si="66"/>
        <v>1</v>
      </c>
      <c r="J26" s="17">
        <f t="shared" ca="1" si="66"/>
        <v>1</v>
      </c>
      <c r="K26" s="17">
        <f t="shared" ca="1" si="66"/>
        <v>1</v>
      </c>
      <c r="L26" s="17">
        <f t="shared" ca="1" si="66"/>
        <v>1</v>
      </c>
      <c r="M26" s="17">
        <f t="shared" ca="1" si="66"/>
        <v>1</v>
      </c>
      <c r="N26" s="17">
        <f t="shared" ca="1" si="66"/>
        <v>1</v>
      </c>
      <c r="O26" s="17">
        <f t="shared" ca="1" si="66"/>
        <v>1</v>
      </c>
      <c r="P26" s="17">
        <f t="shared" ca="1" si="66"/>
        <v>1</v>
      </c>
      <c r="Q26" s="17">
        <f t="shared" ca="1" si="66"/>
        <v>1</v>
      </c>
      <c r="R26" s="17">
        <f t="shared" ca="1" si="66"/>
        <v>1</v>
      </c>
      <c r="S26" s="17">
        <f t="shared" ca="1" si="66"/>
        <v>1</v>
      </c>
      <c r="T26" s="17">
        <f t="shared" ca="1" si="66"/>
        <v>1</v>
      </c>
      <c r="U26" s="17">
        <f t="shared" ca="1" si="66"/>
        <v>1</v>
      </c>
      <c r="V26" s="17">
        <f t="shared" ca="1" si="66"/>
        <v>1</v>
      </c>
      <c r="W26" s="17">
        <f t="shared" ca="1" si="66"/>
        <v>1</v>
      </c>
      <c r="X26" s="17">
        <f t="shared" ca="1" si="66"/>
        <v>1</v>
      </c>
      <c r="Y26" s="17">
        <f t="shared" ca="1" si="66"/>
        <v>1</v>
      </c>
    </row>
    <row r="27" spans="1:32" hidden="1" x14ac:dyDescent="0.2">
      <c r="A27" s="17" t="str">
        <f>A13</f>
        <v>Springer</v>
      </c>
      <c r="B27" s="17" t="str">
        <f t="shared" ca="1" si="67"/>
        <v>springer(CF)</v>
      </c>
      <c r="C27" s="17">
        <f t="shared" ca="1" si="66"/>
        <v>1</v>
      </c>
      <c r="D27" s="17">
        <f t="shared" ca="1" si="66"/>
        <v>1</v>
      </c>
      <c r="E27" s="17">
        <f t="shared" ca="1" si="66"/>
        <v>1</v>
      </c>
      <c r="F27" s="17">
        <f t="shared" ca="1" si="66"/>
        <v>1</v>
      </c>
      <c r="G27" s="17">
        <f t="shared" ca="1" si="66"/>
        <v>1</v>
      </c>
      <c r="H27" s="17">
        <f t="shared" ca="1" si="66"/>
        <v>1</v>
      </c>
      <c r="I27" s="17">
        <f t="shared" ca="1" si="66"/>
        <v>1</v>
      </c>
      <c r="J27" s="17">
        <f t="shared" ca="1" si="66"/>
        <v>1</v>
      </c>
      <c r="K27" s="17">
        <f t="shared" ca="1" si="66"/>
        <v>1</v>
      </c>
      <c r="L27" s="17">
        <f t="shared" ca="1" si="66"/>
        <v>1</v>
      </c>
      <c r="M27" s="17">
        <f t="shared" ca="1" si="66"/>
        <v>1</v>
      </c>
      <c r="N27" s="17">
        <f t="shared" ca="1" si="66"/>
        <v>1</v>
      </c>
      <c r="O27" s="17">
        <f t="shared" ca="1" si="66"/>
        <v>1</v>
      </c>
      <c r="P27" s="17">
        <f t="shared" ca="1" si="66"/>
        <v>1</v>
      </c>
      <c r="Q27" s="17">
        <f t="shared" ca="1" si="66"/>
        <v>1</v>
      </c>
      <c r="R27" s="17">
        <f t="shared" ca="1" si="66"/>
        <v>1</v>
      </c>
      <c r="S27" s="17">
        <f t="shared" ca="1" si="66"/>
        <v>1</v>
      </c>
      <c r="T27" s="17">
        <f t="shared" ca="1" si="66"/>
        <v>1</v>
      </c>
      <c r="U27" s="17">
        <f t="shared" ca="1" si="66"/>
        <v>1</v>
      </c>
      <c r="V27" s="17">
        <f t="shared" ca="1" si="66"/>
        <v>1</v>
      </c>
      <c r="W27" s="17">
        <f t="shared" ca="1" si="66"/>
        <v>1</v>
      </c>
      <c r="X27" s="17">
        <f t="shared" ca="1" si="66"/>
        <v>1</v>
      </c>
      <c r="Y27" s="17">
        <f t="shared" ca="1" si="66"/>
        <v>1</v>
      </c>
    </row>
    <row r="28" spans="1:32" hidden="1" x14ac:dyDescent="0.2"/>
    <row r="29" spans="1:32" hidden="1" x14ac:dyDescent="0.2">
      <c r="A29" s="17">
        <f>A15</f>
        <v>0</v>
      </c>
      <c r="B29" s="17" t="str">
        <f t="shared" ca="1" si="67"/>
        <v/>
      </c>
      <c r="C29" s="17" t="str">
        <f t="shared" si="66"/>
        <v/>
      </c>
      <c r="D29" s="17" t="str">
        <f t="shared" si="66"/>
        <v/>
      </c>
      <c r="E29" s="17" t="str">
        <f t="shared" si="66"/>
        <v/>
      </c>
      <c r="F29" s="17" t="str">
        <f t="shared" si="66"/>
        <v/>
      </c>
      <c r="G29" s="17" t="str">
        <f t="shared" si="66"/>
        <v/>
      </c>
      <c r="H29" s="17" t="str">
        <f t="shared" si="66"/>
        <v/>
      </c>
      <c r="I29" s="17" t="str">
        <f t="shared" si="66"/>
        <v/>
      </c>
      <c r="J29" s="17" t="str">
        <f t="shared" si="66"/>
        <v/>
      </c>
      <c r="K29" s="17" t="str">
        <f t="shared" si="66"/>
        <v/>
      </c>
      <c r="L29" s="17" t="str">
        <f t="shared" si="66"/>
        <v/>
      </c>
      <c r="M29" s="17" t="str">
        <f t="shared" si="66"/>
        <v/>
      </c>
      <c r="N29" s="17" t="str">
        <f t="shared" si="66"/>
        <v/>
      </c>
      <c r="O29" s="17" t="str">
        <f t="shared" si="66"/>
        <v/>
      </c>
      <c r="P29" s="17" t="str">
        <f t="shared" si="66"/>
        <v/>
      </c>
      <c r="Q29" s="17" t="str">
        <f t="shared" si="66"/>
        <v/>
      </c>
      <c r="R29" s="17" t="str">
        <f t="shared" si="66"/>
        <v/>
      </c>
      <c r="S29" s="17" t="str">
        <f t="shared" si="66"/>
        <v/>
      </c>
      <c r="T29" s="17" t="str">
        <f t="shared" si="66"/>
        <v/>
      </c>
      <c r="U29" s="17" t="str">
        <f t="shared" si="66"/>
        <v/>
      </c>
      <c r="V29" s="17" t="str">
        <f t="shared" si="66"/>
        <v/>
      </c>
      <c r="W29" s="17" t="str">
        <f t="shared" si="66"/>
        <v/>
      </c>
      <c r="X29" s="17" t="str">
        <f t="shared" si="66"/>
        <v/>
      </c>
      <c r="Y29" s="17" t="str">
        <f t="shared" si="66"/>
        <v/>
      </c>
    </row>
    <row r="30" spans="1:32" hidden="1" x14ac:dyDescent="0.2">
      <c r="A30" s="17">
        <f>A16</f>
        <v>0</v>
      </c>
      <c r="B30" s="17" t="str">
        <f t="shared" ca="1" si="67"/>
        <v/>
      </c>
      <c r="C30" s="17" t="str">
        <f t="shared" si="66"/>
        <v/>
      </c>
      <c r="D30" s="17" t="str">
        <f t="shared" si="66"/>
        <v/>
      </c>
      <c r="E30" s="17" t="str">
        <f t="shared" si="66"/>
        <v/>
      </c>
      <c r="F30" s="17" t="str">
        <f t="shared" si="66"/>
        <v/>
      </c>
      <c r="G30" s="17" t="str">
        <f t="shared" si="66"/>
        <v/>
      </c>
      <c r="H30" s="17" t="str">
        <f t="shared" si="66"/>
        <v/>
      </c>
      <c r="I30" s="17" t="str">
        <f t="shared" si="66"/>
        <v/>
      </c>
      <c r="J30" s="17" t="str">
        <f t="shared" si="66"/>
        <v/>
      </c>
      <c r="K30" s="17" t="str">
        <f t="shared" si="66"/>
        <v/>
      </c>
      <c r="L30" s="17" t="str">
        <f t="shared" si="66"/>
        <v/>
      </c>
      <c r="M30" s="17" t="str">
        <f t="shared" si="66"/>
        <v/>
      </c>
      <c r="N30" s="17" t="str">
        <f t="shared" si="66"/>
        <v/>
      </c>
      <c r="O30" s="17" t="str">
        <f t="shared" si="66"/>
        <v/>
      </c>
      <c r="P30" s="17" t="str">
        <f t="shared" si="66"/>
        <v/>
      </c>
      <c r="Q30" s="17" t="str">
        <f t="shared" si="66"/>
        <v/>
      </c>
      <c r="R30" s="17" t="str">
        <f t="shared" si="66"/>
        <v/>
      </c>
      <c r="S30" s="17" t="str">
        <f t="shared" si="66"/>
        <v/>
      </c>
      <c r="T30" s="17" t="str">
        <f t="shared" si="66"/>
        <v/>
      </c>
      <c r="U30" s="17" t="str">
        <f t="shared" si="66"/>
        <v/>
      </c>
      <c r="V30" s="17" t="str">
        <f t="shared" si="66"/>
        <v/>
      </c>
      <c r="W30" s="17" t="str">
        <f t="shared" si="66"/>
        <v/>
      </c>
      <c r="X30" s="17" t="str">
        <f t="shared" si="66"/>
        <v/>
      </c>
      <c r="Y30" s="17" t="str">
        <f t="shared" si="66"/>
        <v/>
      </c>
    </row>
  </sheetData>
  <sheetProtection algorithmName="SHA-512" hashValue="njkwaOuKh1XZAGeGwNptKGa9zg8q+ATKlTsm8meSYSqxjfoUOyE/l2HuthY3pNTGZqfB3bb4BNNtPc+qvSWGgw==" saltValue="UaCp/q/jC8RSrXhQXVs0bw==" spinCount="100000" sheet="1" objects="1" scenarios="1" selectLockedCells="1" selectUnlockedCells="1"/>
  <mergeCells count="4">
    <mergeCell ref="A6:B6"/>
    <mergeCell ref="A3:B3"/>
    <mergeCell ref="A4:B4"/>
    <mergeCell ref="A5:B5"/>
  </mergeCells>
  <conditionalFormatting sqref="C4:R4 Y4">
    <cfRule type="expression" dxfId="13" priority="11">
      <formula>C4&gt;3</formula>
    </cfRule>
    <cfRule type="expression" dxfId="12" priority="12">
      <formula>AND(C4&gt;2,C4&lt;=3)</formula>
    </cfRule>
    <cfRule type="expression" dxfId="11" priority="13">
      <formula>AND(C4&gt;1,C4&lt;=2)</formula>
    </cfRule>
    <cfRule type="expression" dxfId="10" priority="14">
      <formula>C4&lt;=1</formula>
    </cfRule>
  </conditionalFormatting>
  <conditionalFormatting sqref="C8:Y10 C12:Y13">
    <cfRule type="expression" dxfId="9" priority="9">
      <formula>C$3/3-C8&lt;-0.75</formula>
    </cfRule>
    <cfRule type="expression" dxfId="8" priority="10">
      <formula>C$3/3-C8&gt;0.75</formula>
    </cfRule>
  </conditionalFormatting>
  <conditionalFormatting sqref="C11:D11">
    <cfRule type="expression" dxfId="7" priority="7">
      <formula>C$3/3-C11&lt;-0.75</formula>
    </cfRule>
    <cfRule type="expression" dxfId="6" priority="8">
      <formula>C$3/3-C11&gt;0.75</formula>
    </cfRule>
  </conditionalFormatting>
  <conditionalFormatting sqref="E11:Y11">
    <cfRule type="expression" dxfId="5" priority="5">
      <formula>E$3/3-E11&lt;-0.75</formula>
    </cfRule>
    <cfRule type="expression" dxfId="4" priority="6">
      <formula>E$3/3-E11&gt;0.75</formula>
    </cfRule>
  </conditionalFormatting>
  <conditionalFormatting sqref="S4:X4">
    <cfRule type="expression" dxfId="3" priority="1">
      <formula>S4&gt;3</formula>
    </cfRule>
    <cfRule type="expression" dxfId="2" priority="2">
      <formula>AND(S4&gt;2,S4&lt;=3)</formula>
    </cfRule>
    <cfRule type="expression" dxfId="1" priority="3">
      <formula>AND(S4&gt;1,S4&lt;=2)</formula>
    </cfRule>
    <cfRule type="expression" dxfId="0" priority="4">
      <formula>S4&lt;=1</formula>
    </cfRule>
  </conditionalFormatting>
  <pageMargins left="0.7" right="0.7" top="0.78740157499999996" bottom="0.78740157499999996" header="0.3" footer="0.3"/>
  <pageSetup paperSize="9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8</vt:i4>
      </vt:variant>
      <vt:variant>
        <vt:lpstr>Benannte Bereiche</vt:lpstr>
      </vt:variant>
      <vt:variant>
        <vt:i4>8</vt:i4>
      </vt:variant>
    </vt:vector>
  </HeadingPairs>
  <TitlesOfParts>
    <vt:vector size="16" baseType="lpstr">
      <vt:lpstr>Wertung 1</vt:lpstr>
      <vt:lpstr>Wertung 2</vt:lpstr>
      <vt:lpstr>Wertung 3 (H)</vt:lpstr>
      <vt:lpstr>Wertung 4</vt:lpstr>
      <vt:lpstr>Wertung 5</vt:lpstr>
      <vt:lpstr>Springer</vt:lpstr>
      <vt:lpstr>Beobachter</vt:lpstr>
      <vt:lpstr>Auswertung</vt:lpstr>
      <vt:lpstr>Auswertung!Druckbereich</vt:lpstr>
      <vt:lpstr>Beobachter!Druckbereich</vt:lpstr>
      <vt:lpstr>Springer!Druckbereich</vt:lpstr>
      <vt:lpstr>'Wertung 1'!Druckbereich</vt:lpstr>
      <vt:lpstr>'Wertung 2'!Druckbereich</vt:lpstr>
      <vt:lpstr>'Wertung 3 (H)'!Druckbereich</vt:lpstr>
      <vt:lpstr>'Wertung 4'!Druckbereich</vt:lpstr>
      <vt:lpstr>'Wertung 5'!Druckbereich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Jung</dc:creator>
  <cp:lastModifiedBy>Dr. Martin Jung</cp:lastModifiedBy>
  <cp:lastPrinted>2019-03-31T22:24:11Z</cp:lastPrinted>
  <dcterms:created xsi:type="dcterms:W3CDTF">2016-05-27T20:14:04Z</dcterms:created>
  <dcterms:modified xsi:type="dcterms:W3CDTF">2019-03-31T23:56:38Z</dcterms:modified>
</cp:coreProperties>
</file>