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7 Jugend\"/>
    </mc:Choice>
  </mc:AlternateContent>
  <xr:revisionPtr revIDLastSave="0" documentId="13_ncr:1_{75BF0E27-B146-4664-A587-9562E3A9424F}" xr6:coauthVersionLast="41" xr6:coauthVersionMax="41" xr10:uidLastSave="{00000000-0000-0000-0000-000000000000}"/>
  <bookViews>
    <workbookView xWindow="25596" yWindow="-10272" windowWidth="38508" windowHeight="22200" activeTab="7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23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L36" i="30" s="1"/>
  <c r="K36" i="29"/>
  <c r="L36" i="29" s="1"/>
  <c r="J36" i="29"/>
  <c r="I36" i="29"/>
  <c r="H36" i="29"/>
  <c r="G36" i="29"/>
  <c r="F36" i="29"/>
  <c r="L35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36" i="28" s="1"/>
  <c r="K36" i="27"/>
  <c r="L36" i="27" s="1"/>
  <c r="J36" i="27"/>
  <c r="I36" i="27"/>
  <c r="H36" i="27"/>
  <c r="G36" i="27"/>
  <c r="F36" i="27"/>
  <c r="L35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L36" i="26" s="1"/>
  <c r="J36" i="26"/>
  <c r="I36" i="26"/>
  <c r="H36" i="26"/>
  <c r="G36" i="26"/>
  <c r="F36" i="26"/>
  <c r="L35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L36" i="25" s="1"/>
  <c r="J36" i="25"/>
  <c r="I36" i="25"/>
  <c r="H36" i="25"/>
  <c r="G36" i="25"/>
  <c r="F36" i="25"/>
  <c r="L35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36" i="24" s="1"/>
  <c r="L13" i="24"/>
  <c r="AF16" i="23" l="1"/>
  <c r="AE16" i="23"/>
  <c r="AD16" i="23"/>
  <c r="AC16" i="23"/>
  <c r="AB16" i="23"/>
  <c r="AA16" i="23"/>
  <c r="Z16" i="23"/>
  <c r="Y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Y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M13" i="23"/>
  <c r="E11" i="23"/>
  <c r="AF12" i="23"/>
  <c r="Y7" i="23"/>
  <c r="N11" i="23"/>
  <c r="U11" i="23"/>
  <c r="AB8" i="23"/>
  <c r="T8" i="23"/>
  <c r="D7" i="23"/>
  <c r="M7" i="23"/>
  <c r="D10" i="23"/>
  <c r="AC12" i="23"/>
  <c r="Z13" i="23"/>
  <c r="I10" i="23"/>
  <c r="D12" i="23"/>
  <c r="R7" i="23"/>
  <c r="O12" i="23"/>
  <c r="L10" i="23"/>
  <c r="U12" i="23"/>
  <c r="E7" i="23"/>
  <c r="B11" i="23"/>
  <c r="Z11" i="23"/>
  <c r="G13" i="23"/>
  <c r="E8" i="23"/>
  <c r="M10" i="23"/>
  <c r="AE10" i="23"/>
  <c r="S11" i="23"/>
  <c r="AF13" i="23"/>
  <c r="Z12" i="23"/>
  <c r="T13" i="23"/>
  <c r="AD13" i="23"/>
  <c r="F11" i="23"/>
  <c r="I13" i="23"/>
  <c r="AF10" i="23"/>
  <c r="J8" i="23"/>
  <c r="S12" i="23"/>
  <c r="J11" i="23"/>
  <c r="F10" i="23"/>
  <c r="E9" i="23"/>
  <c r="O11" i="23"/>
  <c r="AC8" i="23"/>
  <c r="O10" i="23"/>
  <c r="H8" i="23"/>
  <c r="E12" i="23"/>
  <c r="AF7" i="23"/>
  <c r="G11" i="23"/>
  <c r="B10" i="23"/>
  <c r="H9" i="23"/>
  <c r="AB10" i="23"/>
  <c r="T10" i="23"/>
  <c r="G9" i="23"/>
  <c r="D11" i="23"/>
  <c r="AB12" i="23"/>
  <c r="AD10" i="23"/>
  <c r="G8" i="23"/>
  <c r="AE13" i="23"/>
  <c r="Q9" i="23"/>
  <c r="C9" i="23"/>
  <c r="K12" i="23"/>
  <c r="M12" i="23"/>
  <c r="H7" i="23"/>
  <c r="T7" i="23"/>
  <c r="P10" i="23"/>
  <c r="H12" i="23"/>
  <c r="P7" i="23"/>
  <c r="AE8" i="23"/>
  <c r="I7" i="23"/>
  <c r="J12" i="23"/>
  <c r="T9" i="23"/>
  <c r="S9" i="23"/>
  <c r="C11" i="23"/>
  <c r="AC7" i="23"/>
  <c r="I9" i="23"/>
  <c r="AB7" i="23"/>
  <c r="AD12" i="23"/>
  <c r="AE7" i="23"/>
  <c r="Q10" i="23"/>
  <c r="S7" i="23"/>
  <c r="AF8" i="23"/>
  <c r="Y10" i="23"/>
  <c r="S8" i="23"/>
  <c r="U9" i="23"/>
  <c r="S10" i="23"/>
  <c r="M11" i="23"/>
  <c r="P8" i="23"/>
  <c r="U10" i="23"/>
  <c r="B9" i="23"/>
  <c r="B8" i="23"/>
  <c r="K8" i="23"/>
  <c r="AB9" i="23"/>
  <c r="P13" i="23"/>
  <c r="Y9" i="23"/>
  <c r="F9" i="23"/>
  <c r="J7" i="23"/>
  <c r="D8" i="23"/>
  <c r="Q8" i="23"/>
  <c r="AC11" i="23"/>
  <c r="E13" i="23"/>
  <c r="T11" i="23"/>
  <c r="AE11" i="23"/>
  <c r="Z8" i="23"/>
  <c r="R9" i="23"/>
  <c r="K10" i="23"/>
  <c r="N12" i="23"/>
  <c r="AC9" i="23"/>
  <c r="B7" i="23"/>
  <c r="F12" i="23"/>
  <c r="F13" i="23"/>
  <c r="F8" i="23"/>
  <c r="L13" i="23"/>
  <c r="Z7" i="23"/>
  <c r="H10" i="23"/>
  <c r="AF9" i="23"/>
  <c r="U13" i="23"/>
  <c r="U7" i="23"/>
  <c r="Y8" i="23"/>
  <c r="K9" i="23"/>
  <c r="AF11" i="23"/>
  <c r="D9" i="23"/>
  <c r="K13" i="23"/>
  <c r="O8" i="23"/>
  <c r="G10" i="23"/>
  <c r="Z9" i="23"/>
  <c r="I8" i="23"/>
  <c r="O13" i="23"/>
  <c r="AB11" i="23"/>
  <c r="AC13" i="23"/>
  <c r="T12" i="23"/>
  <c r="C13" i="23"/>
  <c r="L7" i="23"/>
  <c r="C8" i="23"/>
  <c r="S13" i="23"/>
  <c r="AD11" i="23"/>
  <c r="M9" i="23"/>
  <c r="AD9" i="23"/>
  <c r="N13" i="23"/>
  <c r="E10" i="23"/>
  <c r="N7" i="23"/>
  <c r="P12" i="23"/>
  <c r="R10" i="23"/>
  <c r="B13" i="23"/>
  <c r="I11" i="23"/>
  <c r="K11" i="23"/>
  <c r="AE12" i="23"/>
  <c r="L11" i="23"/>
  <c r="O9" i="23"/>
  <c r="D13" i="23"/>
  <c r="J10" i="23"/>
  <c r="L12" i="23"/>
  <c r="C7" i="23"/>
  <c r="U8" i="23"/>
  <c r="Q12" i="23"/>
  <c r="F7" i="23"/>
  <c r="J9" i="23"/>
  <c r="N10" i="23"/>
  <c r="Z10" i="23"/>
  <c r="O7" i="23"/>
  <c r="H11" i="23"/>
  <c r="H13" i="23"/>
  <c r="AD8" i="23"/>
  <c r="B12" i="23"/>
  <c r="AB13" i="23"/>
  <c r="R8" i="23"/>
  <c r="J13" i="23"/>
  <c r="N8" i="23"/>
  <c r="Q7" i="23"/>
  <c r="AE9" i="23"/>
  <c r="L9" i="23"/>
  <c r="R13" i="23"/>
  <c r="P11" i="23"/>
  <c r="M8" i="23"/>
  <c r="Q13" i="23"/>
  <c r="R12" i="23"/>
  <c r="Y11" i="23"/>
  <c r="G7" i="23"/>
  <c r="C10" i="23"/>
  <c r="AC10" i="23"/>
  <c r="Y12" i="23"/>
  <c r="G12" i="23"/>
  <c r="AD7" i="23"/>
  <c r="P9" i="23"/>
  <c r="Q11" i="23"/>
  <c r="K7" i="23"/>
  <c r="Y13" i="23"/>
  <c r="R11" i="23"/>
  <c r="L8" i="23"/>
  <c r="N9" i="23"/>
  <c r="I12" i="23"/>
  <c r="C12" i="23"/>
  <c r="AA7" i="23" l="1"/>
  <c r="Q4" i="23"/>
  <c r="Y4" i="23"/>
  <c r="H3" i="23"/>
  <c r="H27" i="23" s="1"/>
  <c r="P3" i="23"/>
  <c r="P27" i="23" s="1"/>
  <c r="AF3" i="23"/>
  <c r="AF5" i="23" s="1"/>
  <c r="I3" i="23"/>
  <c r="I27" i="23" s="1"/>
  <c r="Q3" i="23"/>
  <c r="Q27" i="23" s="1"/>
  <c r="J3" i="23"/>
  <c r="J27" i="23" s="1"/>
  <c r="R3" i="23"/>
  <c r="R27" i="23" s="1"/>
  <c r="Z4" i="23"/>
  <c r="S3" i="23"/>
  <c r="S27" i="23" s="1"/>
  <c r="C4" i="23"/>
  <c r="K4" i="23"/>
  <c r="S4" i="23"/>
  <c r="D4" i="23"/>
  <c r="L4" i="23"/>
  <c r="T4" i="23"/>
  <c r="AB4" i="23"/>
  <c r="E3" i="23"/>
  <c r="E27" i="23" s="1"/>
  <c r="M3" i="23"/>
  <c r="M27" i="23" s="1"/>
  <c r="U3" i="23"/>
  <c r="U27" i="23" s="1"/>
  <c r="AC4" i="23"/>
  <c r="AD4" i="23"/>
  <c r="G4" i="23"/>
  <c r="O4" i="23"/>
  <c r="AE3" i="23"/>
  <c r="AE5" i="23" s="1"/>
  <c r="Y3" i="23"/>
  <c r="Y27" i="23" s="1"/>
  <c r="U4" i="23"/>
  <c r="AB3" i="23"/>
  <c r="AB5" i="23" s="1"/>
  <c r="C3" i="23"/>
  <c r="C27" i="23" s="1"/>
  <c r="F3" i="23"/>
  <c r="F27" i="23" s="1"/>
  <c r="N3" i="23"/>
  <c r="N27" i="23" s="1"/>
  <c r="AD3" i="23"/>
  <c r="AD5" i="23" s="1"/>
  <c r="G3" i="23"/>
  <c r="G27" i="23" s="1"/>
  <c r="E4" i="23"/>
  <c r="K3" i="23"/>
  <c r="K27" i="23" s="1"/>
  <c r="I4" i="23"/>
  <c r="O3" i="23"/>
  <c r="O27" i="23" s="1"/>
  <c r="M4" i="23"/>
  <c r="D3" i="23"/>
  <c r="D27" i="23" s="1"/>
  <c r="L3" i="23"/>
  <c r="L27" i="23" s="1"/>
  <c r="T3" i="23"/>
  <c r="T27" i="23" s="1"/>
  <c r="AC3" i="23"/>
  <c r="AC5" i="23" s="1"/>
  <c r="F4" i="23"/>
  <c r="N4" i="23"/>
  <c r="AE4" i="23"/>
  <c r="AF4" i="23"/>
  <c r="H4" i="23"/>
  <c r="P4" i="23"/>
  <c r="J4" i="23"/>
  <c r="R4" i="23"/>
  <c r="AA13" i="23" l="1"/>
  <c r="N25" i="23"/>
  <c r="N26" i="23"/>
  <c r="M25" i="23"/>
  <c r="M26" i="23"/>
  <c r="C25" i="23"/>
  <c r="C26" i="23"/>
  <c r="D25" i="23"/>
  <c r="D26" i="23"/>
  <c r="P25" i="23"/>
  <c r="P26" i="23"/>
  <c r="U25" i="23"/>
  <c r="U26" i="23"/>
  <c r="F25" i="23"/>
  <c r="F26" i="23"/>
  <c r="I25" i="23"/>
  <c r="I26" i="23"/>
  <c r="Y25" i="23"/>
  <c r="Y26" i="23"/>
  <c r="H25" i="23"/>
  <c r="H26" i="23"/>
  <c r="G25" i="23"/>
  <c r="G26" i="23"/>
  <c r="Q25" i="23"/>
  <c r="Q26" i="23"/>
  <c r="J25" i="23"/>
  <c r="J26" i="23"/>
  <c r="T25" i="23"/>
  <c r="T26" i="23"/>
  <c r="O25" i="23"/>
  <c r="O26" i="23"/>
  <c r="S25" i="23"/>
  <c r="S26" i="23"/>
  <c r="R25" i="23"/>
  <c r="R26" i="23"/>
  <c r="E25" i="23"/>
  <c r="E26" i="23"/>
  <c r="L25" i="23"/>
  <c r="L26" i="23"/>
  <c r="K25" i="23"/>
  <c r="K26" i="23"/>
  <c r="N23" i="23"/>
  <c r="N24" i="23"/>
  <c r="E23" i="23"/>
  <c r="E24" i="23"/>
  <c r="L23" i="23"/>
  <c r="L24" i="23"/>
  <c r="P23" i="23"/>
  <c r="P24" i="23"/>
  <c r="R23" i="23"/>
  <c r="R24" i="23"/>
  <c r="I23" i="23"/>
  <c r="I24" i="23"/>
  <c r="H23" i="23"/>
  <c r="H24" i="23"/>
  <c r="S23" i="23"/>
  <c r="S24" i="23"/>
  <c r="G23" i="23"/>
  <c r="G24" i="23"/>
  <c r="U23" i="23"/>
  <c r="U24" i="23"/>
  <c r="M23" i="23"/>
  <c r="M24" i="23"/>
  <c r="F23" i="23"/>
  <c r="F24" i="23"/>
  <c r="C23" i="23"/>
  <c r="C24" i="23"/>
  <c r="Q23" i="23"/>
  <c r="Q24" i="23"/>
  <c r="O23" i="23"/>
  <c r="O24" i="23"/>
  <c r="J23" i="23"/>
  <c r="J24" i="23"/>
  <c r="T23" i="23"/>
  <c r="T24" i="23"/>
  <c r="D23" i="23"/>
  <c r="D24" i="23"/>
  <c r="Y23" i="23"/>
  <c r="Y24" i="23"/>
  <c r="K23" i="23"/>
  <c r="K24" i="23"/>
  <c r="Q5" i="23"/>
  <c r="Q22" i="23"/>
  <c r="N5" i="23"/>
  <c r="N22" i="23"/>
  <c r="F5" i="23"/>
  <c r="F22" i="23"/>
  <c r="T5" i="23"/>
  <c r="T22" i="23"/>
  <c r="D5" i="23"/>
  <c r="D22" i="23"/>
  <c r="P5" i="23"/>
  <c r="P22" i="23"/>
  <c r="U5" i="23"/>
  <c r="U22" i="23"/>
  <c r="C5" i="23"/>
  <c r="C22" i="23"/>
  <c r="H5" i="23"/>
  <c r="H22" i="23"/>
  <c r="G5" i="23"/>
  <c r="G22" i="23"/>
  <c r="M5" i="23"/>
  <c r="M22" i="23"/>
  <c r="Y5" i="23"/>
  <c r="Y22" i="23"/>
  <c r="O5" i="23"/>
  <c r="O22" i="23"/>
  <c r="S5" i="23"/>
  <c r="S22" i="23"/>
  <c r="R5" i="23"/>
  <c r="R22" i="23"/>
  <c r="E5" i="23"/>
  <c r="E22" i="23"/>
  <c r="L5" i="23"/>
  <c r="L22" i="23"/>
  <c r="J5" i="23"/>
  <c r="J22" i="23"/>
  <c r="I5" i="23"/>
  <c r="I22" i="23"/>
  <c r="K5" i="23"/>
  <c r="K22" i="23"/>
  <c r="Z3" i="23"/>
  <c r="Z5" i="23" s="1"/>
  <c r="AA11" i="23" l="1"/>
  <c r="AA12" i="23"/>
  <c r="AA9" i="23"/>
  <c r="AA10" i="23"/>
  <c r="AA8" i="23"/>
  <c r="A30" i="23"/>
  <c r="A29" i="23"/>
  <c r="A27" i="23"/>
  <c r="A26" i="23"/>
  <c r="A25" i="23"/>
  <c r="A24" i="23"/>
  <c r="A23" i="23"/>
  <c r="A22" i="23"/>
  <c r="B1" i="23"/>
  <c r="B24" i="23" l="1"/>
  <c r="B22" i="23"/>
  <c r="B29" i="23"/>
  <c r="B27" i="23"/>
  <c r="B23" i="23"/>
  <c r="B25" i="23"/>
  <c r="B30" i="23"/>
  <c r="B26" i="23"/>
</calcChain>
</file>

<file path=xl/sharedStrings.xml><?xml version="1.0" encoding="utf-8"?>
<sst xmlns="http://schemas.openxmlformats.org/spreadsheetml/2006/main" count="770" uniqueCount="84">
  <si>
    <t>Vorname</t>
  </si>
  <si>
    <t>Verein</t>
  </si>
  <si>
    <t>Land</t>
  </si>
  <si>
    <t>Technik vergessen</t>
  </si>
  <si>
    <t>Technik</t>
  </si>
  <si>
    <t>Angrüßen</t>
  </si>
  <si>
    <t>Te-waza</t>
  </si>
  <si>
    <t>Koshi-waza</t>
  </si>
  <si>
    <t>Ashi-waza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</si>
  <si>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</si>
  <si>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</si>
  <si>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</si>
  <si>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</si>
  <si>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</si>
  <si>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</si>
  <si>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</si>
  <si>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</si>
  <si>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</si>
  <si>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</si>
  <si>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</si>
  <si>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</si>
  <si>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</si>
  <si>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</si>
  <si>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</si>
  <si>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</si>
  <si>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</si>
  <si>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</si>
  <si>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</si>
  <si>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</si>
  <si>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</si>
  <si>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</si>
  <si>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</si>
  <si>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</si>
  <si>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</si>
  <si>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</si>
  <si>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</si>
  <si>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</si>
  <si>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</si>
  <si>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</si>
  <si>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</si>
  <si>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</si>
  <si>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</si>
  <si>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</si>
  <si>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</si>
  <si>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</si>
  <si>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</si>
  <si>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</si>
  <si>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</si>
  <si>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Uchi mata Rechts</t>
  </si>
  <si>
    <t>Uchi mata Links</t>
  </si>
  <si>
    <t>Harai goshi Rechts</t>
  </si>
  <si>
    <t>Harai goshi Links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</si>
  <si>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</si>
  <si>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</si>
  <si>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</si>
  <si>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</si>
  <si>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</si>
  <si>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</si>
  <si>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</si>
  <si>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</si>
  <si>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</si>
  <si>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</si>
  <si>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</si>
  <si>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</si>
  <si>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</si>
  <si>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</si>
  <si>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nage-cadet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</si>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</sst>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52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/>
    <xf numFmtId="0" fontId="3" fillId="5" borderId="43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49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3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0" xfId="0" applyFont="1" applyFill="1" applyBorder="1" applyAlignment="1" applyProtection="1">
      <alignment horizontal="center"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7" fillId="2" borderId="51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1" xfId="0" applyFont="1" applyFill="1" applyBorder="1" applyAlignment="1" applyProtection="1">
      <alignment horizontal="center" vertical="center"/>
      <protection locked="0"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2" xfId="0" applyFont="1" applyFill="1" applyBorder="1" applyAlignment="1" applyProtection="1">
      <alignment horizontal="center" vertical="center"/>
      <protection locked="0" hidden="1"/>
    </xf>
    <xf numFmtId="0" fontId="14" fillId="2" borderId="57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52" xfId="0" applyFont="1" applyFill="1" applyBorder="1" applyAlignment="1" applyProtection="1">
      <alignment horizontal="center" vertical="center"/>
      <protection locked="0"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8" xfId="0" applyNumberFormat="1" applyFont="1" applyBorder="1" applyAlignment="1" applyProtection="1">
      <alignment horizontal="center" vertical="center"/>
      <protection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0" fontId="34" fillId="0" borderId="39" xfId="0" applyFont="1" applyBorder="1" applyAlignment="1" applyProtection="1">
      <alignment horizontal="center" vertical="center"/>
      <protection hidden="1"/>
    </xf>
    <xf numFmtId="0" fontId="34" fillId="0" borderId="38" xfId="0" applyFont="1" applyBorder="1" applyAlignment="1" applyProtection="1">
      <alignment horizontal="center" vertical="center"/>
      <protection hidden="1"/>
    </xf>
    <xf numFmtId="164" fontId="34" fillId="0" borderId="39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2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Protection="1">
      <protection locked="0"/>
    </xf>
    <xf numFmtId="0" fontId="22" fillId="4" borderId="39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48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48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59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59" xfId="0" applyNumberFormat="1" applyFont="1" applyBorder="1" applyAlignment="1">
      <alignment horizontal="right"/>
    </xf>
    <xf numFmtId="1" fontId="29" fillId="0" borderId="59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59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58" xfId="2" applyFont="1" applyBorder="1" applyAlignment="1">
      <alignment horizontal="right"/>
    </xf>
    <xf numFmtId="9" fontId="29" fillId="0" borderId="59" xfId="2" applyFont="1" applyBorder="1" applyAlignment="1">
      <alignment horizontal="right"/>
    </xf>
    <xf numFmtId="0" fontId="18" fillId="0" borderId="55" xfId="0" applyFont="1" applyBorder="1"/>
    <xf numFmtId="164" fontId="29" fillId="0" borderId="55" xfId="0" applyNumberFormat="1" applyFont="1" applyBorder="1" applyAlignment="1">
      <alignment horizontal="right"/>
    </xf>
    <xf numFmtId="1" fontId="29" fillId="0" borderId="55" xfId="0" applyNumberFormat="1" applyFont="1" applyBorder="1" applyAlignment="1">
      <alignment horizontal="right"/>
    </xf>
    <xf numFmtId="0" fontId="28" fillId="0" borderId="40" xfId="0" applyFont="1" applyBorder="1"/>
    <xf numFmtId="164" fontId="32" fillId="0" borderId="40" xfId="0" applyNumberFormat="1" applyFont="1" applyBorder="1" applyAlignment="1">
      <alignment horizontal="right"/>
    </xf>
    <xf numFmtId="1" fontId="32" fillId="0" borderId="40" xfId="0" applyNumberFormat="1" applyFont="1" applyBorder="1" applyAlignment="1">
      <alignment horizontal="right"/>
    </xf>
    <xf numFmtId="9" fontId="32" fillId="0" borderId="60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59" xfId="0" applyFont="1" applyBorder="1"/>
    <xf numFmtId="1" fontId="32" fillId="0" borderId="0" xfId="0" applyNumberFormat="1" applyFont="1" applyAlignment="1">
      <alignment horizontal="right"/>
    </xf>
    <xf numFmtId="9" fontId="32" fillId="0" borderId="59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5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6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0" fontId="4" fillId="0" borderId="47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56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0" xfId="0" applyFont="1" applyFill="1" applyBorder="1" applyAlignment="1" applyProtection="1">
      <alignment horizontal="center" vertical="center"/>
      <protection hidden="1"/>
    </xf>
    <xf numFmtId="0" fontId="1" fillId="5" borderId="40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1" fillId="2" borderId="44" xfId="0" applyFont="1" applyFill="1" applyBorder="1" applyAlignment="1" applyProtection="1">
      <alignment horizontal="center" vertical="center" textRotation="90"/>
      <protection hidden="1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42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Border="1" applyAlignment="1" applyProtection="1">
      <alignment horizontal="center" vertical="center" wrapTex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34" fillId="0" borderId="37" xfId="0" applyFont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18" fillId="0" borderId="0" xfId="0" applyFont="1" applyAlignment="1">
      <alignment horizontal="right" indent="1"/>
    </xf>
    <xf numFmtId="0" fontId="23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418D936-BBEE-457C-9A81-4772AC14B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FE291B45-19D8-4EB7-A945-D61D26EC9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CD6E7EE-0650-4D03-BBB8-3730C7A9E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6FE7780C-D392-4CF2-9072-7104540D7A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8A462C2-B27A-48AE-AFF1-16301B154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F65A1DE-002D-4966-A2D0-C7AD9CDDD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F3FF9C4-6391-4A25-AC65-21DBD8C04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EFBFDA72-719D-4A1B-B905-703AB4D21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CC07D20-250C-4A7B-8409-BBEF246CD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16A5E8C-9D01-4891-9E57-F52C88042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82CBDDF-416A-4DB3-81D7-34D01F865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179D463-32F9-4346-96D0-B816FB872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006CEF9-CE60-4F21-A21E-E73BAFD91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8D6DCF49-CD2B-4A2A-9BC9-09D9F477D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83A93-B12C-439E-A173-1049EC81D336}">
  <sheetPr codeName="Tabelle3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70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71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yeGxv3W0UmOx+UUkJDthcAf+5iLT++okV/k+r1XfgRF9t6XhNQqI7/pJZbI7vrOY5gkfa5g1K57I+SRirPHzuQ==" saltValue="Tx7+mg8CvQAvUYWCHJaSJA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5CCEFB4B-39D2-4327-8173-BC2C78DF1C55}">
      <formula1>$P$13</formula1>
    </dataValidation>
    <dataValidation type="list" allowBlank="1" showDropDown="1" showInputMessage="1" showErrorMessage="1" sqref="J13:J29" xr:uid="{0AC89D19-B922-46F7-B622-5C6769967FCA}">
      <formula1>$P$14:$P$15</formula1>
    </dataValidation>
    <dataValidation type="textLength" allowBlank="1" showInputMessage="1" showErrorMessage="1" sqref="F30:K35" xr:uid="{6386DB15-36D1-415A-BB3B-7DCA3FF5582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4F3CF-8376-4734-99FE-1DC336984C58}">
  <sheetPr codeName="Tabelle4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72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73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xWOmj9vqEhH71zyhByzD9H/weAzreubRFJvQF9mYjNssq1btwSYb2lWNDaaeiozwXJN4q9Z8UUcb83r4g3QRqg==" saltValue="Mn/Ogdg+EVwa2Axg2+IH+A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60B8DCF7-5755-4E4F-ADE5-EAE348A3C1A0}">
      <formula1>$P$13</formula1>
    </dataValidation>
    <dataValidation type="list" allowBlank="1" showDropDown="1" showInputMessage="1" showErrorMessage="1" sqref="J13:J29" xr:uid="{34FC74A4-C514-4705-9AEC-D0904AC13CA1}">
      <formula1>$P$14:$P$15</formula1>
    </dataValidation>
    <dataValidation type="textLength" allowBlank="1" showInputMessage="1" showErrorMessage="1" sqref="F30:K35" xr:uid="{FA4C477F-83C9-48DA-A85F-521E4DB1992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61323-6706-4EC1-A6F0-36D8A0088DAD}">
  <sheetPr codeName="Tabelle5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74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75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XhNK58fZnmC60eSatwccdnovLJZpuleJ8iACUsEHsz6nJpPBNjUJMRAYnaLCbD98dCjurPv2B2TdVBaWCvV6XQ==" saltValue="I9RqOY/K8aluQ7lq+ZYQSg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A60BCAD4-5A25-457F-BA59-0D238E056BB6}">
      <formula1>$P$13</formula1>
    </dataValidation>
    <dataValidation type="list" allowBlank="1" showDropDown="1" showInputMessage="1" showErrorMessage="1" sqref="J13:J29" xr:uid="{01268AF1-9152-412F-8B87-0AB389D0C900}">
      <formula1>$P$14:$P$15</formula1>
    </dataValidation>
    <dataValidation type="textLength" allowBlank="1" showInputMessage="1" showErrorMessage="1" sqref="F30:K35" xr:uid="{6FC40F37-3F5B-4224-9757-4BD3BF3E82D1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4F841-8506-4B11-BD1B-3D69288BE9D0}">
  <sheetPr codeName="Tabelle6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76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77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pG4OqFzqEbzcAn/nF8yTxKVeGpyQH7v0EbBbZbN/M97TFPZy4B2xgGYgYIAnDO4YwGASbSUT+wH/gw25b6PnHw==" saltValue="lYLeu6PgOwg7JEkqCsAJ6Q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3773CFDD-900E-4C3A-8945-775A8CC5522F}">
      <formula1>$P$13</formula1>
    </dataValidation>
    <dataValidation type="list" allowBlank="1" showDropDown="1" showInputMessage="1" showErrorMessage="1" sqref="J13:J29" xr:uid="{833B2494-62BD-4419-944E-A6A7539FA1DD}">
      <formula1>$P$14:$P$15</formula1>
    </dataValidation>
    <dataValidation type="textLength" allowBlank="1" showInputMessage="1" showErrorMessage="1" sqref="F30:K35" xr:uid="{BFA47FFC-9008-44B5-AABB-C6A80EACDED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2028D-2227-4767-ADB5-DF0C41A5D3FC}">
  <sheetPr codeName="Tabelle7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78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79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c3FL1ZMG6mfXHQ30rbLtPEMEeQuBtoRBxTnmD85P4kYvmHVRiqAtCQipRAGwcO0B+/W2Xyr9kBDYUvfUtc7mzg==" saltValue="+8GViHHFZ2gI4XWf5sdKQQ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CEA724E5-ABA5-4834-B81B-19BFBF0D44BB}">
      <formula1>$P$13</formula1>
    </dataValidation>
    <dataValidation type="list" allowBlank="1" showDropDown="1" showInputMessage="1" showErrorMessage="1" sqref="J13:J29" xr:uid="{FDCF2B73-1D0D-4FC8-BD3D-B7380545392C}">
      <formula1>$P$14:$P$15</formula1>
    </dataValidation>
    <dataValidation type="textLength" allowBlank="1" showInputMessage="1" showErrorMessage="1" sqref="F30:K35" xr:uid="{D8C47A32-D04C-4AAB-8B32-05C62DCC2C7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7E9FF-E0BA-4B72-8C9F-CA7DAA3E454D}">
  <sheetPr codeName="Tabelle8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80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81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BNYT0YbFsV9vDbLlxs28L8sRqX/0L409s7MB0uFSXi6RwvNGcBKLXi7AlVSGNkcy6iV5Fj3dwQ7noTQJ9uZ+wg==" saltValue="KJbyh4jKPaZFh4n9AY78wA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663671CB-4603-4291-8FA2-262C1B65A29C}">
      <formula1>$P$13</formula1>
    </dataValidation>
    <dataValidation type="list" allowBlank="1" showDropDown="1" showInputMessage="1" showErrorMessage="1" sqref="J13:J29" xr:uid="{0DBEA444-E716-4A95-9A98-628D5CF73D73}">
      <formula1>$P$14:$P$15</formula1>
    </dataValidation>
    <dataValidation type="textLength" allowBlank="1" showInputMessage="1" showErrorMessage="1" sqref="F30:K35" xr:uid="{DF6A36FE-0F7E-43AD-AA64-EC6B489BA194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C0DD-CF47-48F1-8D0C-CC385E388F69}">
  <sheetPr codeName="Tabelle9">
    <pageSetUpPr fitToPage="1"/>
  </sheetPr>
  <dimension ref="A1:AG40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40"/>
      <c r="B1" s="40"/>
      <c r="C1" s="40"/>
      <c r="D1" s="40"/>
      <c r="E1" s="98" t="s">
        <v>20</v>
      </c>
      <c r="F1" s="98"/>
      <c r="G1" s="98"/>
      <c r="H1" s="98"/>
      <c r="I1" s="98"/>
      <c r="J1" s="41"/>
      <c r="K1" s="40"/>
      <c r="L1" s="40"/>
    </row>
    <row r="2" spans="1:33" s="19" customFormat="1" ht="20.100000000000001" customHeight="1" x14ac:dyDescent="0.45">
      <c r="A2" s="99" t="s">
        <v>62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</row>
    <row r="3" spans="1:33" s="17" customFormat="1" ht="39.950000000000003" customHeight="1" x14ac:dyDescent="0.5">
      <c r="A3" s="100" t="s">
        <v>28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01" t="s">
        <v>53</v>
      </c>
      <c r="B5" s="101"/>
      <c r="C5" s="101"/>
      <c r="D5" s="101"/>
      <c r="E5" s="48" t="s">
        <v>82</v>
      </c>
      <c r="F5" s="15"/>
      <c r="G5" s="16" t="s">
        <v>54</v>
      </c>
      <c r="H5" s="102" t="s">
        <v>63</v>
      </c>
      <c r="I5" s="102"/>
      <c r="J5" s="103" t="s">
        <v>55</v>
      </c>
      <c r="K5" s="103"/>
      <c r="L5" s="49" t="s">
        <v>64</v>
      </c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</row>
    <row r="6" spans="1:33" ht="12" customHeight="1" thickBot="1" x14ac:dyDescent="0.55000000000000004">
      <c r="A6" s="1"/>
      <c r="B6" s="1"/>
      <c r="C6" s="2"/>
      <c r="D6" s="2"/>
      <c r="E6" s="2"/>
      <c r="F6" s="25"/>
      <c r="G6" s="25"/>
      <c r="H6" s="104"/>
      <c r="I6" s="104"/>
      <c r="J6" s="104"/>
      <c r="K6" s="104"/>
      <c r="L6" s="17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</row>
    <row r="7" spans="1:33" s="18" customFormat="1" ht="20.100000000000001" customHeight="1" x14ac:dyDescent="0.35">
      <c r="A7" s="11"/>
      <c r="B7" s="11"/>
      <c r="C7" s="11"/>
      <c r="D7" s="105" t="s">
        <v>13</v>
      </c>
      <c r="E7" s="106"/>
      <c r="F7" s="107" t="s">
        <v>0</v>
      </c>
      <c r="G7" s="108"/>
      <c r="H7" s="106"/>
      <c r="I7" s="109" t="s">
        <v>1</v>
      </c>
      <c r="J7" s="109"/>
      <c r="K7" s="109"/>
      <c r="L7" s="12" t="s">
        <v>2</v>
      </c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</row>
    <row r="8" spans="1:33" ht="21.95" customHeight="1" x14ac:dyDescent="0.25">
      <c r="A8" s="15" t="s">
        <v>10</v>
      </c>
      <c r="B8" s="15"/>
      <c r="C8" s="15"/>
      <c r="D8" s="110" t="s">
        <v>65</v>
      </c>
      <c r="E8" s="111"/>
      <c r="F8" s="112" t="s">
        <v>66</v>
      </c>
      <c r="G8" s="113"/>
      <c r="H8" s="111"/>
      <c r="I8" s="114" t="s">
        <v>67</v>
      </c>
      <c r="J8" s="115"/>
      <c r="K8" s="115"/>
      <c r="L8" s="52" t="s">
        <v>69</v>
      </c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</row>
    <row r="9" spans="1:33" ht="21.95" customHeight="1" thickBot="1" x14ac:dyDescent="0.3">
      <c r="A9" s="15" t="s">
        <v>11</v>
      </c>
      <c r="B9" s="15"/>
      <c r="C9" s="15"/>
      <c r="D9" s="116" t="s">
        <v>68</v>
      </c>
      <c r="E9" s="117"/>
      <c r="F9" s="118" t="s">
        <v>66</v>
      </c>
      <c r="G9" s="119"/>
      <c r="H9" s="117"/>
      <c r="I9" s="120" t="s">
        <v>67</v>
      </c>
      <c r="J9" s="121"/>
      <c r="K9" s="121"/>
      <c r="L9" s="53" t="s">
        <v>69</v>
      </c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</row>
    <row r="11" spans="1:33" ht="39.75" customHeight="1" thickTop="1" thickBot="1" x14ac:dyDescent="0.3">
      <c r="A11" s="4"/>
      <c r="B11" s="4"/>
      <c r="C11" s="4"/>
      <c r="D11" s="4"/>
      <c r="E11" s="4"/>
      <c r="F11" s="122" t="s">
        <v>16</v>
      </c>
      <c r="G11" s="123"/>
      <c r="H11" s="36" t="s">
        <v>15</v>
      </c>
      <c r="I11" s="36" t="s">
        <v>14</v>
      </c>
      <c r="J11" s="42" t="s">
        <v>21</v>
      </c>
      <c r="K11" s="42" t="s">
        <v>3</v>
      </c>
      <c r="L11" s="124" t="s">
        <v>12</v>
      </c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</row>
    <row r="12" spans="1:33" s="18" customFormat="1" ht="20.100000000000001" customHeight="1" thickTop="1" thickBot="1" x14ac:dyDescent="0.4">
      <c r="A12" s="126" t="s">
        <v>4</v>
      </c>
      <c r="B12" s="127"/>
      <c r="C12" s="127"/>
      <c r="D12" s="127"/>
      <c r="E12" s="128"/>
      <c r="F12" s="129">
        <v>1</v>
      </c>
      <c r="G12" s="130"/>
      <c r="H12" s="37">
        <v>3</v>
      </c>
      <c r="I12" s="37">
        <v>5</v>
      </c>
      <c r="J12" s="37">
        <v>0.5</v>
      </c>
      <c r="K12" s="37">
        <v>10</v>
      </c>
      <c r="L12" s="125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</row>
    <row r="13" spans="1:33" ht="27" customHeight="1" thickBot="1" x14ac:dyDescent="0.3">
      <c r="A13" s="5">
        <v>1</v>
      </c>
      <c r="B13" s="28"/>
      <c r="C13" s="24"/>
      <c r="D13" s="131" t="s">
        <v>5</v>
      </c>
      <c r="E13" s="132"/>
      <c r="F13" s="56" t="s">
        <v>22</v>
      </c>
      <c r="G13" s="57"/>
      <c r="H13" s="58"/>
      <c r="I13" s="58"/>
      <c r="J13" s="59"/>
      <c r="K13" s="59"/>
      <c r="L13" s="4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50" t="s">
        <v>27</v>
      </c>
      <c r="O13" s="50"/>
      <c r="P13" s="50" t="s">
        <v>22</v>
      </c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</row>
    <row r="14" spans="1:33" ht="27" customHeight="1" x14ac:dyDescent="0.25">
      <c r="A14" s="6">
        <v>2</v>
      </c>
      <c r="B14" s="6"/>
      <c r="C14" s="133" t="s">
        <v>6</v>
      </c>
      <c r="D14" s="136" t="s">
        <v>29</v>
      </c>
      <c r="E14" s="137"/>
      <c r="F14" s="20" t="s">
        <v>22</v>
      </c>
      <c r="G14" s="32" t="s">
        <v>22</v>
      </c>
      <c r="H14" s="38"/>
      <c r="I14" s="38"/>
      <c r="J14" s="34"/>
      <c r="K14" s="34"/>
      <c r="L14" s="54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50" t="s">
        <v>25</v>
      </c>
      <c r="O14" s="50"/>
      <c r="P14" s="50" t="s">
        <v>23</v>
      </c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</row>
    <row r="15" spans="1:33" ht="27" customHeight="1" thickBot="1" x14ac:dyDescent="0.3">
      <c r="A15" s="7">
        <v>3</v>
      </c>
      <c r="B15" s="6"/>
      <c r="C15" s="134"/>
      <c r="D15" s="138" t="s">
        <v>30</v>
      </c>
      <c r="E15" s="139"/>
      <c r="F15" s="22"/>
      <c r="G15" s="33"/>
      <c r="H15" s="39" t="s">
        <v>22</v>
      </c>
      <c r="I15" s="39"/>
      <c r="J15" s="35"/>
      <c r="K15" s="35"/>
      <c r="L15" s="55">
        <f t="shared" si="0"/>
        <v>7</v>
      </c>
      <c r="N15" s="50" t="s">
        <v>26</v>
      </c>
      <c r="O15" s="50"/>
      <c r="P15" s="50" t="s">
        <v>24</v>
      </c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</row>
    <row r="16" spans="1:33" ht="27" customHeight="1" thickBot="1" x14ac:dyDescent="0.3">
      <c r="A16" s="8">
        <v>4</v>
      </c>
      <c r="B16" s="6"/>
      <c r="C16" s="134"/>
      <c r="D16" s="136" t="s">
        <v>31</v>
      </c>
      <c r="E16" s="137"/>
      <c r="F16" s="20" t="s">
        <v>22</v>
      </c>
      <c r="G16" s="32"/>
      <c r="H16" s="38" t="s">
        <v>22</v>
      </c>
      <c r="I16" s="38"/>
      <c r="J16" s="34"/>
      <c r="K16" s="34"/>
      <c r="L16" s="54">
        <f t="shared" si="0"/>
        <v>6</v>
      </c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</row>
    <row r="17" spans="1:33" ht="27" customHeight="1" thickBot="1" x14ac:dyDescent="0.3">
      <c r="A17" s="6">
        <v>5</v>
      </c>
      <c r="B17" s="6"/>
      <c r="C17" s="134"/>
      <c r="D17" s="138" t="s">
        <v>32</v>
      </c>
      <c r="E17" s="139"/>
      <c r="F17" s="22" t="s">
        <v>22</v>
      </c>
      <c r="G17" s="33" t="s">
        <v>22</v>
      </c>
      <c r="H17" s="39" t="s">
        <v>22</v>
      </c>
      <c r="I17" s="39"/>
      <c r="J17" s="35"/>
      <c r="K17" s="35"/>
      <c r="L17" s="55">
        <f t="shared" si="0"/>
        <v>5</v>
      </c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</row>
    <row r="18" spans="1:33" ht="27" customHeight="1" x14ac:dyDescent="0.25">
      <c r="A18" s="7">
        <v>6</v>
      </c>
      <c r="B18" s="6"/>
      <c r="C18" s="134"/>
      <c r="D18" s="136" t="s">
        <v>33</v>
      </c>
      <c r="E18" s="137"/>
      <c r="F18" s="20"/>
      <c r="G18" s="32"/>
      <c r="H18" s="38"/>
      <c r="I18" s="38" t="s">
        <v>22</v>
      </c>
      <c r="J18" s="34"/>
      <c r="K18" s="34"/>
      <c r="L18" s="54">
        <f t="shared" si="0"/>
        <v>5</v>
      </c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</row>
    <row r="19" spans="1:33" ht="27" customHeight="1" thickBot="1" x14ac:dyDescent="0.3">
      <c r="A19" s="8">
        <v>7</v>
      </c>
      <c r="B19" s="6"/>
      <c r="C19" s="135"/>
      <c r="D19" s="138" t="s">
        <v>34</v>
      </c>
      <c r="E19" s="139"/>
      <c r="F19" s="22" t="s">
        <v>22</v>
      </c>
      <c r="G19" s="33"/>
      <c r="H19" s="39"/>
      <c r="I19" s="39" t="s">
        <v>22</v>
      </c>
      <c r="J19" s="35"/>
      <c r="K19" s="35"/>
      <c r="L19" s="55">
        <f t="shared" si="0"/>
        <v>4</v>
      </c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</row>
    <row r="20" spans="1:33" ht="27" customHeight="1" x14ac:dyDescent="0.25">
      <c r="A20" s="9">
        <v>8</v>
      </c>
      <c r="B20" s="26"/>
      <c r="C20" s="133" t="s">
        <v>7</v>
      </c>
      <c r="D20" s="136" t="s">
        <v>35</v>
      </c>
      <c r="E20" s="137"/>
      <c r="F20" s="20" t="s">
        <v>22</v>
      </c>
      <c r="G20" s="32" t="s">
        <v>22</v>
      </c>
      <c r="H20" s="38"/>
      <c r="I20" s="38" t="s">
        <v>22</v>
      </c>
      <c r="J20" s="34"/>
      <c r="K20" s="34"/>
      <c r="L20" s="54">
        <f t="shared" si="0"/>
        <v>3</v>
      </c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</row>
    <row r="21" spans="1:33" ht="27" customHeight="1" thickBot="1" x14ac:dyDescent="0.3">
      <c r="A21" s="7">
        <v>9</v>
      </c>
      <c r="B21" s="6"/>
      <c r="C21" s="134"/>
      <c r="D21" s="138" t="s">
        <v>36</v>
      </c>
      <c r="E21" s="139"/>
      <c r="F21" s="22"/>
      <c r="G21" s="33"/>
      <c r="H21" s="39" t="s">
        <v>22</v>
      </c>
      <c r="I21" s="39" t="s">
        <v>22</v>
      </c>
      <c r="J21" s="35"/>
      <c r="K21" s="35"/>
      <c r="L21" s="55">
        <f t="shared" si="0"/>
        <v>2</v>
      </c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</row>
    <row r="22" spans="1:33" ht="27" customHeight="1" thickBot="1" x14ac:dyDescent="0.3">
      <c r="A22" s="8">
        <v>10</v>
      </c>
      <c r="B22" s="6"/>
      <c r="C22" s="134"/>
      <c r="D22" s="136" t="s">
        <v>50</v>
      </c>
      <c r="E22" s="137"/>
      <c r="F22" s="20" t="s">
        <v>22</v>
      </c>
      <c r="G22" s="32"/>
      <c r="H22" s="38" t="s">
        <v>22</v>
      </c>
      <c r="I22" s="38" t="s">
        <v>22</v>
      </c>
      <c r="J22" s="34"/>
      <c r="K22" s="34"/>
      <c r="L22" s="54">
        <f t="shared" si="0"/>
        <v>1</v>
      </c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</row>
    <row r="23" spans="1:33" ht="27" customHeight="1" thickBot="1" x14ac:dyDescent="0.3">
      <c r="A23" s="9">
        <v>11</v>
      </c>
      <c r="B23" s="26"/>
      <c r="C23" s="134"/>
      <c r="D23" s="138" t="s">
        <v>51</v>
      </c>
      <c r="E23" s="139"/>
      <c r="F23" s="22" t="s">
        <v>22</v>
      </c>
      <c r="G23" s="33" t="s">
        <v>22</v>
      </c>
      <c r="H23" s="39" t="s">
        <v>22</v>
      </c>
      <c r="I23" s="39" t="s">
        <v>22</v>
      </c>
      <c r="J23" s="35"/>
      <c r="K23" s="35"/>
      <c r="L23" s="55">
        <f t="shared" si="0"/>
        <v>1</v>
      </c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</row>
    <row r="24" spans="1:33" ht="27" customHeight="1" x14ac:dyDescent="0.25">
      <c r="A24" s="7">
        <v>12</v>
      </c>
      <c r="B24" s="6"/>
      <c r="C24" s="134"/>
      <c r="D24" s="136" t="s">
        <v>39</v>
      </c>
      <c r="E24" s="137"/>
      <c r="F24" s="20"/>
      <c r="G24" s="32"/>
      <c r="H24" s="38"/>
      <c r="I24" s="38"/>
      <c r="J24" s="34" t="s">
        <v>23</v>
      </c>
      <c r="K24" s="34"/>
      <c r="L24" s="54">
        <f t="shared" si="0"/>
        <v>10</v>
      </c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1:33" ht="27" customHeight="1" thickBot="1" x14ac:dyDescent="0.3">
      <c r="A25" s="8">
        <v>13</v>
      </c>
      <c r="B25" s="6"/>
      <c r="C25" s="135"/>
      <c r="D25" s="138" t="s">
        <v>40</v>
      </c>
      <c r="E25" s="139"/>
      <c r="F25" s="22" t="s">
        <v>22</v>
      </c>
      <c r="G25" s="33" t="s">
        <v>22</v>
      </c>
      <c r="H25" s="39" t="s">
        <v>22</v>
      </c>
      <c r="I25" s="39" t="s">
        <v>22</v>
      </c>
      <c r="J25" s="35" t="s">
        <v>24</v>
      </c>
      <c r="K25" s="35"/>
      <c r="L25" s="55">
        <f t="shared" si="0"/>
        <v>1</v>
      </c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1:33" ht="27" customHeight="1" x14ac:dyDescent="0.25">
      <c r="A26" s="9">
        <v>14</v>
      </c>
      <c r="B26" s="26"/>
      <c r="C26" s="133" t="s">
        <v>8</v>
      </c>
      <c r="D26" s="136" t="s">
        <v>41</v>
      </c>
      <c r="E26" s="137"/>
      <c r="F26" s="20" t="s">
        <v>22</v>
      </c>
      <c r="G26" s="32" t="s">
        <v>22</v>
      </c>
      <c r="H26" s="38"/>
      <c r="I26" s="38"/>
      <c r="J26" s="34" t="s">
        <v>23</v>
      </c>
      <c r="K26" s="34"/>
      <c r="L26" s="54">
        <f t="shared" si="0"/>
        <v>8.5</v>
      </c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1:33" ht="27" customHeight="1" thickBot="1" x14ac:dyDescent="0.3">
      <c r="A27" s="6">
        <v>15</v>
      </c>
      <c r="B27" s="6"/>
      <c r="C27" s="134"/>
      <c r="D27" s="138" t="s">
        <v>42</v>
      </c>
      <c r="E27" s="139"/>
      <c r="F27" s="22" t="s">
        <v>22</v>
      </c>
      <c r="G27" s="33" t="s">
        <v>22</v>
      </c>
      <c r="H27" s="39"/>
      <c r="I27" s="39"/>
      <c r="J27" s="35" t="s">
        <v>24</v>
      </c>
      <c r="K27" s="35"/>
      <c r="L27" s="55">
        <f t="shared" si="0"/>
        <v>7.5</v>
      </c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1:33" ht="27" customHeight="1" thickBot="1" x14ac:dyDescent="0.3">
      <c r="A28" s="8">
        <v>16</v>
      </c>
      <c r="B28" s="6"/>
      <c r="C28" s="134"/>
      <c r="D28" s="136" t="s">
        <v>43</v>
      </c>
      <c r="E28" s="137"/>
      <c r="F28" s="20"/>
      <c r="G28" s="32"/>
      <c r="H28" s="38" t="s">
        <v>22</v>
      </c>
      <c r="I28" s="38"/>
      <c r="J28" s="34"/>
      <c r="K28" s="34"/>
      <c r="L28" s="54">
        <f t="shared" si="0"/>
        <v>7</v>
      </c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1:33" ht="27" customHeight="1" thickBot="1" x14ac:dyDescent="0.3">
      <c r="A29" s="10">
        <v>17</v>
      </c>
      <c r="B29" s="29"/>
      <c r="C29" s="134"/>
      <c r="D29" s="138" t="s">
        <v>44</v>
      </c>
      <c r="E29" s="139"/>
      <c r="F29" s="22" t="s">
        <v>22</v>
      </c>
      <c r="G29" s="33"/>
      <c r="H29" s="39"/>
      <c r="I29" s="39"/>
      <c r="J29" s="35"/>
      <c r="K29" s="35"/>
      <c r="L29" s="55">
        <f t="shared" si="0"/>
        <v>9</v>
      </c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1:33" ht="27" customHeight="1" thickTop="1" thickBot="1" x14ac:dyDescent="0.3">
      <c r="A30" s="30">
        <v>18</v>
      </c>
      <c r="B30" s="31"/>
      <c r="C30" s="134"/>
      <c r="D30" s="136" t="s">
        <v>48</v>
      </c>
      <c r="E30" s="137"/>
      <c r="F30" s="20"/>
      <c r="G30" s="32" t="s">
        <v>22</v>
      </c>
      <c r="H30" s="38"/>
      <c r="I30" s="38"/>
      <c r="J30" s="34"/>
      <c r="K30" s="34"/>
      <c r="L30" s="54">
        <f t="shared" si="0"/>
        <v>9</v>
      </c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</row>
    <row r="31" spans="1:33" ht="27" customHeight="1" thickTop="1" thickBot="1" x14ac:dyDescent="0.3">
      <c r="A31" s="30">
        <v>19</v>
      </c>
      <c r="B31" s="31"/>
      <c r="C31" s="135"/>
      <c r="D31" s="138" t="s">
        <v>49</v>
      </c>
      <c r="E31" s="139"/>
      <c r="F31" s="22"/>
      <c r="G31" s="33"/>
      <c r="H31" s="39" t="s">
        <v>22</v>
      </c>
      <c r="I31" s="39"/>
      <c r="J31" s="35"/>
      <c r="K31" s="35"/>
      <c r="L31" s="55">
        <f t="shared" si="0"/>
        <v>7</v>
      </c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</row>
    <row r="32" spans="1:33" ht="27" hidden="1" customHeight="1" thickTop="1" x14ac:dyDescent="0.25">
      <c r="A32" s="50"/>
      <c r="B32" s="50"/>
      <c r="C32" s="50"/>
      <c r="D32" s="50"/>
      <c r="E32" s="50"/>
      <c r="F32" s="60"/>
      <c r="G32" s="60"/>
      <c r="H32" s="60"/>
      <c r="I32" s="60"/>
      <c r="J32" s="60"/>
      <c r="K32" s="6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</row>
    <row r="33" spans="1:33" ht="27" hidden="1" customHeight="1" x14ac:dyDescent="0.25">
      <c r="A33" s="50"/>
      <c r="B33" s="50"/>
      <c r="C33" s="50"/>
      <c r="D33" s="50"/>
      <c r="E33" s="50"/>
      <c r="F33" s="60"/>
      <c r="G33" s="60"/>
      <c r="H33" s="60"/>
      <c r="I33" s="60"/>
      <c r="J33" s="60"/>
      <c r="K33" s="6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</row>
    <row r="34" spans="1:33" ht="27" hidden="1" customHeight="1" thickBot="1" x14ac:dyDescent="0.3">
      <c r="A34" s="50"/>
      <c r="B34" s="50"/>
      <c r="C34" s="50"/>
      <c r="D34" s="50"/>
      <c r="E34" s="50"/>
      <c r="F34" s="60"/>
      <c r="G34" s="60"/>
      <c r="H34" s="60"/>
      <c r="I34" s="60"/>
      <c r="J34" s="60"/>
      <c r="K34" s="6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</row>
    <row r="35" spans="1:33" ht="27" customHeight="1" thickTop="1" thickBot="1" x14ac:dyDescent="0.3">
      <c r="A35" s="30">
        <v>20</v>
      </c>
      <c r="B35" s="31"/>
      <c r="C35" s="23"/>
      <c r="D35" s="136" t="s">
        <v>9</v>
      </c>
      <c r="E35" s="137"/>
      <c r="F35" s="20"/>
      <c r="G35" s="32"/>
      <c r="H35" s="38"/>
      <c r="I35" s="38"/>
      <c r="J35" s="34"/>
      <c r="K35" s="34"/>
      <c r="L35" s="54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</row>
    <row r="36" spans="1:33" ht="21.95" customHeight="1" thickTop="1" thickBot="1" x14ac:dyDescent="0.3">
      <c r="A36" s="140" t="s">
        <v>17</v>
      </c>
      <c r="B36" s="141"/>
      <c r="C36" s="141"/>
      <c r="D36" s="141"/>
      <c r="E36" s="142"/>
      <c r="F36" s="143">
        <f>IF($L$37&lt;&gt;"",SUMPRODUCT(--(TRIM(F13:G35)&lt;&gt;"")),"")</f>
        <v>20</v>
      </c>
      <c r="G36" s="144">
        <f t="shared" ref="G36" si="2">IF($L$37&lt;&gt;"",COUNTIF(G13:G29,"x"))</f>
        <v>7</v>
      </c>
      <c r="H36" s="45">
        <f>IF($L$37&lt;&gt;"",SUMPRODUCT(--(TRIM(H13:H35)&lt;&gt;"")),"")</f>
        <v>9</v>
      </c>
      <c r="I36" s="45">
        <f>IF($L$37&lt;&gt;"",SUMPRODUCT(--(TRIM(I13:I35)&lt;&gt;"")),"")</f>
        <v>7</v>
      </c>
      <c r="J36" s="47">
        <f>IF($L$37&lt;&gt;"",(COUNTIFS(J13:J35,"+")-COUNTIFS(J13:J35,"-"))*0.5,"")</f>
        <v>0</v>
      </c>
      <c r="K36" s="46">
        <f>IF($L$37&lt;&gt;"",SUMPRODUCT(--(TRIM(K13:K35)&lt;&gt;"")),"")</f>
        <v>0</v>
      </c>
      <c r="L36" s="43">
        <f>IF(L37&lt;&gt;"",IF(K36&lt;1,SUM(L13:L35),IF(K36&gt;=1,ROUNDUP(SUM(L13:L35)/2,0),"")),"")</f>
        <v>120</v>
      </c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</row>
    <row r="37" spans="1:33" ht="20.100000000000001" customHeight="1" thickTop="1" thickBot="1" x14ac:dyDescent="0.3">
      <c r="A37" s="145" t="s">
        <v>56</v>
      </c>
      <c r="B37" s="146"/>
      <c r="C37" s="146"/>
      <c r="D37" s="146"/>
      <c r="E37" s="27" t="s">
        <v>83</v>
      </c>
      <c r="F37" s="147" t="s">
        <v>18</v>
      </c>
      <c r="G37" s="148"/>
      <c r="H37" s="148"/>
      <c r="I37" s="148"/>
      <c r="J37" s="148"/>
      <c r="K37" s="149"/>
      <c r="L37" s="61" t="s">
        <v>52</v>
      </c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</row>
    <row r="38" spans="1:33" ht="15.75" thickTop="1" x14ac:dyDescent="0.25"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</row>
    <row r="39" spans="1:33" x14ac:dyDescent="0.25"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</row>
    <row r="40" spans="1:33" x14ac:dyDescent="0.25"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</row>
  </sheetData>
  <sheetProtection algorithmName="SHA-512" hashValue="Sy3FqgTBd3NWSwSr04DV6+tM3K/zs5Y5W+7PMUBYLv8ZRqa2EfrMkILPPCF13zUeENPJF3MuHpjJUZHNK4M4Vw==" saltValue="PXBDn1FW800IQkTasdKsMQ==" spinCount="100000" sheet="1" objects="1" scenarios="1"/>
  <mergeCells count="47">
    <mergeCell ref="D35:E35"/>
    <mergeCell ref="A36:E36"/>
    <mergeCell ref="F36:G36"/>
    <mergeCell ref="A37:D37"/>
    <mergeCell ref="F37:K37"/>
    <mergeCell ref="C26:C31"/>
    <mergeCell ref="D26:E26"/>
    <mergeCell ref="D27:E27"/>
    <mergeCell ref="D28:E28"/>
    <mergeCell ref="D29:E29"/>
    <mergeCell ref="D30:E30"/>
    <mergeCell ref="D31:E31"/>
    <mergeCell ref="C20:C25"/>
    <mergeCell ref="D20:E20"/>
    <mergeCell ref="D21:E21"/>
    <mergeCell ref="D22:E22"/>
    <mergeCell ref="D23:E23"/>
    <mergeCell ref="D24:E24"/>
    <mergeCell ref="D25:E25"/>
    <mergeCell ref="D13:E13"/>
    <mergeCell ref="C14:C19"/>
    <mergeCell ref="D14:E14"/>
    <mergeCell ref="D15:E15"/>
    <mergeCell ref="D16:E16"/>
    <mergeCell ref="D17:E17"/>
    <mergeCell ref="D18:E18"/>
    <mergeCell ref="D19:E19"/>
    <mergeCell ref="D9:E9"/>
    <mergeCell ref="F9:H9"/>
    <mergeCell ref="I9:K9"/>
    <mergeCell ref="F11:G11"/>
    <mergeCell ref="L11:L12"/>
    <mergeCell ref="A12:E12"/>
    <mergeCell ref="F12:G12"/>
    <mergeCell ref="H6:K6"/>
    <mergeCell ref="D7:E7"/>
    <mergeCell ref="F7:H7"/>
    <mergeCell ref="I7:K7"/>
    <mergeCell ref="D8:E8"/>
    <mergeCell ref="F8:H8"/>
    <mergeCell ref="I8:K8"/>
    <mergeCell ref="E1:I1"/>
    <mergeCell ref="A2:L2"/>
    <mergeCell ref="A3:L3"/>
    <mergeCell ref="A5:D5"/>
    <mergeCell ref="H5:I5"/>
    <mergeCell ref="J5:K5"/>
  </mergeCells>
  <dataValidations count="3">
    <dataValidation type="list" allowBlank="1" showDropDown="1" showInputMessage="1" showErrorMessage="1" sqref="F13:I29 K13:K29" xr:uid="{D672C528-A0C7-4E35-ABDB-7E6EA69620DC}">
      <formula1>$P$13</formula1>
    </dataValidation>
    <dataValidation type="list" allowBlank="1" showDropDown="1" showInputMessage="1" showErrorMessage="1" sqref="J13:J29" xr:uid="{E7CD530D-7E20-48B1-B3ED-68651ADA48A7}">
      <formula1>$P$14:$P$15</formula1>
    </dataValidation>
    <dataValidation type="textLength" allowBlank="1" showInputMessage="1" showErrorMessage="1" sqref="F30:K35" xr:uid="{0F6E350F-AA41-4208-888F-8E8F649EF45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tabSelected="1" zoomScaleNormal="100" workbookViewId="0"/>
  </sheetViews>
  <sheetFormatPr baseColWidth="10" defaultColWidth="11.5703125" defaultRowHeight="12.75" x14ac:dyDescent="0.2"/>
  <cols>
    <col min="1" max="1" width="11.7109375" style="21" customWidth="1"/>
    <col min="2" max="2" width="18.5703125" style="21" customWidth="1"/>
    <col min="3" max="21" width="5.7109375" style="21" customWidth="1"/>
    <col min="22" max="24" width="5.7109375" style="21" hidden="1" customWidth="1"/>
    <col min="25" max="25" width="5.7109375" style="21" customWidth="1"/>
    <col min="26" max="27" width="6.7109375" style="21" customWidth="1"/>
    <col min="28" max="32" width="5.7109375" style="21" customWidth="1"/>
    <col min="33" max="16384" width="11.5703125" style="21"/>
  </cols>
  <sheetData>
    <row r="1" spans="1:32" ht="15" customHeight="1" x14ac:dyDescent="0.2">
      <c r="A1" s="21" t="s">
        <v>57</v>
      </c>
      <c r="B1" s="62" t="str">
        <f ca="1">INDIRECT("'"&amp;$A8&amp;"'!D8") &amp; "-" &amp; INDIRECT("'"&amp;$A8&amp;"'!D9") &amp; " (" &amp; INDIRECT("'"&amp;$A8&amp;"'!L8") &amp;")"</f>
        <v>tori-uke (C1)</v>
      </c>
      <c r="Z1" s="63"/>
      <c r="AA1" s="63"/>
      <c r="AF1" s="64"/>
    </row>
    <row r="2" spans="1:32" ht="128.1" customHeight="1" x14ac:dyDescent="0.2">
      <c r="A2" s="65" t="s">
        <v>56</v>
      </c>
      <c r="B2" s="65" t="s">
        <v>13</v>
      </c>
      <c r="C2" s="66" t="s">
        <v>5</v>
      </c>
      <c r="D2" s="66" t="s">
        <v>29</v>
      </c>
      <c r="E2" s="66" t="s">
        <v>30</v>
      </c>
      <c r="F2" s="66" t="s">
        <v>31</v>
      </c>
      <c r="G2" s="66" t="s">
        <v>32</v>
      </c>
      <c r="H2" s="66" t="s">
        <v>33</v>
      </c>
      <c r="I2" s="66" t="s">
        <v>34</v>
      </c>
      <c r="J2" s="66" t="s">
        <v>35</v>
      </c>
      <c r="K2" s="66" t="s">
        <v>36</v>
      </c>
      <c r="L2" s="66" t="s">
        <v>37</v>
      </c>
      <c r="M2" s="66" t="s">
        <v>38</v>
      </c>
      <c r="N2" s="66" t="s">
        <v>39</v>
      </c>
      <c r="O2" s="66" t="s">
        <v>40</v>
      </c>
      <c r="P2" s="66" t="s">
        <v>41</v>
      </c>
      <c r="Q2" s="66" t="s">
        <v>42</v>
      </c>
      <c r="R2" s="66" t="s">
        <v>43</v>
      </c>
      <c r="S2" s="66" t="s">
        <v>44</v>
      </c>
      <c r="T2" s="66" t="s">
        <v>45</v>
      </c>
      <c r="U2" s="66" t="s">
        <v>46</v>
      </c>
      <c r="Y2" s="66" t="s">
        <v>9</v>
      </c>
      <c r="Z2" s="67" t="s">
        <v>12</v>
      </c>
      <c r="AA2" s="67" t="s">
        <v>58</v>
      </c>
      <c r="AB2" s="66" t="s">
        <v>16</v>
      </c>
      <c r="AC2" s="66" t="s">
        <v>15</v>
      </c>
      <c r="AD2" s="66" t="s">
        <v>14</v>
      </c>
      <c r="AE2" s="66" t="s">
        <v>21</v>
      </c>
      <c r="AF2" s="66" t="s">
        <v>3</v>
      </c>
    </row>
    <row r="3" spans="1:32" ht="15" customHeight="1" x14ac:dyDescent="0.2">
      <c r="A3" s="151" t="s">
        <v>47</v>
      </c>
      <c r="B3" s="151"/>
      <c r="C3" s="68">
        <f ca="1">IF(COUNTIF(C8:C12,"")&gt;0,SUM(C8:C12),SUM(C8:C12)-MAX(C8:C12)-MIN(C8:C12))</f>
        <v>27</v>
      </c>
      <c r="D3" s="68">
        <f t="shared" ref="D3:Y3" ca="1" si="0">IF(COUNTIF(D8:D12,"")&gt;0,SUM(D8:D12),SUM(D8:D12)-MAX(D8:D12)-MIN(D8:D12))</f>
        <v>24</v>
      </c>
      <c r="E3" s="68">
        <f t="shared" ca="1" si="0"/>
        <v>21</v>
      </c>
      <c r="F3" s="68">
        <f t="shared" ca="1" si="0"/>
        <v>18</v>
      </c>
      <c r="G3" s="68">
        <f t="shared" ca="1" si="0"/>
        <v>15</v>
      </c>
      <c r="H3" s="68">
        <f t="shared" ca="1" si="0"/>
        <v>15</v>
      </c>
      <c r="I3" s="68">
        <f t="shared" ca="1" si="0"/>
        <v>12</v>
      </c>
      <c r="J3" s="68">
        <f t="shared" ca="1" si="0"/>
        <v>9</v>
      </c>
      <c r="K3" s="68">
        <f t="shared" ca="1" si="0"/>
        <v>6</v>
      </c>
      <c r="L3" s="68">
        <f t="shared" ca="1" si="0"/>
        <v>3</v>
      </c>
      <c r="M3" s="68">
        <f t="shared" ca="1" si="0"/>
        <v>3</v>
      </c>
      <c r="N3" s="68">
        <f t="shared" ca="1" si="0"/>
        <v>30</v>
      </c>
      <c r="O3" s="68">
        <f t="shared" ca="1" si="0"/>
        <v>3</v>
      </c>
      <c r="P3" s="68">
        <f t="shared" ca="1" si="0"/>
        <v>25.5</v>
      </c>
      <c r="Q3" s="68">
        <f t="shared" ca="1" si="0"/>
        <v>22.5</v>
      </c>
      <c r="R3" s="68">
        <f t="shared" ca="1" si="0"/>
        <v>21</v>
      </c>
      <c r="S3" s="68">
        <f t="shared" ca="1" si="0"/>
        <v>27</v>
      </c>
      <c r="T3" s="68">
        <f t="shared" ca="1" si="0"/>
        <v>27</v>
      </c>
      <c r="U3" s="68">
        <f t="shared" ca="1" si="0"/>
        <v>21</v>
      </c>
      <c r="Y3" s="68">
        <f t="shared" ca="1" si="0"/>
        <v>30</v>
      </c>
      <c r="Z3" s="69">
        <f ca="1">IF(SUM(AF8:AF12)&gt;0,SUM(C3:Y3)/2,SUM(C3:Y3))</f>
        <v>360</v>
      </c>
      <c r="AA3" s="70"/>
      <c r="AB3" s="69">
        <f t="shared" ref="AB3:AF3" ca="1" si="1">IF(COUNTIF(AB8:AB12,"")&gt;0,SUM(AB8:AB12),SUM(AB8:AB12)-MAX(AB8:AB12)-MIN(AB8:AB12))</f>
        <v>60</v>
      </c>
      <c r="AC3" s="69">
        <f t="shared" ca="1" si="1"/>
        <v>27</v>
      </c>
      <c r="AD3" s="69">
        <f t="shared" ca="1" si="1"/>
        <v>21</v>
      </c>
      <c r="AE3" s="68">
        <f t="shared" ca="1" si="1"/>
        <v>0</v>
      </c>
      <c r="AF3" s="69">
        <f t="shared" ca="1" si="1"/>
        <v>0</v>
      </c>
    </row>
    <row r="4" spans="1:32" ht="15" customHeight="1" x14ac:dyDescent="0.2">
      <c r="A4" s="150" t="s">
        <v>59</v>
      </c>
      <c r="B4" s="150"/>
      <c r="C4" s="71">
        <f t="shared" ref="C4:U4" ca="1" si="2">MAX(C8:C12)-MIN(C8:C12)</f>
        <v>0</v>
      </c>
      <c r="D4" s="71">
        <f t="shared" ca="1" si="2"/>
        <v>0</v>
      </c>
      <c r="E4" s="71">
        <f t="shared" ca="1" si="2"/>
        <v>0</v>
      </c>
      <c r="F4" s="71">
        <f t="shared" ca="1" si="2"/>
        <v>0</v>
      </c>
      <c r="G4" s="71">
        <f t="shared" ca="1" si="2"/>
        <v>0</v>
      </c>
      <c r="H4" s="71">
        <f t="shared" ca="1" si="2"/>
        <v>0</v>
      </c>
      <c r="I4" s="71">
        <f t="shared" ca="1" si="2"/>
        <v>0</v>
      </c>
      <c r="J4" s="71">
        <f t="shared" ca="1" si="2"/>
        <v>0</v>
      </c>
      <c r="K4" s="71">
        <f t="shared" ca="1" si="2"/>
        <v>0</v>
      </c>
      <c r="L4" s="71">
        <f t="shared" ca="1" si="2"/>
        <v>0</v>
      </c>
      <c r="M4" s="71">
        <f t="shared" ca="1" si="2"/>
        <v>0</v>
      </c>
      <c r="N4" s="71">
        <f t="shared" ca="1" si="2"/>
        <v>0</v>
      </c>
      <c r="O4" s="71">
        <f t="shared" ca="1" si="2"/>
        <v>0</v>
      </c>
      <c r="P4" s="71">
        <f t="shared" ca="1" si="2"/>
        <v>0</v>
      </c>
      <c r="Q4" s="71">
        <f t="shared" ca="1" si="2"/>
        <v>0</v>
      </c>
      <c r="R4" s="71">
        <f t="shared" ca="1" si="2"/>
        <v>0</v>
      </c>
      <c r="S4" s="71">
        <f t="shared" ca="1" si="2"/>
        <v>0</v>
      </c>
      <c r="T4" s="71">
        <f t="shared" ca="1" si="2"/>
        <v>0</v>
      </c>
      <c r="U4" s="71">
        <f t="shared" ca="1" si="2"/>
        <v>0</v>
      </c>
      <c r="Y4" s="71">
        <f ca="1">MAX(Y8:Y12)-MIN(Y8:Y12)</f>
        <v>0</v>
      </c>
      <c r="Z4" s="72">
        <f ca="1">MAX(Z8:Z12)-MIN(Z8:Z12)</f>
        <v>0</v>
      </c>
      <c r="AA4" s="73"/>
      <c r="AB4" s="72">
        <f ca="1">MAX(AB8:AB12)-MIN(AB8:AB12)</f>
        <v>0</v>
      </c>
      <c r="AC4" s="72">
        <f ca="1">MAX(AC8:AC12)-MIN(AC8:AC12)</f>
        <v>0</v>
      </c>
      <c r="AD4" s="72">
        <f ca="1">MAX(AD8:AD12)-MIN(AD8:AD12)</f>
        <v>0</v>
      </c>
      <c r="AE4" s="71">
        <f ca="1">MAX(AE8:AE12)-MIN(AE8:AE12)</f>
        <v>0</v>
      </c>
      <c r="AF4" s="72">
        <f ca="1">MAX(AF8:AF12)-MIN(AF8:AF12)</f>
        <v>0</v>
      </c>
    </row>
    <row r="5" spans="1:32" ht="15" customHeight="1" x14ac:dyDescent="0.2">
      <c r="A5" s="150" t="s">
        <v>60</v>
      </c>
      <c r="B5" s="150"/>
      <c r="C5" s="71">
        <f ca="1">C3/3</f>
        <v>9</v>
      </c>
      <c r="D5" s="71">
        <f t="shared" ref="D5:AF5" ca="1" si="3">D3/3</f>
        <v>8</v>
      </c>
      <c r="E5" s="71">
        <f t="shared" ca="1" si="3"/>
        <v>7</v>
      </c>
      <c r="F5" s="71">
        <f t="shared" ca="1" si="3"/>
        <v>6</v>
      </c>
      <c r="G5" s="71">
        <f t="shared" ca="1" si="3"/>
        <v>5</v>
      </c>
      <c r="H5" s="71">
        <f t="shared" ca="1" si="3"/>
        <v>5</v>
      </c>
      <c r="I5" s="71">
        <f t="shared" ca="1" si="3"/>
        <v>4</v>
      </c>
      <c r="J5" s="71">
        <f t="shared" ca="1" si="3"/>
        <v>3</v>
      </c>
      <c r="K5" s="71">
        <f t="shared" ca="1" si="3"/>
        <v>2</v>
      </c>
      <c r="L5" s="71">
        <f t="shared" ca="1" si="3"/>
        <v>1</v>
      </c>
      <c r="M5" s="71">
        <f t="shared" ca="1" si="3"/>
        <v>1</v>
      </c>
      <c r="N5" s="71">
        <f t="shared" ca="1" si="3"/>
        <v>10</v>
      </c>
      <c r="O5" s="71">
        <f t="shared" ca="1" si="3"/>
        <v>1</v>
      </c>
      <c r="P5" s="71">
        <f t="shared" ca="1" si="3"/>
        <v>8.5</v>
      </c>
      <c r="Q5" s="71">
        <f t="shared" ca="1" si="3"/>
        <v>7.5</v>
      </c>
      <c r="R5" s="71">
        <f t="shared" ca="1" si="3"/>
        <v>7</v>
      </c>
      <c r="S5" s="71">
        <f t="shared" ca="1" si="3"/>
        <v>9</v>
      </c>
      <c r="T5" s="71">
        <f t="shared" ca="1" si="3"/>
        <v>9</v>
      </c>
      <c r="U5" s="71">
        <f t="shared" ca="1" si="3"/>
        <v>7</v>
      </c>
      <c r="Y5" s="71">
        <f t="shared" ca="1" si="3"/>
        <v>10</v>
      </c>
      <c r="Z5" s="72">
        <f t="shared" ca="1" si="3"/>
        <v>120</v>
      </c>
      <c r="AA5" s="74"/>
      <c r="AB5" s="72">
        <f t="shared" ca="1" si="3"/>
        <v>20</v>
      </c>
      <c r="AC5" s="72">
        <f t="shared" ca="1" si="3"/>
        <v>9</v>
      </c>
      <c r="AD5" s="72">
        <f t="shared" ca="1" si="3"/>
        <v>7</v>
      </c>
      <c r="AE5" s="71">
        <f t="shared" ca="1" si="3"/>
        <v>0</v>
      </c>
      <c r="AF5" s="72">
        <f t="shared" ca="1" si="3"/>
        <v>0</v>
      </c>
    </row>
    <row r="6" spans="1:32" ht="15" hidden="1" customHeight="1" x14ac:dyDescent="0.2">
      <c r="A6" s="150" t="s">
        <v>61</v>
      </c>
      <c r="B6" s="150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Y6" s="71"/>
      <c r="Z6" s="75"/>
      <c r="AA6" s="76"/>
      <c r="AB6" s="75"/>
      <c r="AC6" s="75"/>
      <c r="AD6" s="75"/>
      <c r="AE6" s="71"/>
      <c r="AF6" s="75"/>
    </row>
    <row r="7" spans="1:32" ht="15" customHeight="1" x14ac:dyDescent="0.2">
      <c r="A7" s="77" t="s">
        <v>83</v>
      </c>
      <c r="B7" s="77" t="str">
        <f ca="1">IF(A7&lt;&gt;"",INDIRECT("'"&amp;$A7&amp;"'!E5"),"")</f>
        <v>super(CG)</v>
      </c>
      <c r="C7" s="78">
        <f ca="1">IF($A7&lt;&gt;"",INDIRECT("'"&amp;$A7&amp;"'!L13"),"")</f>
        <v>9</v>
      </c>
      <c r="D7" s="78">
        <f ca="1">IF($A7&lt;&gt;"",INDIRECT("'"&amp;$A7&amp;"'!L14"),"")</f>
        <v>8</v>
      </c>
      <c r="E7" s="78">
        <f ca="1">IF($A7&lt;&gt;"",INDIRECT("'"&amp;$A7&amp;"'!L15"),"")</f>
        <v>7</v>
      </c>
      <c r="F7" s="78">
        <f ca="1">IF($A7&lt;&gt;"",INDIRECT("'"&amp;$A7&amp;"'!L16"),"")</f>
        <v>6</v>
      </c>
      <c r="G7" s="78">
        <f ca="1">IF($A7&lt;&gt;"",INDIRECT("'"&amp;$A7&amp;"'!L17"),"")</f>
        <v>5</v>
      </c>
      <c r="H7" s="78">
        <f ca="1">IF($A7&lt;&gt;"",INDIRECT("'"&amp;$A7&amp;"'!L18"),"")</f>
        <v>5</v>
      </c>
      <c r="I7" s="78">
        <f ca="1">IF($A7&lt;&gt;"",INDIRECT("'"&amp;$A7&amp;"'!L19"),"")</f>
        <v>4</v>
      </c>
      <c r="J7" s="78">
        <f ca="1">IF($A7&lt;&gt;"",INDIRECT("'"&amp;$A7&amp;"'!L20"),"")</f>
        <v>3</v>
      </c>
      <c r="K7" s="78">
        <f ca="1">IF($A7&lt;&gt;"",INDIRECT("'"&amp;$A7&amp;"'!L21"),"")</f>
        <v>2</v>
      </c>
      <c r="L7" s="78">
        <f ca="1">IF($A7&lt;&gt;"",INDIRECT("'"&amp;$A7&amp;"'!L22"),"")</f>
        <v>1</v>
      </c>
      <c r="M7" s="78">
        <f ca="1">IF($A7&lt;&gt;"",INDIRECT("'"&amp;$A7&amp;"'!L23"),"")</f>
        <v>1</v>
      </c>
      <c r="N7" s="78">
        <f ca="1">IF($A7&lt;&gt;"",INDIRECT("'"&amp;$A7&amp;"'!L24"),"")</f>
        <v>10</v>
      </c>
      <c r="O7" s="78">
        <f ca="1">IF($A7&lt;&gt;"",INDIRECT("'"&amp;$A7&amp;"'!L25"),"")</f>
        <v>1</v>
      </c>
      <c r="P7" s="78">
        <f ca="1">IF($A7&lt;&gt;"",INDIRECT("'"&amp;$A7&amp;"'!L26"),"")</f>
        <v>8.5</v>
      </c>
      <c r="Q7" s="78">
        <f ca="1">IF($A7&lt;&gt;"",INDIRECT("'"&amp;$A7&amp;"'!L27"),"")</f>
        <v>7.5</v>
      </c>
      <c r="R7" s="78">
        <f ca="1">IF($A7&lt;&gt;"",INDIRECT("'"&amp;$A7&amp;"'!L28"),"")</f>
        <v>7</v>
      </c>
      <c r="S7" s="78">
        <f ca="1">IF($A7&lt;&gt;"",INDIRECT("'"&amp;$A7&amp;"'!L29"),"")</f>
        <v>9</v>
      </c>
      <c r="T7" s="78">
        <f ca="1">IF($A7&lt;&gt;"",INDIRECT("'"&amp;$A7&amp;"'!L30"),"")</f>
        <v>9</v>
      </c>
      <c r="U7" s="78">
        <f ca="1">IF($A7&lt;&gt;"",INDIRECT("'"&amp;$A7&amp;"'!L31"),"")</f>
        <v>7</v>
      </c>
      <c r="Y7" s="78">
        <f ca="1">IF($A7&lt;&gt;"",INDIRECT("'"&amp;$A7&amp;"'!L35"),"")</f>
        <v>10</v>
      </c>
      <c r="Z7" s="79">
        <f ca="1">IF($A7&lt;&gt;"",INDIRECT("'"&amp;$A7&amp;"'!L36"),"")</f>
        <v>120</v>
      </c>
      <c r="AA7" s="80">
        <f t="shared" ref="AA7:AA13" ca="1" si="4">IF($A7&lt;&gt;"",SUM(C21:Y21)/COUNT(C7:Y7),"")</f>
        <v>0</v>
      </c>
      <c r="AB7" s="79">
        <f ca="1">IF($A7&lt;&gt;"",INDIRECT("'"&amp;$A7&amp;"'!F36"),"")</f>
        <v>20</v>
      </c>
      <c r="AC7" s="79">
        <f ca="1">IF($A7&lt;&gt;"",INDIRECT("'"&amp;$A7&amp;"'!H36"),"")</f>
        <v>9</v>
      </c>
      <c r="AD7" s="79">
        <f ca="1">IF($A7&lt;&gt;"",INDIRECT("'"&amp;$A7&amp;"'!I36"),"")</f>
        <v>7</v>
      </c>
      <c r="AE7" s="78">
        <f ca="1">IF($A7&lt;&gt;"",INDIRECT("'"&amp;$A7&amp;"'!J36"),"")</f>
        <v>0</v>
      </c>
      <c r="AF7" s="79">
        <f ca="1">IF($A7&lt;&gt;"",INDIRECT("'"&amp;$A7&amp;"'!K36"),"")</f>
        <v>0</v>
      </c>
    </row>
    <row r="8" spans="1:32" ht="15" customHeight="1" x14ac:dyDescent="0.2">
      <c r="A8" s="21" t="s">
        <v>71</v>
      </c>
      <c r="B8" s="21" t="str">
        <f t="shared" ref="B8:B13" ca="1" si="5">IF(A8&lt;&gt;"",INDIRECT("'"&amp;$A8&amp;"'!E5"),"")</f>
        <v>one(CA)</v>
      </c>
      <c r="C8" s="71">
        <f t="shared" ref="C8:C13" ca="1" si="6">IF($A8&lt;&gt;"",INDIRECT("'"&amp;$A8&amp;"'!L13"),"")</f>
        <v>9</v>
      </c>
      <c r="D8" s="71">
        <f t="shared" ref="D8:D13" ca="1" si="7">IF($A8&lt;&gt;"",INDIRECT("'"&amp;$A8&amp;"'!L14"),"")</f>
        <v>8</v>
      </c>
      <c r="E8" s="71">
        <f t="shared" ref="E8:E13" ca="1" si="8">IF($A8&lt;&gt;"",INDIRECT("'"&amp;$A8&amp;"'!L15"),"")</f>
        <v>7</v>
      </c>
      <c r="F8" s="71">
        <f t="shared" ref="F8:F13" ca="1" si="9">IF($A8&lt;&gt;"",INDIRECT("'"&amp;$A8&amp;"'!L16"),"")</f>
        <v>6</v>
      </c>
      <c r="G8" s="71">
        <f t="shared" ref="G8:G13" ca="1" si="10">IF($A8&lt;&gt;"",INDIRECT("'"&amp;$A8&amp;"'!L17"),"")</f>
        <v>5</v>
      </c>
      <c r="H8" s="71">
        <f t="shared" ref="H8:H13" ca="1" si="11">IF($A8&lt;&gt;"",INDIRECT("'"&amp;$A8&amp;"'!L18"),"")</f>
        <v>5</v>
      </c>
      <c r="I8" s="71">
        <f t="shared" ref="I8:I13" ca="1" si="12">IF($A8&lt;&gt;"",INDIRECT("'"&amp;$A8&amp;"'!L19"),"")</f>
        <v>4</v>
      </c>
      <c r="J8" s="71">
        <f t="shared" ref="J8:J13" ca="1" si="13">IF($A8&lt;&gt;"",INDIRECT("'"&amp;$A8&amp;"'!L20"),"")</f>
        <v>3</v>
      </c>
      <c r="K8" s="71">
        <f t="shared" ref="K8:K13" ca="1" si="14">IF($A8&lt;&gt;"",INDIRECT("'"&amp;$A8&amp;"'!L21"),"")</f>
        <v>2</v>
      </c>
      <c r="L8" s="71">
        <f t="shared" ref="L8:L13" ca="1" si="15">IF($A8&lt;&gt;"",INDIRECT("'"&amp;$A8&amp;"'!L22"),"")</f>
        <v>1</v>
      </c>
      <c r="M8" s="71">
        <f t="shared" ref="M8:M13" ca="1" si="16">IF($A8&lt;&gt;"",INDIRECT("'"&amp;$A8&amp;"'!L23"),"")</f>
        <v>1</v>
      </c>
      <c r="N8" s="71">
        <f t="shared" ref="N8:N13" ca="1" si="17">IF($A8&lt;&gt;"",INDIRECT("'"&amp;$A8&amp;"'!L24"),"")</f>
        <v>10</v>
      </c>
      <c r="O8" s="71">
        <f t="shared" ref="O8:O13" ca="1" si="18">IF($A8&lt;&gt;"",INDIRECT("'"&amp;$A8&amp;"'!L25"),"")</f>
        <v>1</v>
      </c>
      <c r="P8" s="71">
        <f t="shared" ref="P8:P13" ca="1" si="19">IF($A8&lt;&gt;"",INDIRECT("'"&amp;$A8&amp;"'!L26"),"")</f>
        <v>8.5</v>
      </c>
      <c r="Q8" s="71">
        <f t="shared" ref="Q8:Q13" ca="1" si="20">IF($A8&lt;&gt;"",INDIRECT("'"&amp;$A8&amp;"'!L27"),"")</f>
        <v>7.5</v>
      </c>
      <c r="R8" s="71">
        <f t="shared" ref="R8:R13" ca="1" si="21">IF($A8&lt;&gt;"",INDIRECT("'"&amp;$A8&amp;"'!L28"),"")</f>
        <v>7</v>
      </c>
      <c r="S8" s="71">
        <f t="shared" ref="S8:S13" ca="1" si="22">IF($A8&lt;&gt;"",INDIRECT("'"&amp;$A8&amp;"'!L29"),"")</f>
        <v>9</v>
      </c>
      <c r="T8" s="71">
        <f t="shared" ref="T8:T13" ca="1" si="23">IF($A8&lt;&gt;"",INDIRECT("'"&amp;$A8&amp;"'!L30"),"")</f>
        <v>9</v>
      </c>
      <c r="U8" s="71">
        <f t="shared" ref="U8:U13" ca="1" si="24">IF($A8&lt;&gt;"",INDIRECT("'"&amp;$A8&amp;"'!L31"),"")</f>
        <v>7</v>
      </c>
      <c r="Y8" s="71">
        <f t="shared" ref="Y8:Y13" ca="1" si="25">IF($A8&lt;&gt;"",INDIRECT("'"&amp;$A8&amp;"'!L35"),"")</f>
        <v>10</v>
      </c>
      <c r="Z8" s="72">
        <f t="shared" ref="Z8:Z13" ca="1" si="26">IF($A8&lt;&gt;"",INDIRECT("'"&amp;$A8&amp;"'!L36"),"")</f>
        <v>120</v>
      </c>
      <c r="AA8" s="81">
        <f t="shared" ca="1" si="4"/>
        <v>1</v>
      </c>
      <c r="AB8" s="72">
        <f t="shared" ref="AB8:AB13" ca="1" si="27">IF($A8&lt;&gt;"",INDIRECT("'"&amp;$A8&amp;"'!F36"),"")</f>
        <v>20</v>
      </c>
      <c r="AC8" s="72">
        <f t="shared" ref="AC8:AC13" ca="1" si="28">IF($A8&lt;&gt;"",INDIRECT("'"&amp;$A8&amp;"'!H36"),"")</f>
        <v>9</v>
      </c>
      <c r="AD8" s="72">
        <f t="shared" ref="AD8:AD13" ca="1" si="29">IF($A8&lt;&gt;"",INDIRECT("'"&amp;$A8&amp;"'!I36"),"")</f>
        <v>7</v>
      </c>
      <c r="AE8" s="71">
        <f t="shared" ref="AE8:AE13" ca="1" si="30">IF($A8&lt;&gt;"",INDIRECT("'"&amp;$A8&amp;"'!J36"),"")</f>
        <v>0</v>
      </c>
      <c r="AF8" s="72">
        <f t="shared" ref="AF8:AF13" ca="1" si="31">IF($A8&lt;&gt;"",INDIRECT("'"&amp;$A8&amp;"'!K36"),"")</f>
        <v>0</v>
      </c>
    </row>
    <row r="9" spans="1:32" ht="15" customHeight="1" x14ac:dyDescent="0.2">
      <c r="A9" s="21" t="s">
        <v>73</v>
      </c>
      <c r="B9" s="21" t="str">
        <f t="shared" ca="1" si="5"/>
        <v>two(CB)</v>
      </c>
      <c r="C9" s="71">
        <f t="shared" ca="1" si="6"/>
        <v>9</v>
      </c>
      <c r="D9" s="71">
        <f t="shared" ca="1" si="7"/>
        <v>8</v>
      </c>
      <c r="E9" s="71">
        <f t="shared" ca="1" si="8"/>
        <v>7</v>
      </c>
      <c r="F9" s="71">
        <f t="shared" ca="1" si="9"/>
        <v>6</v>
      </c>
      <c r="G9" s="71">
        <f t="shared" ca="1" si="10"/>
        <v>5</v>
      </c>
      <c r="H9" s="71">
        <f t="shared" ca="1" si="11"/>
        <v>5</v>
      </c>
      <c r="I9" s="71">
        <f t="shared" ca="1" si="12"/>
        <v>4</v>
      </c>
      <c r="J9" s="71">
        <f t="shared" ca="1" si="13"/>
        <v>3</v>
      </c>
      <c r="K9" s="71">
        <f t="shared" ca="1" si="14"/>
        <v>2</v>
      </c>
      <c r="L9" s="71">
        <f t="shared" ca="1" si="15"/>
        <v>1</v>
      </c>
      <c r="M9" s="71">
        <f t="shared" ca="1" si="16"/>
        <v>1</v>
      </c>
      <c r="N9" s="71">
        <f t="shared" ca="1" si="17"/>
        <v>10</v>
      </c>
      <c r="O9" s="71">
        <f t="shared" ca="1" si="18"/>
        <v>1</v>
      </c>
      <c r="P9" s="71">
        <f t="shared" ca="1" si="19"/>
        <v>8.5</v>
      </c>
      <c r="Q9" s="71">
        <f t="shared" ca="1" si="20"/>
        <v>7.5</v>
      </c>
      <c r="R9" s="71">
        <f t="shared" ca="1" si="21"/>
        <v>7</v>
      </c>
      <c r="S9" s="71">
        <f t="shared" ca="1" si="22"/>
        <v>9</v>
      </c>
      <c r="T9" s="71">
        <f t="shared" ca="1" si="23"/>
        <v>9</v>
      </c>
      <c r="U9" s="71">
        <f t="shared" ca="1" si="24"/>
        <v>7</v>
      </c>
      <c r="Y9" s="71">
        <f t="shared" ca="1" si="25"/>
        <v>10</v>
      </c>
      <c r="Z9" s="72">
        <f t="shared" ca="1" si="26"/>
        <v>120</v>
      </c>
      <c r="AA9" s="82">
        <f t="shared" ca="1" si="4"/>
        <v>1</v>
      </c>
      <c r="AB9" s="72">
        <f t="shared" ca="1" si="27"/>
        <v>20</v>
      </c>
      <c r="AC9" s="72">
        <f t="shared" ca="1" si="28"/>
        <v>9</v>
      </c>
      <c r="AD9" s="72">
        <f t="shared" ca="1" si="29"/>
        <v>7</v>
      </c>
      <c r="AE9" s="71">
        <f t="shared" ca="1" si="30"/>
        <v>0</v>
      </c>
      <c r="AF9" s="72">
        <f t="shared" ca="1" si="31"/>
        <v>0</v>
      </c>
    </row>
    <row r="10" spans="1:32" ht="15" customHeight="1" x14ac:dyDescent="0.2">
      <c r="A10" s="21" t="s">
        <v>75</v>
      </c>
      <c r="B10" s="21" t="str">
        <f t="shared" ca="1" si="5"/>
        <v>head(CC)</v>
      </c>
      <c r="C10" s="71">
        <f t="shared" ca="1" si="6"/>
        <v>9</v>
      </c>
      <c r="D10" s="71">
        <f t="shared" ca="1" si="7"/>
        <v>8</v>
      </c>
      <c r="E10" s="71">
        <f t="shared" ca="1" si="8"/>
        <v>7</v>
      </c>
      <c r="F10" s="71">
        <f t="shared" ca="1" si="9"/>
        <v>6</v>
      </c>
      <c r="G10" s="71">
        <f t="shared" ca="1" si="10"/>
        <v>5</v>
      </c>
      <c r="H10" s="71">
        <f t="shared" ca="1" si="11"/>
        <v>5</v>
      </c>
      <c r="I10" s="71">
        <f t="shared" ca="1" si="12"/>
        <v>4</v>
      </c>
      <c r="J10" s="71">
        <f t="shared" ca="1" si="13"/>
        <v>3</v>
      </c>
      <c r="K10" s="71">
        <f t="shared" ca="1" si="14"/>
        <v>2</v>
      </c>
      <c r="L10" s="71">
        <f t="shared" ca="1" si="15"/>
        <v>1</v>
      </c>
      <c r="M10" s="71">
        <f t="shared" ca="1" si="16"/>
        <v>1</v>
      </c>
      <c r="N10" s="71">
        <f t="shared" ca="1" si="17"/>
        <v>10</v>
      </c>
      <c r="O10" s="71">
        <f t="shared" ca="1" si="18"/>
        <v>1</v>
      </c>
      <c r="P10" s="71">
        <f t="shared" ca="1" si="19"/>
        <v>8.5</v>
      </c>
      <c r="Q10" s="71">
        <f t="shared" ca="1" si="20"/>
        <v>7.5</v>
      </c>
      <c r="R10" s="71">
        <f t="shared" ca="1" si="21"/>
        <v>7</v>
      </c>
      <c r="S10" s="71">
        <f t="shared" ca="1" si="22"/>
        <v>9</v>
      </c>
      <c r="T10" s="71">
        <f t="shared" ca="1" si="23"/>
        <v>9</v>
      </c>
      <c r="U10" s="71">
        <f t="shared" ca="1" si="24"/>
        <v>7</v>
      </c>
      <c r="Y10" s="71">
        <f t="shared" ca="1" si="25"/>
        <v>10</v>
      </c>
      <c r="Z10" s="72">
        <f t="shared" ca="1" si="26"/>
        <v>120</v>
      </c>
      <c r="AA10" s="82">
        <f t="shared" ca="1" si="4"/>
        <v>1</v>
      </c>
      <c r="AB10" s="72">
        <f t="shared" ca="1" si="27"/>
        <v>20</v>
      </c>
      <c r="AC10" s="72">
        <f t="shared" ca="1" si="28"/>
        <v>9</v>
      </c>
      <c r="AD10" s="72">
        <f t="shared" ca="1" si="29"/>
        <v>7</v>
      </c>
      <c r="AE10" s="71">
        <f t="shared" ca="1" si="30"/>
        <v>0</v>
      </c>
      <c r="AF10" s="72">
        <f t="shared" ca="1" si="31"/>
        <v>0</v>
      </c>
    </row>
    <row r="11" spans="1:32" ht="15" customHeight="1" x14ac:dyDescent="0.2">
      <c r="A11" s="21" t="s">
        <v>77</v>
      </c>
      <c r="B11" s="21" t="str">
        <f t="shared" ca="1" si="5"/>
        <v>four-out(C3)</v>
      </c>
      <c r="C11" s="71">
        <f t="shared" ca="1" si="6"/>
        <v>9</v>
      </c>
      <c r="D11" s="71">
        <f t="shared" ca="1" si="7"/>
        <v>8</v>
      </c>
      <c r="E11" s="71">
        <f t="shared" ca="1" si="8"/>
        <v>7</v>
      </c>
      <c r="F11" s="71">
        <f t="shared" ca="1" si="9"/>
        <v>6</v>
      </c>
      <c r="G11" s="71">
        <f t="shared" ca="1" si="10"/>
        <v>5</v>
      </c>
      <c r="H11" s="71">
        <f t="shared" ca="1" si="11"/>
        <v>5</v>
      </c>
      <c r="I11" s="71">
        <f t="shared" ca="1" si="12"/>
        <v>4</v>
      </c>
      <c r="J11" s="71">
        <f t="shared" ca="1" si="13"/>
        <v>3</v>
      </c>
      <c r="K11" s="71">
        <f t="shared" ca="1" si="14"/>
        <v>2</v>
      </c>
      <c r="L11" s="71">
        <f t="shared" ca="1" si="15"/>
        <v>1</v>
      </c>
      <c r="M11" s="71">
        <f t="shared" ca="1" si="16"/>
        <v>1</v>
      </c>
      <c r="N11" s="71">
        <f t="shared" ca="1" si="17"/>
        <v>10</v>
      </c>
      <c r="O11" s="71">
        <f t="shared" ca="1" si="18"/>
        <v>1</v>
      </c>
      <c r="P11" s="71">
        <f t="shared" ca="1" si="19"/>
        <v>8.5</v>
      </c>
      <c r="Q11" s="71">
        <f t="shared" ca="1" si="20"/>
        <v>7.5</v>
      </c>
      <c r="R11" s="71">
        <f t="shared" ca="1" si="21"/>
        <v>7</v>
      </c>
      <c r="S11" s="71">
        <f t="shared" ca="1" si="22"/>
        <v>9</v>
      </c>
      <c r="T11" s="71">
        <f t="shared" ca="1" si="23"/>
        <v>9</v>
      </c>
      <c r="U11" s="71">
        <f t="shared" ca="1" si="24"/>
        <v>7</v>
      </c>
      <c r="Y11" s="71">
        <f t="shared" ca="1" si="25"/>
        <v>10</v>
      </c>
      <c r="Z11" s="72">
        <f t="shared" ca="1" si="26"/>
        <v>120</v>
      </c>
      <c r="AA11" s="82">
        <f t="shared" ca="1" si="4"/>
        <v>1</v>
      </c>
      <c r="AB11" s="72">
        <f t="shared" ca="1" si="27"/>
        <v>20</v>
      </c>
      <c r="AC11" s="72">
        <f t="shared" ca="1" si="28"/>
        <v>9</v>
      </c>
      <c r="AD11" s="72">
        <f t="shared" ca="1" si="29"/>
        <v>7</v>
      </c>
      <c r="AE11" s="71">
        <f t="shared" ca="1" si="30"/>
        <v>0</v>
      </c>
      <c r="AF11" s="72">
        <f t="shared" ca="1" si="31"/>
        <v>0</v>
      </c>
    </row>
    <row r="12" spans="1:32" ht="15" customHeight="1" thickBot="1" x14ac:dyDescent="0.25">
      <c r="A12" s="21" t="s">
        <v>79</v>
      </c>
      <c r="B12" s="83" t="str">
        <f t="shared" ca="1" si="5"/>
        <v>five(CE)</v>
      </c>
      <c r="C12" s="84">
        <f t="shared" ca="1" si="6"/>
        <v>9</v>
      </c>
      <c r="D12" s="84">
        <f t="shared" ca="1" si="7"/>
        <v>8</v>
      </c>
      <c r="E12" s="84">
        <f t="shared" ca="1" si="8"/>
        <v>7</v>
      </c>
      <c r="F12" s="84">
        <f t="shared" ca="1" si="9"/>
        <v>6</v>
      </c>
      <c r="G12" s="84">
        <f t="shared" ca="1" si="10"/>
        <v>5</v>
      </c>
      <c r="H12" s="84">
        <f t="shared" ca="1" si="11"/>
        <v>5</v>
      </c>
      <c r="I12" s="84">
        <f t="shared" ca="1" si="12"/>
        <v>4</v>
      </c>
      <c r="J12" s="84">
        <f t="shared" ca="1" si="13"/>
        <v>3</v>
      </c>
      <c r="K12" s="84">
        <f t="shared" ca="1" si="14"/>
        <v>2</v>
      </c>
      <c r="L12" s="84">
        <f t="shared" ca="1" si="15"/>
        <v>1</v>
      </c>
      <c r="M12" s="84">
        <f t="shared" ca="1" si="16"/>
        <v>1</v>
      </c>
      <c r="N12" s="84">
        <f t="shared" ca="1" si="17"/>
        <v>10</v>
      </c>
      <c r="O12" s="84">
        <f t="shared" ca="1" si="18"/>
        <v>1</v>
      </c>
      <c r="P12" s="84">
        <f t="shared" ca="1" si="19"/>
        <v>8.5</v>
      </c>
      <c r="Q12" s="84">
        <f t="shared" ca="1" si="20"/>
        <v>7.5</v>
      </c>
      <c r="R12" s="84">
        <f t="shared" ca="1" si="21"/>
        <v>7</v>
      </c>
      <c r="S12" s="84">
        <f t="shared" ca="1" si="22"/>
        <v>9</v>
      </c>
      <c r="T12" s="84">
        <f t="shared" ca="1" si="23"/>
        <v>9</v>
      </c>
      <c r="U12" s="84">
        <f t="shared" ca="1" si="24"/>
        <v>7</v>
      </c>
      <c r="Y12" s="84">
        <f t="shared" ca="1" si="25"/>
        <v>10</v>
      </c>
      <c r="Z12" s="85">
        <f t="shared" ca="1" si="26"/>
        <v>120</v>
      </c>
      <c r="AA12" s="82">
        <f t="shared" ca="1" si="4"/>
        <v>1</v>
      </c>
      <c r="AB12" s="85">
        <f t="shared" ca="1" si="27"/>
        <v>20</v>
      </c>
      <c r="AC12" s="85">
        <f t="shared" ca="1" si="28"/>
        <v>9</v>
      </c>
      <c r="AD12" s="85">
        <f t="shared" ca="1" si="29"/>
        <v>7</v>
      </c>
      <c r="AE12" s="84">
        <f t="shared" ca="1" si="30"/>
        <v>0</v>
      </c>
      <c r="AF12" s="85">
        <f t="shared" ca="1" si="31"/>
        <v>0</v>
      </c>
    </row>
    <row r="13" spans="1:32" ht="13.5" thickBot="1" x14ac:dyDescent="0.25">
      <c r="A13" s="86" t="s">
        <v>81</v>
      </c>
      <c r="B13" s="86" t="str">
        <f t="shared" ca="1" si="5"/>
        <v>springer(CF)</v>
      </c>
      <c r="C13" s="87">
        <f t="shared" ca="1" si="6"/>
        <v>9</v>
      </c>
      <c r="D13" s="87">
        <f t="shared" ca="1" si="7"/>
        <v>8</v>
      </c>
      <c r="E13" s="87">
        <f t="shared" ca="1" si="8"/>
        <v>7</v>
      </c>
      <c r="F13" s="87">
        <f t="shared" ca="1" si="9"/>
        <v>6</v>
      </c>
      <c r="G13" s="87">
        <f t="shared" ca="1" si="10"/>
        <v>5</v>
      </c>
      <c r="H13" s="87">
        <f t="shared" ca="1" si="11"/>
        <v>5</v>
      </c>
      <c r="I13" s="87">
        <f t="shared" ca="1" si="12"/>
        <v>4</v>
      </c>
      <c r="J13" s="87">
        <f t="shared" ca="1" si="13"/>
        <v>3</v>
      </c>
      <c r="K13" s="87">
        <f t="shared" ca="1" si="14"/>
        <v>2</v>
      </c>
      <c r="L13" s="87">
        <f t="shared" ca="1" si="15"/>
        <v>1</v>
      </c>
      <c r="M13" s="87">
        <f t="shared" ca="1" si="16"/>
        <v>1</v>
      </c>
      <c r="N13" s="87">
        <f t="shared" ca="1" si="17"/>
        <v>10</v>
      </c>
      <c r="O13" s="87">
        <f t="shared" ca="1" si="18"/>
        <v>1</v>
      </c>
      <c r="P13" s="87">
        <f t="shared" ca="1" si="19"/>
        <v>8.5</v>
      </c>
      <c r="Q13" s="87">
        <f t="shared" ca="1" si="20"/>
        <v>7.5</v>
      </c>
      <c r="R13" s="87">
        <f t="shared" ca="1" si="21"/>
        <v>7</v>
      </c>
      <c r="S13" s="87">
        <f t="shared" ca="1" si="22"/>
        <v>9</v>
      </c>
      <c r="T13" s="87">
        <f t="shared" ca="1" si="23"/>
        <v>9</v>
      </c>
      <c r="U13" s="87">
        <f t="shared" ca="1" si="24"/>
        <v>7</v>
      </c>
      <c r="Y13" s="87">
        <f t="shared" ca="1" si="25"/>
        <v>10</v>
      </c>
      <c r="Z13" s="88">
        <f t="shared" ca="1" si="26"/>
        <v>120</v>
      </c>
      <c r="AA13" s="89">
        <f t="shared" ca="1" si="4"/>
        <v>1</v>
      </c>
      <c r="AB13" s="88">
        <f t="shared" ca="1" si="27"/>
        <v>20</v>
      </c>
      <c r="AC13" s="88">
        <f t="shared" ca="1" si="28"/>
        <v>9</v>
      </c>
      <c r="AD13" s="88">
        <f t="shared" ca="1" si="29"/>
        <v>7</v>
      </c>
      <c r="AE13" s="87">
        <f t="shared" ca="1" si="30"/>
        <v>0</v>
      </c>
      <c r="AF13" s="88">
        <f t="shared" ca="1" si="31"/>
        <v>0</v>
      </c>
    </row>
    <row r="14" spans="1:32" ht="15" customHeight="1" x14ac:dyDescent="0.2">
      <c r="A14" s="90"/>
      <c r="B14" s="90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Y14" s="91"/>
      <c r="Z14" s="92"/>
      <c r="AA14" s="93"/>
      <c r="AB14" s="94"/>
      <c r="AC14" s="94"/>
      <c r="AD14" s="94"/>
      <c r="AE14" s="91"/>
      <c r="AF14" s="94"/>
    </row>
    <row r="15" spans="1:32" ht="15" customHeight="1" x14ac:dyDescent="0.2">
      <c r="A15" s="90"/>
      <c r="B15" s="90" t="str">
        <f t="shared" ref="B15:B16" ca="1" si="32">IF(A15&lt;&gt;"",INDIRECT("'"&amp;$A15&amp;"'!E5"),"")</f>
        <v/>
      </c>
      <c r="C15" s="91" t="str">
        <f t="shared" ref="C15:C16" ca="1" si="33">IF($A15&lt;&gt;"",INDIRECT("'"&amp;$A15&amp;"'!L13"),"")</f>
        <v/>
      </c>
      <c r="D15" s="91" t="str">
        <f t="shared" ref="D15:D16" ca="1" si="34">IF($A15&lt;&gt;"",INDIRECT("'"&amp;$A15&amp;"'!L14"),"")</f>
        <v/>
      </c>
      <c r="E15" s="91" t="str">
        <f t="shared" ref="E15:E16" ca="1" si="35">IF($A15&lt;&gt;"",INDIRECT("'"&amp;$A15&amp;"'!L15"),"")</f>
        <v/>
      </c>
      <c r="F15" s="91" t="str">
        <f t="shared" ref="F15:F16" ca="1" si="36">IF($A15&lt;&gt;"",INDIRECT("'"&amp;$A15&amp;"'!L16"),"")</f>
        <v/>
      </c>
      <c r="G15" s="91" t="str">
        <f t="shared" ref="G15:G16" ca="1" si="37">IF($A15&lt;&gt;"",INDIRECT("'"&amp;$A15&amp;"'!L17"),"")</f>
        <v/>
      </c>
      <c r="H15" s="91" t="str">
        <f t="shared" ref="H15:H16" ca="1" si="38">IF($A15&lt;&gt;"",INDIRECT("'"&amp;$A15&amp;"'!L18"),"")</f>
        <v/>
      </c>
      <c r="I15" s="91" t="str">
        <f t="shared" ref="I15:I16" ca="1" si="39">IF($A15&lt;&gt;"",INDIRECT("'"&amp;$A15&amp;"'!L19"),"")</f>
        <v/>
      </c>
      <c r="J15" s="91" t="str">
        <f t="shared" ref="J15:J16" ca="1" si="40">IF($A15&lt;&gt;"",INDIRECT("'"&amp;$A15&amp;"'!L20"),"")</f>
        <v/>
      </c>
      <c r="K15" s="91" t="str">
        <f t="shared" ref="K15:K16" ca="1" si="41">IF($A15&lt;&gt;"",INDIRECT("'"&amp;$A15&amp;"'!L21"),"")</f>
        <v/>
      </c>
      <c r="L15" s="91" t="str">
        <f t="shared" ref="L15:L16" ca="1" si="42">IF($A15&lt;&gt;"",INDIRECT("'"&amp;$A15&amp;"'!L22"),"")</f>
        <v/>
      </c>
      <c r="M15" s="91" t="str">
        <f t="shared" ref="M15:M16" ca="1" si="43">IF($A15&lt;&gt;"",INDIRECT("'"&amp;$A15&amp;"'!L23"),"")</f>
        <v/>
      </c>
      <c r="N15" s="91" t="str">
        <f t="shared" ref="N15:N16" ca="1" si="44">IF($A15&lt;&gt;"",INDIRECT("'"&amp;$A15&amp;"'!L24"),"")</f>
        <v/>
      </c>
      <c r="O15" s="91" t="str">
        <f t="shared" ref="O15:O16" ca="1" si="45">IF($A15&lt;&gt;"",INDIRECT("'"&amp;$A15&amp;"'!L25"),"")</f>
        <v/>
      </c>
      <c r="P15" s="91" t="str">
        <f t="shared" ref="P15:P16" ca="1" si="46">IF($A15&lt;&gt;"",INDIRECT("'"&amp;$A15&amp;"'!L26"),"")</f>
        <v/>
      </c>
      <c r="Q15" s="91" t="str">
        <f t="shared" ref="Q15:Q16" ca="1" si="47">IF($A15&lt;&gt;"",INDIRECT("'"&amp;$A15&amp;"'!L27"),"")</f>
        <v/>
      </c>
      <c r="R15" s="91" t="str">
        <f t="shared" ref="R15:R16" ca="1" si="48">IF($A15&lt;&gt;"",INDIRECT("'"&amp;$A15&amp;"'!L28"),"")</f>
        <v/>
      </c>
      <c r="S15" s="91" t="str">
        <f t="shared" ref="S15:S16" ca="1" si="49">IF($A15&lt;&gt;"",INDIRECT("'"&amp;$A15&amp;"'!L29"),"")</f>
        <v/>
      </c>
      <c r="T15" s="91" t="str">
        <f t="shared" ref="T15:T16" ca="1" si="50">IF($A15&lt;&gt;"",INDIRECT("'"&amp;$A15&amp;"'!L30"),"")</f>
        <v/>
      </c>
      <c r="U15" s="91" t="str">
        <f t="shared" ref="U15:U16" ca="1" si="51">IF($A15&lt;&gt;"",INDIRECT("'"&amp;$A15&amp;"'!L31"),"")</f>
        <v/>
      </c>
      <c r="Y15" s="91" t="str">
        <f t="shared" ref="Y15:Y16" ca="1" si="52">IF($A15&lt;&gt;"",INDIRECT("'"&amp;$A15&amp;"'!L35"),"")</f>
        <v/>
      </c>
      <c r="Z15" s="94" t="str">
        <f t="shared" ref="Z15:Z16" ca="1" si="53">IF($A15&lt;&gt;"",INDIRECT("'"&amp;$A15&amp;"'!L36"),"")</f>
        <v/>
      </c>
      <c r="AA15" s="95" t="str">
        <f t="shared" ref="AA15:AA16" si="54">IF($A15&lt;&gt;"",SUM(C29:Y29)/COUNT(C15:Y15),"")</f>
        <v/>
      </c>
      <c r="AB15" s="94" t="str">
        <f t="shared" ref="AB15:AB16" ca="1" si="55">IF($A15&lt;&gt;"",INDIRECT("'"&amp;$A15&amp;"'!F36"),"")</f>
        <v/>
      </c>
      <c r="AC15" s="94" t="str">
        <f t="shared" ref="AC15:AC16" ca="1" si="56">IF($A15&lt;&gt;"",INDIRECT("'"&amp;$A15&amp;"'!H36"),"")</f>
        <v/>
      </c>
      <c r="AD15" s="94" t="str">
        <f t="shared" ref="AD15:AD16" ca="1" si="57">IF($A15&lt;&gt;"",INDIRECT("'"&amp;$A15&amp;"'!I36"),"")</f>
        <v/>
      </c>
      <c r="AE15" s="91" t="str">
        <f t="shared" ref="AE15:AE16" ca="1" si="58">IF($A15&lt;&gt;"",INDIRECT("'"&amp;$A15&amp;"'!J36"),"")</f>
        <v/>
      </c>
      <c r="AF15" s="94" t="str">
        <f t="shared" ref="AF15:AF16" ca="1" si="59">IF($A15&lt;&gt;"",INDIRECT("'"&amp;$A15&amp;"'!K36"),"")</f>
        <v/>
      </c>
    </row>
    <row r="16" spans="1:32" ht="15" customHeight="1" x14ac:dyDescent="0.2">
      <c r="A16" s="90"/>
      <c r="B16" s="90" t="str">
        <f t="shared" ca="1" si="32"/>
        <v/>
      </c>
      <c r="C16" s="91" t="str">
        <f t="shared" ca="1" si="33"/>
        <v/>
      </c>
      <c r="D16" s="91" t="str">
        <f t="shared" ca="1" si="34"/>
        <v/>
      </c>
      <c r="E16" s="91" t="str">
        <f t="shared" ca="1" si="35"/>
        <v/>
      </c>
      <c r="F16" s="91" t="str">
        <f t="shared" ca="1" si="36"/>
        <v/>
      </c>
      <c r="G16" s="91" t="str">
        <f t="shared" ca="1" si="37"/>
        <v/>
      </c>
      <c r="H16" s="91" t="str">
        <f t="shared" ca="1" si="38"/>
        <v/>
      </c>
      <c r="I16" s="91" t="str">
        <f t="shared" ca="1" si="39"/>
        <v/>
      </c>
      <c r="J16" s="91" t="str">
        <f t="shared" ca="1" si="40"/>
        <v/>
      </c>
      <c r="K16" s="91" t="str">
        <f t="shared" ca="1" si="41"/>
        <v/>
      </c>
      <c r="L16" s="91" t="str">
        <f t="shared" ca="1" si="42"/>
        <v/>
      </c>
      <c r="M16" s="91" t="str">
        <f t="shared" ca="1" si="43"/>
        <v/>
      </c>
      <c r="N16" s="91" t="str">
        <f t="shared" ca="1" si="44"/>
        <v/>
      </c>
      <c r="O16" s="91" t="str">
        <f t="shared" ca="1" si="45"/>
        <v/>
      </c>
      <c r="P16" s="91" t="str">
        <f t="shared" ca="1" si="46"/>
        <v/>
      </c>
      <c r="Q16" s="91" t="str">
        <f t="shared" ca="1" si="47"/>
        <v/>
      </c>
      <c r="R16" s="91" t="str">
        <f t="shared" ca="1" si="48"/>
        <v/>
      </c>
      <c r="S16" s="91" t="str">
        <f t="shared" ca="1" si="49"/>
        <v/>
      </c>
      <c r="T16" s="91" t="str">
        <f t="shared" ca="1" si="50"/>
        <v/>
      </c>
      <c r="U16" s="91" t="str">
        <f t="shared" ca="1" si="51"/>
        <v/>
      </c>
      <c r="Y16" s="91" t="str">
        <f t="shared" ca="1" si="52"/>
        <v/>
      </c>
      <c r="Z16" s="94" t="str">
        <f t="shared" ca="1" si="53"/>
        <v/>
      </c>
      <c r="AA16" s="95" t="str">
        <f t="shared" si="54"/>
        <v/>
      </c>
      <c r="AB16" s="94" t="str">
        <f t="shared" ca="1" si="55"/>
        <v/>
      </c>
      <c r="AC16" s="94" t="str">
        <f t="shared" ca="1" si="56"/>
        <v/>
      </c>
      <c r="AD16" s="94" t="str">
        <f t="shared" ca="1" si="57"/>
        <v/>
      </c>
      <c r="AE16" s="91" t="str">
        <f t="shared" ca="1" si="58"/>
        <v/>
      </c>
      <c r="AF16" s="94" t="str">
        <f t="shared" ca="1" si="59"/>
        <v/>
      </c>
    </row>
    <row r="17" spans="1:32" ht="15" customHeight="1" x14ac:dyDescent="0.2">
      <c r="A17" s="150"/>
      <c r="B17" s="150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Y17" s="96"/>
      <c r="AF17" s="96"/>
    </row>
    <row r="18" spans="1:32" ht="15" customHeight="1" x14ac:dyDescent="0.2">
      <c r="A18" s="150"/>
      <c r="B18" s="150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Y18" s="97"/>
      <c r="AF18" s="97"/>
    </row>
    <row r="21" spans="1:32" hidden="1" x14ac:dyDescent="0.2">
      <c r="A21" s="21" t="s">
        <v>19</v>
      </c>
    </row>
    <row r="22" spans="1:32" hidden="1" x14ac:dyDescent="0.2">
      <c r="A22" s="21" t="str">
        <f>A8</f>
        <v>Wertung 1</v>
      </c>
      <c r="B22" s="21" t="str">
        <f ca="1">B8</f>
        <v>one(CA)</v>
      </c>
      <c r="C22" s="21">
        <f t="shared" ref="C22:Y30" ca="1" si="60">IF($A8&lt;&gt;"",IF(ABS(C$3/3-C8)&lt;=0.75,1,0),"")</f>
        <v>1</v>
      </c>
      <c r="D22" s="21">
        <f t="shared" ca="1" si="60"/>
        <v>1</v>
      </c>
      <c r="E22" s="21">
        <f t="shared" ca="1" si="60"/>
        <v>1</v>
      </c>
      <c r="F22" s="21">
        <f t="shared" ca="1" si="60"/>
        <v>1</v>
      </c>
      <c r="G22" s="21">
        <f t="shared" ca="1" si="60"/>
        <v>1</v>
      </c>
      <c r="H22" s="21">
        <f t="shared" ca="1" si="60"/>
        <v>1</v>
      </c>
      <c r="I22" s="21">
        <f t="shared" ca="1" si="60"/>
        <v>1</v>
      </c>
      <c r="J22" s="21">
        <f t="shared" ca="1" si="60"/>
        <v>1</v>
      </c>
      <c r="K22" s="21">
        <f t="shared" ca="1" si="60"/>
        <v>1</v>
      </c>
      <c r="L22" s="21">
        <f t="shared" ca="1" si="60"/>
        <v>1</v>
      </c>
      <c r="M22" s="21">
        <f t="shared" ca="1" si="60"/>
        <v>1</v>
      </c>
      <c r="N22" s="21">
        <f t="shared" ca="1" si="60"/>
        <v>1</v>
      </c>
      <c r="O22" s="21">
        <f t="shared" ca="1" si="60"/>
        <v>1</v>
      </c>
      <c r="P22" s="21">
        <f t="shared" ca="1" si="60"/>
        <v>1</v>
      </c>
      <c r="Q22" s="21">
        <f t="shared" ca="1" si="60"/>
        <v>1</v>
      </c>
      <c r="R22" s="21">
        <f t="shared" ca="1" si="60"/>
        <v>1</v>
      </c>
      <c r="S22" s="21">
        <f t="shared" ca="1" si="60"/>
        <v>1</v>
      </c>
      <c r="T22" s="21">
        <f t="shared" ca="1" si="60"/>
        <v>1</v>
      </c>
      <c r="U22" s="21">
        <f t="shared" ca="1" si="60"/>
        <v>1</v>
      </c>
      <c r="Y22" s="21">
        <f t="shared" ca="1" si="60"/>
        <v>1</v>
      </c>
    </row>
    <row r="23" spans="1:32" hidden="1" x14ac:dyDescent="0.2">
      <c r="A23" s="21" t="str">
        <f>A9</f>
        <v>Wertung 2</v>
      </c>
      <c r="B23" s="21" t="str">
        <f ca="1">B9</f>
        <v>two(CB)</v>
      </c>
      <c r="C23" s="21">
        <f t="shared" ca="1" si="60"/>
        <v>1</v>
      </c>
      <c r="D23" s="21">
        <f t="shared" ca="1" si="60"/>
        <v>1</v>
      </c>
      <c r="E23" s="21">
        <f t="shared" ca="1" si="60"/>
        <v>1</v>
      </c>
      <c r="F23" s="21">
        <f t="shared" ca="1" si="60"/>
        <v>1</v>
      </c>
      <c r="G23" s="21">
        <f t="shared" ca="1" si="60"/>
        <v>1</v>
      </c>
      <c r="H23" s="21">
        <f t="shared" ca="1" si="60"/>
        <v>1</v>
      </c>
      <c r="I23" s="21">
        <f t="shared" ca="1" si="60"/>
        <v>1</v>
      </c>
      <c r="J23" s="21">
        <f t="shared" ca="1" si="60"/>
        <v>1</v>
      </c>
      <c r="K23" s="21">
        <f t="shared" ca="1" si="60"/>
        <v>1</v>
      </c>
      <c r="L23" s="21">
        <f t="shared" ca="1" si="60"/>
        <v>1</v>
      </c>
      <c r="M23" s="21">
        <f t="shared" ca="1" si="60"/>
        <v>1</v>
      </c>
      <c r="N23" s="21">
        <f t="shared" ca="1" si="60"/>
        <v>1</v>
      </c>
      <c r="O23" s="21">
        <f t="shared" ca="1" si="60"/>
        <v>1</v>
      </c>
      <c r="P23" s="21">
        <f t="shared" ca="1" si="60"/>
        <v>1</v>
      </c>
      <c r="Q23" s="21">
        <f t="shared" ca="1" si="60"/>
        <v>1</v>
      </c>
      <c r="R23" s="21">
        <f t="shared" ca="1" si="60"/>
        <v>1</v>
      </c>
      <c r="S23" s="21">
        <f t="shared" ca="1" si="60"/>
        <v>1</v>
      </c>
      <c r="T23" s="21">
        <f t="shared" ca="1" si="60"/>
        <v>1</v>
      </c>
      <c r="U23" s="21">
        <f t="shared" ca="1" si="60"/>
        <v>1</v>
      </c>
      <c r="Y23" s="21">
        <f t="shared" ca="1" si="60"/>
        <v>1</v>
      </c>
    </row>
    <row r="24" spans="1:32" hidden="1" x14ac:dyDescent="0.2">
      <c r="A24" s="21" t="str">
        <f>A10</f>
        <v>Wertung 3 (H)</v>
      </c>
      <c r="B24" s="21" t="str">
        <f t="shared" ref="B24:B30" ca="1" si="61">B10</f>
        <v>head(CC)</v>
      </c>
      <c r="C24" s="21">
        <f t="shared" ca="1" si="60"/>
        <v>1</v>
      </c>
      <c r="D24" s="21">
        <f t="shared" ca="1" si="60"/>
        <v>1</v>
      </c>
      <c r="E24" s="21">
        <f t="shared" ca="1" si="60"/>
        <v>1</v>
      </c>
      <c r="F24" s="21">
        <f t="shared" ca="1" si="60"/>
        <v>1</v>
      </c>
      <c r="G24" s="21">
        <f t="shared" ca="1" si="60"/>
        <v>1</v>
      </c>
      <c r="H24" s="21">
        <f t="shared" ca="1" si="60"/>
        <v>1</v>
      </c>
      <c r="I24" s="21">
        <f t="shared" ca="1" si="60"/>
        <v>1</v>
      </c>
      <c r="J24" s="21">
        <f t="shared" ca="1" si="60"/>
        <v>1</v>
      </c>
      <c r="K24" s="21">
        <f t="shared" ca="1" si="60"/>
        <v>1</v>
      </c>
      <c r="L24" s="21">
        <f t="shared" ca="1" si="60"/>
        <v>1</v>
      </c>
      <c r="M24" s="21">
        <f t="shared" ca="1" si="60"/>
        <v>1</v>
      </c>
      <c r="N24" s="21">
        <f t="shared" ca="1" si="60"/>
        <v>1</v>
      </c>
      <c r="O24" s="21">
        <f t="shared" ca="1" si="60"/>
        <v>1</v>
      </c>
      <c r="P24" s="21">
        <f t="shared" ca="1" si="60"/>
        <v>1</v>
      </c>
      <c r="Q24" s="21">
        <f t="shared" ca="1" si="60"/>
        <v>1</v>
      </c>
      <c r="R24" s="21">
        <f t="shared" ca="1" si="60"/>
        <v>1</v>
      </c>
      <c r="S24" s="21">
        <f t="shared" ca="1" si="60"/>
        <v>1</v>
      </c>
      <c r="T24" s="21">
        <f t="shared" ca="1" si="60"/>
        <v>1</v>
      </c>
      <c r="U24" s="21">
        <f t="shared" ca="1" si="60"/>
        <v>1</v>
      </c>
      <c r="Y24" s="21">
        <f t="shared" ca="1" si="60"/>
        <v>1</v>
      </c>
    </row>
    <row r="25" spans="1:32" hidden="1" x14ac:dyDescent="0.2">
      <c r="A25" s="21" t="str">
        <f>A11</f>
        <v>Wertung 4</v>
      </c>
      <c r="B25" s="21" t="str">
        <f t="shared" ca="1" si="61"/>
        <v>four-out(C3)</v>
      </c>
      <c r="C25" s="21">
        <f t="shared" ca="1" si="60"/>
        <v>1</v>
      </c>
      <c r="D25" s="21">
        <f t="shared" ca="1" si="60"/>
        <v>1</v>
      </c>
      <c r="E25" s="21">
        <f t="shared" ca="1" si="60"/>
        <v>1</v>
      </c>
      <c r="F25" s="21">
        <f t="shared" ca="1" si="60"/>
        <v>1</v>
      </c>
      <c r="G25" s="21">
        <f t="shared" ca="1" si="60"/>
        <v>1</v>
      </c>
      <c r="H25" s="21">
        <f t="shared" ca="1" si="60"/>
        <v>1</v>
      </c>
      <c r="I25" s="21">
        <f t="shared" ca="1" si="60"/>
        <v>1</v>
      </c>
      <c r="J25" s="21">
        <f t="shared" ca="1" si="60"/>
        <v>1</v>
      </c>
      <c r="K25" s="21">
        <f t="shared" ca="1" si="60"/>
        <v>1</v>
      </c>
      <c r="L25" s="21">
        <f t="shared" ca="1" si="60"/>
        <v>1</v>
      </c>
      <c r="M25" s="21">
        <f t="shared" ca="1" si="60"/>
        <v>1</v>
      </c>
      <c r="N25" s="21">
        <f t="shared" ca="1" si="60"/>
        <v>1</v>
      </c>
      <c r="O25" s="21">
        <f t="shared" ca="1" si="60"/>
        <v>1</v>
      </c>
      <c r="P25" s="21">
        <f t="shared" ca="1" si="60"/>
        <v>1</v>
      </c>
      <c r="Q25" s="21">
        <f t="shared" ca="1" si="60"/>
        <v>1</v>
      </c>
      <c r="R25" s="21">
        <f t="shared" ca="1" si="60"/>
        <v>1</v>
      </c>
      <c r="S25" s="21">
        <f t="shared" ca="1" si="60"/>
        <v>1</v>
      </c>
      <c r="T25" s="21">
        <f t="shared" ca="1" si="60"/>
        <v>1</v>
      </c>
      <c r="U25" s="21">
        <f t="shared" ca="1" si="60"/>
        <v>1</v>
      </c>
      <c r="Y25" s="21">
        <f t="shared" ca="1" si="60"/>
        <v>1</v>
      </c>
    </row>
    <row r="26" spans="1:32" hidden="1" x14ac:dyDescent="0.2">
      <c r="A26" s="21" t="str">
        <f>A12</f>
        <v>Wertung 5</v>
      </c>
      <c r="B26" s="21" t="str">
        <f t="shared" ca="1" si="61"/>
        <v>five(CE)</v>
      </c>
      <c r="C26" s="21">
        <f t="shared" ca="1" si="60"/>
        <v>1</v>
      </c>
      <c r="D26" s="21">
        <f t="shared" ca="1" si="60"/>
        <v>1</v>
      </c>
      <c r="E26" s="21">
        <f t="shared" ca="1" si="60"/>
        <v>1</v>
      </c>
      <c r="F26" s="21">
        <f t="shared" ca="1" si="60"/>
        <v>1</v>
      </c>
      <c r="G26" s="21">
        <f t="shared" ca="1" si="60"/>
        <v>1</v>
      </c>
      <c r="H26" s="21">
        <f t="shared" ca="1" si="60"/>
        <v>1</v>
      </c>
      <c r="I26" s="21">
        <f t="shared" ca="1" si="60"/>
        <v>1</v>
      </c>
      <c r="J26" s="21">
        <f t="shared" ca="1" si="60"/>
        <v>1</v>
      </c>
      <c r="K26" s="21">
        <f t="shared" ca="1" si="60"/>
        <v>1</v>
      </c>
      <c r="L26" s="21">
        <f t="shared" ca="1" si="60"/>
        <v>1</v>
      </c>
      <c r="M26" s="21">
        <f t="shared" ca="1" si="60"/>
        <v>1</v>
      </c>
      <c r="N26" s="21">
        <f t="shared" ca="1" si="60"/>
        <v>1</v>
      </c>
      <c r="O26" s="21">
        <f t="shared" ca="1" si="60"/>
        <v>1</v>
      </c>
      <c r="P26" s="21">
        <f t="shared" ca="1" si="60"/>
        <v>1</v>
      </c>
      <c r="Q26" s="21">
        <f t="shared" ca="1" si="60"/>
        <v>1</v>
      </c>
      <c r="R26" s="21">
        <f t="shared" ca="1" si="60"/>
        <v>1</v>
      </c>
      <c r="S26" s="21">
        <f t="shared" ca="1" si="60"/>
        <v>1</v>
      </c>
      <c r="T26" s="21">
        <f t="shared" ca="1" si="60"/>
        <v>1</v>
      </c>
      <c r="U26" s="21">
        <f t="shared" ca="1" si="60"/>
        <v>1</v>
      </c>
      <c r="Y26" s="21">
        <f t="shared" ca="1" si="60"/>
        <v>1</v>
      </c>
    </row>
    <row r="27" spans="1:32" hidden="1" x14ac:dyDescent="0.2">
      <c r="A27" s="21" t="str">
        <f>A13</f>
        <v>Springer</v>
      </c>
      <c r="B27" s="21" t="str">
        <f t="shared" ca="1" si="61"/>
        <v>springer(CF)</v>
      </c>
      <c r="C27" s="21">
        <f t="shared" ca="1" si="60"/>
        <v>1</v>
      </c>
      <c r="D27" s="21">
        <f t="shared" ca="1" si="60"/>
        <v>1</v>
      </c>
      <c r="E27" s="21">
        <f t="shared" ca="1" si="60"/>
        <v>1</v>
      </c>
      <c r="F27" s="21">
        <f t="shared" ca="1" si="60"/>
        <v>1</v>
      </c>
      <c r="G27" s="21">
        <f t="shared" ca="1" si="60"/>
        <v>1</v>
      </c>
      <c r="H27" s="21">
        <f t="shared" ca="1" si="60"/>
        <v>1</v>
      </c>
      <c r="I27" s="21">
        <f t="shared" ca="1" si="60"/>
        <v>1</v>
      </c>
      <c r="J27" s="21">
        <f t="shared" ca="1" si="60"/>
        <v>1</v>
      </c>
      <c r="K27" s="21">
        <f t="shared" ca="1" si="60"/>
        <v>1</v>
      </c>
      <c r="L27" s="21">
        <f t="shared" ca="1" si="60"/>
        <v>1</v>
      </c>
      <c r="M27" s="21">
        <f t="shared" ca="1" si="60"/>
        <v>1</v>
      </c>
      <c r="N27" s="21">
        <f t="shared" ca="1" si="60"/>
        <v>1</v>
      </c>
      <c r="O27" s="21">
        <f t="shared" ca="1" si="60"/>
        <v>1</v>
      </c>
      <c r="P27" s="21">
        <f t="shared" ca="1" si="60"/>
        <v>1</v>
      </c>
      <c r="Q27" s="21">
        <f t="shared" ca="1" si="60"/>
        <v>1</v>
      </c>
      <c r="R27" s="21">
        <f t="shared" ca="1" si="60"/>
        <v>1</v>
      </c>
      <c r="S27" s="21">
        <f t="shared" ca="1" si="60"/>
        <v>1</v>
      </c>
      <c r="T27" s="21">
        <f t="shared" ca="1" si="60"/>
        <v>1</v>
      </c>
      <c r="U27" s="21">
        <f t="shared" ca="1" si="60"/>
        <v>1</v>
      </c>
      <c r="Y27" s="21">
        <f t="shared" ca="1" si="60"/>
        <v>1</v>
      </c>
    </row>
    <row r="28" spans="1:32" hidden="1" x14ac:dyDescent="0.2"/>
    <row r="29" spans="1:32" hidden="1" x14ac:dyDescent="0.2">
      <c r="A29" s="21">
        <f>A15</f>
        <v>0</v>
      </c>
      <c r="B29" s="21" t="str">
        <f t="shared" ca="1" si="61"/>
        <v/>
      </c>
      <c r="C29" s="21" t="str">
        <f t="shared" si="60"/>
        <v/>
      </c>
      <c r="D29" s="21" t="str">
        <f t="shared" si="60"/>
        <v/>
      </c>
      <c r="E29" s="21" t="str">
        <f t="shared" si="60"/>
        <v/>
      </c>
      <c r="F29" s="21" t="str">
        <f t="shared" si="60"/>
        <v/>
      </c>
      <c r="G29" s="21" t="str">
        <f t="shared" si="60"/>
        <v/>
      </c>
      <c r="H29" s="21" t="str">
        <f t="shared" si="60"/>
        <v/>
      </c>
      <c r="I29" s="21" t="str">
        <f t="shared" si="60"/>
        <v/>
      </c>
      <c r="J29" s="21" t="str">
        <f t="shared" si="60"/>
        <v/>
      </c>
      <c r="K29" s="21" t="str">
        <f t="shared" si="60"/>
        <v/>
      </c>
      <c r="L29" s="21" t="str">
        <f t="shared" si="60"/>
        <v/>
      </c>
      <c r="M29" s="21" t="str">
        <f t="shared" si="60"/>
        <v/>
      </c>
      <c r="N29" s="21" t="str">
        <f t="shared" si="60"/>
        <v/>
      </c>
      <c r="O29" s="21" t="str">
        <f t="shared" si="60"/>
        <v/>
      </c>
      <c r="P29" s="21" t="str">
        <f t="shared" si="60"/>
        <v/>
      </c>
      <c r="Q29" s="21" t="str">
        <f t="shared" si="60"/>
        <v/>
      </c>
      <c r="R29" s="21" t="str">
        <f t="shared" si="60"/>
        <v/>
      </c>
      <c r="S29" s="21" t="str">
        <f t="shared" si="60"/>
        <v/>
      </c>
      <c r="T29" s="21" t="str">
        <f t="shared" si="60"/>
        <v/>
      </c>
      <c r="U29" s="21" t="str">
        <f t="shared" si="60"/>
        <v/>
      </c>
      <c r="Y29" s="21" t="str">
        <f t="shared" si="60"/>
        <v/>
      </c>
    </row>
    <row r="30" spans="1:32" hidden="1" x14ac:dyDescent="0.2">
      <c r="A30" s="21">
        <f>A16</f>
        <v>0</v>
      </c>
      <c r="B30" s="21" t="str">
        <f t="shared" ca="1" si="61"/>
        <v/>
      </c>
      <c r="C30" s="21" t="str">
        <f t="shared" si="60"/>
        <v/>
      </c>
      <c r="D30" s="21" t="str">
        <f t="shared" si="60"/>
        <v/>
      </c>
      <c r="E30" s="21" t="str">
        <f t="shared" si="60"/>
        <v/>
      </c>
      <c r="F30" s="21" t="str">
        <f t="shared" si="60"/>
        <v/>
      </c>
      <c r="G30" s="21" t="str">
        <f t="shared" si="60"/>
        <v/>
      </c>
      <c r="H30" s="21" t="str">
        <f t="shared" si="60"/>
        <v/>
      </c>
      <c r="I30" s="21" t="str">
        <f t="shared" si="60"/>
        <v/>
      </c>
      <c r="J30" s="21" t="str">
        <f t="shared" si="60"/>
        <v/>
      </c>
      <c r="K30" s="21" t="str">
        <f t="shared" si="60"/>
        <v/>
      </c>
      <c r="L30" s="21" t="str">
        <f t="shared" si="60"/>
        <v/>
      </c>
      <c r="M30" s="21" t="str">
        <f t="shared" si="60"/>
        <v/>
      </c>
      <c r="N30" s="21" t="str">
        <f t="shared" si="60"/>
        <v/>
      </c>
      <c r="O30" s="21" t="str">
        <f t="shared" si="60"/>
        <v/>
      </c>
      <c r="P30" s="21" t="str">
        <f t="shared" si="60"/>
        <v/>
      </c>
      <c r="Q30" s="21" t="str">
        <f t="shared" si="60"/>
        <v/>
      </c>
      <c r="R30" s="21" t="str">
        <f t="shared" si="60"/>
        <v/>
      </c>
      <c r="S30" s="21" t="str">
        <f t="shared" si="60"/>
        <v/>
      </c>
      <c r="T30" s="21" t="str">
        <f t="shared" si="60"/>
        <v/>
      </c>
      <c r="U30" s="21" t="str">
        <f t="shared" si="60"/>
        <v/>
      </c>
      <c r="Y30" s="21" t="str">
        <f t="shared" si="60"/>
        <v/>
      </c>
    </row>
  </sheetData>
  <sheetProtection algorithmName="SHA-512" hashValue="1Hiz4bDmET4fNJpd+phSwkHdOEyiwTOIEhOdfjd660ntZ0zXbhu18CGch/gFpM2nF7XZDPhxXYS+bInr4nNBrw==" saltValue="jnHUo3jY8vP8RuEN1LQ6RA==" spinCount="100000" sheet="1" objects="1" scenarios="1"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U10 C12:U13 Y12:Y13 Y8:Y10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U11 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U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2019-04-01T00:14:03Z</dcterms:modified>
</cp:coreProperties>
</file>