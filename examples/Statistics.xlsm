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"/>
    </mc:Choice>
  </mc:AlternateContent>
  <xr:revisionPtr revIDLastSave="0" documentId="13_ncr:1_{27C8F449-EC50-4FCC-BC06-16E467D53308}" xr6:coauthVersionLast="41" xr6:coauthVersionMax="41" xr10:uidLastSave="{00000000-0000-0000-0000-000000000000}"/>
  <bookViews>
    <workbookView xWindow="24768" yWindow="-11100" windowWidth="38508" windowHeight="22200" xr2:uid="{00000000-000D-0000-FFFF-FFFF00000000}"/>
  </bookViews>
  <sheets>
    <sheet name="Übersicht" sheetId="20" r:id="rId1"/>
    <sheet name="Values" sheetId="19" r:id="rId2"/>
    <sheet name="Database" sheetId="18" r:id="rId3"/>
    <sheet name="Configuration" sheetId="5" r:id="rId4"/>
    <sheet name="Nage-one__" sheetId="33" r:id="rId5"/>
    <sheet name="Nage-two__" sheetId="34" r:id="rId6"/>
    <sheet name="Nage-head__" sheetId="35" r:id="rId7"/>
    <sheet name="Nage-four-out__" sheetId="36" r:id="rId8"/>
    <sheet name="Nage-five__" sheetId="37" r:id="rId9"/>
    <sheet name="Nage-springer__" sheetId="38" r:id="rId10"/>
  </sheets>
  <functionGroups builtInGroupCount="19"/>
  <definedNames>
    <definedName name="_xlnm._FilterDatabase" localSheetId="2" hidden="1">Database!$A$1:$AN$97</definedName>
    <definedName name="_xlnm.Print_Area" localSheetId="3">Configuration!$M:$M</definedName>
  </definedNames>
  <calcPr calcId="181029"/>
</workbook>
</file>

<file path=xl/calcChain.xml><?xml version="1.0" encoding="utf-8"?>
<calcChain xmlns="http://schemas.openxmlformats.org/spreadsheetml/2006/main">
  <c r="E1" i="38" l="1"/>
  <c r="E1" i="37"/>
  <c r="E1" i="36"/>
  <c r="E1" i="35"/>
  <c r="E1" i="34"/>
  <c r="E1" i="33"/>
  <c r="F42" i="19" l="1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H1" i="18" l="1"/>
  <c r="G1" i="18"/>
  <c r="D1" i="18" l="1"/>
  <c r="E1" i="18"/>
  <c r="AN1" i="18" l="1"/>
  <c r="R1" i="18"/>
  <c r="Q1" i="18"/>
  <c r="O1" i="18"/>
  <c r="N1" i="18"/>
  <c r="M1" i="18"/>
  <c r="L1" i="18"/>
  <c r="K1" i="18"/>
  <c r="J1" i="18"/>
  <c r="I1" i="18"/>
  <c r="C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A2" authorId="0" shapeId="0" xr:uid="{288B0DAC-8298-49CD-A6A0-AA1E31A1BAAD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Schwierig, weil die Bögen eigentlich korrigiert sein werden</t>
        </r>
      </text>
    </comment>
  </commentList>
</comments>
</file>

<file path=xl/sharedStrings.xml><?xml version="1.0" encoding="utf-8"?>
<sst xmlns="http://schemas.openxmlformats.org/spreadsheetml/2006/main" count="499" uniqueCount="190">
  <si>
    <t>Paarung</t>
  </si>
  <si>
    <t>Angrüßen</t>
  </si>
  <si>
    <t>Abgrüßen</t>
  </si>
  <si>
    <t>Gesamt</t>
  </si>
  <si>
    <t>Wertung 1</t>
  </si>
  <si>
    <t>Wertung 2</t>
  </si>
  <si>
    <t>Wertung 4</t>
  </si>
  <si>
    <t>Wertung 5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</si>
  <si>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</si>
  <si>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</si>
  <si>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</si>
  <si>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</si>
  <si>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</si>
  <si>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</si>
  <si>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</si>
  <si>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</si>
  <si>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</si>
  <si>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</si>
  <si>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</si>
  <si>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</si>
  <si>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</si>
  <si>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</si>
  <si>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</si>
  <si>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</si>
  <si>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</si>
  <si>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</si>
  <si>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</si>
  <si>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</si>
  <si>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</si>
  <si>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</si>
  <si>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</si>
  <si>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</si>
  <si>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</si>
  <si>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</si>
  <si>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</si>
  <si>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</si>
  <si>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</si>
  <si>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</si>
  <si>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</si>
  <si>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</si>
  <si>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</si>
  <si>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</si>
  <si>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</si>
  <si>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</si>
  <si>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</si>
  <si>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</si>
  <si>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</si>
  <si>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</si>
  <si>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</si>
  <si>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</si>
  <si>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</si>
  <si>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</si>
  <si>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</si>
  <si>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</si>
  <si>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</si>
  <si>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</si>
  <si>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</si>
  <si>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</si>
  <si>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</si>
  <si>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</si>
  <si>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</si>
  <si>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</si>
  <si>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</si>
  <si>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</si>
  <si>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</si>
  <si>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</si>
  <si>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</si>
  <si>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</si>
  <si>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</si>
  <si>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</si>
  <si>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</si>
  <si>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</si>
  <si>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</si>
  <si>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</si>
  <si>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</si>
  <si>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</si>
  <si>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</si>
  <si>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</si>
  <si>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</si>
  <si>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</si>
  <si>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</si>
  <si>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</si>
  <si>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</si>
  <si>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</si>
  <si>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</si>
  <si>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</si>
  <si>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</si>
  <si>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</si>
  <si>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</si>
  <si>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</si>
  <si>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</si>
  <si>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ID</t>
  </si>
  <si>
    <t>Kata</t>
  </si>
  <si>
    <t>Technik 2</t>
  </si>
  <si>
    <t>Technik 3</t>
  </si>
  <si>
    <t>Technik 4</t>
  </si>
  <si>
    <t>Technik 5</t>
  </si>
  <si>
    <t>Technik 6</t>
  </si>
  <si>
    <t>Technik 7</t>
  </si>
  <si>
    <t>Technik 8</t>
  </si>
  <si>
    <t>Technik 9</t>
  </si>
  <si>
    <t>Technik 10</t>
  </si>
  <si>
    <t>Technik 11</t>
  </si>
  <si>
    <t>Technik 12</t>
  </si>
  <si>
    <t>Technik 13</t>
  </si>
  <si>
    <t>Technik 14</t>
  </si>
  <si>
    <t>Technik 15</t>
  </si>
  <si>
    <t>Technik 16</t>
  </si>
  <si>
    <t>Technik 17</t>
  </si>
  <si>
    <t>Technik 18</t>
  </si>
  <si>
    <t>Technik 19</t>
  </si>
  <si>
    <t>Technik 20</t>
  </si>
  <si>
    <t>Technik 21</t>
  </si>
  <si>
    <t>Technik 22</t>
  </si>
  <si>
    <t>Judge Name</t>
  </si>
  <si>
    <t>korrektur</t>
  </si>
  <si>
    <t>CorrectionValue</t>
  </si>
  <si>
    <t>Korrektur</t>
  </si>
  <si>
    <t>Nage</t>
  </si>
  <si>
    <t>A</t>
  </si>
  <si>
    <t>B</t>
  </si>
  <si>
    <t>Katame</t>
  </si>
  <si>
    <t>Ju</t>
  </si>
  <si>
    <t>Summe</t>
  </si>
  <si>
    <t>Leistungspunkte</t>
  </si>
  <si>
    <t>Stufe</t>
  </si>
  <si>
    <t>Abweichung</t>
  </si>
  <si>
    <t>Abzug</t>
  </si>
  <si>
    <t>vergessene Technik übersehen</t>
  </si>
  <si>
    <t>schwerer Fehler komplett übersehen</t>
  </si>
  <si>
    <t>schwerer Fehler komplett zuviel</t>
  </si>
  <si>
    <t>schwerer anstelle von mittlerem Fehler</t>
  </si>
  <si>
    <t>mittlerer anstelle von schwerer Fehler</t>
  </si>
  <si>
    <t>C</t>
  </si>
  <si>
    <t>mittlerer Fehler übersehen</t>
  </si>
  <si>
    <t>mittlerer Fehler zuviel</t>
  </si>
  <si>
    <t>Abweichung der Gesamtsumme mehr als +/-20 Punkte</t>
  </si>
  <si>
    <t>Abweichung der Gesamtsumme mehr als +/-15 Punkte</t>
  </si>
  <si>
    <t>Abweichung der Gesamtsumme mehr als +/-10 Punkte</t>
  </si>
  <si>
    <t>Übereinstimmung [%]</t>
  </si>
  <si>
    <t>Judge</t>
  </si>
  <si>
    <t>Kime</t>
  </si>
  <si>
    <t>Goshin</t>
  </si>
  <si>
    <t>Koshiki</t>
  </si>
  <si>
    <t>Jugend</t>
  </si>
  <si>
    <t>JudgeRateA (has to be higher than)</t>
  </si>
  <si>
    <t>JudgeRateB (has to be higher than)</t>
  </si>
  <si>
    <t>JudgeRateC (has to be higher than)</t>
  </si>
  <si>
    <t>P-01</t>
  </si>
  <si>
    <t>P-02</t>
  </si>
  <si>
    <t>P-03</t>
  </si>
  <si>
    <t>P-04</t>
  </si>
  <si>
    <t>Inklusion1</t>
  </si>
  <si>
    <t>Inklusion2</t>
  </si>
  <si>
    <t>Meisterschaftsname</t>
  </si>
  <si>
    <t>xx.yy.zzzz</t>
  </si>
  <si>
    <t>tori-uke (C1)</t>
  </si>
  <si>
    <t>C1</t>
  </si>
  <si>
    <t>super(CG)</t>
  </si>
  <si>
    <t>CG</t>
  </si>
  <si>
    <t>one(CA)</t>
  </si>
  <si>
    <t>CA</t>
  </si>
  <si>
    <t>two(CB)</t>
  </si>
  <si>
    <t>CB</t>
  </si>
  <si>
    <t>head(CC)</t>
  </si>
  <si>
    <t>CC</t>
  </si>
  <si>
    <t>four-out(C3)</t>
  </si>
  <si>
    <t>C3</t>
  </si>
  <si>
    <t>five(CE)</t>
  </si>
  <si>
    <t>CE</t>
  </si>
  <si>
    <t>omitted-omitted (C2)</t>
  </si>
  <si>
    <t>C2</t>
  </si>
  <si>
    <t>springer-nage springer (C3)</t>
  </si>
  <si>
    <t>springer(CF)</t>
  </si>
  <si>
    <t>CF</t>
  </si>
  <si>
    <t>samesum-samesum (C4)</t>
  </si>
  <si>
    <t>C4</t>
  </si>
  <si>
    <t>one</t>
  </si>
  <si>
    <t>Overall Rate:</t>
  </si>
  <si>
    <t>Paar</t>
  </si>
  <si>
    <t>Paarname</t>
  </si>
  <si>
    <t>LV</t>
  </si>
  <si>
    <t>Gesamtpunkte</t>
  </si>
  <si>
    <t>Prozent</t>
  </si>
  <si>
    <t>Einzelwertungen und Fehler</t>
  </si>
  <si>
    <t>two</t>
  </si>
  <si>
    <t>head</t>
  </si>
  <si>
    <t>four-out</t>
  </si>
  <si>
    <t>five</t>
  </si>
  <si>
    <t>springer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</si>
</sst>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#,##0.00_ ;\-#,##0.00\ "/>
    <numFmt numFmtId="166" formatCode="#.0#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2" fillId="0" borderId="0" xfId="0" applyFont="1"/>
    <xf numFmtId="1" fontId="0" fillId="0" borderId="0" xfId="0" applyNumberFormat="1"/>
    <xf numFmtId="165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0" fillId="2" borderId="0" xfId="0" applyFill="1"/>
    <xf numFmtId="0" fontId="0" fillId="2" borderId="0" xfId="0" quotePrefix="1" applyFill="1"/>
    <xf numFmtId="9" fontId="0" fillId="2" borderId="0" xfId="1" applyFont="1" applyFill="1"/>
    <xf numFmtId="9" fontId="0" fillId="2" borderId="0" xfId="1" quotePrefix="1" applyFont="1" applyFill="1"/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center" textRotation="45"/>
    </xf>
    <xf numFmtId="0" fontId="0" fillId="2" borderId="0" xfId="0" applyFill="1" applyAlignment="1">
      <alignment horizontal="center"/>
    </xf>
    <xf numFmtId="9" fontId="1" fillId="2" borderId="0" xfId="1" applyFont="1" applyFill="1" applyAlignment="1">
      <alignment horizontal="center" textRotation="45"/>
    </xf>
    <xf numFmtId="0" fontId="7" fillId="0" borderId="0" xfId="0" applyFont="1" applyAlignment="1">
      <alignment horizontal="center" textRotation="45" wrapText="1"/>
    </xf>
    <xf numFmtId="0" fontId="1" fillId="0" borderId="0" xfId="0" applyFont="1" applyAlignment="1">
      <alignment horizontal="center" textRotation="45"/>
    </xf>
    <xf numFmtId="0" fontId="0" fillId="0" borderId="0" xfId="0" applyAlignment="1">
      <alignment horizontal="center" textRotation="45"/>
    </xf>
    <xf numFmtId="0" fontId="1" fillId="0" borderId="0" xfId="0" applyFont="1" applyAlignment="1">
      <alignment horizontal="center"/>
    </xf>
    <xf numFmtId="9" fontId="0" fillId="0" borderId="0" xfId="0" applyNumberFormat="1"/>
    <xf numFmtId="164" fontId="0" fillId="0" borderId="0" xfId="2" applyFont="1"/>
    <xf numFmtId="10" fontId="0" fillId="0" borderId="0" xfId="0" applyNumberFormat="1"/>
    <xf numFmtId="166" fontId="0" fillId="0" borderId="0" xfId="0" applyNumberFormat="1"/>
    <xf numFmtId="10" fontId="0" fillId="3" borderId="0" xfId="0" applyNumberFormat="1" applyFill="1"/>
    <xf numFmtId="0" fontId="0" fillId="3" borderId="0" xfId="0" applyFill="1"/>
    <xf numFmtId="0" fontId="1" fillId="3" borderId="0" xfId="0" applyFont="1" applyFill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0" fontId="0" fillId="4" borderId="0" xfId="0" applyNumberFormat="1" applyFill="1"/>
    <xf numFmtId="0" fontId="0" fillId="4" borderId="0" xfId="0" applyFill="1"/>
    <xf numFmtId="0" fontId="1" fillId="4" borderId="0" xfId="0" applyFont="1" applyFill="1" applyAlignment="1">
      <alignment horizontal="center"/>
    </xf>
  </cellXfs>
  <cellStyles count="3">
    <cellStyle name="Komma" xfId="2" builtinId="3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5</xdr:row>
          <xdr:rowOff>85725</xdr:rowOff>
        </xdr:from>
        <xdr:to>
          <xdr:col>12</xdr:col>
          <xdr:colOff>409575</xdr:colOff>
          <xdr:row>6</xdr:row>
          <xdr:rowOff>133350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7</xdr:row>
          <xdr:rowOff>9525</xdr:rowOff>
        </xdr:from>
        <xdr:to>
          <xdr:col>12</xdr:col>
          <xdr:colOff>438150</xdr:colOff>
          <xdr:row>8</xdr:row>
          <xdr:rowOff>57150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0</xdr:rowOff>
        </xdr:from>
        <xdr:to>
          <xdr:col>0</xdr:col>
          <xdr:colOff>533400</xdr:colOff>
          <xdr:row>0</xdr:row>
          <xdr:rowOff>171450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180975</xdr:rowOff>
        </xdr:from>
        <xdr:to>
          <xdr:col>0</xdr:col>
          <xdr:colOff>533400</xdr:colOff>
          <xdr:row>0</xdr:row>
          <xdr:rowOff>333375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A854A-9C88-4956-8398-3939ECE82541}">
  <sheetPr codeName="Tabelle3"/>
  <dimension ref="A1:N302"/>
  <sheetViews>
    <sheetView tabSelected="1" workbookViewId="0">
      <selection activeCell="E21" sqref="E21"/>
    </sheetView>
  </sheetViews>
  <sheetFormatPr baseColWidth="10" defaultRowHeight="15" x14ac:dyDescent="0.25"/>
  <cols>
    <col min="1" max="1" width="33" customWidth="1"/>
    <col min="2" max="8" width="8.7109375" customWidth="1"/>
  </cols>
  <sheetData>
    <row r="1" spans="1:11" x14ac:dyDescent="0.25">
      <c r="A1" t="s">
        <v>140</v>
      </c>
      <c r="B1" t="s">
        <v>118</v>
      </c>
      <c r="C1" t="s">
        <v>121</v>
      </c>
      <c r="D1" t="s">
        <v>122</v>
      </c>
      <c r="E1" t="s">
        <v>141</v>
      </c>
      <c r="F1" t="s">
        <v>142</v>
      </c>
      <c r="G1" t="s">
        <v>143</v>
      </c>
      <c r="H1" t="s">
        <v>144</v>
      </c>
      <c r="I1" t="s">
        <v>152</v>
      </c>
      <c r="J1" t="s">
        <v>153</v>
      </c>
    </row>
    <row r="2" spans="1:11" x14ac:dyDescent="0.25">
      <c r="A2" t="s">
        <v>177</v>
      </c>
      <c r="B2" s="33" t="s">
        <v>119</v>
      </c>
      <c r="C2" s="26"/>
      <c r="D2" s="26"/>
      <c r="E2" s="26"/>
      <c r="F2" s="26"/>
      <c r="G2" s="26"/>
      <c r="H2" s="26"/>
      <c r="I2" s="26"/>
      <c r="J2" s="26"/>
      <c r="K2" s="26"/>
    </row>
    <row r="3" spans="1:11" x14ac:dyDescent="0.25">
      <c r="A3" t="s">
        <v>185</v>
      </c>
      <c r="B3" s="33" t="s">
        <v>119</v>
      </c>
      <c r="C3" s="26"/>
      <c r="D3" s="26"/>
      <c r="E3" s="26"/>
      <c r="F3" s="26"/>
      <c r="G3" s="26"/>
      <c r="H3" s="26"/>
      <c r="I3" s="26"/>
      <c r="J3" s="26"/>
      <c r="K3" s="26"/>
    </row>
    <row r="4" spans="1:11" x14ac:dyDescent="0.25">
      <c r="A4" t="s">
        <v>186</v>
      </c>
      <c r="B4" s="33" t="s">
        <v>119</v>
      </c>
      <c r="C4" s="26"/>
      <c r="D4" s="26"/>
      <c r="E4" s="26"/>
      <c r="F4" s="26"/>
      <c r="G4" s="26"/>
      <c r="H4" s="26"/>
      <c r="I4" s="26"/>
      <c r="J4" s="26"/>
      <c r="K4" s="26"/>
    </row>
    <row r="5" spans="1:11" x14ac:dyDescent="0.25">
      <c r="A5" t="s">
        <v>187</v>
      </c>
      <c r="B5" s="39" t="s">
        <v>120</v>
      </c>
      <c r="C5" s="26"/>
      <c r="D5" s="26"/>
      <c r="E5" s="26"/>
      <c r="F5" s="26"/>
      <c r="G5" s="26"/>
      <c r="H5" s="26"/>
      <c r="I5" s="26"/>
      <c r="J5" s="26"/>
      <c r="K5" s="26"/>
    </row>
    <row r="6" spans="1:11" x14ac:dyDescent="0.25">
      <c r="A6" t="s">
        <v>188</v>
      </c>
      <c r="B6" s="33" t="s">
        <v>119</v>
      </c>
      <c r="C6" s="26"/>
      <c r="D6" s="26"/>
      <c r="E6" s="26"/>
      <c r="F6" s="26"/>
      <c r="G6" s="26"/>
      <c r="H6" s="26"/>
      <c r="I6" s="26"/>
      <c r="J6" s="26"/>
      <c r="K6" s="26"/>
    </row>
    <row r="7" spans="1:11" x14ac:dyDescent="0.25">
      <c r="A7" t="s">
        <v>189</v>
      </c>
      <c r="B7" s="33" t="s">
        <v>119</v>
      </c>
      <c r="C7" s="26"/>
      <c r="D7" s="26"/>
      <c r="E7" s="26"/>
      <c r="F7" s="26"/>
      <c r="G7" s="26"/>
      <c r="H7" s="26"/>
      <c r="I7" s="26"/>
      <c r="J7" s="26"/>
      <c r="K7" s="26"/>
    </row>
    <row r="8" spans="1:11" x14ac:dyDescent="0.25">
      <c r="B8" s="26"/>
      <c r="C8" s="26"/>
      <c r="D8" s="26"/>
      <c r="E8" s="26"/>
      <c r="F8" s="26"/>
      <c r="G8" s="26"/>
      <c r="H8" s="26"/>
      <c r="I8" s="26"/>
      <c r="J8" s="26"/>
      <c r="K8" s="26"/>
    </row>
    <row r="9" spans="1:11" x14ac:dyDescent="0.25">
      <c r="B9" s="26"/>
      <c r="C9" s="26"/>
      <c r="D9" s="26"/>
      <c r="E9" s="26"/>
      <c r="F9" s="26"/>
      <c r="G9" s="26"/>
      <c r="H9" s="26"/>
      <c r="I9" s="26"/>
      <c r="J9" s="26"/>
      <c r="K9" s="26"/>
    </row>
    <row r="10" spans="1:11" x14ac:dyDescent="0.25">
      <c r="B10" s="26"/>
      <c r="C10" s="26"/>
      <c r="D10" s="26"/>
      <c r="E10" s="26"/>
      <c r="F10" s="26"/>
      <c r="G10" s="26"/>
      <c r="H10" s="26"/>
      <c r="I10" s="26"/>
      <c r="J10" s="26"/>
      <c r="K10" s="26"/>
    </row>
    <row r="11" spans="1:11" x14ac:dyDescent="0.25">
      <c r="B11" s="26"/>
      <c r="C11" s="26"/>
      <c r="D11" s="26"/>
      <c r="E11" s="26"/>
      <c r="F11" s="26"/>
      <c r="G11" s="26"/>
      <c r="H11" s="26"/>
      <c r="I11" s="26"/>
      <c r="J11" s="26"/>
      <c r="K11" s="26"/>
    </row>
    <row r="12" spans="1:11" x14ac:dyDescent="0.25"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25">
      <c r="B13" s="26"/>
      <c r="C13" s="26"/>
      <c r="D13" s="26"/>
      <c r="E13" s="26"/>
      <c r="F13" s="26"/>
      <c r="G13" s="26"/>
      <c r="H13" s="26"/>
      <c r="I13" s="26"/>
      <c r="J13" s="26"/>
      <c r="K13" s="26"/>
    </row>
    <row r="14" spans="1:11" x14ac:dyDescent="0.25"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25"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25">
      <c r="B16" s="26"/>
      <c r="C16" s="26"/>
      <c r="D16" s="26"/>
      <c r="E16" s="26"/>
      <c r="F16" s="26"/>
      <c r="G16" s="26"/>
      <c r="H16" s="26"/>
      <c r="I16" s="26"/>
      <c r="J16" s="26"/>
      <c r="K16" s="26"/>
    </row>
    <row r="17" spans="2:14" x14ac:dyDescent="0.25"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2:14" x14ac:dyDescent="0.25"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2:14" x14ac:dyDescent="0.25"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2:14" x14ac:dyDescent="0.25"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2:14" x14ac:dyDescent="0.25"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2:14" x14ac:dyDescent="0.25"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2:14" x14ac:dyDescent="0.25"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2:14" x14ac:dyDescent="0.25"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2:14" x14ac:dyDescent="0.25"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2:14" x14ac:dyDescent="0.25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7"/>
      <c r="N26" s="27"/>
    </row>
    <row r="27" spans="2:14" x14ac:dyDescent="0.25"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2:14" x14ac:dyDescent="0.25"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2:14" x14ac:dyDescent="0.25"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2:14" x14ac:dyDescent="0.25"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2:14" x14ac:dyDescent="0.25"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2:14" x14ac:dyDescent="0.25"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2:11" x14ac:dyDescent="0.25"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2:11" x14ac:dyDescent="0.25"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2:11" x14ac:dyDescent="0.25"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2:11" x14ac:dyDescent="0.25"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2:11" x14ac:dyDescent="0.25"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2:11" x14ac:dyDescent="0.25"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2:11" x14ac:dyDescent="0.25"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2:11" x14ac:dyDescent="0.25"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2:11" x14ac:dyDescent="0.25"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2:11" x14ac:dyDescent="0.25">
      <c r="B42" s="26"/>
      <c r="C42" s="26"/>
      <c r="D42" s="26"/>
      <c r="E42" s="26"/>
      <c r="F42" s="26"/>
      <c r="G42" s="26"/>
      <c r="H42" s="26"/>
      <c r="I42" s="26"/>
      <c r="J42" s="26"/>
      <c r="K42" s="26"/>
    </row>
    <row r="43" spans="2:11" x14ac:dyDescent="0.25">
      <c r="B43" s="26"/>
      <c r="C43" s="26"/>
      <c r="D43" s="26"/>
      <c r="E43" s="26"/>
      <c r="F43" s="26"/>
      <c r="G43" s="26"/>
      <c r="H43" s="26"/>
      <c r="I43" s="26"/>
      <c r="J43" s="26"/>
      <c r="K43" s="26"/>
    </row>
    <row r="44" spans="2:11" x14ac:dyDescent="0.25">
      <c r="B44" s="26"/>
      <c r="C44" s="26"/>
      <c r="D44" s="26"/>
      <c r="E44" s="26"/>
      <c r="F44" s="26"/>
      <c r="G44" s="26"/>
      <c r="H44" s="26"/>
      <c r="I44" s="26"/>
      <c r="J44" s="26"/>
      <c r="K44" s="26"/>
    </row>
    <row r="45" spans="2:11" x14ac:dyDescent="0.25">
      <c r="B45" s="26"/>
      <c r="C45" s="26"/>
      <c r="D45" s="26"/>
      <c r="E45" s="26"/>
      <c r="F45" s="26"/>
      <c r="G45" s="26"/>
      <c r="H45" s="26"/>
      <c r="I45" s="26"/>
      <c r="J45" s="26"/>
      <c r="K45" s="26"/>
    </row>
    <row r="46" spans="2:11" x14ac:dyDescent="0.25">
      <c r="B46" s="26"/>
      <c r="C46" s="26"/>
      <c r="D46" s="26"/>
      <c r="E46" s="26"/>
      <c r="F46" s="26"/>
      <c r="G46" s="26"/>
      <c r="H46" s="26"/>
      <c r="I46" s="26"/>
      <c r="J46" s="26"/>
      <c r="K46" s="26"/>
    </row>
    <row r="47" spans="2:11" x14ac:dyDescent="0.25">
      <c r="B47" s="26"/>
      <c r="C47" s="26"/>
      <c r="D47" s="26"/>
      <c r="E47" s="26"/>
      <c r="F47" s="26"/>
      <c r="G47" s="26"/>
      <c r="H47" s="26"/>
      <c r="I47" s="26"/>
      <c r="J47" s="26"/>
      <c r="K47" s="26"/>
    </row>
    <row r="48" spans="2:11" x14ac:dyDescent="0.25">
      <c r="B48" s="26"/>
      <c r="C48" s="26"/>
      <c r="D48" s="26"/>
      <c r="E48" s="26"/>
      <c r="F48" s="26"/>
      <c r="G48" s="26"/>
      <c r="H48" s="26"/>
      <c r="I48" s="26"/>
      <c r="J48" s="26"/>
      <c r="K48" s="26"/>
    </row>
    <row r="49" spans="2:11" x14ac:dyDescent="0.25">
      <c r="B49" s="26"/>
      <c r="C49" s="26"/>
      <c r="D49" s="26"/>
      <c r="E49" s="26"/>
      <c r="F49" s="26"/>
      <c r="G49" s="26"/>
      <c r="H49" s="26"/>
      <c r="I49" s="26"/>
      <c r="J49" s="26"/>
      <c r="K49" s="26"/>
    </row>
    <row r="50" spans="2:11" x14ac:dyDescent="0.25">
      <c r="B50" s="26"/>
      <c r="C50" s="26"/>
      <c r="D50" s="26"/>
      <c r="E50" s="26"/>
      <c r="F50" s="26"/>
      <c r="G50" s="26"/>
      <c r="H50" s="26"/>
      <c r="I50" s="26"/>
      <c r="J50" s="26"/>
      <c r="K50" s="26"/>
    </row>
    <row r="51" spans="2:11" x14ac:dyDescent="0.25">
      <c r="B51" s="26"/>
      <c r="C51" s="26"/>
      <c r="D51" s="26"/>
      <c r="E51" s="26"/>
      <c r="F51" s="26"/>
      <c r="G51" s="26"/>
      <c r="H51" s="26"/>
      <c r="I51" s="26"/>
      <c r="J51" s="26"/>
      <c r="K51" s="26"/>
    </row>
    <row r="52" spans="2:11" x14ac:dyDescent="0.25">
      <c r="B52" s="26"/>
      <c r="C52" s="26"/>
      <c r="D52" s="26"/>
      <c r="E52" s="26"/>
      <c r="F52" s="26"/>
      <c r="G52" s="26"/>
      <c r="H52" s="26"/>
      <c r="I52" s="26"/>
      <c r="J52" s="26"/>
      <c r="K52" s="26"/>
    </row>
    <row r="53" spans="2:11" x14ac:dyDescent="0.25">
      <c r="B53" s="26"/>
      <c r="C53" s="26"/>
      <c r="D53" s="26"/>
      <c r="E53" s="26"/>
      <c r="F53" s="26"/>
      <c r="G53" s="26"/>
      <c r="H53" s="26"/>
      <c r="I53" s="26"/>
      <c r="J53" s="26"/>
      <c r="K53" s="26"/>
    </row>
    <row r="54" spans="2:11" x14ac:dyDescent="0.25">
      <c r="B54" s="26"/>
      <c r="C54" s="26"/>
      <c r="D54" s="26"/>
      <c r="E54" s="26"/>
      <c r="F54" s="26"/>
      <c r="G54" s="26"/>
      <c r="H54" s="26"/>
      <c r="I54" s="26"/>
      <c r="J54" s="26"/>
      <c r="K54" s="26"/>
    </row>
    <row r="55" spans="2:11" x14ac:dyDescent="0.25">
      <c r="B55" s="26"/>
      <c r="C55" s="26"/>
      <c r="D55" s="26"/>
      <c r="E55" s="26"/>
      <c r="F55" s="26"/>
      <c r="G55" s="26"/>
      <c r="H55" s="26"/>
      <c r="I55" s="26"/>
      <c r="J55" s="26"/>
      <c r="K55" s="26"/>
    </row>
    <row r="56" spans="2:11" x14ac:dyDescent="0.25">
      <c r="B56" s="26"/>
      <c r="C56" s="26"/>
      <c r="D56" s="26"/>
      <c r="E56" s="26"/>
      <c r="F56" s="26"/>
      <c r="G56" s="26"/>
      <c r="H56" s="26"/>
      <c r="I56" s="26"/>
      <c r="J56" s="26"/>
      <c r="K56" s="26"/>
    </row>
    <row r="57" spans="2:11" x14ac:dyDescent="0.25">
      <c r="B57" s="26"/>
      <c r="C57" s="26"/>
      <c r="D57" s="26"/>
      <c r="E57" s="26"/>
      <c r="F57" s="26"/>
      <c r="G57" s="26"/>
      <c r="H57" s="26"/>
      <c r="I57" s="26"/>
      <c r="J57" s="26"/>
      <c r="K57" s="26"/>
    </row>
    <row r="58" spans="2:11" x14ac:dyDescent="0.25">
      <c r="B58" s="26"/>
      <c r="C58" s="26"/>
      <c r="D58" s="26"/>
      <c r="E58" s="26"/>
      <c r="F58" s="26"/>
      <c r="G58" s="26"/>
      <c r="H58" s="26"/>
      <c r="I58" s="26"/>
      <c r="J58" s="26"/>
      <c r="K58" s="26"/>
    </row>
    <row r="59" spans="2:11" x14ac:dyDescent="0.25">
      <c r="B59" s="26"/>
      <c r="C59" s="26"/>
      <c r="D59" s="26"/>
      <c r="E59" s="26"/>
      <c r="F59" s="26"/>
      <c r="G59" s="26"/>
      <c r="H59" s="26"/>
      <c r="I59" s="26"/>
      <c r="J59" s="26"/>
      <c r="K59" s="26"/>
    </row>
    <row r="60" spans="2:11" x14ac:dyDescent="0.25">
      <c r="B60" s="26"/>
      <c r="C60" s="26"/>
      <c r="D60" s="26"/>
      <c r="E60" s="26"/>
      <c r="F60" s="26"/>
      <c r="G60" s="26"/>
      <c r="H60" s="26"/>
      <c r="I60" s="26"/>
      <c r="J60" s="26"/>
      <c r="K60" s="26"/>
    </row>
    <row r="61" spans="2:11" x14ac:dyDescent="0.25">
      <c r="B61" s="26"/>
      <c r="C61" s="26"/>
      <c r="D61" s="26"/>
      <c r="E61" s="26"/>
      <c r="F61" s="26"/>
      <c r="G61" s="26"/>
      <c r="H61" s="26"/>
      <c r="I61" s="26"/>
      <c r="J61" s="26"/>
      <c r="K61" s="26"/>
    </row>
    <row r="62" spans="2:11" x14ac:dyDescent="0.25">
      <c r="B62" s="26"/>
      <c r="C62" s="26"/>
      <c r="D62" s="26"/>
      <c r="E62" s="26"/>
      <c r="F62" s="26"/>
      <c r="G62" s="26"/>
      <c r="H62" s="26"/>
      <c r="I62" s="26"/>
      <c r="J62" s="26"/>
      <c r="K62" s="26"/>
    </row>
    <row r="63" spans="2:11" x14ac:dyDescent="0.25">
      <c r="B63" s="26"/>
      <c r="C63" s="26"/>
      <c r="D63" s="26"/>
      <c r="E63" s="26"/>
      <c r="F63" s="26"/>
      <c r="G63" s="26"/>
      <c r="H63" s="26"/>
      <c r="I63" s="26"/>
      <c r="J63" s="26"/>
      <c r="K63" s="26"/>
    </row>
    <row r="64" spans="2:11" x14ac:dyDescent="0.25">
      <c r="B64" s="26"/>
      <c r="C64" s="26"/>
      <c r="D64" s="26"/>
      <c r="E64" s="26"/>
      <c r="F64" s="26"/>
      <c r="G64" s="26"/>
      <c r="H64" s="26"/>
      <c r="I64" s="26"/>
      <c r="J64" s="26"/>
      <c r="K64" s="26"/>
    </row>
    <row r="65" spans="2:11" x14ac:dyDescent="0.25">
      <c r="B65" s="26"/>
      <c r="C65" s="26"/>
      <c r="D65" s="26"/>
      <c r="E65" s="26"/>
      <c r="F65" s="26"/>
      <c r="G65" s="26"/>
      <c r="H65" s="26"/>
      <c r="I65" s="26"/>
      <c r="J65" s="26"/>
      <c r="K65" s="26"/>
    </row>
    <row r="66" spans="2:11" x14ac:dyDescent="0.25">
      <c r="B66" s="26"/>
      <c r="C66" s="26"/>
      <c r="D66" s="26"/>
      <c r="E66" s="26"/>
      <c r="F66" s="26"/>
      <c r="G66" s="26"/>
      <c r="H66" s="26"/>
      <c r="I66" s="26"/>
      <c r="J66" s="26"/>
      <c r="K66" s="26"/>
    </row>
    <row r="67" spans="2:11" x14ac:dyDescent="0.25">
      <c r="B67" s="26"/>
      <c r="C67" s="26"/>
      <c r="D67" s="26"/>
      <c r="E67" s="26"/>
      <c r="F67" s="26"/>
      <c r="G67" s="26"/>
      <c r="H67" s="26"/>
      <c r="I67" s="26"/>
      <c r="J67" s="26"/>
      <c r="K67" s="26"/>
    </row>
    <row r="68" spans="2:11" x14ac:dyDescent="0.25">
      <c r="B68" s="26"/>
      <c r="C68" s="26"/>
      <c r="D68" s="26"/>
      <c r="E68" s="26"/>
      <c r="F68" s="26"/>
      <c r="G68" s="26"/>
      <c r="H68" s="26"/>
      <c r="I68" s="26"/>
      <c r="J68" s="26"/>
      <c r="K68" s="26"/>
    </row>
    <row r="69" spans="2:11" x14ac:dyDescent="0.25">
      <c r="B69" s="26"/>
      <c r="C69" s="26"/>
      <c r="D69" s="26"/>
      <c r="E69" s="26"/>
      <c r="F69" s="26"/>
      <c r="G69" s="26"/>
      <c r="H69" s="26"/>
      <c r="I69" s="26"/>
      <c r="J69" s="26"/>
      <c r="K69" s="26"/>
    </row>
    <row r="70" spans="2:11" x14ac:dyDescent="0.25">
      <c r="B70" s="26"/>
      <c r="C70" s="26"/>
      <c r="D70" s="26"/>
      <c r="E70" s="26"/>
      <c r="F70" s="26"/>
      <c r="G70" s="26"/>
      <c r="H70" s="26"/>
      <c r="I70" s="26"/>
      <c r="J70" s="26"/>
      <c r="K70" s="26"/>
    </row>
    <row r="71" spans="2:11" x14ac:dyDescent="0.25">
      <c r="B71" s="26"/>
      <c r="C71" s="26"/>
      <c r="D71" s="26"/>
      <c r="E71" s="26"/>
      <c r="F71" s="26"/>
      <c r="G71" s="26"/>
      <c r="H71" s="26"/>
      <c r="I71" s="26"/>
      <c r="J71" s="26"/>
      <c r="K71" s="26"/>
    </row>
    <row r="72" spans="2:11" x14ac:dyDescent="0.25">
      <c r="B72" s="26"/>
      <c r="C72" s="26"/>
      <c r="D72" s="26"/>
      <c r="E72" s="26"/>
      <c r="F72" s="26"/>
      <c r="G72" s="26"/>
      <c r="H72" s="26"/>
      <c r="I72" s="26"/>
      <c r="J72" s="26"/>
      <c r="K72" s="26"/>
    </row>
    <row r="73" spans="2:11" x14ac:dyDescent="0.25">
      <c r="B73" s="26"/>
      <c r="C73" s="26"/>
      <c r="D73" s="26"/>
      <c r="E73" s="26"/>
      <c r="F73" s="26"/>
      <c r="G73" s="26"/>
      <c r="H73" s="26"/>
      <c r="I73" s="26"/>
      <c r="J73" s="26"/>
      <c r="K73" s="26"/>
    </row>
    <row r="74" spans="2:11" x14ac:dyDescent="0.25">
      <c r="B74" s="26"/>
      <c r="C74" s="26"/>
      <c r="D74" s="26"/>
      <c r="E74" s="26"/>
      <c r="F74" s="26"/>
      <c r="G74" s="26"/>
      <c r="H74" s="26"/>
      <c r="I74" s="26"/>
      <c r="J74" s="26"/>
      <c r="K74" s="26"/>
    </row>
    <row r="75" spans="2:11" x14ac:dyDescent="0.25">
      <c r="B75" s="26"/>
      <c r="C75" s="26"/>
      <c r="D75" s="26"/>
      <c r="E75" s="26"/>
      <c r="F75" s="26"/>
      <c r="G75" s="26"/>
      <c r="H75" s="26"/>
      <c r="I75" s="26"/>
      <c r="J75" s="26"/>
      <c r="K75" s="26"/>
    </row>
    <row r="76" spans="2:11" x14ac:dyDescent="0.25">
      <c r="B76" s="26"/>
      <c r="C76" s="26"/>
      <c r="D76" s="26"/>
      <c r="E76" s="26"/>
      <c r="F76" s="26"/>
      <c r="G76" s="26"/>
      <c r="H76" s="26"/>
      <c r="I76" s="26"/>
      <c r="J76" s="26"/>
      <c r="K76" s="26"/>
    </row>
    <row r="77" spans="2:11" x14ac:dyDescent="0.25">
      <c r="B77" s="26"/>
      <c r="C77" s="26"/>
      <c r="D77" s="26"/>
      <c r="E77" s="26"/>
      <c r="F77" s="26"/>
      <c r="G77" s="26"/>
      <c r="H77" s="26"/>
      <c r="I77" s="26"/>
      <c r="J77" s="26"/>
      <c r="K77" s="26"/>
    </row>
    <row r="78" spans="2:11" x14ac:dyDescent="0.25">
      <c r="B78" s="26"/>
      <c r="C78" s="26"/>
      <c r="D78" s="26"/>
      <c r="E78" s="26"/>
      <c r="F78" s="26"/>
      <c r="G78" s="26"/>
      <c r="H78" s="26"/>
      <c r="I78" s="26"/>
      <c r="J78" s="26"/>
      <c r="K78" s="26"/>
    </row>
    <row r="79" spans="2:11" x14ac:dyDescent="0.25">
      <c r="B79" s="26"/>
      <c r="C79" s="26"/>
      <c r="D79" s="26"/>
      <c r="E79" s="26"/>
      <c r="F79" s="26"/>
      <c r="G79" s="26"/>
      <c r="H79" s="26"/>
      <c r="I79" s="26"/>
      <c r="J79" s="26"/>
      <c r="K79" s="26"/>
    </row>
    <row r="80" spans="2:11" x14ac:dyDescent="0.25">
      <c r="B80" s="26"/>
      <c r="C80" s="26"/>
      <c r="D80" s="26"/>
      <c r="E80" s="26"/>
      <c r="F80" s="26"/>
      <c r="G80" s="26"/>
      <c r="H80" s="26"/>
      <c r="I80" s="26"/>
      <c r="J80" s="26"/>
      <c r="K80" s="26"/>
    </row>
    <row r="81" spans="2:11" x14ac:dyDescent="0.25">
      <c r="B81" s="26"/>
      <c r="C81" s="26"/>
      <c r="D81" s="26"/>
      <c r="E81" s="26"/>
      <c r="F81" s="26"/>
      <c r="G81" s="26"/>
      <c r="H81" s="26"/>
      <c r="I81" s="26"/>
      <c r="J81" s="26"/>
      <c r="K81" s="26"/>
    </row>
    <row r="82" spans="2:11" x14ac:dyDescent="0.25">
      <c r="B82" s="26"/>
      <c r="C82" s="26"/>
      <c r="D82" s="26"/>
      <c r="E82" s="26"/>
      <c r="F82" s="26"/>
      <c r="G82" s="26"/>
      <c r="H82" s="26"/>
      <c r="I82" s="26"/>
      <c r="J82" s="26"/>
      <c r="K82" s="26"/>
    </row>
    <row r="83" spans="2:11" x14ac:dyDescent="0.25">
      <c r="B83" s="26"/>
      <c r="C83" s="26"/>
      <c r="D83" s="26"/>
      <c r="E83" s="26"/>
      <c r="F83" s="26"/>
      <c r="G83" s="26"/>
      <c r="H83" s="26"/>
      <c r="I83" s="26"/>
      <c r="J83" s="26"/>
      <c r="K83" s="26"/>
    </row>
    <row r="84" spans="2:11" x14ac:dyDescent="0.25">
      <c r="B84" s="26"/>
      <c r="C84" s="26"/>
      <c r="D84" s="26"/>
      <c r="E84" s="26"/>
      <c r="F84" s="26"/>
      <c r="G84" s="26"/>
      <c r="H84" s="26"/>
      <c r="I84" s="26"/>
      <c r="J84" s="26"/>
      <c r="K84" s="26"/>
    </row>
    <row r="85" spans="2:11" x14ac:dyDescent="0.25">
      <c r="B85" s="26"/>
      <c r="C85" s="26"/>
      <c r="D85" s="26"/>
      <c r="E85" s="26"/>
      <c r="F85" s="26"/>
      <c r="G85" s="26"/>
      <c r="H85" s="26"/>
      <c r="I85" s="26"/>
      <c r="J85" s="26"/>
      <c r="K85" s="26"/>
    </row>
    <row r="86" spans="2:11" x14ac:dyDescent="0.25">
      <c r="B86" s="26"/>
      <c r="C86" s="26"/>
      <c r="D86" s="26"/>
      <c r="E86" s="26"/>
      <c r="F86" s="26"/>
      <c r="G86" s="26"/>
      <c r="H86" s="26"/>
      <c r="I86" s="26"/>
      <c r="J86" s="26"/>
      <c r="K86" s="26"/>
    </row>
    <row r="87" spans="2:11" x14ac:dyDescent="0.25">
      <c r="B87" s="26"/>
      <c r="C87" s="26"/>
      <c r="D87" s="26"/>
      <c r="E87" s="26"/>
      <c r="F87" s="26"/>
      <c r="G87" s="26"/>
      <c r="H87" s="26"/>
      <c r="I87" s="26"/>
      <c r="J87" s="26"/>
      <c r="K87" s="26"/>
    </row>
    <row r="88" spans="2:11" x14ac:dyDescent="0.25">
      <c r="B88" s="26"/>
      <c r="C88" s="26"/>
      <c r="D88" s="26"/>
      <c r="E88" s="26"/>
      <c r="F88" s="26"/>
      <c r="G88" s="26"/>
      <c r="H88" s="26"/>
      <c r="I88" s="26"/>
      <c r="J88" s="26"/>
      <c r="K88" s="26"/>
    </row>
    <row r="89" spans="2:11" x14ac:dyDescent="0.25">
      <c r="B89" s="26"/>
      <c r="C89" s="26"/>
      <c r="D89" s="26"/>
      <c r="E89" s="26"/>
      <c r="F89" s="26"/>
      <c r="G89" s="26"/>
      <c r="H89" s="26"/>
      <c r="I89" s="26"/>
      <c r="J89" s="26"/>
      <c r="K89" s="26"/>
    </row>
    <row r="90" spans="2:11" x14ac:dyDescent="0.25">
      <c r="B90" s="26"/>
      <c r="C90" s="26"/>
      <c r="D90" s="26"/>
      <c r="E90" s="26"/>
      <c r="F90" s="26"/>
      <c r="G90" s="26"/>
      <c r="H90" s="26"/>
      <c r="I90" s="26"/>
      <c r="J90" s="26"/>
      <c r="K90" s="26"/>
    </row>
    <row r="91" spans="2:11" x14ac:dyDescent="0.25">
      <c r="B91" s="26"/>
      <c r="C91" s="26"/>
      <c r="D91" s="26"/>
      <c r="E91" s="26"/>
      <c r="F91" s="26"/>
      <c r="G91" s="26"/>
      <c r="H91" s="26"/>
      <c r="I91" s="26"/>
      <c r="J91" s="26"/>
      <c r="K91" s="26"/>
    </row>
    <row r="92" spans="2:11" x14ac:dyDescent="0.25">
      <c r="B92" s="26"/>
      <c r="C92" s="26"/>
      <c r="D92" s="26"/>
      <c r="E92" s="26"/>
      <c r="F92" s="26"/>
      <c r="G92" s="26"/>
      <c r="H92" s="26"/>
      <c r="I92" s="26"/>
      <c r="J92" s="26"/>
      <c r="K92" s="26"/>
    </row>
    <row r="93" spans="2:11" x14ac:dyDescent="0.25">
      <c r="B93" s="26"/>
      <c r="C93" s="26"/>
      <c r="D93" s="26"/>
      <c r="E93" s="26"/>
      <c r="F93" s="26"/>
      <c r="G93" s="26"/>
      <c r="H93" s="26"/>
      <c r="I93" s="26"/>
      <c r="J93" s="26"/>
      <c r="K93" s="26"/>
    </row>
    <row r="94" spans="2:11" x14ac:dyDescent="0.25">
      <c r="B94" s="26"/>
      <c r="C94" s="26"/>
      <c r="D94" s="26"/>
      <c r="E94" s="26"/>
      <c r="F94" s="26"/>
      <c r="G94" s="26"/>
      <c r="H94" s="26"/>
      <c r="I94" s="26"/>
      <c r="J94" s="26"/>
      <c r="K94" s="26"/>
    </row>
    <row r="95" spans="2:11" x14ac:dyDescent="0.25">
      <c r="B95" s="26"/>
      <c r="C95" s="26"/>
      <c r="D95" s="26"/>
      <c r="E95" s="26"/>
      <c r="F95" s="26"/>
      <c r="G95" s="26"/>
      <c r="H95" s="26"/>
      <c r="I95" s="26"/>
      <c r="J95" s="26"/>
      <c r="K95" s="26"/>
    </row>
    <row r="96" spans="2:11" x14ac:dyDescent="0.25">
      <c r="B96" s="26"/>
      <c r="C96" s="26"/>
      <c r="D96" s="26"/>
      <c r="E96" s="26"/>
      <c r="F96" s="26"/>
      <c r="G96" s="26"/>
      <c r="H96" s="26"/>
      <c r="I96" s="26"/>
      <c r="J96" s="26"/>
      <c r="K96" s="26"/>
    </row>
    <row r="97" spans="2:11" x14ac:dyDescent="0.25">
      <c r="B97" s="26"/>
      <c r="C97" s="26"/>
      <c r="D97" s="26"/>
      <c r="E97" s="26"/>
      <c r="F97" s="26"/>
      <c r="G97" s="26"/>
      <c r="H97" s="26"/>
      <c r="I97" s="26"/>
      <c r="J97" s="26"/>
      <c r="K97" s="26"/>
    </row>
    <row r="98" spans="2:11" x14ac:dyDescent="0.25">
      <c r="B98" s="26"/>
      <c r="C98" s="26"/>
      <c r="D98" s="26"/>
      <c r="E98" s="26"/>
      <c r="F98" s="26"/>
      <c r="G98" s="26"/>
      <c r="H98" s="26"/>
      <c r="I98" s="26"/>
      <c r="J98" s="26"/>
      <c r="K98" s="26"/>
    </row>
    <row r="99" spans="2:11" x14ac:dyDescent="0.25">
      <c r="B99" s="26"/>
      <c r="C99" s="26"/>
      <c r="D99" s="26"/>
      <c r="E99" s="26"/>
      <c r="F99" s="26"/>
      <c r="G99" s="26"/>
      <c r="H99" s="26"/>
      <c r="I99" s="26"/>
      <c r="J99" s="26"/>
      <c r="K99" s="26"/>
    </row>
    <row r="100" spans="2:11" x14ac:dyDescent="0.25">
      <c r="B100" s="26"/>
      <c r="C100" s="26"/>
      <c r="D100" s="26"/>
      <c r="E100" s="26"/>
      <c r="F100" s="26"/>
      <c r="G100" s="26"/>
      <c r="H100" s="26"/>
      <c r="I100" s="26"/>
      <c r="J100" s="26"/>
      <c r="K100" s="26"/>
    </row>
    <row r="101" spans="2:11" x14ac:dyDescent="0.25">
      <c r="B101" s="26"/>
      <c r="C101" s="26"/>
      <c r="D101" s="26"/>
      <c r="E101" s="26"/>
      <c r="F101" s="26"/>
      <c r="G101" s="26"/>
      <c r="H101" s="26"/>
      <c r="I101" s="26"/>
      <c r="J101" s="26"/>
      <c r="K101" s="26"/>
    </row>
    <row r="102" spans="2:11" x14ac:dyDescent="0.25">
      <c r="B102" s="26"/>
      <c r="C102" s="26"/>
      <c r="D102" s="26"/>
      <c r="E102" s="26"/>
      <c r="F102" s="26"/>
      <c r="G102" s="26"/>
      <c r="H102" s="26"/>
      <c r="I102" s="26"/>
      <c r="J102" s="26"/>
      <c r="K102" s="26"/>
    </row>
    <row r="103" spans="2:11" x14ac:dyDescent="0.25">
      <c r="B103" s="26"/>
      <c r="C103" s="26"/>
      <c r="D103" s="26"/>
      <c r="E103" s="26"/>
      <c r="F103" s="26"/>
      <c r="G103" s="26"/>
      <c r="H103" s="26"/>
      <c r="I103" s="26"/>
      <c r="J103" s="26"/>
      <c r="K103" s="26"/>
    </row>
    <row r="104" spans="2:11" x14ac:dyDescent="0.25">
      <c r="B104" s="26"/>
      <c r="C104" s="26"/>
      <c r="D104" s="26"/>
      <c r="E104" s="26"/>
      <c r="F104" s="26"/>
      <c r="G104" s="26"/>
      <c r="H104" s="26"/>
      <c r="I104" s="26"/>
      <c r="J104" s="26"/>
      <c r="K104" s="26"/>
    </row>
    <row r="105" spans="2:11" x14ac:dyDescent="0.25">
      <c r="B105" s="26"/>
      <c r="C105" s="26"/>
      <c r="D105" s="26"/>
      <c r="E105" s="26"/>
      <c r="F105" s="26"/>
      <c r="G105" s="26"/>
      <c r="H105" s="26"/>
      <c r="I105" s="26"/>
      <c r="J105" s="26"/>
      <c r="K105" s="26"/>
    </row>
    <row r="106" spans="2:11" x14ac:dyDescent="0.25">
      <c r="B106" s="26"/>
      <c r="C106" s="26"/>
      <c r="D106" s="26"/>
      <c r="E106" s="26"/>
      <c r="F106" s="26"/>
      <c r="G106" s="26"/>
      <c r="H106" s="26"/>
      <c r="I106" s="26"/>
      <c r="J106" s="26"/>
      <c r="K106" s="26"/>
    </row>
    <row r="107" spans="2:11" x14ac:dyDescent="0.25">
      <c r="B107" s="26"/>
      <c r="C107" s="26"/>
      <c r="D107" s="26"/>
      <c r="E107" s="26"/>
      <c r="F107" s="26"/>
      <c r="G107" s="26"/>
      <c r="H107" s="26"/>
      <c r="I107" s="26"/>
      <c r="J107" s="26"/>
      <c r="K107" s="26"/>
    </row>
    <row r="108" spans="2:11" x14ac:dyDescent="0.25">
      <c r="B108" s="26"/>
      <c r="C108" s="26"/>
      <c r="D108" s="26"/>
      <c r="E108" s="26"/>
      <c r="F108" s="26"/>
      <c r="G108" s="26"/>
      <c r="H108" s="26"/>
      <c r="I108" s="26"/>
      <c r="J108" s="26"/>
      <c r="K108" s="26"/>
    </row>
    <row r="109" spans="2:11" x14ac:dyDescent="0.25">
      <c r="B109" s="26"/>
      <c r="C109" s="26"/>
      <c r="D109" s="26"/>
      <c r="E109" s="26"/>
      <c r="F109" s="26"/>
      <c r="G109" s="26"/>
      <c r="H109" s="26"/>
      <c r="I109" s="26"/>
      <c r="J109" s="26"/>
      <c r="K109" s="26"/>
    </row>
    <row r="110" spans="2:11" x14ac:dyDescent="0.25">
      <c r="B110" s="26"/>
      <c r="C110" s="26"/>
      <c r="D110" s="26"/>
      <c r="E110" s="26"/>
      <c r="F110" s="26"/>
      <c r="G110" s="26"/>
      <c r="H110" s="26"/>
      <c r="I110" s="26"/>
      <c r="J110" s="26"/>
      <c r="K110" s="26"/>
    </row>
    <row r="111" spans="2:11" x14ac:dyDescent="0.25">
      <c r="B111" s="26"/>
      <c r="C111" s="26"/>
      <c r="D111" s="26"/>
      <c r="E111" s="26"/>
      <c r="F111" s="26"/>
      <c r="G111" s="26"/>
      <c r="H111" s="26"/>
      <c r="I111" s="26"/>
      <c r="J111" s="26"/>
      <c r="K111" s="26"/>
    </row>
    <row r="112" spans="2:11" x14ac:dyDescent="0.25">
      <c r="B112" s="26"/>
      <c r="C112" s="26"/>
      <c r="D112" s="26"/>
      <c r="E112" s="26"/>
      <c r="F112" s="26"/>
      <c r="G112" s="26"/>
      <c r="H112" s="26"/>
      <c r="I112" s="26"/>
      <c r="J112" s="26"/>
      <c r="K112" s="26"/>
    </row>
    <row r="113" spans="2:11" x14ac:dyDescent="0.25">
      <c r="B113" s="26"/>
      <c r="C113" s="26"/>
      <c r="D113" s="26"/>
      <c r="E113" s="26"/>
      <c r="F113" s="26"/>
      <c r="G113" s="26"/>
      <c r="H113" s="26"/>
      <c r="I113" s="26"/>
      <c r="J113" s="26"/>
      <c r="K113" s="26"/>
    </row>
    <row r="114" spans="2:11" x14ac:dyDescent="0.25">
      <c r="B114" s="26"/>
      <c r="C114" s="26"/>
      <c r="D114" s="26"/>
      <c r="E114" s="26"/>
      <c r="F114" s="26"/>
      <c r="G114" s="26"/>
      <c r="H114" s="26"/>
      <c r="I114" s="26"/>
      <c r="J114" s="26"/>
      <c r="K114" s="26"/>
    </row>
    <row r="115" spans="2:11" x14ac:dyDescent="0.25">
      <c r="B115" s="26"/>
      <c r="C115" s="26"/>
      <c r="D115" s="26"/>
      <c r="E115" s="26"/>
      <c r="F115" s="26"/>
      <c r="G115" s="26"/>
      <c r="H115" s="26"/>
      <c r="I115" s="26"/>
      <c r="J115" s="26"/>
      <c r="K115" s="26"/>
    </row>
    <row r="116" spans="2:11" x14ac:dyDescent="0.25">
      <c r="B116" s="26"/>
      <c r="C116" s="26"/>
      <c r="D116" s="26"/>
      <c r="E116" s="26"/>
      <c r="F116" s="26"/>
      <c r="G116" s="26"/>
      <c r="H116" s="26"/>
      <c r="I116" s="26"/>
      <c r="J116" s="26"/>
      <c r="K116" s="26"/>
    </row>
    <row r="117" spans="2:11" x14ac:dyDescent="0.25">
      <c r="B117" s="26"/>
      <c r="C117" s="26"/>
      <c r="D117" s="26"/>
      <c r="E117" s="26"/>
      <c r="F117" s="26"/>
      <c r="G117" s="26"/>
      <c r="H117" s="26"/>
      <c r="I117" s="26"/>
      <c r="J117" s="26"/>
      <c r="K117" s="26"/>
    </row>
    <row r="118" spans="2:11" x14ac:dyDescent="0.25">
      <c r="B118" s="26"/>
      <c r="C118" s="26"/>
      <c r="D118" s="26"/>
      <c r="E118" s="26"/>
      <c r="F118" s="26"/>
      <c r="G118" s="26"/>
      <c r="H118" s="26"/>
      <c r="I118" s="26"/>
      <c r="J118" s="26"/>
      <c r="K118" s="26"/>
    </row>
    <row r="119" spans="2:11" x14ac:dyDescent="0.25">
      <c r="B119" s="26"/>
      <c r="C119" s="26"/>
      <c r="D119" s="26"/>
      <c r="E119" s="26"/>
      <c r="F119" s="26"/>
      <c r="G119" s="26"/>
      <c r="H119" s="26"/>
      <c r="I119" s="26"/>
      <c r="J119" s="26"/>
      <c r="K119" s="26"/>
    </row>
    <row r="120" spans="2:11" x14ac:dyDescent="0.25">
      <c r="B120" s="26"/>
      <c r="C120" s="26"/>
      <c r="D120" s="26"/>
      <c r="E120" s="26"/>
      <c r="F120" s="26"/>
      <c r="G120" s="26"/>
      <c r="H120" s="26"/>
      <c r="I120" s="26"/>
      <c r="J120" s="26"/>
      <c r="K120" s="26"/>
    </row>
    <row r="121" spans="2:11" x14ac:dyDescent="0.25">
      <c r="B121" s="26"/>
      <c r="C121" s="26"/>
      <c r="D121" s="26"/>
      <c r="E121" s="26"/>
      <c r="F121" s="26"/>
      <c r="G121" s="26"/>
      <c r="H121" s="26"/>
      <c r="I121" s="26"/>
      <c r="J121" s="26"/>
      <c r="K121" s="26"/>
    </row>
    <row r="122" spans="2:11" x14ac:dyDescent="0.25">
      <c r="B122" s="26"/>
      <c r="C122" s="26"/>
      <c r="D122" s="26"/>
      <c r="E122" s="26"/>
      <c r="F122" s="26"/>
      <c r="G122" s="26"/>
      <c r="H122" s="26"/>
      <c r="I122" s="26"/>
      <c r="J122" s="26"/>
      <c r="K122" s="26"/>
    </row>
    <row r="123" spans="2:11" x14ac:dyDescent="0.25">
      <c r="B123" s="26"/>
      <c r="C123" s="26"/>
      <c r="D123" s="26"/>
      <c r="E123" s="26"/>
      <c r="F123" s="26"/>
      <c r="G123" s="26"/>
      <c r="H123" s="26"/>
      <c r="I123" s="26"/>
      <c r="J123" s="26"/>
      <c r="K123" s="26"/>
    </row>
    <row r="124" spans="2:11" x14ac:dyDescent="0.25">
      <c r="B124" s="26"/>
      <c r="C124" s="26"/>
      <c r="D124" s="26"/>
      <c r="E124" s="26"/>
      <c r="F124" s="26"/>
      <c r="G124" s="26"/>
      <c r="H124" s="26"/>
      <c r="I124" s="26"/>
      <c r="J124" s="26"/>
      <c r="K124" s="26"/>
    </row>
    <row r="125" spans="2:11" x14ac:dyDescent="0.25">
      <c r="B125" s="26"/>
      <c r="C125" s="26"/>
      <c r="D125" s="26"/>
      <c r="E125" s="26"/>
      <c r="F125" s="26"/>
      <c r="G125" s="26"/>
      <c r="H125" s="26"/>
      <c r="I125" s="26"/>
      <c r="J125" s="26"/>
      <c r="K125" s="26"/>
    </row>
    <row r="126" spans="2:11" x14ac:dyDescent="0.25">
      <c r="B126" s="26"/>
      <c r="C126" s="26"/>
      <c r="D126" s="26"/>
      <c r="E126" s="26"/>
      <c r="F126" s="26"/>
      <c r="G126" s="26"/>
      <c r="H126" s="26"/>
      <c r="I126" s="26"/>
      <c r="J126" s="26"/>
      <c r="K126" s="26"/>
    </row>
    <row r="127" spans="2:11" x14ac:dyDescent="0.25">
      <c r="B127" s="26"/>
      <c r="C127" s="26"/>
      <c r="D127" s="26"/>
      <c r="E127" s="26"/>
      <c r="F127" s="26"/>
      <c r="G127" s="26"/>
      <c r="H127" s="26"/>
      <c r="I127" s="26"/>
      <c r="J127" s="26"/>
      <c r="K127" s="26"/>
    </row>
    <row r="128" spans="2:11" x14ac:dyDescent="0.25">
      <c r="B128" s="26"/>
      <c r="C128" s="26"/>
      <c r="D128" s="26"/>
      <c r="E128" s="26"/>
      <c r="F128" s="26"/>
      <c r="G128" s="26"/>
      <c r="H128" s="26"/>
      <c r="I128" s="26"/>
      <c r="J128" s="26"/>
      <c r="K128" s="26"/>
    </row>
    <row r="129" spans="2:11" x14ac:dyDescent="0.25">
      <c r="B129" s="26"/>
      <c r="C129" s="26"/>
      <c r="D129" s="26"/>
      <c r="E129" s="26"/>
      <c r="F129" s="26"/>
      <c r="G129" s="26"/>
      <c r="H129" s="26"/>
      <c r="I129" s="26"/>
      <c r="J129" s="26"/>
      <c r="K129" s="26"/>
    </row>
    <row r="130" spans="2:11" x14ac:dyDescent="0.25">
      <c r="B130" s="26"/>
      <c r="C130" s="26"/>
      <c r="D130" s="26"/>
      <c r="E130" s="26"/>
      <c r="F130" s="26"/>
      <c r="G130" s="26"/>
      <c r="H130" s="26"/>
      <c r="I130" s="26"/>
      <c r="J130" s="26"/>
      <c r="K130" s="26"/>
    </row>
    <row r="131" spans="2:11" x14ac:dyDescent="0.25">
      <c r="B131" s="26"/>
      <c r="C131" s="26"/>
      <c r="D131" s="26"/>
      <c r="E131" s="26"/>
      <c r="F131" s="26"/>
      <c r="G131" s="26"/>
      <c r="H131" s="26"/>
      <c r="I131" s="26"/>
      <c r="J131" s="26"/>
      <c r="K131" s="26"/>
    </row>
    <row r="132" spans="2:11" x14ac:dyDescent="0.25">
      <c r="B132" s="26"/>
      <c r="C132" s="26"/>
      <c r="D132" s="26"/>
      <c r="E132" s="26"/>
      <c r="F132" s="26"/>
      <c r="G132" s="26"/>
      <c r="H132" s="26"/>
      <c r="I132" s="26"/>
      <c r="J132" s="26"/>
      <c r="K132" s="26"/>
    </row>
    <row r="133" spans="2:11" x14ac:dyDescent="0.25">
      <c r="B133" s="26"/>
      <c r="C133" s="26"/>
      <c r="D133" s="26"/>
      <c r="E133" s="26"/>
      <c r="F133" s="26"/>
      <c r="G133" s="26"/>
      <c r="H133" s="26"/>
      <c r="I133" s="26"/>
      <c r="J133" s="26"/>
      <c r="K133" s="26"/>
    </row>
    <row r="134" spans="2:11" x14ac:dyDescent="0.25">
      <c r="B134" s="26"/>
      <c r="C134" s="26"/>
      <c r="D134" s="26"/>
      <c r="E134" s="26"/>
      <c r="F134" s="26"/>
      <c r="G134" s="26"/>
      <c r="H134" s="26"/>
      <c r="I134" s="26"/>
      <c r="J134" s="26"/>
      <c r="K134" s="26"/>
    </row>
    <row r="135" spans="2:11" x14ac:dyDescent="0.25">
      <c r="B135" s="26"/>
      <c r="C135" s="26"/>
      <c r="D135" s="26"/>
      <c r="E135" s="26"/>
      <c r="F135" s="26"/>
      <c r="G135" s="26"/>
      <c r="H135" s="26"/>
      <c r="I135" s="26"/>
      <c r="J135" s="26"/>
      <c r="K135" s="26"/>
    </row>
    <row r="136" spans="2:11" x14ac:dyDescent="0.25">
      <c r="B136" s="26"/>
      <c r="C136" s="26"/>
      <c r="D136" s="26"/>
      <c r="E136" s="26"/>
      <c r="F136" s="26"/>
      <c r="G136" s="26"/>
      <c r="H136" s="26"/>
      <c r="I136" s="26"/>
      <c r="J136" s="26"/>
      <c r="K136" s="26"/>
    </row>
    <row r="137" spans="2:11" x14ac:dyDescent="0.25">
      <c r="B137" s="26"/>
      <c r="C137" s="26"/>
      <c r="D137" s="26"/>
      <c r="E137" s="26"/>
      <c r="F137" s="26"/>
      <c r="G137" s="26"/>
      <c r="H137" s="26"/>
      <c r="I137" s="26"/>
      <c r="J137" s="26"/>
      <c r="K137" s="26"/>
    </row>
    <row r="138" spans="2:11" x14ac:dyDescent="0.25">
      <c r="B138" s="26"/>
      <c r="C138" s="26"/>
      <c r="D138" s="26"/>
      <c r="E138" s="26"/>
      <c r="F138" s="26"/>
      <c r="G138" s="26"/>
      <c r="H138" s="26"/>
      <c r="I138" s="26"/>
      <c r="J138" s="26"/>
      <c r="K138" s="26"/>
    </row>
    <row r="139" spans="2:11" x14ac:dyDescent="0.25">
      <c r="B139" s="26"/>
      <c r="C139" s="26"/>
      <c r="D139" s="26"/>
      <c r="E139" s="26"/>
      <c r="F139" s="26"/>
      <c r="G139" s="26"/>
      <c r="H139" s="26"/>
      <c r="I139" s="26"/>
      <c r="J139" s="26"/>
      <c r="K139" s="26"/>
    </row>
    <row r="140" spans="2:11" x14ac:dyDescent="0.25">
      <c r="B140" s="26"/>
      <c r="C140" s="26"/>
      <c r="D140" s="26"/>
      <c r="E140" s="26"/>
      <c r="F140" s="26"/>
      <c r="G140" s="26"/>
      <c r="H140" s="26"/>
      <c r="I140" s="26"/>
      <c r="J140" s="26"/>
      <c r="K140" s="26"/>
    </row>
    <row r="141" spans="2:11" x14ac:dyDescent="0.25">
      <c r="B141" s="26"/>
      <c r="C141" s="26"/>
      <c r="D141" s="26"/>
      <c r="E141" s="26"/>
      <c r="F141" s="26"/>
      <c r="G141" s="26"/>
      <c r="H141" s="26"/>
      <c r="I141" s="26"/>
      <c r="J141" s="26"/>
      <c r="K141" s="26"/>
    </row>
    <row r="142" spans="2:11" x14ac:dyDescent="0.25">
      <c r="B142" s="26"/>
      <c r="C142" s="26"/>
      <c r="D142" s="26"/>
      <c r="E142" s="26"/>
      <c r="F142" s="26"/>
      <c r="G142" s="26"/>
      <c r="H142" s="26"/>
      <c r="I142" s="26"/>
      <c r="J142" s="26"/>
      <c r="K142" s="26"/>
    </row>
    <row r="143" spans="2:11" x14ac:dyDescent="0.25">
      <c r="B143" s="26"/>
      <c r="C143" s="26"/>
      <c r="D143" s="26"/>
      <c r="E143" s="26"/>
      <c r="F143" s="26"/>
      <c r="G143" s="26"/>
      <c r="H143" s="26"/>
      <c r="I143" s="26"/>
      <c r="J143" s="26"/>
      <c r="K143" s="26"/>
    </row>
    <row r="144" spans="2:11" x14ac:dyDescent="0.25">
      <c r="B144" s="26"/>
      <c r="C144" s="26"/>
      <c r="D144" s="26"/>
      <c r="E144" s="26"/>
      <c r="F144" s="26"/>
      <c r="G144" s="26"/>
      <c r="H144" s="26"/>
      <c r="I144" s="26"/>
      <c r="J144" s="26"/>
      <c r="K144" s="26"/>
    </row>
    <row r="145" spans="2:11" x14ac:dyDescent="0.25">
      <c r="B145" s="26"/>
      <c r="C145" s="26"/>
      <c r="D145" s="26"/>
      <c r="E145" s="26"/>
      <c r="F145" s="26"/>
      <c r="G145" s="26"/>
      <c r="H145" s="26"/>
      <c r="I145" s="26"/>
      <c r="J145" s="26"/>
      <c r="K145" s="26"/>
    </row>
    <row r="146" spans="2:11" x14ac:dyDescent="0.25">
      <c r="B146" s="26"/>
      <c r="C146" s="26"/>
      <c r="D146" s="26"/>
      <c r="E146" s="26"/>
      <c r="F146" s="26"/>
      <c r="G146" s="26"/>
      <c r="H146" s="26"/>
      <c r="I146" s="26"/>
      <c r="J146" s="26"/>
      <c r="K146" s="26"/>
    </row>
    <row r="147" spans="2:11" x14ac:dyDescent="0.25">
      <c r="B147" s="26"/>
      <c r="C147" s="26"/>
      <c r="D147" s="26"/>
      <c r="E147" s="26"/>
      <c r="F147" s="26"/>
      <c r="G147" s="26"/>
      <c r="H147" s="26"/>
      <c r="I147" s="26"/>
      <c r="J147" s="26"/>
      <c r="K147" s="26"/>
    </row>
    <row r="148" spans="2:11" x14ac:dyDescent="0.25">
      <c r="B148" s="26"/>
      <c r="C148" s="26"/>
      <c r="D148" s="26"/>
      <c r="E148" s="26"/>
      <c r="F148" s="26"/>
      <c r="G148" s="26"/>
      <c r="H148" s="26"/>
      <c r="I148" s="26"/>
      <c r="J148" s="26"/>
      <c r="K148" s="26"/>
    </row>
    <row r="149" spans="2:11" x14ac:dyDescent="0.25">
      <c r="B149" s="26"/>
      <c r="C149" s="26"/>
      <c r="D149" s="26"/>
      <c r="E149" s="26"/>
      <c r="F149" s="26"/>
      <c r="G149" s="26"/>
      <c r="H149" s="26"/>
      <c r="I149" s="26"/>
      <c r="J149" s="26"/>
      <c r="K149" s="26"/>
    </row>
    <row r="150" spans="2:11" x14ac:dyDescent="0.25">
      <c r="B150" s="26"/>
      <c r="C150" s="26"/>
      <c r="D150" s="26"/>
      <c r="E150" s="26"/>
      <c r="F150" s="26"/>
      <c r="G150" s="26"/>
      <c r="H150" s="26"/>
      <c r="I150" s="26"/>
      <c r="J150" s="26"/>
      <c r="K150" s="26"/>
    </row>
    <row r="151" spans="2:11" x14ac:dyDescent="0.25">
      <c r="B151" s="26"/>
      <c r="C151" s="26"/>
      <c r="D151" s="26"/>
      <c r="E151" s="26"/>
      <c r="F151" s="26"/>
      <c r="G151" s="26"/>
      <c r="H151" s="26"/>
      <c r="I151" s="26"/>
      <c r="J151" s="26"/>
      <c r="K151" s="26"/>
    </row>
    <row r="152" spans="2:11" x14ac:dyDescent="0.25">
      <c r="B152" s="26"/>
      <c r="C152" s="26"/>
      <c r="D152" s="26"/>
      <c r="E152" s="26"/>
      <c r="F152" s="26"/>
      <c r="G152" s="26"/>
      <c r="H152" s="26"/>
      <c r="I152" s="26"/>
      <c r="J152" s="26"/>
      <c r="K152" s="26"/>
    </row>
    <row r="153" spans="2:11" x14ac:dyDescent="0.25">
      <c r="B153" s="26"/>
      <c r="C153" s="26"/>
      <c r="D153" s="26"/>
      <c r="E153" s="26"/>
      <c r="F153" s="26"/>
      <c r="G153" s="26"/>
      <c r="H153" s="26"/>
      <c r="I153" s="26"/>
      <c r="J153" s="26"/>
      <c r="K153" s="26"/>
    </row>
    <row r="154" spans="2:11" x14ac:dyDescent="0.25">
      <c r="B154" s="26"/>
      <c r="C154" s="26"/>
      <c r="D154" s="26"/>
      <c r="E154" s="26"/>
      <c r="F154" s="26"/>
      <c r="G154" s="26"/>
      <c r="H154" s="26"/>
      <c r="I154" s="26"/>
      <c r="J154" s="26"/>
      <c r="K154" s="26"/>
    </row>
    <row r="155" spans="2:11" x14ac:dyDescent="0.25">
      <c r="B155" s="26"/>
      <c r="C155" s="26"/>
      <c r="D155" s="26"/>
      <c r="E155" s="26"/>
      <c r="F155" s="26"/>
      <c r="G155" s="26"/>
      <c r="H155" s="26"/>
      <c r="I155" s="26"/>
      <c r="J155" s="26"/>
      <c r="K155" s="26"/>
    </row>
    <row r="156" spans="2:11" x14ac:dyDescent="0.25">
      <c r="B156" s="26"/>
      <c r="C156" s="26"/>
      <c r="D156" s="26"/>
      <c r="E156" s="26"/>
      <c r="F156" s="26"/>
      <c r="G156" s="26"/>
      <c r="H156" s="26"/>
      <c r="I156" s="26"/>
      <c r="J156" s="26"/>
      <c r="K156" s="26"/>
    </row>
    <row r="157" spans="2:11" x14ac:dyDescent="0.25">
      <c r="B157" s="26"/>
      <c r="C157" s="26"/>
      <c r="D157" s="26"/>
      <c r="E157" s="26"/>
      <c r="F157" s="26"/>
      <c r="G157" s="26"/>
      <c r="H157" s="26"/>
      <c r="I157" s="26"/>
      <c r="J157" s="26"/>
      <c r="K157" s="26"/>
    </row>
    <row r="158" spans="2:11" x14ac:dyDescent="0.25">
      <c r="B158" s="26"/>
      <c r="C158" s="26"/>
      <c r="D158" s="26"/>
      <c r="E158" s="26"/>
      <c r="F158" s="26"/>
      <c r="G158" s="26"/>
      <c r="H158" s="26"/>
      <c r="I158" s="26"/>
      <c r="J158" s="26"/>
      <c r="K158" s="26"/>
    </row>
    <row r="159" spans="2:11" x14ac:dyDescent="0.25">
      <c r="B159" s="26"/>
      <c r="C159" s="26"/>
      <c r="D159" s="26"/>
      <c r="E159" s="26"/>
      <c r="F159" s="26"/>
      <c r="G159" s="26"/>
      <c r="H159" s="26"/>
      <c r="I159" s="26"/>
      <c r="J159" s="26"/>
      <c r="K159" s="26"/>
    </row>
    <row r="160" spans="2:11" x14ac:dyDescent="0.25">
      <c r="B160" s="26"/>
      <c r="C160" s="26"/>
      <c r="D160" s="26"/>
      <c r="E160" s="26"/>
      <c r="F160" s="26"/>
      <c r="G160" s="26"/>
      <c r="H160" s="26"/>
      <c r="I160" s="26"/>
      <c r="J160" s="26"/>
      <c r="K160" s="26"/>
    </row>
    <row r="161" spans="2:11" x14ac:dyDescent="0.25">
      <c r="B161" s="26"/>
      <c r="C161" s="26"/>
      <c r="D161" s="26"/>
      <c r="E161" s="26"/>
      <c r="F161" s="26"/>
      <c r="G161" s="26"/>
      <c r="H161" s="26"/>
      <c r="I161" s="26"/>
      <c r="J161" s="26"/>
      <c r="K161" s="26"/>
    </row>
    <row r="162" spans="2:11" x14ac:dyDescent="0.25">
      <c r="B162" s="26"/>
      <c r="C162" s="26"/>
      <c r="D162" s="26"/>
      <c r="E162" s="26"/>
      <c r="F162" s="26"/>
      <c r="G162" s="26"/>
      <c r="H162" s="26"/>
      <c r="I162" s="26"/>
      <c r="J162" s="26"/>
      <c r="K162" s="26"/>
    </row>
    <row r="163" spans="2:11" x14ac:dyDescent="0.25">
      <c r="B163" s="26"/>
      <c r="C163" s="26"/>
      <c r="D163" s="26"/>
      <c r="E163" s="26"/>
      <c r="F163" s="26"/>
      <c r="G163" s="26"/>
      <c r="H163" s="26"/>
      <c r="I163" s="26"/>
      <c r="J163" s="26"/>
      <c r="K163" s="26"/>
    </row>
    <row r="164" spans="2:11" x14ac:dyDescent="0.25">
      <c r="B164" s="26"/>
      <c r="C164" s="26"/>
      <c r="D164" s="26"/>
      <c r="E164" s="26"/>
      <c r="F164" s="26"/>
      <c r="G164" s="26"/>
      <c r="H164" s="26"/>
      <c r="I164" s="26"/>
      <c r="J164" s="26"/>
      <c r="K164" s="26"/>
    </row>
    <row r="165" spans="2:11" x14ac:dyDescent="0.25">
      <c r="B165" s="26"/>
      <c r="C165" s="26"/>
      <c r="D165" s="26"/>
      <c r="E165" s="26"/>
      <c r="F165" s="26"/>
      <c r="G165" s="26"/>
      <c r="H165" s="26"/>
      <c r="I165" s="26"/>
      <c r="J165" s="26"/>
      <c r="K165" s="26"/>
    </row>
    <row r="166" spans="2:11" x14ac:dyDescent="0.25">
      <c r="B166" s="26"/>
      <c r="C166" s="26"/>
      <c r="D166" s="26"/>
      <c r="E166" s="26"/>
      <c r="F166" s="26"/>
      <c r="G166" s="26"/>
      <c r="H166" s="26"/>
      <c r="I166" s="26"/>
      <c r="J166" s="26"/>
      <c r="K166" s="26"/>
    </row>
    <row r="167" spans="2:11" x14ac:dyDescent="0.25">
      <c r="B167" s="26"/>
      <c r="C167" s="26"/>
      <c r="D167" s="26"/>
      <c r="E167" s="26"/>
      <c r="F167" s="26"/>
      <c r="G167" s="26"/>
      <c r="H167" s="26"/>
      <c r="I167" s="26"/>
      <c r="J167" s="26"/>
      <c r="K167" s="26"/>
    </row>
    <row r="168" spans="2:11" x14ac:dyDescent="0.25">
      <c r="B168" s="26"/>
      <c r="C168" s="26"/>
      <c r="D168" s="26"/>
      <c r="E168" s="26"/>
      <c r="F168" s="26"/>
      <c r="G168" s="26"/>
      <c r="H168" s="26"/>
      <c r="I168" s="26"/>
      <c r="J168" s="26"/>
      <c r="K168" s="26"/>
    </row>
    <row r="169" spans="2:11" x14ac:dyDescent="0.25">
      <c r="B169" s="26"/>
      <c r="C169" s="26"/>
      <c r="D169" s="26"/>
      <c r="E169" s="26"/>
      <c r="F169" s="26"/>
      <c r="G169" s="26"/>
      <c r="H169" s="26"/>
      <c r="I169" s="26"/>
      <c r="J169" s="26"/>
      <c r="K169" s="26"/>
    </row>
    <row r="170" spans="2:11" x14ac:dyDescent="0.25">
      <c r="B170" s="26"/>
      <c r="C170" s="26"/>
      <c r="D170" s="26"/>
      <c r="E170" s="26"/>
      <c r="F170" s="26"/>
      <c r="G170" s="26"/>
      <c r="H170" s="26"/>
      <c r="I170" s="26"/>
      <c r="J170" s="26"/>
      <c r="K170" s="26"/>
    </row>
    <row r="171" spans="2:11" x14ac:dyDescent="0.25">
      <c r="B171" s="26"/>
      <c r="C171" s="26"/>
      <c r="D171" s="26"/>
      <c r="E171" s="26"/>
      <c r="F171" s="26"/>
      <c r="G171" s="26"/>
      <c r="H171" s="26"/>
      <c r="I171" s="26"/>
      <c r="J171" s="26"/>
      <c r="K171" s="26"/>
    </row>
    <row r="172" spans="2:11" x14ac:dyDescent="0.25">
      <c r="B172" s="26"/>
      <c r="C172" s="26"/>
      <c r="D172" s="26"/>
      <c r="E172" s="26"/>
      <c r="F172" s="26"/>
      <c r="G172" s="26"/>
      <c r="H172" s="26"/>
      <c r="I172" s="26"/>
      <c r="J172" s="26"/>
      <c r="K172" s="26"/>
    </row>
    <row r="173" spans="2:11" x14ac:dyDescent="0.25">
      <c r="B173" s="26"/>
      <c r="C173" s="26"/>
      <c r="D173" s="26"/>
      <c r="E173" s="26"/>
      <c r="F173" s="26"/>
      <c r="G173" s="26"/>
      <c r="H173" s="26"/>
      <c r="I173" s="26"/>
      <c r="J173" s="26"/>
      <c r="K173" s="26"/>
    </row>
    <row r="174" spans="2:11" x14ac:dyDescent="0.25">
      <c r="B174" s="26"/>
      <c r="C174" s="26"/>
      <c r="D174" s="26"/>
      <c r="E174" s="26"/>
      <c r="F174" s="26"/>
      <c r="G174" s="26"/>
      <c r="H174" s="26"/>
      <c r="I174" s="26"/>
      <c r="J174" s="26"/>
      <c r="K174" s="26"/>
    </row>
    <row r="175" spans="2:11" x14ac:dyDescent="0.25">
      <c r="B175" s="26"/>
      <c r="C175" s="26"/>
      <c r="D175" s="26"/>
      <c r="E175" s="26"/>
      <c r="F175" s="26"/>
      <c r="G175" s="26"/>
      <c r="H175" s="26"/>
      <c r="I175" s="26"/>
      <c r="J175" s="26"/>
      <c r="K175" s="26"/>
    </row>
    <row r="176" spans="2:11" x14ac:dyDescent="0.25">
      <c r="B176" s="26"/>
      <c r="C176" s="26"/>
      <c r="D176" s="26"/>
      <c r="E176" s="26"/>
      <c r="F176" s="26"/>
      <c r="G176" s="26"/>
      <c r="H176" s="26"/>
      <c r="I176" s="26"/>
      <c r="J176" s="26"/>
      <c r="K176" s="26"/>
    </row>
    <row r="177" spans="2:11" x14ac:dyDescent="0.25">
      <c r="B177" s="26"/>
      <c r="C177" s="26"/>
      <c r="D177" s="26"/>
      <c r="E177" s="26"/>
      <c r="F177" s="26"/>
      <c r="G177" s="26"/>
      <c r="H177" s="26"/>
      <c r="I177" s="26"/>
      <c r="J177" s="26"/>
      <c r="K177" s="26"/>
    </row>
    <row r="178" spans="2:11" x14ac:dyDescent="0.25">
      <c r="B178" s="26"/>
      <c r="C178" s="26"/>
      <c r="D178" s="26"/>
      <c r="E178" s="26"/>
      <c r="F178" s="26"/>
      <c r="G178" s="26"/>
      <c r="H178" s="26"/>
      <c r="I178" s="26"/>
      <c r="J178" s="26"/>
      <c r="K178" s="26"/>
    </row>
    <row r="179" spans="2:11" x14ac:dyDescent="0.25">
      <c r="B179" s="26"/>
      <c r="C179" s="26"/>
      <c r="D179" s="26"/>
      <c r="E179" s="26"/>
      <c r="F179" s="26"/>
      <c r="G179" s="26"/>
      <c r="H179" s="26"/>
      <c r="I179" s="26"/>
      <c r="J179" s="26"/>
      <c r="K179" s="26"/>
    </row>
    <row r="180" spans="2:11" x14ac:dyDescent="0.25">
      <c r="B180" s="26"/>
      <c r="C180" s="26"/>
      <c r="D180" s="26"/>
      <c r="E180" s="26"/>
      <c r="F180" s="26"/>
      <c r="G180" s="26"/>
      <c r="H180" s="26"/>
      <c r="I180" s="26"/>
      <c r="J180" s="26"/>
      <c r="K180" s="26"/>
    </row>
    <row r="181" spans="2:11" x14ac:dyDescent="0.25">
      <c r="B181" s="26"/>
      <c r="C181" s="26"/>
      <c r="D181" s="26"/>
      <c r="E181" s="26"/>
      <c r="F181" s="26"/>
      <c r="G181" s="26"/>
      <c r="H181" s="26"/>
      <c r="I181" s="26"/>
      <c r="J181" s="26"/>
      <c r="K181" s="26"/>
    </row>
    <row r="182" spans="2:11" x14ac:dyDescent="0.25">
      <c r="B182" s="26"/>
      <c r="C182" s="26"/>
      <c r="D182" s="26"/>
      <c r="E182" s="26"/>
      <c r="F182" s="26"/>
      <c r="G182" s="26"/>
      <c r="H182" s="26"/>
      <c r="I182" s="26"/>
      <c r="J182" s="26"/>
      <c r="K182" s="26"/>
    </row>
    <row r="183" spans="2:11" x14ac:dyDescent="0.25">
      <c r="B183" s="26"/>
      <c r="C183" s="26"/>
      <c r="D183" s="26"/>
      <c r="E183" s="26"/>
      <c r="F183" s="26"/>
      <c r="G183" s="26"/>
      <c r="H183" s="26"/>
      <c r="I183" s="26"/>
      <c r="J183" s="26"/>
      <c r="K183" s="26"/>
    </row>
    <row r="184" spans="2:11" x14ac:dyDescent="0.25">
      <c r="B184" s="26"/>
      <c r="C184" s="26"/>
      <c r="D184" s="26"/>
      <c r="E184" s="26"/>
      <c r="F184" s="26"/>
      <c r="G184" s="26"/>
      <c r="H184" s="26"/>
      <c r="I184" s="26"/>
      <c r="J184" s="26"/>
      <c r="K184" s="26"/>
    </row>
    <row r="185" spans="2:11" x14ac:dyDescent="0.25">
      <c r="B185" s="26"/>
      <c r="C185" s="26"/>
      <c r="D185" s="26"/>
      <c r="E185" s="26"/>
      <c r="F185" s="26"/>
      <c r="G185" s="26"/>
      <c r="H185" s="26"/>
      <c r="I185" s="26"/>
      <c r="J185" s="26"/>
      <c r="K185" s="26"/>
    </row>
    <row r="186" spans="2:11" x14ac:dyDescent="0.25">
      <c r="B186" s="26"/>
      <c r="C186" s="26"/>
      <c r="D186" s="26"/>
      <c r="E186" s="26"/>
      <c r="F186" s="26"/>
      <c r="G186" s="26"/>
      <c r="H186" s="26"/>
      <c r="I186" s="26"/>
      <c r="J186" s="26"/>
      <c r="K186" s="26"/>
    </row>
    <row r="187" spans="2:11" x14ac:dyDescent="0.25">
      <c r="B187" s="26"/>
      <c r="C187" s="26"/>
      <c r="D187" s="26"/>
      <c r="E187" s="26"/>
      <c r="F187" s="26"/>
      <c r="G187" s="26"/>
      <c r="H187" s="26"/>
      <c r="I187" s="26"/>
      <c r="J187" s="26"/>
      <c r="K187" s="26"/>
    </row>
    <row r="188" spans="2:11" x14ac:dyDescent="0.25">
      <c r="B188" s="26"/>
      <c r="C188" s="26"/>
      <c r="D188" s="26"/>
      <c r="E188" s="26"/>
      <c r="F188" s="26"/>
      <c r="G188" s="26"/>
      <c r="H188" s="26"/>
      <c r="I188" s="26"/>
      <c r="J188" s="26"/>
      <c r="K188" s="26"/>
    </row>
    <row r="189" spans="2:11" x14ac:dyDescent="0.25">
      <c r="B189" s="26"/>
      <c r="C189" s="26"/>
      <c r="D189" s="26"/>
      <c r="E189" s="26"/>
      <c r="F189" s="26"/>
      <c r="G189" s="26"/>
      <c r="H189" s="26"/>
      <c r="I189" s="26"/>
      <c r="J189" s="26"/>
      <c r="K189" s="26"/>
    </row>
    <row r="190" spans="2:11" x14ac:dyDescent="0.25">
      <c r="B190" s="26"/>
      <c r="C190" s="26"/>
      <c r="D190" s="26"/>
      <c r="E190" s="26"/>
      <c r="F190" s="26"/>
      <c r="G190" s="26"/>
      <c r="H190" s="26"/>
      <c r="I190" s="26"/>
      <c r="J190" s="26"/>
      <c r="K190" s="26"/>
    </row>
    <row r="191" spans="2:11" x14ac:dyDescent="0.25">
      <c r="B191" s="26"/>
      <c r="C191" s="26"/>
      <c r="D191" s="26"/>
      <c r="E191" s="26"/>
      <c r="F191" s="26"/>
      <c r="G191" s="26"/>
      <c r="H191" s="26"/>
      <c r="I191" s="26"/>
      <c r="J191" s="26"/>
      <c r="K191" s="26"/>
    </row>
    <row r="192" spans="2:11" x14ac:dyDescent="0.25">
      <c r="B192" s="26"/>
      <c r="C192" s="26"/>
      <c r="D192" s="26"/>
      <c r="E192" s="26"/>
      <c r="F192" s="26"/>
      <c r="G192" s="26"/>
      <c r="H192" s="26"/>
      <c r="I192" s="26"/>
      <c r="J192" s="26"/>
      <c r="K192" s="26"/>
    </row>
    <row r="193" spans="2:11" x14ac:dyDescent="0.25">
      <c r="B193" s="26"/>
      <c r="C193" s="26"/>
      <c r="D193" s="26"/>
      <c r="E193" s="26"/>
      <c r="F193" s="26"/>
      <c r="G193" s="26"/>
      <c r="H193" s="26"/>
      <c r="I193" s="26"/>
      <c r="J193" s="26"/>
      <c r="K193" s="26"/>
    </row>
    <row r="194" spans="2:11" x14ac:dyDescent="0.25">
      <c r="B194" s="26"/>
      <c r="C194" s="26"/>
      <c r="D194" s="26"/>
      <c r="E194" s="26"/>
      <c r="F194" s="26"/>
      <c r="G194" s="26"/>
      <c r="H194" s="26"/>
      <c r="I194" s="26"/>
      <c r="J194" s="26"/>
      <c r="K194" s="26"/>
    </row>
    <row r="195" spans="2:11" x14ac:dyDescent="0.25">
      <c r="B195" s="26"/>
      <c r="C195" s="26"/>
      <c r="D195" s="26"/>
      <c r="E195" s="26"/>
      <c r="F195" s="26"/>
      <c r="G195" s="26"/>
      <c r="H195" s="26"/>
      <c r="I195" s="26"/>
      <c r="J195" s="26"/>
      <c r="K195" s="26"/>
    </row>
    <row r="196" spans="2:11" x14ac:dyDescent="0.25">
      <c r="B196" s="26"/>
      <c r="C196" s="26"/>
      <c r="D196" s="26"/>
      <c r="E196" s="26"/>
      <c r="F196" s="26"/>
      <c r="G196" s="26"/>
      <c r="H196" s="26"/>
      <c r="I196" s="26"/>
      <c r="J196" s="26"/>
      <c r="K196" s="26"/>
    </row>
    <row r="197" spans="2:11" x14ac:dyDescent="0.25">
      <c r="B197" s="26"/>
      <c r="C197" s="26"/>
      <c r="D197" s="26"/>
      <c r="E197" s="26"/>
      <c r="F197" s="26"/>
      <c r="G197" s="26"/>
      <c r="H197" s="26"/>
      <c r="I197" s="26"/>
      <c r="J197" s="26"/>
      <c r="K197" s="26"/>
    </row>
    <row r="198" spans="2:11" x14ac:dyDescent="0.25">
      <c r="B198" s="26"/>
      <c r="C198" s="26"/>
      <c r="D198" s="26"/>
      <c r="E198" s="26"/>
      <c r="F198" s="26"/>
      <c r="G198" s="26"/>
      <c r="H198" s="26"/>
      <c r="I198" s="26"/>
      <c r="J198" s="26"/>
      <c r="K198" s="26"/>
    </row>
    <row r="199" spans="2:11" x14ac:dyDescent="0.25">
      <c r="B199" s="26"/>
      <c r="C199" s="26"/>
      <c r="D199" s="26"/>
      <c r="E199" s="26"/>
      <c r="F199" s="26"/>
      <c r="G199" s="26"/>
      <c r="H199" s="26"/>
      <c r="I199" s="26"/>
      <c r="J199" s="26"/>
      <c r="K199" s="26"/>
    </row>
    <row r="200" spans="2:11" x14ac:dyDescent="0.25">
      <c r="B200" s="26"/>
      <c r="C200" s="26"/>
      <c r="D200" s="26"/>
      <c r="E200" s="26"/>
      <c r="F200" s="26"/>
      <c r="G200" s="26"/>
      <c r="H200" s="26"/>
      <c r="I200" s="26"/>
      <c r="J200" s="26"/>
      <c r="K200" s="26"/>
    </row>
    <row r="201" spans="2:11" x14ac:dyDescent="0.25">
      <c r="B201" s="26"/>
      <c r="C201" s="26"/>
      <c r="D201" s="26"/>
      <c r="E201" s="26"/>
      <c r="F201" s="26"/>
      <c r="G201" s="26"/>
      <c r="H201" s="26"/>
      <c r="I201" s="26"/>
      <c r="J201" s="26"/>
      <c r="K201" s="26"/>
    </row>
    <row r="202" spans="2:11" x14ac:dyDescent="0.25">
      <c r="B202" s="26"/>
      <c r="C202" s="26"/>
      <c r="D202" s="26"/>
      <c r="E202" s="26"/>
      <c r="F202" s="26"/>
      <c r="G202" s="26"/>
      <c r="H202" s="26"/>
      <c r="I202" s="26"/>
      <c r="J202" s="26"/>
      <c r="K202" s="26"/>
    </row>
    <row r="203" spans="2:11" x14ac:dyDescent="0.25">
      <c r="B203" s="26"/>
      <c r="C203" s="26"/>
      <c r="D203" s="26"/>
      <c r="E203" s="26"/>
      <c r="F203" s="26"/>
      <c r="G203" s="26"/>
      <c r="H203" s="26"/>
      <c r="I203" s="26"/>
      <c r="J203" s="26"/>
      <c r="K203" s="26"/>
    </row>
    <row r="204" spans="2:11" x14ac:dyDescent="0.25">
      <c r="B204" s="26"/>
      <c r="C204" s="26"/>
      <c r="D204" s="26"/>
      <c r="E204" s="26"/>
      <c r="F204" s="26"/>
      <c r="G204" s="26"/>
      <c r="H204" s="26"/>
      <c r="I204" s="26"/>
      <c r="J204" s="26"/>
      <c r="K204" s="26"/>
    </row>
    <row r="205" spans="2:11" x14ac:dyDescent="0.25">
      <c r="B205" s="26"/>
      <c r="C205" s="26"/>
      <c r="D205" s="26"/>
      <c r="E205" s="26"/>
      <c r="F205" s="26"/>
      <c r="G205" s="26"/>
      <c r="H205" s="26"/>
      <c r="I205" s="26"/>
      <c r="J205" s="26"/>
      <c r="K205" s="26"/>
    </row>
    <row r="206" spans="2:11" x14ac:dyDescent="0.25">
      <c r="B206" s="26"/>
      <c r="C206" s="26"/>
      <c r="D206" s="26"/>
      <c r="E206" s="26"/>
      <c r="F206" s="26"/>
      <c r="G206" s="26"/>
      <c r="H206" s="26"/>
      <c r="I206" s="26"/>
      <c r="J206" s="26"/>
      <c r="K206" s="26"/>
    </row>
    <row r="207" spans="2:11" x14ac:dyDescent="0.25">
      <c r="B207" s="26"/>
      <c r="C207" s="26"/>
      <c r="D207" s="26"/>
      <c r="E207" s="26"/>
      <c r="F207" s="26"/>
      <c r="G207" s="26"/>
      <c r="H207" s="26"/>
      <c r="I207" s="26"/>
      <c r="J207" s="26"/>
      <c r="K207" s="26"/>
    </row>
    <row r="208" spans="2:11" x14ac:dyDescent="0.25">
      <c r="B208" s="26"/>
      <c r="C208" s="26"/>
      <c r="D208" s="26"/>
      <c r="E208" s="26"/>
      <c r="F208" s="26"/>
      <c r="G208" s="26"/>
      <c r="H208" s="26"/>
      <c r="I208" s="26"/>
      <c r="J208" s="26"/>
      <c r="K208" s="26"/>
    </row>
    <row r="209" spans="2:11" x14ac:dyDescent="0.25">
      <c r="B209" s="26"/>
      <c r="C209" s="26"/>
      <c r="D209" s="26"/>
      <c r="E209" s="26"/>
      <c r="F209" s="26"/>
      <c r="G209" s="26"/>
      <c r="H209" s="26"/>
      <c r="I209" s="26"/>
      <c r="J209" s="26"/>
      <c r="K209" s="26"/>
    </row>
    <row r="210" spans="2:11" x14ac:dyDescent="0.25">
      <c r="B210" s="26"/>
      <c r="C210" s="26"/>
      <c r="D210" s="26"/>
      <c r="E210" s="26"/>
      <c r="F210" s="26"/>
      <c r="G210" s="26"/>
      <c r="H210" s="26"/>
      <c r="I210" s="26"/>
      <c r="J210" s="26"/>
      <c r="K210" s="26"/>
    </row>
    <row r="211" spans="2:11" x14ac:dyDescent="0.25">
      <c r="B211" s="26"/>
      <c r="C211" s="26"/>
      <c r="D211" s="26"/>
      <c r="E211" s="26"/>
      <c r="F211" s="26"/>
      <c r="G211" s="26"/>
      <c r="H211" s="26"/>
      <c r="I211" s="26"/>
      <c r="J211" s="26"/>
      <c r="K211" s="26"/>
    </row>
    <row r="212" spans="2:11" x14ac:dyDescent="0.25">
      <c r="B212" s="26"/>
      <c r="C212" s="26"/>
      <c r="D212" s="26"/>
      <c r="E212" s="26"/>
      <c r="F212" s="26"/>
      <c r="G212" s="26"/>
      <c r="H212" s="26"/>
      <c r="I212" s="26"/>
      <c r="J212" s="26"/>
      <c r="K212" s="26"/>
    </row>
    <row r="213" spans="2:11" x14ac:dyDescent="0.25">
      <c r="B213" s="26"/>
      <c r="C213" s="26"/>
      <c r="D213" s="26"/>
      <c r="E213" s="26"/>
      <c r="F213" s="26"/>
      <c r="G213" s="26"/>
      <c r="H213" s="26"/>
      <c r="I213" s="26"/>
      <c r="J213" s="26"/>
      <c r="K213" s="26"/>
    </row>
    <row r="214" spans="2:11" x14ac:dyDescent="0.25">
      <c r="B214" s="26"/>
      <c r="C214" s="26"/>
      <c r="D214" s="26"/>
      <c r="E214" s="26"/>
      <c r="F214" s="26"/>
      <c r="G214" s="26"/>
      <c r="H214" s="26"/>
      <c r="I214" s="26"/>
      <c r="J214" s="26"/>
      <c r="K214" s="26"/>
    </row>
    <row r="215" spans="2:11" x14ac:dyDescent="0.25">
      <c r="B215" s="26"/>
      <c r="C215" s="26"/>
      <c r="D215" s="26"/>
      <c r="E215" s="26"/>
      <c r="F215" s="26"/>
      <c r="G215" s="26"/>
      <c r="H215" s="26"/>
      <c r="I215" s="26"/>
      <c r="J215" s="26"/>
      <c r="K215" s="26"/>
    </row>
    <row r="216" spans="2:11" x14ac:dyDescent="0.25">
      <c r="B216" s="26"/>
      <c r="C216" s="26"/>
      <c r="D216" s="26"/>
      <c r="E216" s="26"/>
      <c r="F216" s="26"/>
      <c r="G216" s="26"/>
      <c r="H216" s="26"/>
      <c r="I216" s="26"/>
      <c r="J216" s="26"/>
      <c r="K216" s="26"/>
    </row>
    <row r="217" spans="2:11" x14ac:dyDescent="0.25">
      <c r="B217" s="26"/>
      <c r="C217" s="26"/>
      <c r="D217" s="26"/>
      <c r="E217" s="26"/>
      <c r="F217" s="26"/>
      <c r="G217" s="26"/>
      <c r="H217" s="26"/>
      <c r="I217" s="26"/>
      <c r="J217" s="26"/>
      <c r="K217" s="26"/>
    </row>
    <row r="218" spans="2:11" x14ac:dyDescent="0.25">
      <c r="B218" s="26"/>
      <c r="C218" s="26"/>
      <c r="D218" s="26"/>
      <c r="E218" s="26"/>
      <c r="F218" s="26"/>
      <c r="G218" s="26"/>
      <c r="H218" s="26"/>
      <c r="I218" s="26"/>
      <c r="J218" s="26"/>
      <c r="K218" s="26"/>
    </row>
    <row r="219" spans="2:11" x14ac:dyDescent="0.25">
      <c r="B219" s="26"/>
      <c r="C219" s="26"/>
      <c r="D219" s="26"/>
      <c r="E219" s="26"/>
      <c r="F219" s="26"/>
      <c r="G219" s="26"/>
      <c r="H219" s="26"/>
      <c r="I219" s="26"/>
      <c r="J219" s="26"/>
      <c r="K219" s="26"/>
    </row>
    <row r="220" spans="2:11" x14ac:dyDescent="0.25">
      <c r="B220" s="26"/>
      <c r="C220" s="26"/>
      <c r="D220" s="26"/>
      <c r="E220" s="26"/>
      <c r="F220" s="26"/>
      <c r="G220" s="26"/>
      <c r="H220" s="26"/>
      <c r="I220" s="26"/>
      <c r="J220" s="26"/>
      <c r="K220" s="26"/>
    </row>
    <row r="221" spans="2:11" x14ac:dyDescent="0.25">
      <c r="B221" s="26"/>
      <c r="C221" s="26"/>
      <c r="D221" s="26"/>
      <c r="E221" s="26"/>
      <c r="F221" s="26"/>
      <c r="G221" s="26"/>
      <c r="H221" s="26"/>
      <c r="I221" s="26"/>
      <c r="J221" s="26"/>
      <c r="K221" s="26"/>
    </row>
    <row r="222" spans="2:11" x14ac:dyDescent="0.25">
      <c r="B222" s="26"/>
      <c r="C222" s="26"/>
      <c r="D222" s="26"/>
      <c r="E222" s="26"/>
      <c r="F222" s="26"/>
      <c r="G222" s="26"/>
      <c r="H222" s="26"/>
      <c r="I222" s="26"/>
      <c r="J222" s="26"/>
      <c r="K222" s="26"/>
    </row>
    <row r="223" spans="2:11" x14ac:dyDescent="0.25">
      <c r="B223" s="26"/>
      <c r="C223" s="26"/>
      <c r="D223" s="26"/>
      <c r="E223" s="26"/>
      <c r="F223" s="26"/>
      <c r="G223" s="26"/>
      <c r="H223" s="26"/>
      <c r="I223" s="26"/>
      <c r="J223" s="26"/>
      <c r="K223" s="26"/>
    </row>
    <row r="224" spans="2:11" x14ac:dyDescent="0.25">
      <c r="B224" s="26"/>
      <c r="C224" s="26"/>
      <c r="D224" s="26"/>
      <c r="E224" s="26"/>
      <c r="F224" s="26"/>
      <c r="G224" s="26"/>
      <c r="H224" s="26"/>
      <c r="I224" s="26"/>
      <c r="J224" s="26"/>
      <c r="K224" s="26"/>
    </row>
    <row r="225" spans="2:11" x14ac:dyDescent="0.25">
      <c r="B225" s="26"/>
      <c r="C225" s="26"/>
      <c r="D225" s="26"/>
      <c r="E225" s="26"/>
      <c r="F225" s="26"/>
      <c r="G225" s="26"/>
      <c r="H225" s="26"/>
      <c r="I225" s="26"/>
      <c r="J225" s="26"/>
      <c r="K225" s="26"/>
    </row>
    <row r="226" spans="2:11" x14ac:dyDescent="0.25">
      <c r="B226" s="26"/>
      <c r="C226" s="26"/>
      <c r="D226" s="26"/>
      <c r="E226" s="26"/>
      <c r="F226" s="26"/>
      <c r="G226" s="26"/>
      <c r="H226" s="26"/>
      <c r="I226" s="26"/>
      <c r="J226" s="26"/>
      <c r="K226" s="26"/>
    </row>
    <row r="227" spans="2:11" x14ac:dyDescent="0.25">
      <c r="B227" s="26"/>
      <c r="C227" s="26"/>
      <c r="D227" s="26"/>
      <c r="E227" s="26"/>
      <c r="F227" s="26"/>
      <c r="G227" s="26"/>
      <c r="H227" s="26"/>
      <c r="I227" s="26"/>
      <c r="J227" s="26"/>
      <c r="K227" s="26"/>
    </row>
    <row r="228" spans="2:11" x14ac:dyDescent="0.25">
      <c r="B228" s="26"/>
      <c r="C228" s="26"/>
      <c r="D228" s="26"/>
      <c r="E228" s="26"/>
      <c r="F228" s="26"/>
      <c r="G228" s="26"/>
      <c r="H228" s="26"/>
      <c r="I228" s="26"/>
      <c r="J228" s="26"/>
      <c r="K228" s="26"/>
    </row>
    <row r="229" spans="2:11" x14ac:dyDescent="0.25">
      <c r="B229" s="26"/>
      <c r="C229" s="26"/>
      <c r="D229" s="26"/>
      <c r="E229" s="26"/>
      <c r="F229" s="26"/>
      <c r="G229" s="26"/>
      <c r="H229" s="26"/>
      <c r="I229" s="26"/>
      <c r="J229" s="26"/>
      <c r="K229" s="26"/>
    </row>
    <row r="230" spans="2:11" x14ac:dyDescent="0.25">
      <c r="B230" s="26"/>
      <c r="C230" s="26"/>
      <c r="D230" s="26"/>
      <c r="E230" s="26"/>
      <c r="F230" s="26"/>
      <c r="G230" s="26"/>
      <c r="H230" s="26"/>
      <c r="I230" s="26"/>
      <c r="J230" s="26"/>
      <c r="K230" s="26"/>
    </row>
    <row r="231" spans="2:11" x14ac:dyDescent="0.25">
      <c r="B231" s="26"/>
      <c r="C231" s="26"/>
      <c r="D231" s="26"/>
      <c r="E231" s="26"/>
      <c r="F231" s="26"/>
      <c r="G231" s="26"/>
      <c r="H231" s="26"/>
      <c r="I231" s="26"/>
      <c r="J231" s="26"/>
      <c r="K231" s="26"/>
    </row>
    <row r="232" spans="2:11" x14ac:dyDescent="0.25">
      <c r="B232" s="26"/>
      <c r="C232" s="26"/>
      <c r="D232" s="26"/>
      <c r="E232" s="26"/>
      <c r="F232" s="26"/>
      <c r="G232" s="26"/>
      <c r="H232" s="26"/>
      <c r="I232" s="26"/>
      <c r="J232" s="26"/>
      <c r="K232" s="26"/>
    </row>
    <row r="233" spans="2:11" x14ac:dyDescent="0.25">
      <c r="B233" s="26"/>
      <c r="C233" s="26"/>
      <c r="D233" s="26"/>
      <c r="E233" s="26"/>
      <c r="F233" s="26"/>
      <c r="G233" s="26"/>
      <c r="H233" s="26"/>
      <c r="I233" s="26"/>
      <c r="J233" s="26"/>
      <c r="K233" s="26"/>
    </row>
    <row r="234" spans="2:11" x14ac:dyDescent="0.25">
      <c r="B234" s="26"/>
      <c r="C234" s="26"/>
      <c r="D234" s="26"/>
      <c r="E234" s="26"/>
      <c r="F234" s="26"/>
      <c r="G234" s="26"/>
      <c r="H234" s="26"/>
      <c r="I234" s="26"/>
      <c r="J234" s="26"/>
      <c r="K234" s="26"/>
    </row>
    <row r="235" spans="2:11" x14ac:dyDescent="0.25">
      <c r="B235" s="26"/>
      <c r="C235" s="26"/>
      <c r="D235" s="26"/>
      <c r="E235" s="26"/>
      <c r="F235" s="26"/>
      <c r="G235" s="26"/>
      <c r="H235" s="26"/>
      <c r="I235" s="26"/>
      <c r="J235" s="26"/>
      <c r="K235" s="26"/>
    </row>
    <row r="236" spans="2:11" x14ac:dyDescent="0.25">
      <c r="B236" s="26"/>
      <c r="C236" s="26"/>
      <c r="D236" s="26"/>
      <c r="E236" s="26"/>
      <c r="F236" s="26"/>
      <c r="G236" s="26"/>
      <c r="H236" s="26"/>
      <c r="I236" s="26"/>
      <c r="J236" s="26"/>
      <c r="K236" s="26"/>
    </row>
    <row r="237" spans="2:11" x14ac:dyDescent="0.25">
      <c r="B237" s="26"/>
      <c r="C237" s="26"/>
      <c r="D237" s="26"/>
      <c r="E237" s="26"/>
      <c r="F237" s="26"/>
      <c r="G237" s="26"/>
      <c r="H237" s="26"/>
      <c r="I237" s="26"/>
      <c r="J237" s="26"/>
      <c r="K237" s="26"/>
    </row>
    <row r="238" spans="2:11" x14ac:dyDescent="0.25">
      <c r="B238" s="26"/>
      <c r="C238" s="26"/>
      <c r="D238" s="26"/>
      <c r="E238" s="26"/>
      <c r="F238" s="26"/>
      <c r="G238" s="26"/>
      <c r="H238" s="26"/>
      <c r="I238" s="26"/>
      <c r="J238" s="26"/>
      <c r="K238" s="26"/>
    </row>
    <row r="239" spans="2:11" x14ac:dyDescent="0.25">
      <c r="B239" s="26"/>
      <c r="C239" s="26"/>
      <c r="D239" s="26"/>
      <c r="E239" s="26"/>
      <c r="F239" s="26"/>
      <c r="G239" s="26"/>
      <c r="H239" s="26"/>
      <c r="I239" s="26"/>
      <c r="J239" s="26"/>
      <c r="K239" s="26"/>
    </row>
    <row r="240" spans="2:11" x14ac:dyDescent="0.25">
      <c r="B240" s="26"/>
      <c r="C240" s="26"/>
      <c r="D240" s="26"/>
      <c r="E240" s="26"/>
      <c r="F240" s="26"/>
      <c r="G240" s="26"/>
      <c r="H240" s="26"/>
      <c r="I240" s="26"/>
      <c r="J240" s="26"/>
      <c r="K240" s="26"/>
    </row>
    <row r="241" spans="2:11" x14ac:dyDescent="0.25">
      <c r="B241" s="26"/>
      <c r="C241" s="26"/>
      <c r="D241" s="26"/>
      <c r="E241" s="26"/>
      <c r="F241" s="26"/>
      <c r="G241" s="26"/>
      <c r="H241" s="26"/>
      <c r="I241" s="26"/>
      <c r="J241" s="26"/>
      <c r="K241" s="26"/>
    </row>
    <row r="242" spans="2:11" x14ac:dyDescent="0.25">
      <c r="B242" s="26"/>
      <c r="C242" s="26"/>
      <c r="D242" s="26"/>
      <c r="E242" s="26"/>
      <c r="F242" s="26"/>
      <c r="G242" s="26"/>
      <c r="H242" s="26"/>
      <c r="I242" s="26"/>
      <c r="J242" s="26"/>
      <c r="K242" s="26"/>
    </row>
    <row r="243" spans="2:11" x14ac:dyDescent="0.25">
      <c r="B243" s="26"/>
      <c r="C243" s="26"/>
      <c r="D243" s="26"/>
      <c r="E243" s="26"/>
      <c r="F243" s="26"/>
      <c r="G243" s="26"/>
      <c r="H243" s="26"/>
      <c r="I243" s="26"/>
      <c r="J243" s="26"/>
      <c r="K243" s="26"/>
    </row>
    <row r="244" spans="2:11" x14ac:dyDescent="0.25">
      <c r="B244" s="26"/>
      <c r="C244" s="26"/>
      <c r="D244" s="26"/>
      <c r="E244" s="26"/>
      <c r="F244" s="26"/>
      <c r="G244" s="26"/>
      <c r="H244" s="26"/>
      <c r="I244" s="26"/>
      <c r="J244" s="26"/>
      <c r="K244" s="26"/>
    </row>
    <row r="245" spans="2:11" x14ac:dyDescent="0.25">
      <c r="B245" s="26"/>
      <c r="C245" s="26"/>
      <c r="D245" s="26"/>
      <c r="E245" s="26"/>
      <c r="F245" s="26"/>
      <c r="G245" s="26"/>
      <c r="H245" s="26"/>
      <c r="I245" s="26"/>
      <c r="J245" s="26"/>
      <c r="K245" s="26"/>
    </row>
    <row r="246" spans="2:11" x14ac:dyDescent="0.25">
      <c r="B246" s="26"/>
      <c r="C246" s="26"/>
      <c r="D246" s="26"/>
      <c r="E246" s="26"/>
      <c r="F246" s="26"/>
      <c r="G246" s="26"/>
      <c r="H246" s="26"/>
      <c r="I246" s="26"/>
      <c r="J246" s="26"/>
      <c r="K246" s="26"/>
    </row>
    <row r="247" spans="2:11" x14ac:dyDescent="0.25">
      <c r="B247" s="26"/>
      <c r="C247" s="26"/>
      <c r="D247" s="26"/>
      <c r="E247" s="26"/>
      <c r="F247" s="26"/>
      <c r="G247" s="26"/>
      <c r="H247" s="26"/>
      <c r="I247" s="26"/>
      <c r="J247" s="26"/>
      <c r="K247" s="26"/>
    </row>
    <row r="248" spans="2:11" x14ac:dyDescent="0.25">
      <c r="B248" s="26"/>
      <c r="C248" s="26"/>
      <c r="D248" s="26"/>
      <c r="E248" s="26"/>
      <c r="F248" s="26"/>
      <c r="G248" s="26"/>
      <c r="H248" s="26"/>
      <c r="I248" s="26"/>
      <c r="J248" s="26"/>
      <c r="K248" s="26"/>
    </row>
    <row r="249" spans="2:11" x14ac:dyDescent="0.25">
      <c r="B249" s="26"/>
      <c r="C249" s="26"/>
      <c r="D249" s="26"/>
      <c r="E249" s="26"/>
      <c r="F249" s="26"/>
      <c r="G249" s="26"/>
      <c r="H249" s="26"/>
      <c r="I249" s="26"/>
      <c r="J249" s="26"/>
      <c r="K249" s="26"/>
    </row>
    <row r="250" spans="2:11" x14ac:dyDescent="0.25">
      <c r="B250" s="26"/>
      <c r="C250" s="26"/>
      <c r="D250" s="26"/>
      <c r="E250" s="26"/>
      <c r="F250" s="26"/>
      <c r="G250" s="26"/>
      <c r="H250" s="26"/>
      <c r="I250" s="26"/>
      <c r="J250" s="26"/>
      <c r="K250" s="26"/>
    </row>
    <row r="251" spans="2:11" x14ac:dyDescent="0.25">
      <c r="B251" s="26"/>
      <c r="C251" s="26"/>
      <c r="D251" s="26"/>
      <c r="E251" s="26"/>
      <c r="F251" s="26"/>
      <c r="G251" s="26"/>
      <c r="H251" s="26"/>
      <c r="I251" s="26"/>
      <c r="J251" s="26"/>
      <c r="K251" s="26"/>
    </row>
    <row r="252" spans="2:11" x14ac:dyDescent="0.25">
      <c r="B252" s="26"/>
      <c r="C252" s="26"/>
      <c r="D252" s="26"/>
      <c r="E252" s="26"/>
      <c r="F252" s="26"/>
      <c r="G252" s="26"/>
      <c r="H252" s="26"/>
      <c r="I252" s="26"/>
      <c r="J252" s="26"/>
      <c r="K252" s="26"/>
    </row>
    <row r="253" spans="2:11" x14ac:dyDescent="0.25">
      <c r="B253" s="26"/>
      <c r="C253" s="26"/>
      <c r="D253" s="26"/>
      <c r="E253" s="26"/>
      <c r="F253" s="26"/>
      <c r="G253" s="26"/>
      <c r="H253" s="26"/>
      <c r="I253" s="26"/>
      <c r="J253" s="26"/>
      <c r="K253" s="26"/>
    </row>
    <row r="254" spans="2:11" x14ac:dyDescent="0.25">
      <c r="B254" s="26"/>
      <c r="C254" s="26"/>
      <c r="D254" s="26"/>
      <c r="E254" s="26"/>
      <c r="F254" s="26"/>
      <c r="G254" s="26"/>
      <c r="H254" s="26"/>
      <c r="I254" s="26"/>
      <c r="J254" s="26"/>
      <c r="K254" s="26"/>
    </row>
    <row r="255" spans="2:11" x14ac:dyDescent="0.25">
      <c r="B255" s="26"/>
      <c r="C255" s="26"/>
      <c r="D255" s="26"/>
      <c r="E255" s="26"/>
      <c r="F255" s="26"/>
      <c r="G255" s="26"/>
      <c r="H255" s="26"/>
      <c r="I255" s="26"/>
      <c r="J255" s="26"/>
      <c r="K255" s="26"/>
    </row>
    <row r="256" spans="2:11" x14ac:dyDescent="0.25">
      <c r="B256" s="26"/>
      <c r="C256" s="26"/>
      <c r="D256" s="26"/>
      <c r="E256" s="26"/>
      <c r="F256" s="26"/>
      <c r="G256" s="26"/>
      <c r="H256" s="26"/>
      <c r="I256" s="26"/>
      <c r="J256" s="26"/>
      <c r="K256" s="26"/>
    </row>
    <row r="257" spans="2:11" x14ac:dyDescent="0.25">
      <c r="B257" s="26"/>
      <c r="C257" s="26"/>
      <c r="D257" s="26"/>
      <c r="E257" s="26"/>
      <c r="F257" s="26"/>
      <c r="G257" s="26"/>
      <c r="H257" s="26"/>
      <c r="I257" s="26"/>
      <c r="J257" s="26"/>
      <c r="K257" s="26"/>
    </row>
    <row r="258" spans="2:11" x14ac:dyDescent="0.25">
      <c r="B258" s="26"/>
      <c r="C258" s="26"/>
      <c r="D258" s="26"/>
      <c r="E258" s="26"/>
      <c r="F258" s="26"/>
      <c r="G258" s="26"/>
      <c r="H258" s="26"/>
      <c r="I258" s="26"/>
      <c r="J258" s="26"/>
      <c r="K258" s="26"/>
    </row>
    <row r="259" spans="2:11" x14ac:dyDescent="0.25">
      <c r="B259" s="26"/>
      <c r="C259" s="26"/>
      <c r="D259" s="26"/>
      <c r="E259" s="26"/>
      <c r="F259" s="26"/>
      <c r="G259" s="26"/>
      <c r="H259" s="26"/>
      <c r="I259" s="26"/>
      <c r="J259" s="26"/>
      <c r="K259" s="26"/>
    </row>
    <row r="260" spans="2:11" x14ac:dyDescent="0.25">
      <c r="B260" s="26"/>
      <c r="C260" s="26"/>
      <c r="D260" s="26"/>
      <c r="E260" s="26"/>
      <c r="F260" s="26"/>
      <c r="G260" s="26"/>
      <c r="H260" s="26"/>
      <c r="I260" s="26"/>
      <c r="J260" s="26"/>
      <c r="K260" s="26"/>
    </row>
    <row r="261" spans="2:11" x14ac:dyDescent="0.25">
      <c r="B261" s="26"/>
      <c r="C261" s="26"/>
      <c r="D261" s="26"/>
      <c r="E261" s="26"/>
      <c r="F261" s="26"/>
      <c r="G261" s="26"/>
      <c r="H261" s="26"/>
      <c r="I261" s="26"/>
      <c r="J261" s="26"/>
      <c r="K261" s="26"/>
    </row>
    <row r="262" spans="2:11" x14ac:dyDescent="0.25">
      <c r="B262" s="26"/>
      <c r="C262" s="26"/>
      <c r="D262" s="26"/>
      <c r="E262" s="26"/>
      <c r="F262" s="26"/>
      <c r="G262" s="26"/>
      <c r="H262" s="26"/>
      <c r="I262" s="26"/>
      <c r="J262" s="26"/>
      <c r="K262" s="26"/>
    </row>
    <row r="263" spans="2:11" x14ac:dyDescent="0.25">
      <c r="B263" s="26"/>
      <c r="C263" s="26"/>
      <c r="D263" s="26"/>
      <c r="E263" s="26"/>
      <c r="F263" s="26"/>
      <c r="G263" s="26"/>
      <c r="H263" s="26"/>
      <c r="I263" s="26"/>
      <c r="J263" s="26"/>
      <c r="K263" s="26"/>
    </row>
    <row r="264" spans="2:11" x14ac:dyDescent="0.25">
      <c r="B264" s="26"/>
      <c r="C264" s="26"/>
      <c r="D264" s="26"/>
      <c r="E264" s="26"/>
      <c r="F264" s="26"/>
      <c r="G264" s="26"/>
      <c r="H264" s="26"/>
      <c r="I264" s="26"/>
      <c r="J264" s="26"/>
      <c r="K264" s="26"/>
    </row>
    <row r="265" spans="2:11" x14ac:dyDescent="0.25">
      <c r="B265" s="26"/>
      <c r="C265" s="26"/>
      <c r="D265" s="26"/>
      <c r="E265" s="26"/>
      <c r="F265" s="26"/>
      <c r="G265" s="26"/>
      <c r="H265" s="26"/>
      <c r="I265" s="26"/>
      <c r="J265" s="26"/>
      <c r="K265" s="26"/>
    </row>
    <row r="266" spans="2:11" x14ac:dyDescent="0.25">
      <c r="B266" s="26"/>
      <c r="C266" s="26"/>
      <c r="D266" s="26"/>
      <c r="E266" s="26"/>
      <c r="F266" s="26"/>
      <c r="G266" s="26"/>
      <c r="H266" s="26"/>
      <c r="I266" s="26"/>
      <c r="J266" s="26"/>
      <c r="K266" s="26"/>
    </row>
    <row r="267" spans="2:11" x14ac:dyDescent="0.25">
      <c r="B267" s="26"/>
      <c r="C267" s="26"/>
      <c r="D267" s="26"/>
      <c r="E267" s="26"/>
      <c r="F267" s="26"/>
      <c r="G267" s="26"/>
      <c r="H267" s="26"/>
      <c r="I267" s="26"/>
      <c r="J267" s="26"/>
      <c r="K267" s="26"/>
    </row>
    <row r="268" spans="2:11" x14ac:dyDescent="0.25">
      <c r="B268" s="26"/>
      <c r="C268" s="26"/>
      <c r="D268" s="26"/>
      <c r="E268" s="26"/>
      <c r="F268" s="26"/>
      <c r="G268" s="26"/>
      <c r="H268" s="26"/>
      <c r="I268" s="26"/>
      <c r="J268" s="26"/>
      <c r="K268" s="26"/>
    </row>
    <row r="269" spans="2:11" x14ac:dyDescent="0.25">
      <c r="B269" s="26"/>
      <c r="C269" s="26"/>
      <c r="D269" s="26"/>
      <c r="E269" s="26"/>
      <c r="F269" s="26"/>
      <c r="G269" s="26"/>
      <c r="H269" s="26"/>
      <c r="I269" s="26"/>
      <c r="J269" s="26"/>
      <c r="K269" s="26"/>
    </row>
    <row r="270" spans="2:11" x14ac:dyDescent="0.25">
      <c r="B270" s="26"/>
      <c r="C270" s="26"/>
      <c r="D270" s="26"/>
      <c r="E270" s="26"/>
      <c r="F270" s="26"/>
      <c r="G270" s="26"/>
      <c r="H270" s="26"/>
      <c r="I270" s="26"/>
      <c r="J270" s="26"/>
      <c r="K270" s="26"/>
    </row>
    <row r="271" spans="2:11" x14ac:dyDescent="0.25">
      <c r="B271" s="26"/>
      <c r="C271" s="26"/>
      <c r="D271" s="26"/>
      <c r="E271" s="26"/>
      <c r="F271" s="26"/>
      <c r="G271" s="26"/>
      <c r="H271" s="26"/>
      <c r="I271" s="26"/>
      <c r="J271" s="26"/>
      <c r="K271" s="26"/>
    </row>
    <row r="272" spans="2:11" x14ac:dyDescent="0.25">
      <c r="B272" s="26"/>
      <c r="C272" s="26"/>
      <c r="D272" s="26"/>
      <c r="E272" s="26"/>
      <c r="F272" s="26"/>
      <c r="G272" s="26"/>
      <c r="H272" s="26"/>
      <c r="I272" s="26"/>
      <c r="J272" s="26"/>
      <c r="K272" s="26"/>
    </row>
    <row r="273" spans="2:11" x14ac:dyDescent="0.25">
      <c r="B273" s="26"/>
      <c r="C273" s="26"/>
      <c r="D273" s="26"/>
      <c r="E273" s="26"/>
      <c r="F273" s="26"/>
      <c r="G273" s="26"/>
      <c r="H273" s="26"/>
      <c r="I273" s="26"/>
      <c r="J273" s="26"/>
      <c r="K273" s="26"/>
    </row>
    <row r="274" spans="2:11" x14ac:dyDescent="0.25">
      <c r="B274" s="26"/>
      <c r="C274" s="26"/>
      <c r="D274" s="26"/>
      <c r="E274" s="26"/>
      <c r="F274" s="26"/>
      <c r="G274" s="26"/>
      <c r="H274" s="26"/>
      <c r="I274" s="26"/>
      <c r="J274" s="26"/>
      <c r="K274" s="26"/>
    </row>
    <row r="275" spans="2:11" x14ac:dyDescent="0.25">
      <c r="B275" s="26"/>
      <c r="C275" s="26"/>
      <c r="D275" s="26"/>
      <c r="E275" s="26"/>
      <c r="F275" s="26"/>
      <c r="G275" s="26"/>
      <c r="H275" s="26"/>
      <c r="I275" s="26"/>
      <c r="J275" s="26"/>
      <c r="K275" s="26"/>
    </row>
    <row r="276" spans="2:11" x14ac:dyDescent="0.25">
      <c r="B276" s="26"/>
      <c r="C276" s="26"/>
      <c r="D276" s="26"/>
      <c r="E276" s="26"/>
      <c r="F276" s="26"/>
      <c r="G276" s="26"/>
      <c r="H276" s="26"/>
      <c r="I276" s="26"/>
      <c r="J276" s="26"/>
      <c r="K276" s="26"/>
    </row>
    <row r="277" spans="2:11" x14ac:dyDescent="0.25">
      <c r="B277" s="26"/>
      <c r="C277" s="26"/>
      <c r="D277" s="26"/>
      <c r="E277" s="26"/>
      <c r="F277" s="26"/>
      <c r="G277" s="26"/>
      <c r="H277" s="26"/>
      <c r="I277" s="26"/>
      <c r="J277" s="26"/>
      <c r="K277" s="26"/>
    </row>
    <row r="278" spans="2:11" x14ac:dyDescent="0.25">
      <c r="B278" s="26"/>
      <c r="C278" s="26"/>
      <c r="D278" s="26"/>
      <c r="E278" s="26"/>
      <c r="F278" s="26"/>
      <c r="G278" s="26"/>
      <c r="H278" s="26"/>
      <c r="I278" s="26"/>
      <c r="J278" s="26"/>
      <c r="K278" s="26"/>
    </row>
    <row r="279" spans="2:11" x14ac:dyDescent="0.25">
      <c r="B279" s="26"/>
      <c r="C279" s="26"/>
      <c r="D279" s="26"/>
      <c r="E279" s="26"/>
      <c r="F279" s="26"/>
      <c r="G279" s="26"/>
      <c r="H279" s="26"/>
      <c r="I279" s="26"/>
      <c r="J279" s="26"/>
      <c r="K279" s="26"/>
    </row>
    <row r="280" spans="2:11" x14ac:dyDescent="0.25">
      <c r="B280" s="26"/>
      <c r="C280" s="26"/>
      <c r="D280" s="26"/>
      <c r="E280" s="26"/>
      <c r="F280" s="26"/>
      <c r="G280" s="26"/>
      <c r="H280" s="26"/>
      <c r="I280" s="26"/>
      <c r="J280" s="26"/>
      <c r="K280" s="26"/>
    </row>
    <row r="281" spans="2:11" x14ac:dyDescent="0.25">
      <c r="B281" s="26"/>
      <c r="C281" s="26"/>
      <c r="D281" s="26"/>
      <c r="E281" s="26"/>
      <c r="F281" s="26"/>
      <c r="G281" s="26"/>
      <c r="H281" s="26"/>
      <c r="I281" s="26"/>
      <c r="J281" s="26"/>
      <c r="K281" s="26"/>
    </row>
    <row r="282" spans="2:11" x14ac:dyDescent="0.25">
      <c r="B282" s="26"/>
      <c r="C282" s="26"/>
      <c r="D282" s="26"/>
      <c r="E282" s="26"/>
      <c r="F282" s="26"/>
      <c r="G282" s="26"/>
      <c r="H282" s="26"/>
      <c r="I282" s="26"/>
      <c r="J282" s="26"/>
      <c r="K282" s="26"/>
    </row>
    <row r="283" spans="2:11" x14ac:dyDescent="0.25">
      <c r="B283" s="26"/>
      <c r="C283" s="26"/>
      <c r="D283" s="26"/>
      <c r="E283" s="26"/>
      <c r="F283" s="26"/>
      <c r="G283" s="26"/>
      <c r="H283" s="26"/>
      <c r="I283" s="26"/>
      <c r="J283" s="26"/>
      <c r="K283" s="26"/>
    </row>
    <row r="284" spans="2:11" x14ac:dyDescent="0.25">
      <c r="B284" s="26"/>
      <c r="C284" s="26"/>
      <c r="D284" s="26"/>
      <c r="E284" s="26"/>
      <c r="F284" s="26"/>
      <c r="G284" s="26"/>
      <c r="H284" s="26"/>
      <c r="I284" s="26"/>
      <c r="J284" s="26"/>
      <c r="K284" s="26"/>
    </row>
    <row r="285" spans="2:11" x14ac:dyDescent="0.25">
      <c r="B285" s="26"/>
      <c r="C285" s="26"/>
      <c r="D285" s="26"/>
      <c r="E285" s="26"/>
      <c r="F285" s="26"/>
      <c r="G285" s="26"/>
      <c r="H285" s="26"/>
      <c r="I285" s="26"/>
      <c r="J285" s="26"/>
      <c r="K285" s="26"/>
    </row>
    <row r="286" spans="2:11" x14ac:dyDescent="0.25">
      <c r="B286" s="26"/>
      <c r="C286" s="26"/>
      <c r="D286" s="26"/>
      <c r="E286" s="26"/>
      <c r="F286" s="26"/>
      <c r="G286" s="26"/>
      <c r="H286" s="26"/>
      <c r="I286" s="26"/>
      <c r="J286" s="26"/>
      <c r="K286" s="26"/>
    </row>
    <row r="287" spans="2:11" x14ac:dyDescent="0.25">
      <c r="B287" s="26"/>
      <c r="C287" s="26"/>
      <c r="D287" s="26"/>
      <c r="E287" s="26"/>
      <c r="F287" s="26"/>
      <c r="G287" s="26"/>
      <c r="H287" s="26"/>
      <c r="I287" s="26"/>
      <c r="J287" s="26"/>
      <c r="K287" s="26"/>
    </row>
    <row r="288" spans="2:11" x14ac:dyDescent="0.25">
      <c r="B288" s="26"/>
      <c r="C288" s="26"/>
      <c r="D288" s="26"/>
      <c r="E288" s="26"/>
      <c r="F288" s="26"/>
      <c r="G288" s="26"/>
      <c r="H288" s="26"/>
      <c r="I288" s="26"/>
      <c r="J288" s="26"/>
      <c r="K288" s="26"/>
    </row>
    <row r="289" spans="2:11" x14ac:dyDescent="0.25">
      <c r="B289" s="26"/>
      <c r="C289" s="26"/>
      <c r="D289" s="26"/>
      <c r="E289" s="26"/>
      <c r="F289" s="26"/>
      <c r="G289" s="26"/>
      <c r="H289" s="26"/>
      <c r="I289" s="26"/>
      <c r="J289" s="26"/>
      <c r="K289" s="26"/>
    </row>
    <row r="290" spans="2:11" x14ac:dyDescent="0.25">
      <c r="B290" s="26"/>
      <c r="C290" s="26"/>
      <c r="D290" s="26"/>
      <c r="E290" s="26"/>
      <c r="F290" s="26"/>
      <c r="G290" s="26"/>
      <c r="H290" s="26"/>
      <c r="I290" s="26"/>
      <c r="J290" s="26"/>
      <c r="K290" s="26"/>
    </row>
    <row r="291" spans="2:11" x14ac:dyDescent="0.25">
      <c r="B291" s="26"/>
      <c r="C291" s="26"/>
      <c r="D291" s="26"/>
      <c r="E291" s="26"/>
      <c r="F291" s="26"/>
      <c r="G291" s="26"/>
      <c r="H291" s="26"/>
      <c r="I291" s="26"/>
      <c r="J291" s="26"/>
      <c r="K291" s="26"/>
    </row>
    <row r="292" spans="2:11" x14ac:dyDescent="0.25">
      <c r="B292" s="26"/>
      <c r="C292" s="26"/>
      <c r="D292" s="26"/>
      <c r="E292" s="26"/>
      <c r="F292" s="26"/>
      <c r="G292" s="26"/>
      <c r="H292" s="26"/>
      <c r="I292" s="26"/>
      <c r="J292" s="26"/>
      <c r="K292" s="26"/>
    </row>
    <row r="293" spans="2:11" x14ac:dyDescent="0.25">
      <c r="B293" s="26"/>
      <c r="C293" s="26"/>
      <c r="D293" s="26"/>
      <c r="E293" s="26"/>
      <c r="F293" s="26"/>
      <c r="G293" s="26"/>
      <c r="H293" s="26"/>
      <c r="I293" s="26"/>
      <c r="J293" s="26"/>
      <c r="K293" s="26"/>
    </row>
    <row r="294" spans="2:11" x14ac:dyDescent="0.25">
      <c r="B294" s="26"/>
      <c r="C294" s="26"/>
      <c r="D294" s="26"/>
      <c r="E294" s="26"/>
      <c r="F294" s="26"/>
      <c r="G294" s="26"/>
      <c r="H294" s="26"/>
      <c r="I294" s="26"/>
      <c r="J294" s="26"/>
      <c r="K294" s="26"/>
    </row>
    <row r="295" spans="2:11" x14ac:dyDescent="0.25">
      <c r="B295" s="26"/>
      <c r="C295" s="26"/>
      <c r="D295" s="26"/>
      <c r="E295" s="26"/>
      <c r="F295" s="26"/>
      <c r="G295" s="26"/>
      <c r="H295" s="26"/>
      <c r="I295" s="26"/>
      <c r="J295" s="26"/>
      <c r="K295" s="26"/>
    </row>
    <row r="296" spans="2:11" x14ac:dyDescent="0.25">
      <c r="B296" s="26"/>
      <c r="C296" s="26"/>
      <c r="D296" s="26"/>
      <c r="E296" s="26"/>
      <c r="F296" s="26"/>
      <c r="G296" s="26"/>
      <c r="H296" s="26"/>
      <c r="I296" s="26"/>
      <c r="J296" s="26"/>
      <c r="K296" s="26"/>
    </row>
    <row r="297" spans="2:11" x14ac:dyDescent="0.25">
      <c r="B297" s="26"/>
      <c r="C297" s="26"/>
      <c r="D297" s="26"/>
      <c r="E297" s="26"/>
      <c r="F297" s="26"/>
      <c r="G297" s="26"/>
      <c r="H297" s="26"/>
      <c r="I297" s="26"/>
      <c r="J297" s="26"/>
      <c r="K297" s="26"/>
    </row>
    <row r="298" spans="2:11" x14ac:dyDescent="0.25">
      <c r="B298" s="26"/>
      <c r="C298" s="26"/>
      <c r="D298" s="26"/>
      <c r="E298" s="26"/>
      <c r="F298" s="26"/>
      <c r="G298" s="26"/>
      <c r="H298" s="26"/>
      <c r="I298" s="26"/>
      <c r="J298" s="26"/>
      <c r="K298" s="26"/>
    </row>
    <row r="299" spans="2:11" x14ac:dyDescent="0.25">
      <c r="B299" s="26"/>
      <c r="C299" s="26"/>
      <c r="D299" s="26"/>
      <c r="E299" s="26"/>
      <c r="F299" s="26"/>
      <c r="G299" s="26"/>
      <c r="H299" s="26"/>
      <c r="I299" s="26"/>
      <c r="J299" s="26"/>
      <c r="K299" s="26"/>
    </row>
    <row r="300" spans="2:11" x14ac:dyDescent="0.25">
      <c r="B300" s="26"/>
      <c r="C300" s="26"/>
      <c r="D300" s="26"/>
      <c r="E300" s="26"/>
      <c r="F300" s="26"/>
      <c r="G300" s="26"/>
      <c r="H300" s="26"/>
      <c r="I300" s="26"/>
      <c r="J300" s="26"/>
      <c r="K300" s="26"/>
    </row>
    <row r="301" spans="2:11" x14ac:dyDescent="0.25">
      <c r="B301" s="26"/>
      <c r="C301" s="26"/>
      <c r="D301" s="26"/>
      <c r="E301" s="26"/>
      <c r="F301" s="26"/>
      <c r="G301" s="26"/>
      <c r="H301" s="26"/>
      <c r="I301" s="26"/>
      <c r="J301" s="26"/>
      <c r="K301" s="26"/>
    </row>
    <row r="302" spans="2:11" x14ac:dyDescent="0.25">
      <c r="B302" s="26"/>
      <c r="C302" s="26"/>
      <c r="D302" s="26"/>
      <c r="E302" s="26"/>
      <c r="F302" s="26"/>
      <c r="G302" s="26"/>
      <c r="H302" s="26"/>
      <c r="I302" s="26"/>
      <c r="J302" s="26"/>
      <c r="K302" s="26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Process">
                <anchor moveWithCells="1">
                  <from>
                    <xdr:col>11</xdr:col>
                    <xdr:colOff>314325</xdr:colOff>
                    <xdr:row>5</xdr:row>
                    <xdr:rowOff>85725</xdr:rowOff>
                  </from>
                  <to>
                    <xdr:col>12</xdr:col>
                    <xdr:colOff>409575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killJudgeSheets">
                <anchor moveWithCells="1">
                  <from>
                    <xdr:col>11</xdr:col>
                    <xdr:colOff>342900</xdr:colOff>
                    <xdr:row>7</xdr:row>
                    <xdr:rowOff>9525</xdr:rowOff>
                  </from>
                  <to>
                    <xdr:col>12</xdr:col>
                    <xdr:colOff>438150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708B2-3C55-49B2-896C-2878A1184455}">
  <sheetPr codeName="Tabelle1"/>
  <dimension ref="A1:H42"/>
  <sheetViews>
    <sheetView workbookViewId="0"/>
  </sheetViews>
  <sheetFormatPr baseColWidth="10" defaultRowHeight="15" x14ac:dyDescent="0.25"/>
  <cols>
    <col min="1" max="1" width="52.42578125" bestFit="1" customWidth="1"/>
    <col min="5" max="5" width="15.5703125" bestFit="1" customWidth="1"/>
    <col min="7" max="7" width="15.5703125" bestFit="1" customWidth="1"/>
  </cols>
  <sheetData>
    <row r="1" spans="1:8" ht="15.75" x14ac:dyDescent="0.25">
      <c r="A1" s="8" t="s">
        <v>126</v>
      </c>
      <c r="B1" s="8" t="s">
        <v>127</v>
      </c>
      <c r="D1" t="s">
        <v>123</v>
      </c>
      <c r="E1" s="6" t="s">
        <v>124</v>
      </c>
      <c r="G1" s="6" t="s">
        <v>124</v>
      </c>
      <c r="H1" t="s">
        <v>125</v>
      </c>
    </row>
    <row r="2" spans="1:8" ht="15.75" x14ac:dyDescent="0.25">
      <c r="A2" s="9" t="s">
        <v>128</v>
      </c>
      <c r="B2" s="8">
        <v>12</v>
      </c>
      <c r="D2" s="7">
        <v>20</v>
      </c>
      <c r="E2" s="6">
        <v>8</v>
      </c>
      <c r="F2" t="str">
        <f>VLOOKUP(E2,$G$2:$H$10,2,FALSE)</f>
        <v>A</v>
      </c>
      <c r="G2">
        <v>8</v>
      </c>
      <c r="H2" t="s">
        <v>119</v>
      </c>
    </row>
    <row r="3" spans="1:8" ht="15.75" x14ac:dyDescent="0.25">
      <c r="A3" s="9" t="s">
        <v>129</v>
      </c>
      <c r="B3" s="8">
        <v>5</v>
      </c>
      <c r="D3" s="7">
        <v>19.5</v>
      </c>
      <c r="E3" s="6">
        <v>8</v>
      </c>
      <c r="F3" t="str">
        <f t="shared" ref="F3:F42" si="0">VLOOKUP(E3,$G$2:$H$10,2,FALSE)</f>
        <v>A</v>
      </c>
      <c r="G3">
        <v>7</v>
      </c>
      <c r="H3" t="s">
        <v>119</v>
      </c>
    </row>
    <row r="4" spans="1:8" ht="15.75" x14ac:dyDescent="0.25">
      <c r="A4" s="9" t="s">
        <v>130</v>
      </c>
      <c r="B4" s="8">
        <v>5</v>
      </c>
      <c r="D4" s="7">
        <v>19</v>
      </c>
      <c r="E4" s="6">
        <v>8</v>
      </c>
      <c r="F4" t="str">
        <f t="shared" si="0"/>
        <v>A</v>
      </c>
      <c r="G4">
        <v>6</v>
      </c>
      <c r="H4" t="s">
        <v>119</v>
      </c>
    </row>
    <row r="5" spans="1:8" ht="15.75" x14ac:dyDescent="0.25">
      <c r="A5" s="9" t="s">
        <v>131</v>
      </c>
      <c r="B5" s="8">
        <v>2</v>
      </c>
      <c r="D5" s="7">
        <v>18.5</v>
      </c>
      <c r="E5" s="6">
        <v>8</v>
      </c>
      <c r="F5" t="str">
        <f t="shared" si="0"/>
        <v>A</v>
      </c>
      <c r="G5">
        <v>5</v>
      </c>
      <c r="H5" t="s">
        <v>120</v>
      </c>
    </row>
    <row r="6" spans="1:8" ht="15.75" x14ac:dyDescent="0.25">
      <c r="A6" s="9" t="s">
        <v>132</v>
      </c>
      <c r="B6" s="8">
        <v>2</v>
      </c>
      <c r="D6" s="7">
        <v>18</v>
      </c>
      <c r="E6" s="6">
        <v>7</v>
      </c>
      <c r="F6" t="str">
        <f t="shared" si="0"/>
        <v>A</v>
      </c>
      <c r="G6">
        <v>4</v>
      </c>
      <c r="H6" t="s">
        <v>120</v>
      </c>
    </row>
    <row r="7" spans="1:8" ht="15.75" x14ac:dyDescent="0.25">
      <c r="A7" s="10" t="s">
        <v>134</v>
      </c>
      <c r="B7" s="11">
        <v>1</v>
      </c>
      <c r="D7" s="7">
        <v>17.5</v>
      </c>
      <c r="E7" s="6">
        <v>7</v>
      </c>
      <c r="F7" t="str">
        <f t="shared" si="0"/>
        <v>A</v>
      </c>
      <c r="G7">
        <v>3</v>
      </c>
      <c r="H7" t="s">
        <v>120</v>
      </c>
    </row>
    <row r="8" spans="1:8" ht="16.5" thickBot="1" x14ac:dyDescent="0.3">
      <c r="A8" s="10" t="s">
        <v>135</v>
      </c>
      <c r="B8" s="11">
        <v>1</v>
      </c>
      <c r="D8" s="7">
        <v>17</v>
      </c>
      <c r="E8" s="6">
        <v>7</v>
      </c>
      <c r="F8" t="str">
        <f t="shared" si="0"/>
        <v>A</v>
      </c>
      <c r="G8">
        <v>2</v>
      </c>
      <c r="H8" t="s">
        <v>133</v>
      </c>
    </row>
    <row r="9" spans="1:8" ht="16.5" thickTop="1" x14ac:dyDescent="0.25">
      <c r="A9" s="12" t="s">
        <v>136</v>
      </c>
      <c r="B9" s="13">
        <v>4</v>
      </c>
      <c r="D9" s="7">
        <v>16.5</v>
      </c>
      <c r="E9" s="6">
        <v>7</v>
      </c>
      <c r="F9" t="str">
        <f t="shared" si="0"/>
        <v>A</v>
      </c>
      <c r="G9">
        <v>1</v>
      </c>
      <c r="H9" t="s">
        <v>133</v>
      </c>
    </row>
    <row r="10" spans="1:8" ht="15.75" x14ac:dyDescent="0.25">
      <c r="A10" s="9" t="s">
        <v>137</v>
      </c>
      <c r="B10" s="8">
        <v>3</v>
      </c>
      <c r="D10" s="7">
        <v>16</v>
      </c>
      <c r="E10" s="6">
        <v>6</v>
      </c>
      <c r="F10" t="str">
        <f t="shared" si="0"/>
        <v>A</v>
      </c>
      <c r="G10">
        <v>0</v>
      </c>
      <c r="H10" t="s">
        <v>133</v>
      </c>
    </row>
    <row r="11" spans="1:8" ht="15.75" x14ac:dyDescent="0.25">
      <c r="A11" s="9" t="s">
        <v>138</v>
      </c>
      <c r="B11" s="8">
        <v>2</v>
      </c>
      <c r="D11" s="7">
        <v>15.5</v>
      </c>
      <c r="E11" s="6">
        <v>6</v>
      </c>
      <c r="F11" t="str">
        <f t="shared" si="0"/>
        <v>A</v>
      </c>
    </row>
    <row r="12" spans="1:8" x14ac:dyDescent="0.25">
      <c r="D12" s="7">
        <v>15</v>
      </c>
      <c r="E12" s="6">
        <v>6</v>
      </c>
      <c r="F12" t="str">
        <f t="shared" si="0"/>
        <v>A</v>
      </c>
    </row>
    <row r="13" spans="1:8" x14ac:dyDescent="0.25">
      <c r="D13" s="7">
        <v>14.5</v>
      </c>
      <c r="E13" s="6">
        <v>6</v>
      </c>
      <c r="F13" t="str">
        <f t="shared" si="0"/>
        <v>A</v>
      </c>
    </row>
    <row r="14" spans="1:8" x14ac:dyDescent="0.25">
      <c r="D14" s="7">
        <v>14</v>
      </c>
      <c r="E14" s="6">
        <v>5</v>
      </c>
      <c r="F14" t="str">
        <f t="shared" si="0"/>
        <v>B</v>
      </c>
    </row>
    <row r="15" spans="1:8" ht="15.75" x14ac:dyDescent="0.25">
      <c r="A15" s="8" t="s">
        <v>126</v>
      </c>
      <c r="B15" s="8" t="s">
        <v>127</v>
      </c>
      <c r="D15" s="7">
        <v>13.5</v>
      </c>
      <c r="E15" s="6">
        <v>5</v>
      </c>
      <c r="F15" t="str">
        <f t="shared" si="0"/>
        <v>B</v>
      </c>
    </row>
    <row r="16" spans="1:8" ht="15.75" x14ac:dyDescent="0.25">
      <c r="A16" s="9" t="s">
        <v>129</v>
      </c>
      <c r="B16" s="34">
        <v>5</v>
      </c>
      <c r="D16" s="7">
        <v>13</v>
      </c>
      <c r="E16" s="6">
        <v>5</v>
      </c>
      <c r="F16" t="str">
        <f t="shared" si="0"/>
        <v>B</v>
      </c>
    </row>
    <row r="17" spans="1:6" ht="15.75" x14ac:dyDescent="0.25">
      <c r="A17" s="9" t="s">
        <v>130</v>
      </c>
      <c r="B17" s="35"/>
      <c r="D17" s="7">
        <v>12.5</v>
      </c>
      <c r="E17" s="6">
        <v>5</v>
      </c>
      <c r="F17" t="str">
        <f t="shared" si="0"/>
        <v>B</v>
      </c>
    </row>
    <row r="18" spans="1:6" ht="15.75" x14ac:dyDescent="0.25">
      <c r="A18" s="10" t="s">
        <v>134</v>
      </c>
      <c r="B18" s="34">
        <v>2</v>
      </c>
      <c r="D18" s="7">
        <v>12</v>
      </c>
      <c r="E18" s="6">
        <v>4</v>
      </c>
      <c r="F18" t="str">
        <f t="shared" si="0"/>
        <v>B</v>
      </c>
    </row>
    <row r="19" spans="1:6" ht="16.5" thickBot="1" x14ac:dyDescent="0.3">
      <c r="A19" s="10" t="s">
        <v>135</v>
      </c>
      <c r="B19" s="36"/>
      <c r="D19" s="7">
        <v>11.5</v>
      </c>
      <c r="E19" s="6">
        <v>4</v>
      </c>
      <c r="F19" t="str">
        <f t="shared" si="0"/>
        <v>B</v>
      </c>
    </row>
    <row r="20" spans="1:6" ht="16.5" thickTop="1" x14ac:dyDescent="0.25">
      <c r="A20" s="12" t="s">
        <v>136</v>
      </c>
      <c r="B20" s="13">
        <v>4</v>
      </c>
      <c r="D20" s="7">
        <v>11</v>
      </c>
      <c r="E20" s="6">
        <v>4</v>
      </c>
      <c r="F20" t="str">
        <f t="shared" si="0"/>
        <v>B</v>
      </c>
    </row>
    <row r="21" spans="1:6" ht="15.75" x14ac:dyDescent="0.25">
      <c r="A21" s="9" t="s">
        <v>137</v>
      </c>
      <c r="B21" s="8">
        <v>3</v>
      </c>
      <c r="D21" s="7">
        <v>10.5</v>
      </c>
      <c r="E21" s="6">
        <v>4</v>
      </c>
      <c r="F21" t="str">
        <f t="shared" si="0"/>
        <v>B</v>
      </c>
    </row>
    <row r="22" spans="1:6" ht="15.75" x14ac:dyDescent="0.25">
      <c r="A22" s="9" t="s">
        <v>138</v>
      </c>
      <c r="B22" s="8">
        <v>2</v>
      </c>
      <c r="D22" s="7">
        <v>10</v>
      </c>
      <c r="E22" s="6">
        <v>3</v>
      </c>
      <c r="F22" t="str">
        <f t="shared" si="0"/>
        <v>B</v>
      </c>
    </row>
    <row r="23" spans="1:6" x14ac:dyDescent="0.25">
      <c r="D23" s="7">
        <v>9.5</v>
      </c>
      <c r="E23" s="6">
        <v>3</v>
      </c>
      <c r="F23" t="str">
        <f t="shared" si="0"/>
        <v>B</v>
      </c>
    </row>
    <row r="24" spans="1:6" x14ac:dyDescent="0.25">
      <c r="D24" s="7">
        <v>9</v>
      </c>
      <c r="E24" s="6">
        <v>3</v>
      </c>
      <c r="F24" t="str">
        <f t="shared" si="0"/>
        <v>B</v>
      </c>
    </row>
    <row r="25" spans="1:6" x14ac:dyDescent="0.25">
      <c r="D25" s="7">
        <v>8.5</v>
      </c>
      <c r="E25" s="6">
        <v>3</v>
      </c>
      <c r="F25" t="str">
        <f t="shared" si="0"/>
        <v>B</v>
      </c>
    </row>
    <row r="26" spans="1:6" x14ac:dyDescent="0.25">
      <c r="D26" s="7">
        <v>8</v>
      </c>
      <c r="E26" s="6">
        <v>2</v>
      </c>
      <c r="F26" t="str">
        <f t="shared" si="0"/>
        <v>C</v>
      </c>
    </row>
    <row r="27" spans="1:6" x14ac:dyDescent="0.25">
      <c r="D27" s="7">
        <v>7.5</v>
      </c>
      <c r="E27" s="6">
        <v>2</v>
      </c>
      <c r="F27" t="str">
        <f t="shared" si="0"/>
        <v>C</v>
      </c>
    </row>
    <row r="28" spans="1:6" x14ac:dyDescent="0.25">
      <c r="D28" s="7">
        <v>7</v>
      </c>
      <c r="E28" s="6">
        <v>2</v>
      </c>
      <c r="F28" t="str">
        <f t="shared" si="0"/>
        <v>C</v>
      </c>
    </row>
    <row r="29" spans="1:6" x14ac:dyDescent="0.25">
      <c r="D29" s="7">
        <v>6.5</v>
      </c>
      <c r="E29" s="6">
        <v>2</v>
      </c>
      <c r="F29" t="str">
        <f t="shared" si="0"/>
        <v>C</v>
      </c>
    </row>
    <row r="30" spans="1:6" x14ac:dyDescent="0.25">
      <c r="D30" s="7">
        <v>6</v>
      </c>
      <c r="E30" s="6">
        <v>2</v>
      </c>
      <c r="F30" t="str">
        <f t="shared" si="0"/>
        <v>C</v>
      </c>
    </row>
    <row r="31" spans="1:6" x14ac:dyDescent="0.25">
      <c r="D31" s="7">
        <v>5.5</v>
      </c>
      <c r="E31" s="6">
        <v>2</v>
      </c>
      <c r="F31" t="str">
        <f t="shared" si="0"/>
        <v>C</v>
      </c>
    </row>
    <row r="32" spans="1:6" x14ac:dyDescent="0.25">
      <c r="D32" s="7">
        <v>5</v>
      </c>
      <c r="E32" s="6">
        <v>1</v>
      </c>
      <c r="F32" t="str">
        <f t="shared" si="0"/>
        <v>C</v>
      </c>
    </row>
    <row r="33" spans="4:6" x14ac:dyDescent="0.25">
      <c r="D33" s="7">
        <v>4.5</v>
      </c>
      <c r="E33" s="6">
        <v>1</v>
      </c>
      <c r="F33" t="str">
        <f t="shared" si="0"/>
        <v>C</v>
      </c>
    </row>
    <row r="34" spans="4:6" x14ac:dyDescent="0.25">
      <c r="D34" s="7">
        <v>4</v>
      </c>
      <c r="E34" s="6">
        <v>1</v>
      </c>
      <c r="F34" t="str">
        <f t="shared" si="0"/>
        <v>C</v>
      </c>
    </row>
    <row r="35" spans="4:6" x14ac:dyDescent="0.25">
      <c r="D35" s="7">
        <v>3.5</v>
      </c>
      <c r="E35" s="6">
        <v>1</v>
      </c>
      <c r="F35" t="str">
        <f t="shared" si="0"/>
        <v>C</v>
      </c>
    </row>
    <row r="36" spans="4:6" x14ac:dyDescent="0.25">
      <c r="D36" s="7">
        <v>3</v>
      </c>
      <c r="E36" s="6">
        <v>1</v>
      </c>
      <c r="F36" t="str">
        <f t="shared" si="0"/>
        <v>C</v>
      </c>
    </row>
    <row r="37" spans="4:6" x14ac:dyDescent="0.25">
      <c r="D37" s="7">
        <v>2.5</v>
      </c>
      <c r="E37" s="6">
        <v>1</v>
      </c>
      <c r="F37" t="str">
        <f t="shared" si="0"/>
        <v>C</v>
      </c>
    </row>
    <row r="38" spans="4:6" x14ac:dyDescent="0.25">
      <c r="D38" s="7">
        <v>2</v>
      </c>
      <c r="E38" s="6">
        <v>0</v>
      </c>
      <c r="F38" t="str">
        <f t="shared" si="0"/>
        <v>C</v>
      </c>
    </row>
    <row r="39" spans="4:6" x14ac:dyDescent="0.25">
      <c r="D39" s="7">
        <v>1.5</v>
      </c>
      <c r="E39" s="6">
        <v>0</v>
      </c>
      <c r="F39" t="str">
        <f t="shared" si="0"/>
        <v>C</v>
      </c>
    </row>
    <row r="40" spans="4:6" x14ac:dyDescent="0.25">
      <c r="D40" s="7">
        <v>1</v>
      </c>
      <c r="E40" s="6">
        <v>0</v>
      </c>
      <c r="F40" t="str">
        <f t="shared" si="0"/>
        <v>C</v>
      </c>
    </row>
    <row r="41" spans="4:6" x14ac:dyDescent="0.25">
      <c r="D41" s="7">
        <v>0.5</v>
      </c>
      <c r="E41" s="6">
        <v>0</v>
      </c>
      <c r="F41" t="str">
        <f t="shared" si="0"/>
        <v>C</v>
      </c>
    </row>
    <row r="42" spans="4:6" x14ac:dyDescent="0.25">
      <c r="D42" s="7">
        <v>0</v>
      </c>
      <c r="E42" s="6">
        <v>0</v>
      </c>
      <c r="F42" t="str">
        <f t="shared" si="0"/>
        <v>C</v>
      </c>
    </row>
  </sheetData>
  <mergeCells count="2">
    <mergeCell ref="B16:B17"/>
    <mergeCell ref="B18:B19"/>
  </mergeCells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4D124-3F0F-45E5-BD8D-E42775383334}">
  <sheetPr codeName="Tabelle2"/>
  <dimension ref="A1:AZ186"/>
  <sheetViews>
    <sheetView zoomScaleNormal="100" workbookViewId="0">
      <selection activeCell="H8" sqref="H8"/>
    </sheetView>
  </sheetViews>
  <sheetFormatPr baseColWidth="10" defaultRowHeight="15" x14ac:dyDescent="0.25"/>
  <cols>
    <col min="1" max="1" width="11.42578125" style="14"/>
    <col min="2" max="2" width="11.42578125" style="19"/>
    <col min="3" max="3" width="11.42578125" style="14"/>
    <col min="4" max="5" width="11.42578125" style="21"/>
    <col min="6" max="6" width="15.42578125" style="14" bestFit="1" customWidth="1"/>
    <col min="7" max="8" width="11.42578125" style="14"/>
    <col min="9" max="9" width="12.140625" style="14" bestFit="1" customWidth="1"/>
    <col min="10" max="10" width="19.140625" style="14" bestFit="1" customWidth="1"/>
    <col min="11" max="11" width="16.7109375" style="14" bestFit="1" customWidth="1"/>
    <col min="12" max="12" width="16.7109375" style="16" customWidth="1"/>
    <col min="13" max="18" width="11.42578125" style="14"/>
    <col min="19" max="40" width="11.42578125" style="14" customWidth="1"/>
    <col min="41" max="41" width="13.5703125" style="18" bestFit="1" customWidth="1"/>
    <col min="42" max="42" width="13.5703125" bestFit="1" customWidth="1"/>
    <col min="43" max="43" width="12.85546875" bestFit="1" customWidth="1"/>
    <col min="44" max="44" width="12.28515625" bestFit="1" customWidth="1"/>
    <col min="48" max="50" width="15.28515625" bestFit="1" customWidth="1"/>
  </cols>
  <sheetData>
    <row r="1" spans="1:52" s="25" customFormat="1" ht="54" customHeight="1" x14ac:dyDescent="0.25">
      <c r="A1" s="20" t="s">
        <v>91</v>
      </c>
      <c r="B1" s="20" t="s">
        <v>92</v>
      </c>
      <c r="C1" s="20" t="str">
        <f>Configuration!B21</f>
        <v>Startnummer</v>
      </c>
      <c r="D1" s="20" t="str">
        <f>Configuration!B33 &amp; " " &amp;Configuration!B24</f>
        <v>Paarung Land</v>
      </c>
      <c r="E1" s="20" t="str">
        <f>Configuration!B41</f>
        <v>Platzierung</v>
      </c>
      <c r="F1" s="20" t="s">
        <v>114</v>
      </c>
      <c r="G1" s="20" t="str">
        <f>Configuration!B7 &amp; " " &amp; Configuration!B24</f>
        <v>Bewerter Land</v>
      </c>
      <c r="H1" s="20" t="str">
        <f>Configuration!B18</f>
        <v>Position</v>
      </c>
      <c r="I1" s="20" t="str">
        <f>Configuration!B14</f>
        <v>Beobachter</v>
      </c>
      <c r="J1" s="20" t="str">
        <f>Configuration!B13</f>
        <v>Springer</v>
      </c>
      <c r="K1" s="20" t="str">
        <f>Configuration!B30</f>
        <v>Gesamt</v>
      </c>
      <c r="L1" s="22" t="str">
        <f>Configuration!B47</f>
        <v>Übereinstimmung [%]</v>
      </c>
      <c r="M1" s="20" t="str">
        <f>Configuration!B26</f>
        <v>Kleiner Fehler</v>
      </c>
      <c r="N1" s="20" t="str">
        <f>Configuration!B27</f>
        <v>Mittlerer Fehler</v>
      </c>
      <c r="O1" s="20" t="str">
        <f>Configuration!B28</f>
        <v>Großer Fehler</v>
      </c>
      <c r="P1" s="20" t="s">
        <v>115</v>
      </c>
      <c r="Q1" s="20" t="str">
        <f>Configuration!B29</f>
        <v>Technik vergessen</v>
      </c>
      <c r="R1" s="20" t="str">
        <f>Configuration!B37</f>
        <v>Angrüßen</v>
      </c>
      <c r="S1" s="20" t="s">
        <v>93</v>
      </c>
      <c r="T1" s="20" t="s">
        <v>94</v>
      </c>
      <c r="U1" s="20" t="s">
        <v>95</v>
      </c>
      <c r="V1" s="20" t="s">
        <v>96</v>
      </c>
      <c r="W1" s="20" t="s">
        <v>97</v>
      </c>
      <c r="X1" s="20" t="s">
        <v>98</v>
      </c>
      <c r="Y1" s="20" t="s">
        <v>99</v>
      </c>
      <c r="Z1" s="20" t="s">
        <v>100</v>
      </c>
      <c r="AA1" s="20" t="s">
        <v>101</v>
      </c>
      <c r="AB1" s="20" t="s">
        <v>102</v>
      </c>
      <c r="AC1" s="20" t="s">
        <v>103</v>
      </c>
      <c r="AD1" s="20" t="s">
        <v>104</v>
      </c>
      <c r="AE1" s="20" t="s">
        <v>105</v>
      </c>
      <c r="AF1" s="20" t="s">
        <v>106</v>
      </c>
      <c r="AG1" s="20" t="s">
        <v>107</v>
      </c>
      <c r="AH1" s="20" t="s">
        <v>108</v>
      </c>
      <c r="AI1" s="20" t="s">
        <v>109</v>
      </c>
      <c r="AJ1" s="20" t="s">
        <v>110</v>
      </c>
      <c r="AK1" s="20" t="s">
        <v>111</v>
      </c>
      <c r="AL1" s="20" t="s">
        <v>112</v>
      </c>
      <c r="AM1" s="20" t="s">
        <v>113</v>
      </c>
      <c r="AN1" s="20" t="str">
        <f>Configuration!B38</f>
        <v>Abgrüßen</v>
      </c>
      <c r="AO1" s="23" t="s">
        <v>128</v>
      </c>
      <c r="AP1" s="23" t="s">
        <v>129</v>
      </c>
      <c r="AQ1" s="23" t="s">
        <v>130</v>
      </c>
      <c r="AR1" s="23" t="s">
        <v>131</v>
      </c>
      <c r="AS1" s="23" t="s">
        <v>132</v>
      </c>
      <c r="AT1" s="23" t="s">
        <v>134</v>
      </c>
      <c r="AU1" s="23" t="s">
        <v>135</v>
      </c>
      <c r="AV1" s="23" t="s">
        <v>136</v>
      </c>
      <c r="AW1" s="23" t="s">
        <v>137</v>
      </c>
      <c r="AX1" s="23" t="s">
        <v>138</v>
      </c>
      <c r="AY1" s="24"/>
      <c r="AZ1" s="24"/>
    </row>
    <row r="2" spans="1:52" x14ac:dyDescent="0.25">
      <c r="A2" s="14" t="s">
        <v>156</v>
      </c>
      <c r="B2" s="19" t="s">
        <v>118</v>
      </c>
      <c r="C2" s="14" t="s">
        <v>148</v>
      </c>
      <c r="D2" s="21" t="s">
        <v>157</v>
      </c>
      <c r="E2" s="21">
        <v>1</v>
      </c>
      <c r="F2" s="14" t="s">
        <v>3</v>
      </c>
      <c r="G2" s="15"/>
      <c r="H2" s="15"/>
      <c r="I2" s="15"/>
      <c r="J2" s="15"/>
      <c r="K2" s="14">
        <v>294</v>
      </c>
      <c r="L2" s="17"/>
      <c r="M2" s="14">
        <v>56</v>
      </c>
      <c r="N2" s="14">
        <v>25</v>
      </c>
      <c r="O2" s="14">
        <v>18</v>
      </c>
      <c r="P2" s="14">
        <v>0</v>
      </c>
      <c r="Q2" s="14">
        <v>0</v>
      </c>
      <c r="R2" s="14">
        <v>27</v>
      </c>
      <c r="S2" s="14">
        <v>24</v>
      </c>
      <c r="T2" s="14">
        <v>21</v>
      </c>
      <c r="U2" s="14">
        <v>18</v>
      </c>
      <c r="V2" s="14">
        <v>15</v>
      </c>
      <c r="W2" s="14">
        <v>15</v>
      </c>
      <c r="X2" s="14">
        <v>12</v>
      </c>
      <c r="Y2" s="14">
        <v>10</v>
      </c>
      <c r="Z2" s="14">
        <v>11</v>
      </c>
      <c r="AA2" s="14">
        <v>3</v>
      </c>
      <c r="AB2" s="14">
        <v>7</v>
      </c>
      <c r="AC2" s="14">
        <v>30</v>
      </c>
      <c r="AD2" s="14">
        <v>3</v>
      </c>
      <c r="AE2" s="14">
        <v>25.5</v>
      </c>
      <c r="AF2" s="14">
        <v>22.5</v>
      </c>
      <c r="AG2" s="14">
        <v>21</v>
      </c>
      <c r="AN2" s="14">
        <v>29</v>
      </c>
    </row>
    <row r="3" spans="1:52" x14ac:dyDescent="0.25">
      <c r="A3" s="14" t="s">
        <v>156</v>
      </c>
      <c r="B3" s="19" t="s">
        <v>118</v>
      </c>
      <c r="C3" s="14" t="s">
        <v>148</v>
      </c>
      <c r="D3" s="21" t="s">
        <v>157</v>
      </c>
      <c r="E3" s="21">
        <v>1</v>
      </c>
      <c r="F3" s="14" t="s">
        <v>158</v>
      </c>
      <c r="G3" s="14" t="s">
        <v>159</v>
      </c>
      <c r="H3" s="14" t="s">
        <v>32</v>
      </c>
      <c r="I3" s="14" t="b">
        <v>1</v>
      </c>
      <c r="J3" s="14" t="b">
        <v>0</v>
      </c>
      <c r="K3" s="14">
        <v>95</v>
      </c>
      <c r="L3" s="16">
        <v>0</v>
      </c>
      <c r="M3" s="14">
        <v>18</v>
      </c>
      <c r="N3" s="14">
        <v>8</v>
      </c>
      <c r="O3" s="14">
        <v>7</v>
      </c>
      <c r="P3" s="14">
        <v>0</v>
      </c>
      <c r="Q3" s="14">
        <v>0</v>
      </c>
      <c r="R3" s="14">
        <v>9</v>
      </c>
      <c r="S3" s="14">
        <v>8</v>
      </c>
      <c r="T3" s="14">
        <v>7</v>
      </c>
      <c r="U3" s="14">
        <v>6</v>
      </c>
      <c r="V3" s="14">
        <v>5</v>
      </c>
      <c r="W3" s="14">
        <v>5</v>
      </c>
      <c r="X3" s="14">
        <v>4</v>
      </c>
      <c r="Y3" s="14">
        <v>3</v>
      </c>
      <c r="Z3" s="14">
        <v>2</v>
      </c>
      <c r="AA3" s="14">
        <v>1</v>
      </c>
      <c r="AB3" s="14">
        <v>1</v>
      </c>
      <c r="AC3" s="14">
        <v>10</v>
      </c>
      <c r="AD3" s="14">
        <v>1</v>
      </c>
      <c r="AE3" s="14">
        <v>8.5</v>
      </c>
      <c r="AF3" s="14">
        <v>7.5</v>
      </c>
      <c r="AG3" s="14">
        <v>7</v>
      </c>
      <c r="AN3" s="14">
        <v>10</v>
      </c>
    </row>
    <row r="4" spans="1:52" x14ac:dyDescent="0.25">
      <c r="A4" s="14" t="s">
        <v>156</v>
      </c>
      <c r="B4" s="19" t="s">
        <v>118</v>
      </c>
      <c r="C4" s="14" t="s">
        <v>148</v>
      </c>
      <c r="D4" s="21" t="s">
        <v>157</v>
      </c>
      <c r="E4" s="21">
        <v>1</v>
      </c>
      <c r="F4" s="14" t="s">
        <v>160</v>
      </c>
      <c r="G4" s="14" t="s">
        <v>161</v>
      </c>
      <c r="H4" s="14" t="s">
        <v>4</v>
      </c>
      <c r="I4" s="14" t="b">
        <v>0</v>
      </c>
      <c r="J4" s="14" t="b">
        <v>0</v>
      </c>
      <c r="K4" s="14">
        <v>98</v>
      </c>
      <c r="L4" s="16">
        <v>0.82352941176470584</v>
      </c>
      <c r="M4" s="14">
        <v>20</v>
      </c>
      <c r="N4" s="14">
        <v>8</v>
      </c>
      <c r="O4" s="14">
        <v>6</v>
      </c>
      <c r="P4" s="14">
        <v>0</v>
      </c>
      <c r="Q4" s="14">
        <v>0</v>
      </c>
      <c r="R4" s="14">
        <v>9</v>
      </c>
      <c r="S4" s="14">
        <v>8</v>
      </c>
      <c r="T4" s="14">
        <v>5</v>
      </c>
      <c r="U4" s="14">
        <v>6</v>
      </c>
      <c r="V4" s="14">
        <v>5</v>
      </c>
      <c r="W4" s="14">
        <v>5</v>
      </c>
      <c r="X4" s="14">
        <v>4</v>
      </c>
      <c r="Y4" s="14">
        <v>3</v>
      </c>
      <c r="Z4" s="14">
        <v>7</v>
      </c>
      <c r="AA4" s="14">
        <v>1</v>
      </c>
      <c r="AB4" s="14">
        <v>1</v>
      </c>
      <c r="AC4" s="14">
        <v>10</v>
      </c>
      <c r="AD4" s="14">
        <v>1</v>
      </c>
      <c r="AE4" s="14">
        <v>8.5</v>
      </c>
      <c r="AF4" s="14">
        <v>7.5</v>
      </c>
      <c r="AG4" s="14">
        <v>7</v>
      </c>
      <c r="AN4" s="14">
        <v>10</v>
      </c>
    </row>
    <row r="5" spans="1:52" x14ac:dyDescent="0.25">
      <c r="A5" s="14" t="s">
        <v>156</v>
      </c>
      <c r="B5" s="19" t="s">
        <v>118</v>
      </c>
      <c r="C5" s="14" t="s">
        <v>148</v>
      </c>
      <c r="D5" s="21" t="s">
        <v>157</v>
      </c>
      <c r="E5" s="21">
        <v>1</v>
      </c>
      <c r="F5" s="14" t="s">
        <v>162</v>
      </c>
      <c r="G5" s="14" t="s">
        <v>163</v>
      </c>
      <c r="H5" s="14" t="s">
        <v>5</v>
      </c>
      <c r="I5" s="14" t="b">
        <v>0</v>
      </c>
      <c r="J5" s="14" t="b">
        <v>0</v>
      </c>
      <c r="K5" s="14">
        <v>99</v>
      </c>
      <c r="L5" s="16">
        <v>0.88235294117647056</v>
      </c>
      <c r="M5" s="14">
        <v>18</v>
      </c>
      <c r="N5" s="14">
        <v>8</v>
      </c>
      <c r="O5" s="14">
        <v>6</v>
      </c>
      <c r="P5" s="14">
        <v>0</v>
      </c>
      <c r="Q5" s="14">
        <v>0</v>
      </c>
      <c r="R5" s="14">
        <v>9</v>
      </c>
      <c r="S5" s="14">
        <v>8</v>
      </c>
      <c r="T5" s="14">
        <v>7</v>
      </c>
      <c r="U5" s="14">
        <v>6</v>
      </c>
      <c r="V5" s="14">
        <v>5</v>
      </c>
      <c r="W5" s="14">
        <v>5</v>
      </c>
      <c r="X5" s="14">
        <v>4</v>
      </c>
      <c r="Y5" s="14">
        <v>4</v>
      </c>
      <c r="Z5" s="14">
        <v>2</v>
      </c>
      <c r="AA5" s="14">
        <v>1</v>
      </c>
      <c r="AB5" s="14">
        <v>5</v>
      </c>
      <c r="AC5" s="14">
        <v>10</v>
      </c>
      <c r="AD5" s="14">
        <v>1</v>
      </c>
      <c r="AE5" s="14">
        <v>8.5</v>
      </c>
      <c r="AF5" s="14">
        <v>7.5</v>
      </c>
      <c r="AG5" s="14">
        <v>7</v>
      </c>
      <c r="AN5" s="14">
        <v>9</v>
      </c>
    </row>
    <row r="6" spans="1:52" x14ac:dyDescent="0.25">
      <c r="A6" s="14" t="s">
        <v>156</v>
      </c>
      <c r="B6" s="19" t="s">
        <v>118</v>
      </c>
      <c r="C6" s="14" t="s">
        <v>148</v>
      </c>
      <c r="D6" s="21" t="s">
        <v>157</v>
      </c>
      <c r="E6" s="21">
        <v>1</v>
      </c>
      <c r="F6" s="14" t="s">
        <v>164</v>
      </c>
      <c r="G6" s="14" t="s">
        <v>165</v>
      </c>
      <c r="H6" s="14" t="s">
        <v>26</v>
      </c>
      <c r="I6" s="14" t="b">
        <v>0</v>
      </c>
      <c r="J6" s="14" t="b">
        <v>0</v>
      </c>
      <c r="K6" s="14">
        <v>99</v>
      </c>
      <c r="L6" s="16">
        <v>0.88235294117647056</v>
      </c>
      <c r="M6" s="14">
        <v>18</v>
      </c>
      <c r="N6" s="14">
        <v>8</v>
      </c>
      <c r="O6" s="14">
        <v>6</v>
      </c>
      <c r="P6" s="14">
        <v>0</v>
      </c>
      <c r="Q6" s="14">
        <v>0</v>
      </c>
      <c r="R6" s="14">
        <v>9</v>
      </c>
      <c r="S6" s="14">
        <v>8</v>
      </c>
      <c r="T6" s="14">
        <v>7</v>
      </c>
      <c r="U6" s="14">
        <v>6</v>
      </c>
      <c r="V6" s="14">
        <v>5</v>
      </c>
      <c r="W6" s="14">
        <v>5</v>
      </c>
      <c r="X6" s="14">
        <v>4</v>
      </c>
      <c r="Y6" s="14">
        <v>3</v>
      </c>
      <c r="Z6" s="14">
        <v>2</v>
      </c>
      <c r="AA6" s="14">
        <v>1</v>
      </c>
      <c r="AB6" s="14">
        <v>5</v>
      </c>
      <c r="AC6" s="14">
        <v>10</v>
      </c>
      <c r="AD6" s="14">
        <v>1</v>
      </c>
      <c r="AE6" s="14">
        <v>8.5</v>
      </c>
      <c r="AF6" s="14">
        <v>7.5</v>
      </c>
      <c r="AG6" s="14">
        <v>7</v>
      </c>
      <c r="AN6" s="14">
        <v>10</v>
      </c>
    </row>
    <row r="7" spans="1:52" x14ac:dyDescent="0.25">
      <c r="A7" s="14" t="s">
        <v>156</v>
      </c>
      <c r="B7" s="19" t="s">
        <v>118</v>
      </c>
      <c r="C7" s="14" t="s">
        <v>148</v>
      </c>
      <c r="D7" s="21" t="s">
        <v>157</v>
      </c>
      <c r="E7" s="21">
        <v>1</v>
      </c>
      <c r="F7" s="14" t="s">
        <v>166</v>
      </c>
      <c r="G7" s="14" t="s">
        <v>167</v>
      </c>
      <c r="H7" s="14" t="s">
        <v>6</v>
      </c>
      <c r="I7" s="14" t="b">
        <v>0</v>
      </c>
      <c r="J7" s="14" t="b">
        <v>0</v>
      </c>
      <c r="K7" s="14">
        <v>115.5</v>
      </c>
      <c r="L7" s="16">
        <v>0.58823529411764708</v>
      </c>
      <c r="M7" s="14">
        <v>20</v>
      </c>
      <c r="N7" s="14">
        <v>9</v>
      </c>
      <c r="O7" s="14">
        <v>2</v>
      </c>
      <c r="P7" s="14">
        <v>0</v>
      </c>
      <c r="Q7" s="14">
        <v>0</v>
      </c>
      <c r="R7" s="14">
        <v>9</v>
      </c>
      <c r="S7" s="14">
        <v>8</v>
      </c>
      <c r="T7" s="14">
        <v>7</v>
      </c>
      <c r="U7" s="14">
        <v>6</v>
      </c>
      <c r="V7" s="14">
        <v>5</v>
      </c>
      <c r="W7" s="14">
        <v>10</v>
      </c>
      <c r="X7" s="14">
        <v>9</v>
      </c>
      <c r="Y7" s="14">
        <v>8</v>
      </c>
      <c r="Z7" s="14">
        <v>7</v>
      </c>
      <c r="AA7" s="14">
        <v>6</v>
      </c>
      <c r="AB7" s="14">
        <v>1</v>
      </c>
      <c r="AC7" s="14">
        <v>5.5</v>
      </c>
      <c r="AD7" s="14">
        <v>1</v>
      </c>
      <c r="AE7" s="14">
        <v>8.5</v>
      </c>
      <c r="AF7" s="14">
        <v>7.5</v>
      </c>
      <c r="AG7" s="14">
        <v>7</v>
      </c>
      <c r="AN7" s="14">
        <v>10</v>
      </c>
    </row>
    <row r="8" spans="1:52" x14ac:dyDescent="0.25">
      <c r="A8" s="14" t="s">
        <v>156</v>
      </c>
      <c r="B8" s="19" t="s">
        <v>118</v>
      </c>
      <c r="C8" s="14" t="s">
        <v>148</v>
      </c>
      <c r="D8" s="21" t="s">
        <v>157</v>
      </c>
      <c r="E8" s="21">
        <v>1</v>
      </c>
      <c r="F8" s="14" t="s">
        <v>168</v>
      </c>
      <c r="G8" s="14" t="s">
        <v>169</v>
      </c>
      <c r="H8" s="14" t="s">
        <v>7</v>
      </c>
      <c r="I8" s="14" t="b">
        <v>0</v>
      </c>
      <c r="J8" s="14" t="b">
        <v>0</v>
      </c>
      <c r="K8" s="14">
        <v>91.5</v>
      </c>
      <c r="L8" s="16">
        <v>0.58823529411764708</v>
      </c>
      <c r="M8" s="14">
        <v>17</v>
      </c>
      <c r="N8" s="14">
        <v>9</v>
      </c>
      <c r="O8" s="14">
        <v>7</v>
      </c>
      <c r="P8" s="14">
        <v>0</v>
      </c>
      <c r="Q8" s="14">
        <v>0</v>
      </c>
      <c r="R8" s="14">
        <v>9</v>
      </c>
      <c r="S8" s="14">
        <v>5</v>
      </c>
      <c r="T8" s="14">
        <v>7</v>
      </c>
      <c r="U8" s="14">
        <v>6</v>
      </c>
      <c r="V8" s="14">
        <v>5</v>
      </c>
      <c r="W8" s="14">
        <v>5</v>
      </c>
      <c r="X8" s="14">
        <v>4</v>
      </c>
      <c r="Y8" s="14">
        <v>3</v>
      </c>
      <c r="Z8" s="14">
        <v>2</v>
      </c>
      <c r="AA8" s="14">
        <v>1</v>
      </c>
      <c r="AB8" s="14">
        <v>1</v>
      </c>
      <c r="AC8" s="14">
        <v>10</v>
      </c>
      <c r="AD8" s="14">
        <v>2.5</v>
      </c>
      <c r="AE8" s="14">
        <v>9.5</v>
      </c>
      <c r="AF8" s="14">
        <v>8.5</v>
      </c>
      <c r="AG8" s="14">
        <v>7</v>
      </c>
      <c r="AN8" s="14">
        <v>6</v>
      </c>
    </row>
    <row r="9" spans="1:52" x14ac:dyDescent="0.25">
      <c r="A9" s="14" t="s">
        <v>170</v>
      </c>
      <c r="B9" s="19" t="s">
        <v>118</v>
      </c>
      <c r="C9" s="14" t="s">
        <v>149</v>
      </c>
      <c r="D9" s="21" t="s">
        <v>171</v>
      </c>
      <c r="E9" s="21">
        <v>4</v>
      </c>
      <c r="F9" s="14" t="s">
        <v>3</v>
      </c>
      <c r="K9" s="14">
        <v>129.5</v>
      </c>
      <c r="M9" s="14">
        <v>57</v>
      </c>
      <c r="N9" s="14">
        <v>25</v>
      </c>
      <c r="O9" s="14">
        <v>19</v>
      </c>
      <c r="P9" s="14">
        <v>0</v>
      </c>
      <c r="Q9" s="14">
        <v>3</v>
      </c>
      <c r="R9" s="14">
        <v>27</v>
      </c>
      <c r="S9" s="14">
        <v>24</v>
      </c>
      <c r="T9" s="14">
        <v>21</v>
      </c>
      <c r="U9" s="14">
        <v>18</v>
      </c>
      <c r="V9" s="14">
        <v>15</v>
      </c>
      <c r="W9" s="14">
        <v>15</v>
      </c>
      <c r="X9" s="14">
        <v>12</v>
      </c>
      <c r="Y9" s="14">
        <v>9</v>
      </c>
      <c r="Z9" s="14">
        <v>6</v>
      </c>
      <c r="AA9" s="14">
        <v>3</v>
      </c>
      <c r="AB9" s="14">
        <v>7</v>
      </c>
      <c r="AC9" s="14">
        <v>30</v>
      </c>
      <c r="AD9" s="14">
        <v>3</v>
      </c>
      <c r="AE9" s="14">
        <v>25.5</v>
      </c>
      <c r="AF9" s="14">
        <v>22.5</v>
      </c>
      <c r="AG9" s="14">
        <v>21</v>
      </c>
      <c r="AN9" s="14">
        <v>0</v>
      </c>
    </row>
    <row r="10" spans="1:52" x14ac:dyDescent="0.25">
      <c r="A10" s="14" t="s">
        <v>170</v>
      </c>
      <c r="B10" s="19" t="s">
        <v>118</v>
      </c>
      <c r="C10" s="14" t="s">
        <v>149</v>
      </c>
      <c r="D10" s="21" t="s">
        <v>171</v>
      </c>
      <c r="E10" s="21">
        <v>4</v>
      </c>
      <c r="F10" s="14" t="s">
        <v>158</v>
      </c>
      <c r="G10" s="15" t="s">
        <v>159</v>
      </c>
      <c r="H10" s="15" t="s">
        <v>32</v>
      </c>
      <c r="I10" s="15" t="b">
        <v>1</v>
      </c>
      <c r="J10" s="15" t="b">
        <v>0</v>
      </c>
      <c r="K10" s="14">
        <v>43</v>
      </c>
      <c r="L10" s="17">
        <v>0</v>
      </c>
      <c r="M10" s="14">
        <v>18</v>
      </c>
      <c r="N10" s="14">
        <v>8</v>
      </c>
      <c r="O10" s="14">
        <v>7</v>
      </c>
      <c r="P10" s="14">
        <v>0</v>
      </c>
      <c r="Q10" s="14">
        <v>1</v>
      </c>
      <c r="R10" s="14">
        <v>9</v>
      </c>
      <c r="S10" s="14">
        <v>8</v>
      </c>
      <c r="T10" s="14">
        <v>7</v>
      </c>
      <c r="U10" s="14">
        <v>6</v>
      </c>
      <c r="V10" s="14">
        <v>5</v>
      </c>
      <c r="W10" s="14">
        <v>5</v>
      </c>
      <c r="X10" s="14">
        <v>4</v>
      </c>
      <c r="Y10" s="14">
        <v>3</v>
      </c>
      <c r="Z10" s="14">
        <v>2</v>
      </c>
      <c r="AA10" s="14">
        <v>1</v>
      </c>
      <c r="AB10" s="14">
        <v>1</v>
      </c>
      <c r="AC10" s="14">
        <v>10</v>
      </c>
      <c r="AD10" s="14">
        <v>1</v>
      </c>
      <c r="AE10" s="14">
        <v>8.5</v>
      </c>
      <c r="AF10" s="14">
        <v>7.5</v>
      </c>
      <c r="AG10" s="14">
        <v>7</v>
      </c>
      <c r="AN10" s="14">
        <v>0</v>
      </c>
    </row>
    <row r="11" spans="1:52" x14ac:dyDescent="0.25">
      <c r="A11" s="14" t="s">
        <v>170</v>
      </c>
      <c r="B11" s="19" t="s">
        <v>118</v>
      </c>
      <c r="C11" s="14" t="s">
        <v>149</v>
      </c>
      <c r="D11" s="21" t="s">
        <v>171</v>
      </c>
      <c r="E11" s="21">
        <v>4</v>
      </c>
      <c r="F11" s="14" t="s">
        <v>160</v>
      </c>
      <c r="G11" s="14" t="s">
        <v>161</v>
      </c>
      <c r="H11" s="14" t="s">
        <v>4</v>
      </c>
      <c r="I11" s="14" t="b">
        <v>0</v>
      </c>
      <c r="J11" s="14" t="b">
        <v>0</v>
      </c>
      <c r="K11" s="14">
        <v>44</v>
      </c>
      <c r="L11" s="16">
        <v>0.82352941176470584</v>
      </c>
      <c r="M11" s="14">
        <v>20</v>
      </c>
      <c r="N11" s="14">
        <v>8</v>
      </c>
      <c r="O11" s="14">
        <v>6</v>
      </c>
      <c r="P11" s="14">
        <v>0</v>
      </c>
      <c r="Q11" s="14">
        <v>1</v>
      </c>
      <c r="R11" s="14">
        <v>9</v>
      </c>
      <c r="S11" s="14">
        <v>8</v>
      </c>
      <c r="T11" s="14">
        <v>5</v>
      </c>
      <c r="U11" s="14">
        <v>6</v>
      </c>
      <c r="V11" s="14">
        <v>5</v>
      </c>
      <c r="W11" s="14">
        <v>5</v>
      </c>
      <c r="X11" s="14">
        <v>4</v>
      </c>
      <c r="Y11" s="14">
        <v>3</v>
      </c>
      <c r="Z11" s="14">
        <v>7</v>
      </c>
      <c r="AA11" s="14">
        <v>1</v>
      </c>
      <c r="AB11" s="14">
        <v>1</v>
      </c>
      <c r="AC11" s="14">
        <v>10</v>
      </c>
      <c r="AD11" s="14">
        <v>1</v>
      </c>
      <c r="AE11" s="14">
        <v>8.5</v>
      </c>
      <c r="AF11" s="14">
        <v>7.5</v>
      </c>
      <c r="AG11" s="14">
        <v>7</v>
      </c>
      <c r="AN11" s="14">
        <v>0</v>
      </c>
    </row>
    <row r="12" spans="1:52" x14ac:dyDescent="0.25">
      <c r="A12" s="14" t="s">
        <v>170</v>
      </c>
      <c r="B12" s="19" t="s">
        <v>118</v>
      </c>
      <c r="C12" s="14" t="s">
        <v>149</v>
      </c>
      <c r="D12" s="21" t="s">
        <v>171</v>
      </c>
      <c r="E12" s="21">
        <v>4</v>
      </c>
      <c r="F12" s="14" t="s">
        <v>162</v>
      </c>
      <c r="G12" s="14" t="s">
        <v>163</v>
      </c>
      <c r="H12" s="14" t="s">
        <v>5</v>
      </c>
      <c r="I12" s="14" t="b">
        <v>0</v>
      </c>
      <c r="J12" s="14" t="b">
        <v>0</v>
      </c>
      <c r="K12" s="14">
        <v>45</v>
      </c>
      <c r="L12" s="16">
        <v>0.88235294117647056</v>
      </c>
      <c r="M12" s="14">
        <v>17</v>
      </c>
      <c r="N12" s="14">
        <v>8</v>
      </c>
      <c r="O12" s="14">
        <v>6</v>
      </c>
      <c r="P12" s="14">
        <v>0</v>
      </c>
      <c r="Q12" s="14">
        <v>1</v>
      </c>
      <c r="R12" s="14">
        <v>9</v>
      </c>
      <c r="S12" s="14">
        <v>8</v>
      </c>
      <c r="T12" s="14">
        <v>7</v>
      </c>
      <c r="U12" s="14">
        <v>6</v>
      </c>
      <c r="V12" s="14">
        <v>5</v>
      </c>
      <c r="W12" s="14">
        <v>5</v>
      </c>
      <c r="X12" s="14">
        <v>4</v>
      </c>
      <c r="Y12" s="14">
        <v>4</v>
      </c>
      <c r="Z12" s="14">
        <v>2</v>
      </c>
      <c r="AA12" s="14">
        <v>1</v>
      </c>
      <c r="AB12" s="14">
        <v>5</v>
      </c>
      <c r="AC12" s="14">
        <v>10</v>
      </c>
      <c r="AD12" s="14">
        <v>1</v>
      </c>
      <c r="AE12" s="14">
        <v>8.5</v>
      </c>
      <c r="AF12" s="14">
        <v>7.5</v>
      </c>
      <c r="AG12" s="14">
        <v>7</v>
      </c>
      <c r="AN12" s="14">
        <v>0</v>
      </c>
    </row>
    <row r="13" spans="1:52" x14ac:dyDescent="0.25">
      <c r="A13" s="14" t="s">
        <v>170</v>
      </c>
      <c r="B13" s="19" t="s">
        <v>118</v>
      </c>
      <c r="C13" s="14" t="s">
        <v>149</v>
      </c>
      <c r="D13" s="21" t="s">
        <v>171</v>
      </c>
      <c r="E13" s="21">
        <v>4</v>
      </c>
      <c r="F13" s="14" t="s">
        <v>164</v>
      </c>
      <c r="G13" s="14" t="s">
        <v>165</v>
      </c>
      <c r="H13" s="14" t="s">
        <v>26</v>
      </c>
      <c r="I13" s="14" t="b">
        <v>0</v>
      </c>
      <c r="J13" s="14" t="b">
        <v>0</v>
      </c>
      <c r="K13" s="14">
        <v>45</v>
      </c>
      <c r="L13" s="16">
        <v>0.94117647058823528</v>
      </c>
      <c r="M13" s="14">
        <v>18</v>
      </c>
      <c r="N13" s="14">
        <v>8</v>
      </c>
      <c r="O13" s="14">
        <v>6</v>
      </c>
      <c r="P13" s="14">
        <v>0</v>
      </c>
      <c r="Q13" s="14">
        <v>1</v>
      </c>
      <c r="R13" s="14">
        <v>9</v>
      </c>
      <c r="S13" s="14">
        <v>8</v>
      </c>
      <c r="T13" s="14">
        <v>7</v>
      </c>
      <c r="U13" s="14">
        <v>6</v>
      </c>
      <c r="V13" s="14">
        <v>5</v>
      </c>
      <c r="W13" s="14">
        <v>5</v>
      </c>
      <c r="X13" s="14">
        <v>4</v>
      </c>
      <c r="Y13" s="14">
        <v>3</v>
      </c>
      <c r="Z13" s="14">
        <v>2</v>
      </c>
      <c r="AA13" s="14">
        <v>1</v>
      </c>
      <c r="AB13" s="14">
        <v>5</v>
      </c>
      <c r="AC13" s="14">
        <v>10</v>
      </c>
      <c r="AD13" s="14">
        <v>1</v>
      </c>
      <c r="AE13" s="14">
        <v>8.5</v>
      </c>
      <c r="AF13" s="14">
        <v>7.5</v>
      </c>
      <c r="AG13" s="14">
        <v>7</v>
      </c>
      <c r="AN13" s="14">
        <v>0</v>
      </c>
    </row>
    <row r="14" spans="1:52" x14ac:dyDescent="0.25">
      <c r="A14" s="14" t="s">
        <v>170</v>
      </c>
      <c r="B14" s="19" t="s">
        <v>118</v>
      </c>
      <c r="C14" s="14" t="s">
        <v>149</v>
      </c>
      <c r="D14" s="21" t="s">
        <v>171</v>
      </c>
      <c r="E14" s="21">
        <v>4</v>
      </c>
      <c r="F14" s="14" t="s">
        <v>166</v>
      </c>
      <c r="G14" s="14" t="s">
        <v>167</v>
      </c>
      <c r="H14" s="14" t="s">
        <v>6</v>
      </c>
      <c r="I14" s="14" t="b">
        <v>0</v>
      </c>
      <c r="J14" s="14" t="b">
        <v>0</v>
      </c>
      <c r="K14" s="14">
        <v>90.5</v>
      </c>
      <c r="L14" s="16">
        <v>0.82352941176470584</v>
      </c>
      <c r="M14" s="14">
        <v>20</v>
      </c>
      <c r="N14" s="14">
        <v>9</v>
      </c>
      <c r="O14" s="14">
        <v>7</v>
      </c>
      <c r="P14" s="14">
        <v>0</v>
      </c>
      <c r="Q14" s="14">
        <v>0</v>
      </c>
      <c r="R14" s="14">
        <v>9</v>
      </c>
      <c r="S14" s="14">
        <v>8</v>
      </c>
      <c r="T14" s="14">
        <v>7</v>
      </c>
      <c r="U14" s="14">
        <v>6</v>
      </c>
      <c r="V14" s="14">
        <v>5</v>
      </c>
      <c r="W14" s="14">
        <v>5</v>
      </c>
      <c r="X14" s="14">
        <v>4</v>
      </c>
      <c r="Y14" s="14">
        <v>3</v>
      </c>
      <c r="Z14" s="14">
        <v>2</v>
      </c>
      <c r="AA14" s="14">
        <v>1</v>
      </c>
      <c r="AB14" s="14">
        <v>1</v>
      </c>
      <c r="AC14" s="14">
        <v>5.5</v>
      </c>
      <c r="AD14" s="14">
        <v>1</v>
      </c>
      <c r="AE14" s="14">
        <v>8.5</v>
      </c>
      <c r="AF14" s="14">
        <v>7.5</v>
      </c>
      <c r="AG14" s="14">
        <v>7</v>
      </c>
      <c r="AN14" s="14">
        <v>10</v>
      </c>
    </row>
    <row r="15" spans="1:52" x14ac:dyDescent="0.25">
      <c r="A15" s="14" t="s">
        <v>170</v>
      </c>
      <c r="B15" s="19" t="s">
        <v>118</v>
      </c>
      <c r="C15" s="14" t="s">
        <v>149</v>
      </c>
      <c r="D15" s="21" t="s">
        <v>171</v>
      </c>
      <c r="E15" s="21">
        <v>4</v>
      </c>
      <c r="F15" s="14" t="s">
        <v>168</v>
      </c>
      <c r="G15" s="14" t="s">
        <v>169</v>
      </c>
      <c r="H15" s="14" t="s">
        <v>7</v>
      </c>
      <c r="I15" s="14" t="b">
        <v>0</v>
      </c>
      <c r="J15" s="14" t="b">
        <v>0</v>
      </c>
      <c r="K15" s="14">
        <v>42</v>
      </c>
      <c r="L15" s="16">
        <v>0.82352941176470584</v>
      </c>
      <c r="M15" s="14">
        <v>19</v>
      </c>
      <c r="N15" s="14">
        <v>9</v>
      </c>
      <c r="O15" s="14">
        <v>7</v>
      </c>
      <c r="P15" s="14">
        <v>0</v>
      </c>
      <c r="Q15" s="14">
        <v>1</v>
      </c>
      <c r="R15" s="14">
        <v>9</v>
      </c>
      <c r="S15" s="14">
        <v>5</v>
      </c>
      <c r="T15" s="14">
        <v>7</v>
      </c>
      <c r="U15" s="14">
        <v>6</v>
      </c>
      <c r="V15" s="14">
        <v>5</v>
      </c>
      <c r="W15" s="14">
        <v>5</v>
      </c>
      <c r="X15" s="14">
        <v>4</v>
      </c>
      <c r="Y15" s="14">
        <v>3</v>
      </c>
      <c r="Z15" s="14">
        <v>2</v>
      </c>
      <c r="AA15" s="14">
        <v>1</v>
      </c>
      <c r="AB15" s="14">
        <v>1</v>
      </c>
      <c r="AC15" s="14">
        <v>10</v>
      </c>
      <c r="AD15" s="14">
        <v>2.5</v>
      </c>
      <c r="AE15" s="14">
        <v>8.5</v>
      </c>
      <c r="AF15" s="14">
        <v>7.5</v>
      </c>
      <c r="AG15" s="14">
        <v>7</v>
      </c>
      <c r="AN15" s="14">
        <v>0</v>
      </c>
    </row>
    <row r="16" spans="1:52" x14ac:dyDescent="0.25">
      <c r="A16" s="14" t="s">
        <v>172</v>
      </c>
      <c r="B16" s="19" t="s">
        <v>118</v>
      </c>
      <c r="C16" s="14" t="s">
        <v>150</v>
      </c>
      <c r="D16" s="21" t="s">
        <v>167</v>
      </c>
      <c r="E16" s="21">
        <v>3</v>
      </c>
      <c r="F16" s="14" t="s">
        <v>3</v>
      </c>
      <c r="K16" s="14">
        <v>287</v>
      </c>
      <c r="M16" s="14">
        <v>56</v>
      </c>
      <c r="N16" s="14">
        <v>25</v>
      </c>
      <c r="O16" s="14">
        <v>19</v>
      </c>
      <c r="P16" s="14">
        <v>0</v>
      </c>
      <c r="Q16" s="14">
        <v>0</v>
      </c>
      <c r="R16" s="14">
        <v>27</v>
      </c>
      <c r="S16" s="14">
        <v>24</v>
      </c>
      <c r="T16" s="14">
        <v>21</v>
      </c>
      <c r="U16" s="14">
        <v>18</v>
      </c>
      <c r="V16" s="14">
        <v>15</v>
      </c>
      <c r="W16" s="14">
        <v>15</v>
      </c>
      <c r="X16" s="14">
        <v>12</v>
      </c>
      <c r="Y16" s="14">
        <v>9</v>
      </c>
      <c r="Z16" s="14">
        <v>6</v>
      </c>
      <c r="AA16" s="14">
        <v>3</v>
      </c>
      <c r="AB16" s="14">
        <v>9</v>
      </c>
      <c r="AC16" s="14">
        <v>30</v>
      </c>
      <c r="AD16" s="14">
        <v>3</v>
      </c>
      <c r="AE16" s="14">
        <v>25.5</v>
      </c>
      <c r="AF16" s="14">
        <v>22.5</v>
      </c>
      <c r="AG16" s="14">
        <v>21</v>
      </c>
      <c r="AN16" s="14">
        <v>26</v>
      </c>
    </row>
    <row r="17" spans="1:40" x14ac:dyDescent="0.25">
      <c r="A17" s="14" t="s">
        <v>172</v>
      </c>
      <c r="B17" s="19" t="s">
        <v>118</v>
      </c>
      <c r="C17" s="14" t="s">
        <v>150</v>
      </c>
      <c r="D17" s="21" t="s">
        <v>167</v>
      </c>
      <c r="E17" s="21">
        <v>3</v>
      </c>
      <c r="F17" s="14" t="s">
        <v>158</v>
      </c>
      <c r="G17" s="14" t="s">
        <v>159</v>
      </c>
      <c r="H17" s="14" t="s">
        <v>32</v>
      </c>
      <c r="I17" s="14" t="b">
        <v>1</v>
      </c>
      <c r="J17" s="14" t="b">
        <v>0</v>
      </c>
      <c r="K17" s="14">
        <v>95</v>
      </c>
      <c r="L17" s="16">
        <v>0</v>
      </c>
      <c r="M17" s="14">
        <v>18</v>
      </c>
      <c r="N17" s="14">
        <v>8</v>
      </c>
      <c r="O17" s="14">
        <v>7</v>
      </c>
      <c r="P17" s="14">
        <v>0</v>
      </c>
      <c r="Q17" s="14">
        <v>0</v>
      </c>
      <c r="R17" s="14">
        <v>9</v>
      </c>
      <c r="S17" s="14">
        <v>8</v>
      </c>
      <c r="T17" s="14">
        <v>7</v>
      </c>
      <c r="U17" s="14">
        <v>6</v>
      </c>
      <c r="V17" s="14">
        <v>5</v>
      </c>
      <c r="W17" s="14">
        <v>5</v>
      </c>
      <c r="X17" s="14">
        <v>4</v>
      </c>
      <c r="Y17" s="14">
        <v>3</v>
      </c>
      <c r="Z17" s="14">
        <v>2</v>
      </c>
      <c r="AA17" s="14">
        <v>1</v>
      </c>
      <c r="AB17" s="14">
        <v>1</v>
      </c>
      <c r="AC17" s="14">
        <v>10</v>
      </c>
      <c r="AD17" s="14">
        <v>1</v>
      </c>
      <c r="AE17" s="14">
        <v>8.5</v>
      </c>
      <c r="AF17" s="14">
        <v>7.5</v>
      </c>
      <c r="AG17" s="14">
        <v>7</v>
      </c>
      <c r="AN17" s="14">
        <v>10</v>
      </c>
    </row>
    <row r="18" spans="1:40" x14ac:dyDescent="0.25">
      <c r="A18" s="14" t="s">
        <v>172</v>
      </c>
      <c r="B18" s="19" t="s">
        <v>118</v>
      </c>
      <c r="C18" s="14" t="s">
        <v>150</v>
      </c>
      <c r="D18" s="21" t="s">
        <v>167</v>
      </c>
      <c r="E18" s="21">
        <v>3</v>
      </c>
      <c r="F18" s="14" t="s">
        <v>160</v>
      </c>
      <c r="G18" s="15" t="s">
        <v>161</v>
      </c>
      <c r="H18" s="15" t="s">
        <v>4</v>
      </c>
      <c r="I18" s="15" t="b">
        <v>0</v>
      </c>
      <c r="J18" s="15" t="b">
        <v>0</v>
      </c>
      <c r="K18" s="14">
        <v>98</v>
      </c>
      <c r="L18" s="17">
        <v>0.76470588235294112</v>
      </c>
      <c r="M18" s="14">
        <v>20</v>
      </c>
      <c r="N18" s="14">
        <v>8</v>
      </c>
      <c r="O18" s="14">
        <v>6</v>
      </c>
      <c r="P18" s="14">
        <v>0</v>
      </c>
      <c r="Q18" s="14">
        <v>0</v>
      </c>
      <c r="R18" s="14">
        <v>9</v>
      </c>
      <c r="S18" s="14">
        <v>8</v>
      </c>
      <c r="T18" s="14">
        <v>5</v>
      </c>
      <c r="U18" s="14">
        <v>6</v>
      </c>
      <c r="V18" s="14">
        <v>5</v>
      </c>
      <c r="W18" s="14">
        <v>5</v>
      </c>
      <c r="X18" s="14">
        <v>4</v>
      </c>
      <c r="Y18" s="14">
        <v>3</v>
      </c>
      <c r="Z18" s="14">
        <v>7</v>
      </c>
      <c r="AA18" s="14">
        <v>1</v>
      </c>
      <c r="AB18" s="14">
        <v>1</v>
      </c>
      <c r="AC18" s="14">
        <v>10</v>
      </c>
      <c r="AD18" s="14">
        <v>1</v>
      </c>
      <c r="AE18" s="14">
        <v>8.5</v>
      </c>
      <c r="AF18" s="14">
        <v>7.5</v>
      </c>
      <c r="AG18" s="14">
        <v>7</v>
      </c>
      <c r="AN18" s="14">
        <v>10</v>
      </c>
    </row>
    <row r="19" spans="1:40" x14ac:dyDescent="0.25">
      <c r="A19" s="14" t="s">
        <v>172</v>
      </c>
      <c r="B19" s="19" t="s">
        <v>118</v>
      </c>
      <c r="C19" s="14" t="s">
        <v>150</v>
      </c>
      <c r="D19" s="21" t="s">
        <v>167</v>
      </c>
      <c r="E19" s="21">
        <v>3</v>
      </c>
      <c r="F19" s="14" t="s">
        <v>162</v>
      </c>
      <c r="G19" s="14" t="s">
        <v>163</v>
      </c>
      <c r="H19" s="14" t="s">
        <v>5</v>
      </c>
      <c r="I19" s="14" t="b">
        <v>0</v>
      </c>
      <c r="J19" s="14" t="b">
        <v>0</v>
      </c>
      <c r="K19" s="14">
        <v>100</v>
      </c>
      <c r="L19" s="16">
        <v>0.82352941176470584</v>
      </c>
      <c r="M19" s="14">
        <v>17</v>
      </c>
      <c r="N19" s="14">
        <v>8</v>
      </c>
      <c r="O19" s="14">
        <v>6</v>
      </c>
      <c r="P19" s="14">
        <v>0</v>
      </c>
      <c r="Q19" s="14">
        <v>0</v>
      </c>
      <c r="R19" s="14">
        <v>9</v>
      </c>
      <c r="S19" s="14">
        <v>8</v>
      </c>
      <c r="T19" s="14">
        <v>7</v>
      </c>
      <c r="U19" s="14">
        <v>6</v>
      </c>
      <c r="V19" s="14">
        <v>5</v>
      </c>
      <c r="W19" s="14">
        <v>5</v>
      </c>
      <c r="X19" s="14">
        <v>4</v>
      </c>
      <c r="Y19" s="14">
        <v>4</v>
      </c>
      <c r="Z19" s="14">
        <v>2</v>
      </c>
      <c r="AA19" s="14">
        <v>1</v>
      </c>
      <c r="AB19" s="14">
        <v>5</v>
      </c>
      <c r="AC19" s="14">
        <v>10</v>
      </c>
      <c r="AD19" s="14">
        <v>1</v>
      </c>
      <c r="AE19" s="14">
        <v>8.5</v>
      </c>
      <c r="AF19" s="14">
        <v>7.5</v>
      </c>
      <c r="AG19" s="14">
        <v>7</v>
      </c>
      <c r="AN19" s="14">
        <v>10</v>
      </c>
    </row>
    <row r="20" spans="1:40" x14ac:dyDescent="0.25">
      <c r="A20" s="14" t="s">
        <v>172</v>
      </c>
      <c r="B20" s="19" t="s">
        <v>118</v>
      </c>
      <c r="C20" s="14" t="s">
        <v>150</v>
      </c>
      <c r="D20" s="21" t="s">
        <v>167</v>
      </c>
      <c r="E20" s="21">
        <v>3</v>
      </c>
      <c r="F20" s="14" t="s">
        <v>164</v>
      </c>
      <c r="G20" s="14" t="s">
        <v>165</v>
      </c>
      <c r="H20" s="14" t="s">
        <v>26</v>
      </c>
      <c r="I20" s="14" t="b">
        <v>0</v>
      </c>
      <c r="J20" s="14" t="b">
        <v>0</v>
      </c>
      <c r="K20" s="14">
        <v>99</v>
      </c>
      <c r="L20" s="16">
        <v>0.88235294117647056</v>
      </c>
      <c r="M20" s="14">
        <v>18</v>
      </c>
      <c r="N20" s="14">
        <v>8</v>
      </c>
      <c r="O20" s="14">
        <v>6</v>
      </c>
      <c r="P20" s="14">
        <v>0</v>
      </c>
      <c r="Q20" s="14">
        <v>0</v>
      </c>
      <c r="R20" s="14">
        <v>9</v>
      </c>
      <c r="S20" s="14">
        <v>8</v>
      </c>
      <c r="T20" s="14">
        <v>7</v>
      </c>
      <c r="U20" s="14">
        <v>6</v>
      </c>
      <c r="V20" s="14">
        <v>5</v>
      </c>
      <c r="W20" s="14">
        <v>5</v>
      </c>
      <c r="X20" s="14">
        <v>4</v>
      </c>
      <c r="Y20" s="14">
        <v>3</v>
      </c>
      <c r="Z20" s="14">
        <v>2</v>
      </c>
      <c r="AA20" s="14">
        <v>1</v>
      </c>
      <c r="AB20" s="14">
        <v>5</v>
      </c>
      <c r="AC20" s="14">
        <v>10</v>
      </c>
      <c r="AD20" s="14">
        <v>1</v>
      </c>
      <c r="AE20" s="14">
        <v>8.5</v>
      </c>
      <c r="AF20" s="14">
        <v>7.5</v>
      </c>
      <c r="AG20" s="14">
        <v>7</v>
      </c>
      <c r="AN20" s="14">
        <v>10</v>
      </c>
    </row>
    <row r="21" spans="1:40" x14ac:dyDescent="0.25">
      <c r="A21" s="14" t="s">
        <v>172</v>
      </c>
      <c r="B21" s="19" t="s">
        <v>118</v>
      </c>
      <c r="C21" s="14" t="s">
        <v>150</v>
      </c>
      <c r="D21" s="21" t="s">
        <v>167</v>
      </c>
      <c r="E21" s="21">
        <v>3</v>
      </c>
      <c r="F21" s="14" t="s">
        <v>173</v>
      </c>
      <c r="G21" s="14" t="s">
        <v>174</v>
      </c>
      <c r="H21" s="14" t="s">
        <v>30</v>
      </c>
      <c r="I21" s="14" t="b">
        <v>0</v>
      </c>
      <c r="J21" s="14" t="b">
        <v>0</v>
      </c>
      <c r="K21" s="14">
        <v>87.5</v>
      </c>
      <c r="L21" s="16">
        <v>0.82352941176470584</v>
      </c>
      <c r="M21" s="14">
        <v>19</v>
      </c>
      <c r="N21" s="14">
        <v>10</v>
      </c>
      <c r="O21" s="14">
        <v>7</v>
      </c>
      <c r="P21" s="14">
        <v>0</v>
      </c>
      <c r="Q21" s="14">
        <v>0</v>
      </c>
      <c r="R21" s="14">
        <v>9</v>
      </c>
      <c r="S21" s="14">
        <v>8</v>
      </c>
      <c r="T21" s="14">
        <v>7</v>
      </c>
      <c r="U21" s="14">
        <v>6</v>
      </c>
      <c r="V21" s="14">
        <v>5</v>
      </c>
      <c r="W21" s="14">
        <v>2</v>
      </c>
      <c r="X21" s="14">
        <v>4</v>
      </c>
      <c r="Y21" s="14">
        <v>3</v>
      </c>
      <c r="Z21" s="14">
        <v>2</v>
      </c>
      <c r="AA21" s="14">
        <v>1</v>
      </c>
      <c r="AB21" s="14">
        <v>3</v>
      </c>
      <c r="AC21" s="14">
        <v>7.5</v>
      </c>
      <c r="AD21" s="14">
        <v>1</v>
      </c>
      <c r="AE21" s="14">
        <v>8.5</v>
      </c>
      <c r="AF21" s="14">
        <v>7.5</v>
      </c>
      <c r="AG21" s="14">
        <v>7</v>
      </c>
      <c r="AN21" s="14">
        <v>6</v>
      </c>
    </row>
    <row r="22" spans="1:40" x14ac:dyDescent="0.25">
      <c r="A22" s="14" t="s">
        <v>172</v>
      </c>
      <c r="B22" s="19" t="s">
        <v>118</v>
      </c>
      <c r="C22" s="14" t="s">
        <v>150</v>
      </c>
      <c r="D22" s="21" t="s">
        <v>167</v>
      </c>
      <c r="E22" s="21">
        <v>3</v>
      </c>
      <c r="F22" s="14" t="s">
        <v>168</v>
      </c>
      <c r="G22" s="14" t="s">
        <v>169</v>
      </c>
      <c r="H22" s="14" t="s">
        <v>7</v>
      </c>
      <c r="I22" s="14" t="b">
        <v>0</v>
      </c>
      <c r="J22" s="14" t="b">
        <v>0</v>
      </c>
      <c r="K22" s="14">
        <v>89.5</v>
      </c>
      <c r="L22" s="16">
        <v>0.76470588235294112</v>
      </c>
      <c r="M22" s="14">
        <v>19</v>
      </c>
      <c r="N22" s="14">
        <v>9</v>
      </c>
      <c r="O22" s="14">
        <v>7</v>
      </c>
      <c r="P22" s="14">
        <v>0</v>
      </c>
      <c r="Q22" s="14">
        <v>0</v>
      </c>
      <c r="R22" s="14">
        <v>9</v>
      </c>
      <c r="S22" s="14">
        <v>5</v>
      </c>
      <c r="T22" s="14">
        <v>7</v>
      </c>
      <c r="U22" s="14">
        <v>6</v>
      </c>
      <c r="V22" s="14">
        <v>5</v>
      </c>
      <c r="W22" s="14">
        <v>5</v>
      </c>
      <c r="X22" s="14">
        <v>4</v>
      </c>
      <c r="Y22" s="14">
        <v>3</v>
      </c>
      <c r="Z22" s="14">
        <v>2</v>
      </c>
      <c r="AA22" s="14">
        <v>1</v>
      </c>
      <c r="AB22" s="14">
        <v>1</v>
      </c>
      <c r="AC22" s="14">
        <v>10</v>
      </c>
      <c r="AD22" s="14">
        <v>2.5</v>
      </c>
      <c r="AE22" s="14">
        <v>8.5</v>
      </c>
      <c r="AF22" s="14">
        <v>7.5</v>
      </c>
      <c r="AG22" s="14">
        <v>7</v>
      </c>
      <c r="AN22" s="14">
        <v>6</v>
      </c>
    </row>
    <row r="23" spans="1:40" x14ac:dyDescent="0.25">
      <c r="A23" s="14" t="s">
        <v>175</v>
      </c>
      <c r="B23" s="19" t="s">
        <v>118</v>
      </c>
      <c r="C23" s="14" t="s">
        <v>151</v>
      </c>
      <c r="D23" s="21" t="s">
        <v>176</v>
      </c>
      <c r="E23" s="21">
        <v>2</v>
      </c>
      <c r="F23" s="14" t="s">
        <v>3</v>
      </c>
      <c r="K23" s="14">
        <v>294</v>
      </c>
      <c r="M23" s="14">
        <v>47</v>
      </c>
      <c r="N23" s="14">
        <v>27</v>
      </c>
      <c r="O23" s="14">
        <v>18</v>
      </c>
      <c r="P23" s="14">
        <v>0</v>
      </c>
      <c r="Q23" s="14">
        <v>0</v>
      </c>
      <c r="R23" s="14">
        <v>27</v>
      </c>
      <c r="S23" s="14">
        <v>21</v>
      </c>
      <c r="T23" s="14">
        <v>21</v>
      </c>
      <c r="U23" s="14">
        <v>18</v>
      </c>
      <c r="V23" s="14">
        <v>15</v>
      </c>
      <c r="W23" s="14">
        <v>15</v>
      </c>
      <c r="X23" s="14">
        <v>12</v>
      </c>
      <c r="Y23" s="14">
        <v>10</v>
      </c>
      <c r="Z23" s="14">
        <v>11</v>
      </c>
      <c r="AA23" s="14">
        <v>3</v>
      </c>
      <c r="AB23" s="14">
        <v>7</v>
      </c>
      <c r="AC23" s="14">
        <v>30</v>
      </c>
      <c r="AD23" s="14">
        <v>3</v>
      </c>
      <c r="AE23" s="14">
        <v>25.5</v>
      </c>
      <c r="AF23" s="14">
        <v>24.5</v>
      </c>
      <c r="AG23" s="14">
        <v>21</v>
      </c>
      <c r="AN23" s="14">
        <v>30</v>
      </c>
    </row>
    <row r="24" spans="1:40" x14ac:dyDescent="0.25">
      <c r="A24" s="14" t="s">
        <v>175</v>
      </c>
      <c r="B24" s="19" t="s">
        <v>118</v>
      </c>
      <c r="C24" s="14" t="s">
        <v>151</v>
      </c>
      <c r="D24" s="21" t="s">
        <v>176</v>
      </c>
      <c r="E24" s="21">
        <v>2</v>
      </c>
      <c r="F24" s="14" t="s">
        <v>158</v>
      </c>
      <c r="G24" s="14" t="s">
        <v>159</v>
      </c>
      <c r="H24" s="14" t="s">
        <v>32</v>
      </c>
      <c r="I24" s="14" t="b">
        <v>1</v>
      </c>
      <c r="J24" s="14" t="b">
        <v>0</v>
      </c>
      <c r="K24" s="14">
        <v>95</v>
      </c>
      <c r="L24" s="16">
        <v>0</v>
      </c>
      <c r="M24" s="14">
        <v>15</v>
      </c>
      <c r="N24" s="14">
        <v>9</v>
      </c>
      <c r="O24" s="14">
        <v>7</v>
      </c>
      <c r="P24" s="14">
        <v>0</v>
      </c>
      <c r="Q24" s="14">
        <v>0</v>
      </c>
      <c r="R24" s="14">
        <v>9</v>
      </c>
      <c r="S24" s="14">
        <v>7</v>
      </c>
      <c r="T24" s="14">
        <v>7</v>
      </c>
      <c r="U24" s="14">
        <v>6</v>
      </c>
      <c r="V24" s="14">
        <v>6</v>
      </c>
      <c r="W24" s="14">
        <v>5</v>
      </c>
      <c r="X24" s="14">
        <v>4</v>
      </c>
      <c r="Y24" s="14">
        <v>3</v>
      </c>
      <c r="Z24" s="14">
        <v>2</v>
      </c>
      <c r="AA24" s="14">
        <v>1</v>
      </c>
      <c r="AB24" s="14">
        <v>1</v>
      </c>
      <c r="AC24" s="14">
        <v>10</v>
      </c>
      <c r="AD24" s="14">
        <v>1</v>
      </c>
      <c r="AE24" s="14">
        <v>8.5</v>
      </c>
      <c r="AF24" s="14">
        <v>7.5</v>
      </c>
      <c r="AG24" s="14">
        <v>7</v>
      </c>
      <c r="AN24" s="14">
        <v>10</v>
      </c>
    </row>
    <row r="25" spans="1:40" x14ac:dyDescent="0.25">
      <c r="A25" s="14" t="s">
        <v>175</v>
      </c>
      <c r="B25" s="19" t="s">
        <v>118</v>
      </c>
      <c r="C25" s="14" t="s">
        <v>151</v>
      </c>
      <c r="D25" s="21" t="s">
        <v>176</v>
      </c>
      <c r="E25" s="21">
        <v>2</v>
      </c>
      <c r="F25" s="14" t="s">
        <v>160</v>
      </c>
      <c r="G25" s="14" t="s">
        <v>161</v>
      </c>
      <c r="H25" s="14" t="s">
        <v>4</v>
      </c>
      <c r="I25" s="14" t="b">
        <v>0</v>
      </c>
      <c r="J25" s="14" t="b">
        <v>0</v>
      </c>
      <c r="K25" s="14">
        <v>100</v>
      </c>
      <c r="L25" s="16">
        <v>0.76470588235294112</v>
      </c>
      <c r="M25" s="14">
        <v>15</v>
      </c>
      <c r="N25" s="14">
        <v>9</v>
      </c>
      <c r="O25" s="14">
        <v>6</v>
      </c>
      <c r="P25" s="14">
        <v>0</v>
      </c>
      <c r="Q25" s="14">
        <v>0</v>
      </c>
      <c r="R25" s="14">
        <v>9</v>
      </c>
      <c r="S25" s="14">
        <v>7</v>
      </c>
      <c r="T25" s="14">
        <v>7</v>
      </c>
      <c r="U25" s="14">
        <v>6</v>
      </c>
      <c r="V25" s="14">
        <v>6</v>
      </c>
      <c r="W25" s="14">
        <v>4</v>
      </c>
      <c r="X25" s="14">
        <v>4</v>
      </c>
      <c r="Y25" s="14">
        <v>3</v>
      </c>
      <c r="Z25" s="14">
        <v>7</v>
      </c>
      <c r="AA25" s="14">
        <v>1</v>
      </c>
      <c r="AB25" s="14">
        <v>1</v>
      </c>
      <c r="AC25" s="14">
        <v>10</v>
      </c>
      <c r="AD25" s="14">
        <v>1</v>
      </c>
      <c r="AE25" s="14">
        <v>8.5</v>
      </c>
      <c r="AF25" s="14">
        <v>8.5</v>
      </c>
      <c r="AG25" s="14">
        <v>7</v>
      </c>
      <c r="AN25" s="14">
        <v>10</v>
      </c>
    </row>
    <row r="26" spans="1:40" x14ac:dyDescent="0.25">
      <c r="A26" s="14" t="s">
        <v>175</v>
      </c>
      <c r="B26" s="19" t="s">
        <v>118</v>
      </c>
      <c r="C26" s="14" t="s">
        <v>151</v>
      </c>
      <c r="D26" s="21" t="s">
        <v>176</v>
      </c>
      <c r="E26" s="21">
        <v>2</v>
      </c>
      <c r="F26" s="14" t="s">
        <v>162</v>
      </c>
      <c r="G26" s="15" t="s">
        <v>163</v>
      </c>
      <c r="H26" s="15" t="s">
        <v>5</v>
      </c>
      <c r="I26" s="15" t="b">
        <v>0</v>
      </c>
      <c r="J26" s="15" t="b">
        <v>0</v>
      </c>
      <c r="K26" s="14">
        <v>100</v>
      </c>
      <c r="L26" s="17">
        <v>0.88235294117647056</v>
      </c>
      <c r="M26" s="14">
        <v>14</v>
      </c>
      <c r="N26" s="14">
        <v>9</v>
      </c>
      <c r="O26" s="14">
        <v>6</v>
      </c>
      <c r="P26" s="14">
        <v>0</v>
      </c>
      <c r="Q26" s="14">
        <v>0</v>
      </c>
      <c r="R26" s="14">
        <v>9</v>
      </c>
      <c r="S26" s="14">
        <v>7</v>
      </c>
      <c r="T26" s="14">
        <v>7</v>
      </c>
      <c r="U26" s="14">
        <v>6</v>
      </c>
      <c r="V26" s="14">
        <v>5</v>
      </c>
      <c r="W26" s="14">
        <v>5</v>
      </c>
      <c r="X26" s="14">
        <v>4</v>
      </c>
      <c r="Y26" s="14">
        <v>4</v>
      </c>
      <c r="Z26" s="14">
        <v>2</v>
      </c>
      <c r="AA26" s="14">
        <v>1</v>
      </c>
      <c r="AB26" s="14">
        <v>5</v>
      </c>
      <c r="AC26" s="14">
        <v>10</v>
      </c>
      <c r="AD26" s="14">
        <v>1</v>
      </c>
      <c r="AE26" s="14">
        <v>8.5</v>
      </c>
      <c r="AF26" s="14">
        <v>8.5</v>
      </c>
      <c r="AG26" s="14">
        <v>7</v>
      </c>
      <c r="AN26" s="14">
        <v>10</v>
      </c>
    </row>
    <row r="27" spans="1:40" x14ac:dyDescent="0.25">
      <c r="A27" s="14" t="s">
        <v>175</v>
      </c>
      <c r="B27" s="19" t="s">
        <v>118</v>
      </c>
      <c r="C27" s="14" t="s">
        <v>151</v>
      </c>
      <c r="D27" s="21" t="s">
        <v>176</v>
      </c>
      <c r="E27" s="21">
        <v>2</v>
      </c>
      <c r="F27" s="14" t="s">
        <v>164</v>
      </c>
      <c r="G27" s="14" t="s">
        <v>165</v>
      </c>
      <c r="H27" s="14" t="s">
        <v>26</v>
      </c>
      <c r="I27" s="14" t="b">
        <v>0</v>
      </c>
      <c r="J27" s="14" t="b">
        <v>0</v>
      </c>
      <c r="K27" s="14">
        <v>99</v>
      </c>
      <c r="L27" s="16">
        <v>0.88235294117647056</v>
      </c>
      <c r="M27" s="14">
        <v>15</v>
      </c>
      <c r="N27" s="14">
        <v>9</v>
      </c>
      <c r="O27" s="14">
        <v>6</v>
      </c>
      <c r="P27" s="14">
        <v>0</v>
      </c>
      <c r="Q27" s="14">
        <v>0</v>
      </c>
      <c r="R27" s="14">
        <v>9</v>
      </c>
      <c r="S27" s="14">
        <v>7</v>
      </c>
      <c r="T27" s="14">
        <v>7</v>
      </c>
      <c r="U27" s="14">
        <v>6</v>
      </c>
      <c r="V27" s="14">
        <v>5</v>
      </c>
      <c r="W27" s="14">
        <v>5</v>
      </c>
      <c r="X27" s="14">
        <v>4</v>
      </c>
      <c r="Y27" s="14">
        <v>3</v>
      </c>
      <c r="Z27" s="14">
        <v>2</v>
      </c>
      <c r="AA27" s="14">
        <v>1</v>
      </c>
      <c r="AB27" s="14">
        <v>5</v>
      </c>
      <c r="AC27" s="14">
        <v>10</v>
      </c>
      <c r="AD27" s="14">
        <v>1</v>
      </c>
      <c r="AE27" s="14">
        <v>8.5</v>
      </c>
      <c r="AF27" s="14">
        <v>8.5</v>
      </c>
      <c r="AG27" s="14">
        <v>7</v>
      </c>
      <c r="AN27" s="14">
        <v>10</v>
      </c>
    </row>
    <row r="28" spans="1:40" x14ac:dyDescent="0.25">
      <c r="A28" s="14" t="s">
        <v>175</v>
      </c>
      <c r="B28" s="19" t="s">
        <v>118</v>
      </c>
      <c r="C28" s="14" t="s">
        <v>151</v>
      </c>
      <c r="D28" s="21" t="s">
        <v>176</v>
      </c>
      <c r="E28" s="21">
        <v>2</v>
      </c>
      <c r="F28" s="14" t="s">
        <v>166</v>
      </c>
      <c r="G28" s="14" t="s">
        <v>167</v>
      </c>
      <c r="H28" s="14" t="s">
        <v>6</v>
      </c>
      <c r="I28" s="14" t="b">
        <v>0</v>
      </c>
      <c r="J28" s="14" t="b">
        <v>0</v>
      </c>
      <c r="K28" s="14">
        <v>115.5</v>
      </c>
      <c r="L28" s="16">
        <v>0.52941176470588236</v>
      </c>
      <c r="M28" s="14">
        <v>20</v>
      </c>
      <c r="N28" s="14">
        <v>9</v>
      </c>
      <c r="O28" s="14">
        <v>2</v>
      </c>
      <c r="P28" s="14">
        <v>0</v>
      </c>
      <c r="Q28" s="14">
        <v>0</v>
      </c>
      <c r="R28" s="14">
        <v>9</v>
      </c>
      <c r="S28" s="14">
        <v>8</v>
      </c>
      <c r="T28" s="14">
        <v>7</v>
      </c>
      <c r="U28" s="14">
        <v>6</v>
      </c>
      <c r="V28" s="14">
        <v>5</v>
      </c>
      <c r="W28" s="14">
        <v>10</v>
      </c>
      <c r="X28" s="14">
        <v>9</v>
      </c>
      <c r="Y28" s="14">
        <v>8</v>
      </c>
      <c r="Z28" s="14">
        <v>7</v>
      </c>
      <c r="AA28" s="14">
        <v>6</v>
      </c>
      <c r="AB28" s="14">
        <v>1</v>
      </c>
      <c r="AC28" s="14">
        <v>5.5</v>
      </c>
      <c r="AD28" s="14">
        <v>1</v>
      </c>
      <c r="AE28" s="14">
        <v>8.5</v>
      </c>
      <c r="AF28" s="14">
        <v>7.5</v>
      </c>
      <c r="AG28" s="14">
        <v>7</v>
      </c>
      <c r="AN28" s="14">
        <v>10</v>
      </c>
    </row>
    <row r="29" spans="1:40" x14ac:dyDescent="0.25">
      <c r="A29" s="14" t="s">
        <v>175</v>
      </c>
      <c r="B29" s="19" t="s">
        <v>118</v>
      </c>
      <c r="C29" s="14" t="s">
        <v>151</v>
      </c>
      <c r="D29" s="21" t="s">
        <v>176</v>
      </c>
      <c r="E29" s="21">
        <v>2</v>
      </c>
      <c r="F29" s="14" t="s">
        <v>168</v>
      </c>
      <c r="G29" s="14" t="s">
        <v>169</v>
      </c>
      <c r="H29" s="14" t="s">
        <v>7</v>
      </c>
      <c r="I29" s="14" t="b">
        <v>0</v>
      </c>
      <c r="J29" s="14" t="b">
        <v>0</v>
      </c>
      <c r="K29" s="14">
        <v>91.5</v>
      </c>
      <c r="L29" s="16">
        <v>0.76470588235294112</v>
      </c>
      <c r="M29" s="14">
        <v>17</v>
      </c>
      <c r="N29" s="14">
        <v>9</v>
      </c>
      <c r="O29" s="14">
        <v>7</v>
      </c>
      <c r="P29" s="14">
        <v>0</v>
      </c>
      <c r="Q29" s="14">
        <v>0</v>
      </c>
      <c r="R29" s="14">
        <v>9</v>
      </c>
      <c r="S29" s="14">
        <v>7</v>
      </c>
      <c r="T29" s="14">
        <v>7</v>
      </c>
      <c r="U29" s="14">
        <v>6</v>
      </c>
      <c r="V29" s="14">
        <v>5</v>
      </c>
      <c r="W29" s="14">
        <v>5</v>
      </c>
      <c r="X29" s="14">
        <v>4</v>
      </c>
      <c r="Y29" s="14">
        <v>3</v>
      </c>
      <c r="Z29" s="14">
        <v>2</v>
      </c>
      <c r="AA29" s="14">
        <v>1</v>
      </c>
      <c r="AB29" s="14">
        <v>1</v>
      </c>
      <c r="AC29" s="14">
        <v>10</v>
      </c>
      <c r="AD29" s="14">
        <v>2.5</v>
      </c>
      <c r="AE29" s="14">
        <v>8.5</v>
      </c>
      <c r="AF29" s="14">
        <v>7.5</v>
      </c>
      <c r="AG29" s="14">
        <v>7</v>
      </c>
      <c r="AN29" s="14">
        <v>6</v>
      </c>
    </row>
    <row r="34" spans="7:12" x14ac:dyDescent="0.25">
      <c r="G34" s="15"/>
      <c r="H34" s="15"/>
      <c r="I34" s="15"/>
      <c r="J34" s="15"/>
      <c r="L34" s="17"/>
    </row>
    <row r="42" spans="7:12" x14ac:dyDescent="0.25">
      <c r="G42" s="15"/>
      <c r="H42" s="15"/>
      <c r="I42" s="15"/>
      <c r="J42" s="15"/>
      <c r="L42" s="17"/>
    </row>
    <row r="50" spans="7:12" x14ac:dyDescent="0.25">
      <c r="G50" s="15"/>
      <c r="H50" s="15"/>
      <c r="I50" s="15"/>
      <c r="J50" s="15"/>
      <c r="L50" s="17"/>
    </row>
    <row r="58" spans="7:12" x14ac:dyDescent="0.25">
      <c r="G58" s="15"/>
      <c r="H58" s="15"/>
      <c r="I58" s="15"/>
      <c r="J58" s="15"/>
      <c r="L58" s="17"/>
    </row>
    <row r="66" spans="7:12" x14ac:dyDescent="0.25">
      <c r="G66" s="15"/>
      <c r="H66" s="15"/>
      <c r="I66" s="15"/>
      <c r="J66" s="15"/>
      <c r="L66" s="17"/>
    </row>
    <row r="74" spans="7:12" x14ac:dyDescent="0.25">
      <c r="G74" s="15"/>
      <c r="H74" s="15"/>
      <c r="I74" s="15"/>
      <c r="J74" s="15"/>
      <c r="L74" s="17"/>
    </row>
    <row r="82" spans="7:12" x14ac:dyDescent="0.25">
      <c r="G82" s="15"/>
      <c r="H82" s="15"/>
      <c r="I82" s="15"/>
      <c r="J82" s="15"/>
      <c r="L82" s="17"/>
    </row>
    <row r="90" spans="7:12" x14ac:dyDescent="0.25">
      <c r="G90" s="15"/>
      <c r="H90" s="15"/>
      <c r="I90" s="15"/>
      <c r="J90" s="15"/>
      <c r="L90" s="17"/>
    </row>
    <row r="98" spans="7:12" x14ac:dyDescent="0.25">
      <c r="G98" s="15"/>
      <c r="H98" s="15"/>
      <c r="I98" s="15"/>
      <c r="J98" s="15"/>
      <c r="L98" s="17"/>
    </row>
    <row r="106" spans="7:12" x14ac:dyDescent="0.25">
      <c r="G106" s="15"/>
      <c r="H106" s="15"/>
      <c r="I106" s="15"/>
      <c r="J106" s="15"/>
      <c r="L106" s="17"/>
    </row>
    <row r="114" spans="7:12" x14ac:dyDescent="0.25">
      <c r="G114" s="15"/>
      <c r="H114" s="15"/>
      <c r="I114" s="15"/>
      <c r="J114" s="15"/>
      <c r="L114" s="17"/>
    </row>
    <row r="122" spans="7:12" x14ac:dyDescent="0.25">
      <c r="G122" s="15"/>
      <c r="H122" s="15"/>
      <c r="I122" s="15"/>
      <c r="J122" s="15"/>
      <c r="L122" s="17"/>
    </row>
    <row r="130" spans="7:12" x14ac:dyDescent="0.25">
      <c r="G130" s="15"/>
      <c r="H130" s="15"/>
      <c r="I130" s="15"/>
      <c r="J130" s="15"/>
      <c r="L130" s="17"/>
    </row>
    <row r="138" spans="7:12" x14ac:dyDescent="0.25">
      <c r="G138" s="15"/>
      <c r="H138" s="15"/>
      <c r="I138" s="15"/>
      <c r="J138" s="15"/>
      <c r="L138" s="17"/>
    </row>
    <row r="146" spans="7:12" x14ac:dyDescent="0.25">
      <c r="G146" s="15"/>
      <c r="H146" s="15"/>
      <c r="I146" s="15"/>
      <c r="J146" s="15"/>
      <c r="L146" s="17"/>
    </row>
    <row r="154" spans="7:12" x14ac:dyDescent="0.25">
      <c r="G154" s="15"/>
      <c r="H154" s="15"/>
      <c r="I154" s="15"/>
      <c r="J154" s="15"/>
      <c r="L154" s="17"/>
    </row>
    <row r="162" spans="7:12" x14ac:dyDescent="0.25">
      <c r="G162" s="15"/>
      <c r="H162" s="15"/>
      <c r="I162" s="15"/>
      <c r="J162" s="15"/>
      <c r="L162" s="17"/>
    </row>
    <row r="170" spans="7:12" x14ac:dyDescent="0.25">
      <c r="G170" s="15"/>
      <c r="H170" s="15"/>
      <c r="I170" s="15"/>
      <c r="J170" s="15"/>
      <c r="L170" s="17"/>
    </row>
    <row r="178" spans="7:12" x14ac:dyDescent="0.25">
      <c r="G178" s="15"/>
      <c r="H178" s="15"/>
      <c r="I178" s="15"/>
      <c r="J178" s="15"/>
      <c r="L178" s="17"/>
    </row>
    <row r="186" spans="7:12" x14ac:dyDescent="0.25">
      <c r="G186" s="15"/>
      <c r="H186" s="15"/>
      <c r="I186" s="15"/>
      <c r="J186" s="15"/>
      <c r="L186" s="17"/>
    </row>
  </sheetData>
  <autoFilter ref="A1:AN97" xr:uid="{C7A8C2B0-746E-43F5-81F1-FE4E00F85C95}"/>
  <dataConsolidate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Fetch">
                <anchor moveWithCells="1" sizeWithCells="1">
                  <from>
                    <xdr:col>0</xdr:col>
                    <xdr:colOff>238125</xdr:colOff>
                    <xdr:row>0</xdr:row>
                    <xdr:rowOff>0</xdr:rowOff>
                  </from>
                  <to>
                    <xdr:col>0</xdr:col>
                    <xdr:colOff>533400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247650</xdr:colOff>
                    <xdr:row>0</xdr:row>
                    <xdr:rowOff>180975</xdr:rowOff>
                  </from>
                  <to>
                    <xdr:col>0</xdr:col>
                    <xdr:colOff>533400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topLeftCell="A10" workbookViewId="0">
      <selection activeCell="B6" sqref="B6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2" bestFit="1" customWidth="1"/>
  </cols>
  <sheetData>
    <row r="1" spans="1:12" x14ac:dyDescent="0.25">
      <c r="A1" s="1" t="s">
        <v>10</v>
      </c>
      <c r="B1" s="2" t="s">
        <v>14</v>
      </c>
      <c r="L1" t="s">
        <v>11</v>
      </c>
    </row>
    <row r="2" spans="1:12" x14ac:dyDescent="0.25">
      <c r="L2" t="s">
        <v>12</v>
      </c>
    </row>
    <row r="3" spans="1:12" ht="15.75" x14ac:dyDescent="0.25">
      <c r="A3" t="s">
        <v>15</v>
      </c>
      <c r="B3" s="3" t="s">
        <v>154</v>
      </c>
      <c r="C3">
        <v>1</v>
      </c>
    </row>
    <row r="4" spans="1:12" ht="15.75" x14ac:dyDescent="0.25">
      <c r="A4" t="s">
        <v>16</v>
      </c>
      <c r="B4" s="3" t="s">
        <v>17</v>
      </c>
      <c r="C4">
        <v>2</v>
      </c>
    </row>
    <row r="5" spans="1:12" x14ac:dyDescent="0.25">
      <c r="A5" t="s">
        <v>18</v>
      </c>
      <c r="B5" s="2" t="s">
        <v>19</v>
      </c>
      <c r="C5">
        <v>3</v>
      </c>
    </row>
    <row r="6" spans="1:12" ht="15.75" x14ac:dyDescent="0.25">
      <c r="A6" t="s">
        <v>20</v>
      </c>
      <c r="B6" s="4" t="s">
        <v>155</v>
      </c>
      <c r="C6">
        <v>4</v>
      </c>
    </row>
    <row r="7" spans="1:12" x14ac:dyDescent="0.25">
      <c r="A7" t="s">
        <v>21</v>
      </c>
      <c r="B7" s="2" t="s">
        <v>22</v>
      </c>
    </row>
    <row r="8" spans="1:12" x14ac:dyDescent="0.25">
      <c r="A8" t="s">
        <v>23</v>
      </c>
      <c r="B8" s="2" t="s">
        <v>4</v>
      </c>
    </row>
    <row r="9" spans="1:12" x14ac:dyDescent="0.25">
      <c r="A9" t="s">
        <v>24</v>
      </c>
      <c r="B9" s="2" t="s">
        <v>5</v>
      </c>
    </row>
    <row r="10" spans="1:12" x14ac:dyDescent="0.25">
      <c r="A10" t="s">
        <v>25</v>
      </c>
      <c r="B10" s="2" t="s">
        <v>26</v>
      </c>
    </row>
    <row r="11" spans="1:12" x14ac:dyDescent="0.25">
      <c r="A11" t="s">
        <v>27</v>
      </c>
      <c r="B11" s="2" t="s">
        <v>6</v>
      </c>
    </row>
    <row r="12" spans="1:12" x14ac:dyDescent="0.25">
      <c r="A12" t="s">
        <v>28</v>
      </c>
      <c r="B12" s="2" t="s">
        <v>7</v>
      </c>
    </row>
    <row r="13" spans="1:12" x14ac:dyDescent="0.25">
      <c r="A13" t="s">
        <v>29</v>
      </c>
      <c r="B13" s="2" t="s">
        <v>30</v>
      </c>
    </row>
    <row r="14" spans="1:12" x14ac:dyDescent="0.25">
      <c r="A14" t="s">
        <v>31</v>
      </c>
      <c r="B14" s="2" t="s">
        <v>32</v>
      </c>
    </row>
    <row r="15" spans="1:12" x14ac:dyDescent="0.25">
      <c r="A15" t="s">
        <v>33</v>
      </c>
      <c r="B15" s="2" t="s">
        <v>34</v>
      </c>
    </row>
    <row r="16" spans="1:12" x14ac:dyDescent="0.25">
      <c r="A16" t="s">
        <v>35</v>
      </c>
      <c r="B16" s="2" t="s">
        <v>36</v>
      </c>
    </row>
    <row r="17" spans="1:8" x14ac:dyDescent="0.25">
      <c r="A17" t="s">
        <v>37</v>
      </c>
      <c r="B17" s="2" t="s">
        <v>38</v>
      </c>
    </row>
    <row r="18" spans="1:8" x14ac:dyDescent="0.25">
      <c r="A18" t="s">
        <v>39</v>
      </c>
      <c r="B18" s="2" t="s">
        <v>40</v>
      </c>
    </row>
    <row r="19" spans="1:8" x14ac:dyDescent="0.25">
      <c r="A19" t="s">
        <v>41</v>
      </c>
      <c r="B19" t="s">
        <v>41</v>
      </c>
    </row>
    <row r="20" spans="1:8" x14ac:dyDescent="0.25">
      <c r="A20" t="s">
        <v>42</v>
      </c>
      <c r="B20" t="s">
        <v>43</v>
      </c>
    </row>
    <row r="21" spans="1:8" x14ac:dyDescent="0.25">
      <c r="A21" t="s">
        <v>44</v>
      </c>
      <c r="B21" s="2" t="s">
        <v>45</v>
      </c>
    </row>
    <row r="22" spans="1:8" x14ac:dyDescent="0.25">
      <c r="A22" t="s">
        <v>46</v>
      </c>
      <c r="B22" s="2" t="s">
        <v>47</v>
      </c>
    </row>
    <row r="23" spans="1:8" x14ac:dyDescent="0.25">
      <c r="A23" t="s">
        <v>48</v>
      </c>
      <c r="B23" s="2" t="s">
        <v>49</v>
      </c>
    </row>
    <row r="24" spans="1:8" x14ac:dyDescent="0.25">
      <c r="A24" t="s">
        <v>50</v>
      </c>
      <c r="B24" s="2" t="s">
        <v>51</v>
      </c>
    </row>
    <row r="25" spans="1:8" x14ac:dyDescent="0.25">
      <c r="A25" s="5" t="s">
        <v>52</v>
      </c>
      <c r="B25" s="5" t="s">
        <v>53</v>
      </c>
    </row>
    <row r="26" spans="1:8" x14ac:dyDescent="0.25">
      <c r="A26" t="s">
        <v>54</v>
      </c>
      <c r="B26" s="5" t="s">
        <v>8</v>
      </c>
    </row>
    <row r="27" spans="1:8" x14ac:dyDescent="0.25">
      <c r="A27" t="s">
        <v>55</v>
      </c>
      <c r="B27" s="5" t="s">
        <v>56</v>
      </c>
    </row>
    <row r="28" spans="1:8" x14ac:dyDescent="0.25">
      <c r="A28" t="s">
        <v>57</v>
      </c>
      <c r="B28" s="5" t="s">
        <v>9</v>
      </c>
    </row>
    <row r="29" spans="1:8" x14ac:dyDescent="0.25">
      <c r="A29" t="s">
        <v>58</v>
      </c>
      <c r="B29" s="5" t="s">
        <v>59</v>
      </c>
    </row>
    <row r="30" spans="1:8" x14ac:dyDescent="0.25">
      <c r="A30" t="s">
        <v>60</v>
      </c>
      <c r="B30" s="5" t="s">
        <v>3</v>
      </c>
      <c r="G30" s="5"/>
      <c r="H30" s="5"/>
    </row>
    <row r="31" spans="1:8" x14ac:dyDescent="0.25">
      <c r="A31" t="s">
        <v>61</v>
      </c>
      <c r="B31" s="5" t="s">
        <v>62</v>
      </c>
      <c r="G31" s="5"/>
      <c r="H31" s="5"/>
    </row>
    <row r="32" spans="1:8" x14ac:dyDescent="0.25">
      <c r="A32" s="5" t="s">
        <v>63</v>
      </c>
      <c r="B32" s="5" t="s">
        <v>64</v>
      </c>
      <c r="G32" s="5"/>
      <c r="H32" s="5"/>
    </row>
    <row r="33" spans="1:8" x14ac:dyDescent="0.25">
      <c r="A33" t="s">
        <v>65</v>
      </c>
      <c r="B33" s="2" t="s">
        <v>0</v>
      </c>
      <c r="D33" s="5"/>
      <c r="E33" s="5"/>
      <c r="G33" s="5"/>
      <c r="H33" s="5"/>
    </row>
    <row r="34" spans="1:8" x14ac:dyDescent="0.25">
      <c r="A34" s="5" t="s">
        <v>66</v>
      </c>
      <c r="B34" s="5" t="s">
        <v>67</v>
      </c>
    </row>
    <row r="35" spans="1:8" x14ac:dyDescent="0.25">
      <c r="A35" s="5" t="s">
        <v>68</v>
      </c>
      <c r="B35" s="5" t="s">
        <v>69</v>
      </c>
      <c r="D35" s="5"/>
      <c r="E35" s="5"/>
    </row>
    <row r="36" spans="1:8" x14ac:dyDescent="0.25">
      <c r="A36" s="5" t="s">
        <v>70</v>
      </c>
      <c r="B36" s="5" t="s">
        <v>71</v>
      </c>
    </row>
    <row r="37" spans="1:8" x14ac:dyDescent="0.25">
      <c r="A37" s="5" t="s">
        <v>72</v>
      </c>
      <c r="B37" s="5" t="s">
        <v>1</v>
      </c>
    </row>
    <row r="38" spans="1:8" x14ac:dyDescent="0.25">
      <c r="A38" s="5" t="s">
        <v>73</v>
      </c>
      <c r="B38" s="5" t="s">
        <v>2</v>
      </c>
    </row>
    <row r="39" spans="1:8" x14ac:dyDescent="0.25">
      <c r="A39" t="s">
        <v>74</v>
      </c>
      <c r="B39" s="2" t="s">
        <v>75</v>
      </c>
      <c r="D39" s="5"/>
      <c r="E39" s="5"/>
    </row>
    <row r="40" spans="1:8" x14ac:dyDescent="0.25">
      <c r="A40" t="s">
        <v>76</v>
      </c>
      <c r="B40" s="2" t="s">
        <v>77</v>
      </c>
    </row>
    <row r="41" spans="1:8" x14ac:dyDescent="0.25">
      <c r="A41" t="s">
        <v>78</v>
      </c>
      <c r="B41" s="2" t="s">
        <v>79</v>
      </c>
    </row>
    <row r="42" spans="1:8" x14ac:dyDescent="0.25">
      <c r="A42" t="s">
        <v>80</v>
      </c>
      <c r="B42" s="2" t="s">
        <v>81</v>
      </c>
    </row>
    <row r="43" spans="1:8" x14ac:dyDescent="0.25">
      <c r="A43" t="s">
        <v>82</v>
      </c>
      <c r="B43" s="2" t="s">
        <v>83</v>
      </c>
    </row>
    <row r="44" spans="1:8" x14ac:dyDescent="0.25">
      <c r="A44" t="s">
        <v>84</v>
      </c>
      <c r="B44" s="2" t="s">
        <v>85</v>
      </c>
    </row>
    <row r="45" spans="1:8" x14ac:dyDescent="0.25">
      <c r="A45" t="s">
        <v>86</v>
      </c>
      <c r="B45" s="2" t="s">
        <v>87</v>
      </c>
    </row>
    <row r="46" spans="1:8" x14ac:dyDescent="0.25">
      <c r="A46" t="s">
        <v>88</v>
      </c>
      <c r="B46" s="2" t="s">
        <v>89</v>
      </c>
    </row>
    <row r="47" spans="1:8" x14ac:dyDescent="0.25">
      <c r="A47" t="s">
        <v>90</v>
      </c>
      <c r="B47" s="2" t="s">
        <v>139</v>
      </c>
      <c r="C47">
        <v>45</v>
      </c>
    </row>
    <row r="48" spans="1:8" x14ac:dyDescent="0.25">
      <c r="A48" t="s">
        <v>116</v>
      </c>
      <c r="B48" s="2" t="s">
        <v>117</v>
      </c>
      <c r="C48">
        <v>46</v>
      </c>
    </row>
    <row r="49" spans="1:3" x14ac:dyDescent="0.25">
      <c r="A49" t="s">
        <v>145</v>
      </c>
      <c r="B49" s="27">
        <v>0.7</v>
      </c>
      <c r="C49">
        <v>47</v>
      </c>
    </row>
    <row r="50" spans="1:3" x14ac:dyDescent="0.25">
      <c r="A50" t="s">
        <v>146</v>
      </c>
      <c r="B50" s="27">
        <v>0.55000000000000004</v>
      </c>
      <c r="C50">
        <v>48</v>
      </c>
    </row>
    <row r="51" spans="1:3" x14ac:dyDescent="0.25">
      <c r="A51" t="s">
        <v>147</v>
      </c>
      <c r="B51" s="27">
        <v>0</v>
      </c>
      <c r="C51">
        <v>49</v>
      </c>
    </row>
    <row r="52" spans="1:3" x14ac:dyDescent="0.25">
      <c r="B52" s="28"/>
      <c r="C52">
        <v>50</v>
      </c>
    </row>
    <row r="53" spans="1:3" x14ac:dyDescent="0.25">
      <c r="B53"/>
      <c r="C53">
        <v>51</v>
      </c>
    </row>
    <row r="54" spans="1:3" x14ac:dyDescent="0.25">
      <c r="B54"/>
      <c r="C54">
        <v>52</v>
      </c>
    </row>
    <row r="55" spans="1:3" x14ac:dyDescent="0.25">
      <c r="B55"/>
      <c r="C55">
        <v>53</v>
      </c>
    </row>
    <row r="56" spans="1:3" x14ac:dyDescent="0.25">
      <c r="B56"/>
      <c r="C56">
        <v>54</v>
      </c>
    </row>
    <row r="57" spans="1:3" x14ac:dyDescent="0.25">
      <c r="B57"/>
      <c r="C57">
        <v>55</v>
      </c>
    </row>
    <row r="58" spans="1:3" x14ac:dyDescent="0.25">
      <c r="B58"/>
      <c r="C58">
        <v>56</v>
      </c>
    </row>
    <row r="59" spans="1:3" x14ac:dyDescent="0.25">
      <c r="B59"/>
      <c r="C59">
        <v>57</v>
      </c>
    </row>
    <row r="60" spans="1:3" x14ac:dyDescent="0.25">
      <c r="B60"/>
      <c r="C60">
        <v>58</v>
      </c>
    </row>
    <row r="61" spans="1:3" x14ac:dyDescent="0.25">
      <c r="B61"/>
      <c r="C61">
        <v>59</v>
      </c>
    </row>
    <row r="62" spans="1:3" x14ac:dyDescent="0.25">
      <c r="B62"/>
      <c r="C62">
        <v>60</v>
      </c>
    </row>
    <row r="63" spans="1:3" x14ac:dyDescent="0.25">
      <c r="B63"/>
      <c r="C63">
        <v>61</v>
      </c>
    </row>
    <row r="64" spans="1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13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0E9FF-1054-4F0A-A2B7-0380F6D82A5B}">
  <dimension ref="A1:F6"/>
  <sheetViews>
    <sheetView workbookViewId="0"/>
  </sheetViews>
  <sheetFormatPr baseColWidth="10" defaultRowHeight="15" x14ac:dyDescent="0.25"/>
  <sheetData>
    <row r="1" spans="1:6" x14ac:dyDescent="0.25">
      <c r="A1" t="s">
        <v>177</v>
      </c>
      <c r="B1" t="s">
        <v>118</v>
      </c>
      <c r="D1" t="s">
        <v>178</v>
      </c>
      <c r="E1" s="31">
        <f>AVERAGE(E3:E1000)</f>
        <v>0.79411764705882348</v>
      </c>
      <c r="F1" s="32" t="s">
        <v>119</v>
      </c>
    </row>
    <row r="2" spans="1:6" x14ac:dyDescent="0.25">
      <c r="A2" t="s">
        <v>179</v>
      </c>
      <c r="B2" t="s">
        <v>180</v>
      </c>
      <c r="C2" t="s">
        <v>181</v>
      </c>
      <c r="D2" t="s">
        <v>182</v>
      </c>
      <c r="E2" s="18" t="s">
        <v>183</v>
      </c>
      <c r="F2" t="s">
        <v>184</v>
      </c>
    </row>
    <row r="3" spans="1:6" x14ac:dyDescent="0.25">
      <c r="A3" t="s">
        <v>148</v>
      </c>
      <c r="B3" t="s">
        <v>156</v>
      </c>
      <c r="C3" t="s">
        <v>157</v>
      </c>
      <c r="D3" s="30">
        <v>98</v>
      </c>
      <c r="E3" s="29">
        <v>0.82352941176470584</v>
      </c>
    </row>
    <row r="4" spans="1:6" x14ac:dyDescent="0.25">
      <c r="A4" t="s">
        <v>149</v>
      </c>
      <c r="B4" t="s">
        <v>170</v>
      </c>
      <c r="C4" t="s">
        <v>171</v>
      </c>
      <c r="D4" s="30">
        <v>44</v>
      </c>
      <c r="E4" s="29">
        <v>0.82352941176470584</v>
      </c>
    </row>
    <row r="5" spans="1:6" x14ac:dyDescent="0.25">
      <c r="A5" t="s">
        <v>150</v>
      </c>
      <c r="B5" t="s">
        <v>172</v>
      </c>
      <c r="C5" t="s">
        <v>167</v>
      </c>
      <c r="D5" s="30">
        <v>98</v>
      </c>
      <c r="E5" s="29">
        <v>0.76470588235294112</v>
      </c>
    </row>
    <row r="6" spans="1:6" x14ac:dyDescent="0.25">
      <c r="A6" t="s">
        <v>151</v>
      </c>
      <c r="B6" t="s">
        <v>175</v>
      </c>
      <c r="C6" t="s">
        <v>176</v>
      </c>
      <c r="D6" s="30">
        <v>100</v>
      </c>
      <c r="E6" s="29">
        <v>0.76470588235294112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A47AF-BE3F-4E14-9237-B63C2070CCEB}">
  <dimension ref="A1:F6"/>
  <sheetViews>
    <sheetView workbookViewId="0"/>
  </sheetViews>
  <sheetFormatPr baseColWidth="10" defaultRowHeight="15" x14ac:dyDescent="0.25"/>
  <sheetData>
    <row r="1" spans="1:6" x14ac:dyDescent="0.25">
      <c r="A1" t="s">
        <v>185</v>
      </c>
      <c r="B1" t="s">
        <v>118</v>
      </c>
      <c r="D1" t="s">
        <v>178</v>
      </c>
      <c r="E1" s="31">
        <f>AVERAGE(E3:E1000)</f>
        <v>0.86764705882352933</v>
      </c>
      <c r="F1" s="32" t="s">
        <v>119</v>
      </c>
    </row>
    <row r="2" spans="1:6" x14ac:dyDescent="0.25">
      <c r="A2" t="s">
        <v>179</v>
      </c>
      <c r="B2" t="s">
        <v>180</v>
      </c>
      <c r="C2" t="s">
        <v>181</v>
      </c>
      <c r="D2" t="s">
        <v>182</v>
      </c>
      <c r="E2" s="18" t="s">
        <v>183</v>
      </c>
      <c r="F2" t="s">
        <v>184</v>
      </c>
    </row>
    <row r="3" spans="1:6" x14ac:dyDescent="0.25">
      <c r="A3" t="s">
        <v>148</v>
      </c>
      <c r="B3" t="s">
        <v>156</v>
      </c>
      <c r="C3" t="s">
        <v>157</v>
      </c>
      <c r="D3" s="30">
        <v>99</v>
      </c>
      <c r="E3" s="29">
        <v>0.88235294117647056</v>
      </c>
    </row>
    <row r="4" spans="1:6" x14ac:dyDescent="0.25">
      <c r="A4" t="s">
        <v>149</v>
      </c>
      <c r="B4" t="s">
        <v>170</v>
      </c>
      <c r="C4" t="s">
        <v>171</v>
      </c>
      <c r="D4" s="30">
        <v>45</v>
      </c>
      <c r="E4" s="29">
        <v>0.88235294117647056</v>
      </c>
    </row>
    <row r="5" spans="1:6" x14ac:dyDescent="0.25">
      <c r="A5" t="s">
        <v>150</v>
      </c>
      <c r="B5" t="s">
        <v>172</v>
      </c>
      <c r="C5" t="s">
        <v>167</v>
      </c>
      <c r="D5" s="30">
        <v>100</v>
      </c>
      <c r="E5" s="29">
        <v>0.82352941176470584</v>
      </c>
    </row>
    <row r="6" spans="1:6" x14ac:dyDescent="0.25">
      <c r="A6" t="s">
        <v>151</v>
      </c>
      <c r="B6" t="s">
        <v>175</v>
      </c>
      <c r="C6" t="s">
        <v>176</v>
      </c>
      <c r="D6" s="30">
        <v>100</v>
      </c>
      <c r="E6" s="29">
        <v>0.88235294117647056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9D4A0-349A-4D0A-8240-F0647E6C3638}">
  <dimension ref="A1:F6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118</v>
      </c>
      <c r="D1" t="s">
        <v>178</v>
      </c>
      <c r="E1" s="31">
        <f>AVERAGE(E3:E1000)</f>
        <v>0.8970588235294118</v>
      </c>
      <c r="F1" s="32" t="s">
        <v>119</v>
      </c>
    </row>
    <row r="2" spans="1:6" x14ac:dyDescent="0.25">
      <c r="A2" t="s">
        <v>179</v>
      </c>
      <c r="B2" t="s">
        <v>180</v>
      </c>
      <c r="C2" t="s">
        <v>181</v>
      </c>
      <c r="D2" t="s">
        <v>182</v>
      </c>
      <c r="E2" s="18" t="s">
        <v>183</v>
      </c>
      <c r="F2" t="s">
        <v>184</v>
      </c>
    </row>
    <row r="3" spans="1:6" x14ac:dyDescent="0.25">
      <c r="A3" t="s">
        <v>148</v>
      </c>
      <c r="B3" t="s">
        <v>156</v>
      </c>
      <c r="C3" t="s">
        <v>157</v>
      </c>
      <c r="D3" s="30">
        <v>99</v>
      </c>
      <c r="E3" s="29">
        <v>0.88235294117647056</v>
      </c>
    </row>
    <row r="4" spans="1:6" x14ac:dyDescent="0.25">
      <c r="A4" t="s">
        <v>149</v>
      </c>
      <c r="B4" t="s">
        <v>170</v>
      </c>
      <c r="C4" t="s">
        <v>171</v>
      </c>
      <c r="D4" s="30">
        <v>45</v>
      </c>
      <c r="E4" s="29">
        <v>0.94117647058823528</v>
      </c>
    </row>
    <row r="5" spans="1:6" x14ac:dyDescent="0.25">
      <c r="A5" t="s">
        <v>150</v>
      </c>
      <c r="B5" t="s">
        <v>172</v>
      </c>
      <c r="C5" t="s">
        <v>167</v>
      </c>
      <c r="D5" s="30">
        <v>99</v>
      </c>
      <c r="E5" s="29">
        <v>0.88235294117647056</v>
      </c>
    </row>
    <row r="6" spans="1:6" x14ac:dyDescent="0.25">
      <c r="A6" t="s">
        <v>151</v>
      </c>
      <c r="B6" t="s">
        <v>175</v>
      </c>
      <c r="C6" t="s">
        <v>176</v>
      </c>
      <c r="D6" s="30">
        <v>99</v>
      </c>
      <c r="E6" s="29">
        <v>0.88235294117647056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BFA16-6C22-49A6-B3E3-31BD4A9661D1}">
  <dimension ref="A1:F5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118</v>
      </c>
      <c r="D1" t="s">
        <v>178</v>
      </c>
      <c r="E1" s="37">
        <f>AVERAGE(E3:E1000)</f>
        <v>0.64705882352941169</v>
      </c>
      <c r="F1" s="38" t="s">
        <v>120</v>
      </c>
    </row>
    <row r="2" spans="1:6" x14ac:dyDescent="0.25">
      <c r="A2" t="s">
        <v>179</v>
      </c>
      <c r="B2" t="s">
        <v>180</v>
      </c>
      <c r="C2" t="s">
        <v>181</v>
      </c>
      <c r="D2" t="s">
        <v>182</v>
      </c>
      <c r="E2" s="18" t="s">
        <v>183</v>
      </c>
      <c r="F2" t="s">
        <v>184</v>
      </c>
    </row>
    <row r="3" spans="1:6" x14ac:dyDescent="0.25">
      <c r="A3" t="s">
        <v>148</v>
      </c>
      <c r="B3" t="s">
        <v>156</v>
      </c>
      <c r="C3" t="s">
        <v>157</v>
      </c>
      <c r="D3" s="30">
        <v>115.5</v>
      </c>
      <c r="E3" s="29">
        <v>0.58823529411764708</v>
      </c>
    </row>
    <row r="4" spans="1:6" x14ac:dyDescent="0.25">
      <c r="A4" t="s">
        <v>149</v>
      </c>
      <c r="B4" t="s">
        <v>170</v>
      </c>
      <c r="C4" t="s">
        <v>171</v>
      </c>
      <c r="D4" s="30">
        <v>90.5</v>
      </c>
      <c r="E4" s="29">
        <v>0.82352941176470584</v>
      </c>
    </row>
    <row r="5" spans="1:6" x14ac:dyDescent="0.25">
      <c r="A5" t="s">
        <v>151</v>
      </c>
      <c r="B5" t="s">
        <v>175</v>
      </c>
      <c r="C5" t="s">
        <v>176</v>
      </c>
      <c r="D5" s="30">
        <v>115.5</v>
      </c>
      <c r="E5" s="29">
        <v>0.52941176470588236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B4BB0-D299-422E-AE7C-C280E63340B6}">
  <dimension ref="A1:F6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118</v>
      </c>
      <c r="D1" t="s">
        <v>178</v>
      </c>
      <c r="E1" s="31">
        <f>AVERAGE(E3:E1000)</f>
        <v>0.73529411764705876</v>
      </c>
      <c r="F1" s="32" t="s">
        <v>119</v>
      </c>
    </row>
    <row r="2" spans="1:6" x14ac:dyDescent="0.25">
      <c r="A2" t="s">
        <v>179</v>
      </c>
      <c r="B2" t="s">
        <v>180</v>
      </c>
      <c r="C2" t="s">
        <v>181</v>
      </c>
      <c r="D2" t="s">
        <v>182</v>
      </c>
      <c r="E2" s="18" t="s">
        <v>183</v>
      </c>
      <c r="F2" t="s">
        <v>184</v>
      </c>
    </row>
    <row r="3" spans="1:6" x14ac:dyDescent="0.25">
      <c r="A3" t="s">
        <v>148</v>
      </c>
      <c r="B3" t="s">
        <v>156</v>
      </c>
      <c r="C3" t="s">
        <v>157</v>
      </c>
      <c r="D3" s="30">
        <v>91.5</v>
      </c>
      <c r="E3" s="29">
        <v>0.58823529411764708</v>
      </c>
    </row>
    <row r="4" spans="1:6" x14ac:dyDescent="0.25">
      <c r="A4" t="s">
        <v>149</v>
      </c>
      <c r="B4" t="s">
        <v>170</v>
      </c>
      <c r="C4" t="s">
        <v>171</v>
      </c>
      <c r="D4" s="30">
        <v>42</v>
      </c>
      <c r="E4" s="29">
        <v>0.82352941176470584</v>
      </c>
    </row>
    <row r="5" spans="1:6" x14ac:dyDescent="0.25">
      <c r="A5" t="s">
        <v>150</v>
      </c>
      <c r="B5" t="s">
        <v>172</v>
      </c>
      <c r="C5" t="s">
        <v>167</v>
      </c>
      <c r="D5" s="30">
        <v>89.5</v>
      </c>
      <c r="E5" s="29">
        <v>0.76470588235294112</v>
      </c>
    </row>
    <row r="6" spans="1:6" x14ac:dyDescent="0.25">
      <c r="A6" t="s">
        <v>151</v>
      </c>
      <c r="B6" t="s">
        <v>175</v>
      </c>
      <c r="C6" t="s">
        <v>176</v>
      </c>
      <c r="D6" s="30">
        <v>91.5</v>
      </c>
      <c r="E6" s="29">
        <v>0.76470588235294112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24190-CA58-47F0-B0F3-691EA97D14EC}"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118</v>
      </c>
      <c r="D1" t="s">
        <v>178</v>
      </c>
      <c r="E1" s="31">
        <f>AVERAGE(E3:E1000)</f>
        <v>0.82352941176470584</v>
      </c>
      <c r="F1" s="32" t="s">
        <v>119</v>
      </c>
    </row>
    <row r="2" spans="1:6" x14ac:dyDescent="0.25">
      <c r="A2" t="s">
        <v>179</v>
      </c>
      <c r="B2" t="s">
        <v>180</v>
      </c>
      <c r="C2" t="s">
        <v>181</v>
      </c>
      <c r="D2" t="s">
        <v>182</v>
      </c>
      <c r="E2" s="18" t="s">
        <v>183</v>
      </c>
      <c r="F2" t="s">
        <v>184</v>
      </c>
    </row>
    <row r="3" spans="1:6" x14ac:dyDescent="0.25">
      <c r="A3" t="s">
        <v>150</v>
      </c>
      <c r="B3" t="s">
        <v>172</v>
      </c>
      <c r="C3" t="s">
        <v>167</v>
      </c>
      <c r="D3" s="30">
        <v>87.5</v>
      </c>
      <c r="E3" s="29">
        <v>0.82352941176470584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Values</vt:lpstr>
      <vt:lpstr>Database</vt:lpstr>
      <vt:lpstr>Configuration</vt:lpstr>
      <vt:lpstr>Nage-one__</vt:lpstr>
      <vt:lpstr>Nage-two__</vt:lpstr>
      <vt:lpstr>Nage-head__</vt:lpstr>
      <vt:lpstr>Nage-four-out__</vt:lpstr>
      <vt:lpstr>Nage-five__</vt:lpstr>
      <vt:lpstr>Nage-springer__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2017-10-28T15:01:21Z</cp:lastPrinted>
  <dcterms:created xsi:type="dcterms:W3CDTF">2016-05-29T16:24:08Z</dcterms:created>
  <dcterms:modified xsi:type="dcterms:W3CDTF">2019-03-31T23:38:18Z</dcterms:modified>
</cp:coreProperties>
</file>