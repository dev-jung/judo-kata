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"/>
    </mc:Choice>
  </mc:AlternateContent>
  <bookViews>
    <workbookView xWindow="120" yWindow="135" windowWidth="23250" windowHeight="13110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Konfiguration" sheetId="4" r:id="rId7"/>
  </sheets>
  <functionGroups builtInGroupCount="18"/>
  <definedNames>
    <definedName name="Affiliation">Konfiguration!$B$24</definedName>
    <definedName name="Average">Konfiguration!$B$34</definedName>
    <definedName name="BigMistake">Konfiguration!$B$28</definedName>
    <definedName name="ChampionshipDate">Konfiguration!$B$6</definedName>
    <definedName name="ChampionshipDateTitle">Konfiguration!$B$5</definedName>
    <definedName name="ChampionshipName">Konfiguration!$B$3</definedName>
    <definedName name="ChampionshipType">Konfiguration!$B$4</definedName>
    <definedName name="Closing">Konfiguration!$B$38</definedName>
    <definedName name="Club">Konfiguration!$B$23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Konfiguration!$M:$M</definedName>
    <definedName name="GivenNameTitle">Konfiguration!$B$20</definedName>
    <definedName name="HeadJudge">Konfiguration!$B$10</definedName>
    <definedName name="Judge1">Konfiguration!$B$8</definedName>
    <definedName name="Judge2">Konfiguration!$B$9</definedName>
    <definedName name="Judge4">Konfiguration!$B$11</definedName>
    <definedName name="Judge5">Konfiguration!$B$12</definedName>
    <definedName name="JudgeGiven">Konfiguration!#REF!</definedName>
    <definedName name="JudgeHead">Konfiguration!$B$10</definedName>
    <definedName name="JudgeName">Konfiguration!#REF!</definedName>
    <definedName name="JudgeNameN">Konfiguration!#REF!</definedName>
    <definedName name="JudgeOther1">Konfiguration!$B$16</definedName>
    <definedName name="JudgeOther2">Konfiguration!$B$17</definedName>
    <definedName name="JudgePos">Konfiguration!$B$18</definedName>
    <definedName name="JudgeStandin">Konfiguration!$B$13</definedName>
    <definedName name="JudgeSupervisor">Konfiguration!$B$14</definedName>
    <definedName name="JudgeTestee">Konfiguration!$B$15</definedName>
    <definedName name="JudgeTitle">Konfiguration!$B$7</definedName>
    <definedName name="MediumMistake">Konfiguration!$B$27</definedName>
    <definedName name="NameTitle">Konfiguration!$B$19</definedName>
    <definedName name="OmittedTechnique">Konfiguration!$B$29</definedName>
    <definedName name="Opening">Konfiguration!$B$37</definedName>
    <definedName name="Other1">Konfiguration!$B$16</definedName>
    <definedName name="Other2">Konfiguration!$B$17</definedName>
    <definedName name="PairTitle">Konfiguration!$B$33</definedName>
    <definedName name="Score">Konfiguration!$B$30</definedName>
    <definedName name="sds">Konfiguration!$D$19</definedName>
    <definedName name="SmallMistake">Konfiguration!$B$26</definedName>
    <definedName name="Span">Konfiguration!$B$36</definedName>
    <definedName name="StandardDeviation">Konfiguration!$B$35</definedName>
    <definedName name="StandIn">Konfiguration!$B$13</definedName>
    <definedName name="StartNo">Konfiguration!$B$21</definedName>
    <definedName name="StartNoShort">Konfiguration!$B$22</definedName>
    <definedName name="SumScore">Konfiguration!$B$31</definedName>
    <definedName name="Supervisor">Konfiguration!$B$14</definedName>
    <definedName name="SureName">Konfiguration!#REF!</definedName>
    <definedName name="SureNameTitle">Konfiguration!$D$19</definedName>
    <definedName name="Technique">Konfiguration!$B$25</definedName>
    <definedName name="Testee">Konfiguration!$B$15</definedName>
    <definedName name="ToriClub">Konfiguration!#REF!</definedName>
    <definedName name="ToriGiven">Konfiguration!#REF!</definedName>
    <definedName name="ToriName">Konfiguration!#REF!</definedName>
    <definedName name="TranscriptChecked">Konfiguration!$B$32</definedName>
    <definedName name="UkeClub">Konfiguration!#REF!</definedName>
    <definedName name="UkeGiven">Konfiguration!#REF!</definedName>
    <definedName name="UkeName">Konfiguration!#REF!</definedName>
  </definedNames>
  <calcPr calcId="171027"/>
</workbook>
</file>

<file path=xl/calcChain.xml><?xml version="1.0" encoding="utf-8"?>
<calcChain xmlns="http://schemas.openxmlformats.org/spreadsheetml/2006/main"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3" i="9"/>
  <c r="A2" i="9"/>
  <c r="H18" i="9"/>
  <c r="H18" i="8"/>
  <c r="A3" i="8"/>
  <c r="A2" i="8"/>
  <c r="H18" i="7"/>
  <c r="A3" i="7"/>
  <c r="A2" i="7"/>
  <c r="H18" i="6"/>
  <c r="A3" i="6"/>
  <c r="A2" i="6"/>
  <c r="A2" i="5"/>
  <c r="A3" i="5"/>
  <c r="H18" i="5"/>
  <c r="J13" i="9"/>
  <c r="J12" i="9"/>
  <c r="J11" i="9"/>
  <c r="J10" i="9"/>
  <c r="J9" i="9"/>
  <c r="J8" i="9"/>
  <c r="J7" i="9"/>
  <c r="J6" i="9"/>
  <c r="J5" i="9"/>
  <c r="J13" i="8"/>
  <c r="J12" i="8"/>
  <c r="J11" i="8"/>
  <c r="J10" i="8"/>
  <c r="J9" i="8"/>
  <c r="J8" i="8"/>
  <c r="J7" i="8"/>
  <c r="J6" i="8"/>
  <c r="J5" i="8"/>
  <c r="J13" i="7"/>
  <c r="J12" i="7"/>
  <c r="J11" i="7"/>
  <c r="J10" i="7"/>
  <c r="J9" i="7"/>
  <c r="J8" i="7"/>
  <c r="J7" i="7"/>
  <c r="J6" i="7"/>
  <c r="J5" i="7"/>
  <c r="J13" i="6"/>
  <c r="J12" i="6"/>
  <c r="J11" i="6"/>
  <c r="J10" i="6"/>
  <c r="J9" i="6"/>
  <c r="J8" i="6"/>
  <c r="J7" i="6"/>
  <c r="J6" i="6"/>
  <c r="J5" i="6"/>
  <c r="J13" i="5"/>
  <c r="J12" i="5"/>
  <c r="J11" i="5"/>
  <c r="J10" i="5"/>
  <c r="J9" i="5"/>
  <c r="J8" i="5"/>
  <c r="J7" i="5"/>
  <c r="J6" i="5"/>
  <c r="J5" i="5"/>
  <c r="J13" i="1"/>
  <c r="J12" i="1"/>
  <c r="J11" i="1"/>
  <c r="J10" i="1"/>
  <c r="J9" i="1"/>
  <c r="J8" i="1"/>
  <c r="J7" i="1"/>
  <c r="J6" i="1"/>
  <c r="J5" i="1"/>
  <c r="J4" i="1"/>
  <c r="H18" i="1"/>
  <c r="A3" i="1"/>
  <c r="A2" i="1"/>
</calcChain>
</file>

<file path=xl/sharedStrings.xml><?xml version="1.0" encoding="utf-8"?>
<sst xmlns="http://schemas.openxmlformats.org/spreadsheetml/2006/main" count="349" uniqueCount="172">
  <si>
    <t>NW</t>
  </si>
  <si>
    <t>BB</t>
  </si>
  <si>
    <t>BY</t>
  </si>
  <si>
    <t>BE</t>
  </si>
  <si>
    <t>NS</t>
  </si>
  <si>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</si>
  <si>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</si>
  <si>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</si>
  <si>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</si>
  <si>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</si>
  <si>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</si>
  <si>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</si>
  <si>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</si>
  <si>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</si>
  <si>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</si>
  <si>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</si>
  <si>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</si>
  <si>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Deutsche Katameisterschaften 2016</t>
  </si>
  <si>
    <t>Hospitant</t>
  </si>
  <si>
    <t>Donald</t>
  </si>
  <si>
    <t>JV Entenhausen</t>
  </si>
  <si>
    <t>DT</t>
  </si>
  <si>
    <t>Duesentrieb</t>
  </si>
  <si>
    <t>Daniel</t>
  </si>
  <si>
    <t>aVN</t>
  </si>
  <si>
    <t>bVN</t>
  </si>
  <si>
    <t>cVN</t>
  </si>
  <si>
    <t>dVN</t>
  </si>
  <si>
    <t>eVN</t>
  </si>
  <si>
    <t>fVN</t>
  </si>
  <si>
    <t>gVN</t>
  </si>
  <si>
    <t>hVN</t>
  </si>
  <si>
    <t>Panzerknacker</t>
  </si>
  <si>
    <t>Eins</t>
  </si>
  <si>
    <t>JV Knast</t>
  </si>
  <si>
    <t>KH</t>
  </si>
  <si>
    <t>Zwei</t>
  </si>
  <si>
    <t>noSpringer</t>
  </si>
  <si>
    <t>Tori</t>
  </si>
  <si>
    <t>JV test</t>
  </si>
  <si>
    <t>XX</t>
  </si>
  <si>
    <t>BA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</si>
  <si>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</si>
  <si>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</si>
  <si>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</si>
  <si>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</si>
  <si>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</si>
  <si>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</si>
  <si>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</si>
  <si>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</si>
  <si>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</si>
  <si>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NageDuck</t>
  </si>
  <si>
    <t>Nageknacker</t>
  </si>
  <si>
    <t>NageNoSpringer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</si>
  <si>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</si>
  <si>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</si>
  <si>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</si>
  <si>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</si>
  <si>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</si>
  <si>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</si>
  <si>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</si>
  <si>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</si>
  <si>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</si>
  <si>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</si>
  <si>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</si>
  <si>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</si>
  <si>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</si>
  <si>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</si>
  <si>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</si>
  <si>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</si>
  <si>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</si>
  <si>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</si>
  <si>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nage1</t>
  </si>
  <si>
    <t>nage2</t>
  </si>
  <si>
    <t>nageHead</t>
  </si>
  <si>
    <t>nage4</t>
  </si>
  <si>
    <t>nage5</t>
  </si>
  <si>
    <t>nageSpringer</t>
  </si>
  <si>
    <t>nageSuper</t>
  </si>
  <si>
    <t>nageSonst</t>
  </si>
  <si>
    <t>KatameDuck</t>
  </si>
  <si>
    <t>Katameknacker</t>
  </si>
  <si>
    <t>KatameNoSpringer</t>
  </si>
  <si>
    <t>katame1</t>
  </si>
  <si>
    <t>katame2</t>
  </si>
  <si>
    <t>katameHead</t>
  </si>
  <si>
    <t>katame4</t>
  </si>
  <si>
    <t>katame5</t>
  </si>
  <si>
    <t>katameSpringer</t>
  </si>
  <si>
    <t>katameSuper</t>
  </si>
  <si>
    <t>katameSonst</t>
  </si>
  <si>
    <t>JuDuck</t>
  </si>
  <si>
    <t>Juknacker</t>
  </si>
  <si>
    <t>JuNoSpringer</t>
  </si>
  <si>
    <t>ju1</t>
  </si>
  <si>
    <t>ju2</t>
  </si>
  <si>
    <t>juHead</t>
  </si>
  <si>
    <t>ju4</t>
  </si>
  <si>
    <t>ju5</t>
  </si>
  <si>
    <t>juSpringer</t>
  </si>
  <si>
    <t>juSuper</t>
  </si>
  <si>
    <t>juSonst</t>
  </si>
  <si>
    <t>KimeDuck</t>
  </si>
  <si>
    <t>Kimeknacker</t>
  </si>
  <si>
    <t>KimeNoSpringer</t>
  </si>
  <si>
    <t>kime1</t>
  </si>
  <si>
    <t>kime2</t>
  </si>
  <si>
    <t>kimeHead</t>
  </si>
  <si>
    <t>kime4</t>
  </si>
  <si>
    <t>kime5</t>
  </si>
  <si>
    <t>kimeSpringer</t>
  </si>
  <si>
    <t>kimeSuper</t>
  </si>
  <si>
    <t>kimeSonst</t>
  </si>
  <si>
    <t>Goshinknacker</t>
  </si>
  <si>
    <t>GoshinNoSpringer</t>
  </si>
  <si>
    <t>goshin1</t>
  </si>
  <si>
    <t>goshin2</t>
  </si>
  <si>
    <t>goshinHead</t>
  </si>
  <si>
    <t>goshin4</t>
  </si>
  <si>
    <t>goshin5</t>
  </si>
  <si>
    <t>goshinSpringer</t>
  </si>
  <si>
    <t>goshinSuper</t>
  </si>
  <si>
    <t>goshinSonst</t>
  </si>
  <si>
    <t>KoshikiDuck</t>
  </si>
  <si>
    <t>Koshikiknacker</t>
  </si>
  <si>
    <t>KoshikiNoSpringer</t>
  </si>
  <si>
    <t>Koshiki1</t>
  </si>
  <si>
    <t>Koshiki2</t>
  </si>
  <si>
    <t>KoshikiHead</t>
  </si>
  <si>
    <t>Koshiki4</t>
  </si>
  <si>
    <t>Koshiki5</t>
  </si>
  <si>
    <t>KoshikiSpringer</t>
  </si>
  <si>
    <t>KoshikiSuper</t>
  </si>
  <si>
    <t>KoshikiSonst</t>
  </si>
  <si>
    <t>GoshinDuck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</si>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</sst>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10" fillId="0" borderId="0"/>
    <xf numFmtId="0" fontId="9" fillId="0" borderId="0"/>
  </cellStyleXfs>
  <cellXfs count="4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3" fillId="0" borderId="0" xfId="0" applyFont="1" applyAlignment="1"/>
    <xf numFmtId="0" fontId="4" fillId="0" borderId="0" xfId="0" applyFont="1" applyFill="1" applyAlignment="1"/>
    <xf numFmtId="0" fontId="5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7" fillId="0" borderId="0" xfId="0" applyFont="1" applyFill="1" applyAlignment="1">
      <alignment horizontal="left" indent="2"/>
    </xf>
    <xf numFmtId="0" fontId="8" fillId="0" borderId="0" xfId="0" applyFont="1" applyFill="1"/>
    <xf numFmtId="0" fontId="7" fillId="2" borderId="0" xfId="0" applyFont="1" applyFill="1" applyAlignment="1">
      <alignment horizontal="left" indent="2"/>
    </xf>
    <xf numFmtId="0" fontId="8" fillId="2" borderId="0" xfId="0" applyFont="1" applyFill="1"/>
    <xf numFmtId="0" fontId="7" fillId="0" borderId="1" xfId="0" applyFont="1" applyFill="1" applyBorder="1" applyAlignment="1">
      <alignment horizontal="left" indent="2"/>
    </xf>
    <xf numFmtId="0" fontId="8" fillId="0" borderId="1" xfId="0" applyFont="1" applyFill="1" applyBorder="1"/>
    <xf numFmtId="0" fontId="7" fillId="0" borderId="1" xfId="0" applyFont="1" applyBorder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7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7" fillId="0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0" borderId="0" xfId="0" applyFont="1" applyAlignment="1">
      <alignment horizontal="left" indent="2"/>
    </xf>
    <xf numFmtId="0" fontId="8" fillId="3" borderId="0" xfId="0" applyFont="1" applyFill="1"/>
    <xf numFmtId="0" fontId="7" fillId="0" borderId="1" xfId="0" applyFont="1" applyBorder="1" applyAlignment="1">
      <alignment horizontal="left" indent="2"/>
    </xf>
    <xf numFmtId="0" fontId="8" fillId="3" borderId="1" xfId="0" applyFont="1" applyFill="1" applyBorder="1"/>
    <xf numFmtId="0" fontId="7" fillId="0" borderId="0" xfId="0" applyFont="1" applyAlignment="1">
      <alignment horizontal="center"/>
    </xf>
    <xf numFmtId="0" fontId="8" fillId="3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8" fillId="3" borderId="1" xfId="0" applyFont="1" applyFill="1" applyBorder="1" applyAlignment="1">
      <alignment horizontal="left"/>
    </xf>
    <xf numFmtId="0" fontId="8" fillId="0" borderId="0" xfId="0" applyFont="1"/>
    <xf numFmtId="0" fontId="8" fillId="0" borderId="1" xfId="0" applyFont="1" applyBorder="1"/>
    <xf numFmtId="0" fontId="11" fillId="0" borderId="0" xfId="0" applyFont="1" applyBorder="1"/>
    <xf numFmtId="0" fontId="8" fillId="0" borderId="0" xfId="0" applyFont="1" applyBorder="1"/>
    <xf numFmtId="0" fontId="11" fillId="2" borderId="0" xfId="0" applyFont="1" applyFill="1" applyBorder="1"/>
    <xf numFmtId="0" fontId="8" fillId="2" borderId="0" xfId="0" applyFont="1" applyFill="1" applyBorder="1"/>
    <xf numFmtId="0" fontId="7" fillId="0" borderId="0" xfId="0" applyFont="1" applyBorder="1" applyAlignment="1">
      <alignment horizontal="left" indent="2"/>
    </xf>
    <xf numFmtId="0" fontId="11" fillId="0" borderId="1" xfId="0" applyFont="1" applyBorder="1"/>
    <xf numFmtId="0" fontId="3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9" fillId="0" borderId="0" xfId="0" applyFont="1"/>
    <xf numFmtId="0" fontId="0" fillId="0" borderId="0" xfId="0" applyFont="1"/>
  </cellXfs>
  <cellStyles count="4">
    <cellStyle name="Normal 2" xfId="2"/>
    <cellStyle name="Normal 2 2" xfId="3"/>
    <cellStyle name="Standard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1446331</xdr:colOff>
      <xdr:row>0</xdr:row>
      <xdr:rowOff>0</xdr:rowOff>
    </xdr:from>
    <xdr:to>
      <xdr:col>7</xdr:col>
      <xdr:colOff>510542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2131" y="0"/>
          <a:ext cx="824431" cy="1080000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2</xdr:row>
          <xdr:rowOff>504825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989294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853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1545977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8957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2</xdr:row>
          <xdr:rowOff>247650</xdr:rowOff>
        </xdr:from>
        <xdr:to>
          <xdr:col>10</xdr:col>
          <xdr:colOff>419100</xdr:colOff>
          <xdr:row>2</xdr:row>
          <xdr:rowOff>514350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974937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941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663456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081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418583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943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5</xdr:row>
          <xdr:rowOff>47625</xdr:rowOff>
        </xdr:from>
        <xdr:to>
          <xdr:col>5</xdr:col>
          <xdr:colOff>419100</xdr:colOff>
          <xdr:row>6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T64"/>
  <sheetViews>
    <sheetView tabSelected="1" zoomScaleNormal="100" zoomScalePageLayoutView="70" workbookViewId="0">
      <selection activeCell="B5" sqref="B5"/>
    </sheetView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</cols>
  <sheetData>
    <row r="1" spans="1:15" s="3" customFormat="1" ht="84.95" customHeight="1" x14ac:dyDescent="0.6">
      <c r="A1" s="43" t="s">
        <v>16</v>
      </c>
      <c r="B1" s="43"/>
      <c r="C1" s="43"/>
      <c r="D1" s="43"/>
      <c r="E1" s="43"/>
      <c r="F1" s="43"/>
      <c r="G1" s="43"/>
      <c r="H1" s="43"/>
      <c r="I1" s="7"/>
      <c r="J1" s="7"/>
    </row>
    <row r="2" spans="1:15" s="3" customFormat="1" ht="24.6" customHeight="1" x14ac:dyDescent="0.35">
      <c r="A2" s="44" t="str">
        <f>ChampionshipName</f>
        <v>Deutsche Katameisterschaften 2016</v>
      </c>
      <c r="B2" s="44"/>
      <c r="C2" s="44"/>
      <c r="D2" s="44"/>
      <c r="E2" s="44"/>
      <c r="F2" s="44"/>
      <c r="G2" s="44"/>
      <c r="H2" s="44"/>
      <c r="I2" s="8"/>
      <c r="J2" s="8"/>
    </row>
    <row r="3" spans="1:15" s="11" customFormat="1" ht="40.15" customHeight="1" x14ac:dyDescent="0.25">
      <c r="A3" s="45" t="str">
        <f>ChampionshipType</f>
        <v>Vorrunde</v>
      </c>
      <c r="B3" s="45"/>
      <c r="C3" s="45"/>
      <c r="D3" s="45"/>
      <c r="E3" s="45"/>
      <c r="F3" s="45"/>
      <c r="G3" s="45"/>
      <c r="H3" s="45"/>
    </row>
    <row r="4" spans="1:15" ht="15.95" customHeight="1" x14ac:dyDescent="0.25">
      <c r="A4" s="18" t="str">
        <f>StartNo</f>
        <v>Startnummer</v>
      </c>
      <c r="B4" s="18" t="str">
        <f>"Tori " &amp; NameTitle</f>
        <v>Tori Name</v>
      </c>
      <c r="C4" s="18" t="str">
        <f>"Tori " &amp; GivenNameTitle</f>
        <v>Tori Vorname</v>
      </c>
      <c r="D4" s="18" t="str">
        <f>"Tori " &amp; Club</f>
        <v>Tori Verein</v>
      </c>
      <c r="E4" s="18" t="str">
        <f>"Uke " &amp; NameTitle</f>
        <v>Uke Name</v>
      </c>
      <c r="F4" s="18" t="str">
        <f>"Uke " &amp; GivenNameTitle</f>
        <v>Uke Vorname</v>
      </c>
      <c r="G4" s="18" t="str">
        <f>"Uke " &amp; Club</f>
        <v>Uke Verein</v>
      </c>
      <c r="H4" s="18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5" ht="15.95" customHeight="1" x14ac:dyDescent="0.25">
      <c r="A5" s="25">
        <v>1</v>
      </c>
      <c r="B5" s="13" t="s">
        <v>51</v>
      </c>
      <c r="C5" s="13" t="s">
        <v>19</v>
      </c>
      <c r="D5" s="13" t="s">
        <v>20</v>
      </c>
      <c r="E5" s="13" t="s">
        <v>22</v>
      </c>
      <c r="F5" s="13" t="s">
        <v>23</v>
      </c>
      <c r="G5" s="13" t="s">
        <v>20</v>
      </c>
      <c r="H5" s="13" t="s">
        <v>21</v>
      </c>
      <c r="J5" s="1" t="str">
        <f>Judge1</f>
        <v>Wertung 1</v>
      </c>
      <c r="K5" s="3" t="s">
        <v>72</v>
      </c>
      <c r="L5" s="3" t="s">
        <v>24</v>
      </c>
      <c r="M5" s="3" t="s">
        <v>0</v>
      </c>
    </row>
    <row r="6" spans="1:15" ht="15.95" customHeight="1" x14ac:dyDescent="0.25">
      <c r="A6" s="26">
        <v>2</v>
      </c>
      <c r="B6" s="15" t="s">
        <v>52</v>
      </c>
      <c r="C6" s="15" t="s">
        <v>33</v>
      </c>
      <c r="D6" s="15" t="s">
        <v>34</v>
      </c>
      <c r="E6" s="15" t="s">
        <v>32</v>
      </c>
      <c r="F6" s="15" t="s">
        <v>36</v>
      </c>
      <c r="G6" s="15" t="s">
        <v>20</v>
      </c>
      <c r="H6" s="15" t="s">
        <v>35</v>
      </c>
      <c r="J6" s="1" t="str">
        <f>Judge2</f>
        <v>Wertung 2</v>
      </c>
      <c r="K6" s="3" t="s">
        <v>73</v>
      </c>
      <c r="L6" s="3" t="s">
        <v>25</v>
      </c>
      <c r="M6" s="3" t="s">
        <v>1</v>
      </c>
    </row>
    <row r="7" spans="1:15" ht="15.95" customHeight="1" x14ac:dyDescent="0.25">
      <c r="A7" s="25">
        <v>3</v>
      </c>
      <c r="B7" s="13" t="s">
        <v>53</v>
      </c>
      <c r="C7" s="13" t="s">
        <v>38</v>
      </c>
      <c r="D7" s="13" t="s">
        <v>39</v>
      </c>
      <c r="E7" s="13" t="s">
        <v>37</v>
      </c>
      <c r="F7" s="13" t="s">
        <v>38</v>
      </c>
      <c r="G7" s="13" t="s">
        <v>39</v>
      </c>
      <c r="H7" s="13" t="s">
        <v>40</v>
      </c>
      <c r="J7" s="1" t="str">
        <f>JudgeHead</f>
        <v>Wertung 3 (H)</v>
      </c>
      <c r="K7" s="3" t="s">
        <v>74</v>
      </c>
      <c r="L7" s="3" t="s">
        <v>26</v>
      </c>
      <c r="M7" s="3" t="s">
        <v>21</v>
      </c>
      <c r="N7" s="3"/>
      <c r="O7" s="3"/>
    </row>
    <row r="8" spans="1:15" ht="15.95" customHeight="1" x14ac:dyDescent="0.25">
      <c r="A8" s="14"/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3" t="s">
        <v>75</v>
      </c>
      <c r="L8" s="3" t="s">
        <v>27</v>
      </c>
      <c r="M8" s="3" t="s">
        <v>2</v>
      </c>
      <c r="N8" s="3"/>
      <c r="O8" s="3"/>
    </row>
    <row r="9" spans="1:15" ht="15.95" customHeight="1" x14ac:dyDescent="0.25">
      <c r="A9" s="12"/>
      <c r="B9" s="13"/>
      <c r="C9" s="13"/>
      <c r="D9" s="13"/>
      <c r="E9" s="13"/>
      <c r="F9" s="13"/>
      <c r="G9" s="13"/>
      <c r="H9" s="13"/>
      <c r="J9" s="1" t="str">
        <f>Judge5</f>
        <v>Wertung 5</v>
      </c>
      <c r="K9" s="3" t="s">
        <v>76</v>
      </c>
      <c r="L9" s="3" t="s">
        <v>28</v>
      </c>
      <c r="M9" s="3" t="s">
        <v>3</v>
      </c>
      <c r="N9" s="3"/>
      <c r="O9" s="3"/>
    </row>
    <row r="10" spans="1:15" ht="15.95" customHeight="1" x14ac:dyDescent="0.25">
      <c r="A10" s="14"/>
      <c r="B10" s="15"/>
      <c r="C10" s="15"/>
      <c r="D10" s="15"/>
      <c r="E10" s="15"/>
      <c r="F10" s="15"/>
      <c r="G10" s="15"/>
      <c r="H10" s="15"/>
      <c r="J10" s="1" t="str">
        <f>JudgeStandin</f>
        <v>Springer</v>
      </c>
      <c r="K10" s="3" t="s">
        <v>77</v>
      </c>
      <c r="L10" s="3" t="s">
        <v>29</v>
      </c>
      <c r="M10" s="3" t="s">
        <v>41</v>
      </c>
      <c r="N10" s="3"/>
      <c r="O10" s="3"/>
    </row>
    <row r="11" spans="1:15" ht="15.95" customHeight="1" x14ac:dyDescent="0.25">
      <c r="A11" s="12"/>
      <c r="B11" s="13"/>
      <c r="C11" s="13"/>
      <c r="D11" s="13"/>
      <c r="E11" s="13"/>
      <c r="F11" s="13"/>
      <c r="G11" s="13"/>
      <c r="H11" s="13"/>
      <c r="I11" s="4"/>
      <c r="J11" s="1" t="str">
        <f>JudgeSupervisor</f>
        <v>Beobachter</v>
      </c>
      <c r="K11" s="3" t="s">
        <v>78</v>
      </c>
      <c r="L11" s="3" t="s">
        <v>30</v>
      </c>
      <c r="M11" s="3" t="s">
        <v>35</v>
      </c>
      <c r="N11" s="3"/>
      <c r="O11" s="3"/>
    </row>
    <row r="12" spans="1:15" ht="15.95" customHeight="1" x14ac:dyDescent="0.25">
      <c r="A12" s="14"/>
      <c r="B12" s="15"/>
      <c r="C12" s="15"/>
      <c r="D12" s="15"/>
      <c r="E12" s="15"/>
      <c r="F12" s="15"/>
      <c r="G12" s="15"/>
      <c r="H12" s="15"/>
      <c r="J12" s="1" t="str">
        <f>JudgeOther1</f>
        <v>Sonst 1</v>
      </c>
      <c r="K12" s="3" t="s">
        <v>79</v>
      </c>
      <c r="L12" s="3" t="s">
        <v>31</v>
      </c>
      <c r="M12" s="3" t="s">
        <v>4</v>
      </c>
      <c r="N12" s="3"/>
      <c r="O12" s="3"/>
    </row>
    <row r="13" spans="1:15" ht="15.95" customHeight="1" x14ac:dyDescent="0.25">
      <c r="A13" s="12"/>
      <c r="B13" s="13"/>
      <c r="C13" s="13"/>
      <c r="D13" s="13"/>
      <c r="E13" s="13"/>
      <c r="F13" s="13"/>
      <c r="G13" s="13"/>
      <c r="H13" s="13"/>
      <c r="J13" s="1" t="str">
        <f>JudgeOther2</f>
        <v>Sonst 2</v>
      </c>
      <c r="N13" s="3"/>
      <c r="O13" s="3"/>
    </row>
    <row r="14" spans="1:15" ht="15.95" customHeight="1" x14ac:dyDescent="0.25">
      <c r="A14" s="14"/>
      <c r="B14" s="15"/>
      <c r="C14" s="15"/>
      <c r="D14" s="15"/>
      <c r="E14" s="15"/>
      <c r="F14" s="15"/>
      <c r="G14" s="15"/>
      <c r="H14" s="15"/>
      <c r="J14" s="1"/>
      <c r="N14" s="3"/>
      <c r="O14" s="3"/>
    </row>
    <row r="15" spans="1:15" ht="15.95" customHeight="1" x14ac:dyDescent="0.25">
      <c r="A15" s="12"/>
      <c r="B15" s="13"/>
      <c r="C15" s="13"/>
      <c r="D15" s="13"/>
      <c r="E15" s="13"/>
      <c r="F15" s="13"/>
      <c r="G15" s="13"/>
      <c r="H15" s="13"/>
      <c r="N15" s="3"/>
      <c r="O15" s="3"/>
    </row>
    <row r="16" spans="1:15" ht="15.95" customHeight="1" x14ac:dyDescent="0.25">
      <c r="A16" s="14"/>
      <c r="B16" s="15"/>
      <c r="C16" s="15"/>
      <c r="D16" s="15"/>
      <c r="E16" s="15"/>
      <c r="F16" s="15"/>
      <c r="G16" s="15"/>
      <c r="H16" s="15"/>
      <c r="J16" s="1"/>
      <c r="K16" s="3"/>
      <c r="L16" s="3"/>
      <c r="M16" s="3"/>
      <c r="N16" s="3"/>
      <c r="O16" s="3"/>
    </row>
    <row r="17" spans="1:15" ht="15.95" customHeight="1" x14ac:dyDescent="0.25">
      <c r="A17" s="16"/>
      <c r="B17" s="17"/>
      <c r="C17" s="17"/>
      <c r="D17" s="17"/>
      <c r="E17" s="17"/>
      <c r="F17" s="17"/>
      <c r="G17" s="17"/>
      <c r="H17" s="17"/>
      <c r="J17" s="3"/>
      <c r="K17" s="3"/>
      <c r="L17" s="3"/>
      <c r="M17" s="3"/>
      <c r="N17" s="3"/>
      <c r="O17" s="3"/>
    </row>
    <row r="18" spans="1:15" ht="15.95" customHeight="1" x14ac:dyDescent="0.25">
      <c r="A18" s="3"/>
      <c r="B18" s="3"/>
      <c r="C18" s="3"/>
      <c r="D18" s="3"/>
      <c r="E18" s="3"/>
      <c r="F18" s="3"/>
      <c r="G18" s="3"/>
      <c r="H18" s="4">
        <f>ChampionshipDate</f>
        <v>42532</v>
      </c>
      <c r="I18" s="3"/>
    </row>
    <row r="28" spans="1:15" x14ac:dyDescent="0.25">
      <c r="E28" s="9"/>
      <c r="F28" s="10"/>
      <c r="G28" s="9"/>
      <c r="H28" s="10"/>
      <c r="I28" s="10"/>
      <c r="J28" s="9"/>
    </row>
    <row r="29" spans="1:15" x14ac:dyDescent="0.25">
      <c r="E29" s="9"/>
      <c r="F29" s="10"/>
      <c r="G29" s="9"/>
      <c r="H29" s="10"/>
      <c r="I29" s="10"/>
      <c r="J29" s="9"/>
    </row>
    <row r="30" spans="1:15" x14ac:dyDescent="0.25">
      <c r="E30" s="9"/>
      <c r="F30" s="10"/>
      <c r="G30" s="9"/>
      <c r="H30" s="10"/>
      <c r="I30" s="10"/>
      <c r="J30" s="9"/>
    </row>
    <row r="31" spans="1:15" x14ac:dyDescent="0.25">
      <c r="E31" s="9"/>
      <c r="F31" s="10"/>
      <c r="G31" s="9"/>
      <c r="H31" s="10"/>
      <c r="I31" s="10"/>
      <c r="J31" s="9"/>
    </row>
    <row r="32" spans="1:15" x14ac:dyDescent="0.25">
      <c r="E32" s="9"/>
      <c r="F32" s="10"/>
      <c r="G32" s="9"/>
      <c r="H32" s="10"/>
      <c r="I32" s="10"/>
      <c r="J32" s="9"/>
    </row>
    <row r="33" spans="5:10" x14ac:dyDescent="0.25">
      <c r="E33" s="9"/>
      <c r="F33" s="10"/>
      <c r="G33" s="9"/>
      <c r="H33" s="10"/>
      <c r="I33" s="10"/>
      <c r="J33" s="9"/>
    </row>
    <row r="34" spans="5:10" x14ac:dyDescent="0.25">
      <c r="E34" s="9"/>
      <c r="F34" s="10"/>
      <c r="G34" s="9"/>
      <c r="H34" s="10"/>
      <c r="I34" s="10"/>
      <c r="J34" s="9"/>
    </row>
    <row r="35" spans="5:10" x14ac:dyDescent="0.25">
      <c r="E35" s="9"/>
      <c r="F35" s="10"/>
      <c r="G35" s="9"/>
      <c r="H35" s="10"/>
      <c r="I35" s="10"/>
      <c r="J35" s="9"/>
    </row>
    <row r="36" spans="5:10" x14ac:dyDescent="0.25">
      <c r="E36" s="9"/>
      <c r="F36" s="10"/>
      <c r="G36" s="9"/>
      <c r="H36" s="10"/>
      <c r="I36" s="10"/>
      <c r="J36" s="9"/>
    </row>
    <row r="37" spans="5:10" x14ac:dyDescent="0.25">
      <c r="E37" s="9"/>
      <c r="F37" s="10"/>
      <c r="G37" s="9"/>
      <c r="H37" s="10"/>
      <c r="I37" s="10"/>
      <c r="J37" s="9"/>
    </row>
    <row r="38" spans="5:10" x14ac:dyDescent="0.25">
      <c r="E38" s="9"/>
      <c r="F38" s="10"/>
      <c r="G38" s="9"/>
      <c r="H38" s="10"/>
      <c r="I38" s="10"/>
      <c r="J38" s="9"/>
    </row>
    <row r="39" spans="5:10" x14ac:dyDescent="0.25">
      <c r="E39" s="9"/>
      <c r="F39" s="10"/>
      <c r="G39" s="9"/>
      <c r="H39" s="10"/>
      <c r="I39" s="10"/>
      <c r="J39" s="9"/>
    </row>
    <row r="40" spans="5:10" x14ac:dyDescent="0.25">
      <c r="E40" s="9"/>
      <c r="F40" s="10"/>
      <c r="G40" s="9"/>
      <c r="H40" s="10"/>
      <c r="I40" s="10"/>
      <c r="J40" s="9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  <row r="64" spans="7:20" x14ac:dyDescent="0.25">
      <c r="G64" s="3"/>
      <c r="H64" s="3"/>
      <c r="I64" s="3"/>
      <c r="J64" s="3"/>
      <c r="K64" s="4"/>
      <c r="L64" s="3"/>
      <c r="M64" s="3"/>
      <c r="N64" s="3"/>
      <c r="O64" s="3"/>
      <c r="P64" s="3"/>
      <c r="Q64" s="4"/>
      <c r="R64" s="3"/>
      <c r="S64" s="3"/>
      <c r="T64" s="3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6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NageFiles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2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pageSetUpPr fitToPage="1"/>
  </sheetPr>
  <dimension ref="A1:Q62"/>
  <sheetViews>
    <sheetView zoomScaleNormal="100" zoomScalePageLayoutView="70" workbookViewId="0">
      <selection sqref="A1:H1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16384" width="11.5703125" style="3"/>
  </cols>
  <sheetData>
    <row r="1" spans="1:14" ht="84.95" customHeight="1" x14ac:dyDescent="0.6">
      <c r="A1" s="43" t="s">
        <v>43</v>
      </c>
      <c r="B1" s="43"/>
      <c r="C1" s="43"/>
      <c r="D1" s="43"/>
      <c r="E1" s="43"/>
      <c r="F1" s="43"/>
      <c r="G1" s="43"/>
      <c r="H1" s="43"/>
      <c r="I1" s="7"/>
      <c r="J1" s="7"/>
    </row>
    <row r="2" spans="1:14" ht="24.6" customHeight="1" x14ac:dyDescent="0.35">
      <c r="A2" s="44" t="str">
        <f>ChampionshipName</f>
        <v>Deutsche Katameisterschaften 2016</v>
      </c>
      <c r="B2" s="44"/>
      <c r="C2" s="44"/>
      <c r="D2" s="44"/>
      <c r="E2" s="44"/>
      <c r="F2" s="44"/>
      <c r="G2" s="44"/>
      <c r="H2" s="44"/>
      <c r="I2" s="8"/>
      <c r="J2" s="8"/>
    </row>
    <row r="3" spans="1:14" s="11" customFormat="1" ht="40.15" customHeight="1" x14ac:dyDescent="0.25">
      <c r="A3" s="45" t="str">
        <f>ChampionshipType</f>
        <v>Vorrunde</v>
      </c>
      <c r="B3" s="45"/>
      <c r="C3" s="45"/>
      <c r="D3" s="45"/>
      <c r="E3" s="45"/>
      <c r="F3" s="45"/>
      <c r="G3" s="45"/>
      <c r="H3" s="45"/>
    </row>
    <row r="4" spans="1:14" ht="15.95" customHeight="1" x14ac:dyDescent="0.25">
      <c r="A4" s="18" t="str">
        <f>StartNo</f>
        <v>Startnummer</v>
      </c>
      <c r="B4" s="18" t="str">
        <f>"Tori " &amp; NameTitle</f>
        <v>Tori Name</v>
      </c>
      <c r="C4" s="18" t="str">
        <f>"Tori " &amp; GivenNameTitle</f>
        <v>Tori Vorname</v>
      </c>
      <c r="D4" s="18" t="str">
        <f>"Tori " &amp; Club</f>
        <v>Tori Verein</v>
      </c>
      <c r="E4" s="18" t="str">
        <f>"Uke " &amp; NameTitle</f>
        <v>Uke Name</v>
      </c>
      <c r="F4" s="18" t="str">
        <f>"Uke " &amp; GivenNameTitle</f>
        <v>Uke Vorname</v>
      </c>
      <c r="G4" s="18" t="str">
        <f>"Uke " &amp; Club</f>
        <v>Uke Verein</v>
      </c>
      <c r="H4" s="18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5" customHeight="1" x14ac:dyDescent="0.25">
      <c r="A5" s="25">
        <v>1</v>
      </c>
      <c r="B5" s="13" t="s">
        <v>80</v>
      </c>
      <c r="C5" s="13" t="s">
        <v>19</v>
      </c>
      <c r="D5" s="13" t="s">
        <v>20</v>
      </c>
      <c r="E5" s="13" t="s">
        <v>22</v>
      </c>
      <c r="F5" s="13" t="s">
        <v>23</v>
      </c>
      <c r="G5" s="13" t="s">
        <v>20</v>
      </c>
      <c r="H5" s="13" t="s">
        <v>21</v>
      </c>
      <c r="J5" s="1" t="str">
        <f>Judge1</f>
        <v>Wertung 1</v>
      </c>
      <c r="K5" s="3" t="s">
        <v>83</v>
      </c>
      <c r="L5" s="3" t="s">
        <v>24</v>
      </c>
      <c r="M5" s="3" t="s">
        <v>0</v>
      </c>
    </row>
    <row r="6" spans="1:14" ht="15.95" customHeight="1" x14ac:dyDescent="0.25">
      <c r="A6" s="26">
        <v>2</v>
      </c>
      <c r="B6" s="15" t="s">
        <v>81</v>
      </c>
      <c r="C6" s="15" t="s">
        <v>33</v>
      </c>
      <c r="D6" s="15" t="s">
        <v>34</v>
      </c>
      <c r="E6" s="15" t="s">
        <v>32</v>
      </c>
      <c r="F6" s="15" t="s">
        <v>36</v>
      </c>
      <c r="G6" s="15" t="s">
        <v>20</v>
      </c>
      <c r="H6" s="15" t="s">
        <v>35</v>
      </c>
      <c r="J6" s="1" t="str">
        <f>Judge2</f>
        <v>Wertung 2</v>
      </c>
      <c r="K6" s="3" t="s">
        <v>84</v>
      </c>
      <c r="L6" s="3" t="s">
        <v>25</v>
      </c>
      <c r="M6" s="3" t="s">
        <v>1</v>
      </c>
    </row>
    <row r="7" spans="1:14" ht="15.95" customHeight="1" x14ac:dyDescent="0.25">
      <c r="A7" s="25">
        <v>3</v>
      </c>
      <c r="B7" s="13" t="s">
        <v>82</v>
      </c>
      <c r="C7" s="13" t="s">
        <v>38</v>
      </c>
      <c r="D7" s="13" t="s">
        <v>39</v>
      </c>
      <c r="E7" s="13" t="s">
        <v>37</v>
      </c>
      <c r="F7" s="13" t="s">
        <v>38</v>
      </c>
      <c r="G7" s="13" t="s">
        <v>39</v>
      </c>
      <c r="H7" s="13" t="s">
        <v>40</v>
      </c>
      <c r="J7" s="1" t="str">
        <f>JudgeHead</f>
        <v>Wertung 3 (H)</v>
      </c>
      <c r="K7" s="3" t="s">
        <v>85</v>
      </c>
      <c r="L7" s="3" t="s">
        <v>26</v>
      </c>
      <c r="M7" s="3" t="s">
        <v>21</v>
      </c>
    </row>
    <row r="8" spans="1:14" ht="15.95" customHeight="1" x14ac:dyDescent="0.25">
      <c r="A8" s="14"/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3" t="s">
        <v>86</v>
      </c>
      <c r="L8" s="3" t="s">
        <v>27</v>
      </c>
      <c r="M8" s="3" t="s">
        <v>2</v>
      </c>
    </row>
    <row r="9" spans="1:14" ht="15.95" customHeight="1" x14ac:dyDescent="0.25">
      <c r="A9" s="12"/>
      <c r="B9" s="13"/>
      <c r="C9" s="13"/>
      <c r="D9" s="13"/>
      <c r="E9" s="13"/>
      <c r="F9" s="13"/>
      <c r="G9" s="13"/>
      <c r="H9" s="13"/>
      <c r="J9" s="1" t="str">
        <f>Judge5</f>
        <v>Wertung 5</v>
      </c>
      <c r="K9" s="3" t="s">
        <v>87</v>
      </c>
      <c r="L9" s="3" t="s">
        <v>28</v>
      </c>
      <c r="M9" s="3" t="s">
        <v>3</v>
      </c>
    </row>
    <row r="10" spans="1:14" ht="15.95" customHeight="1" x14ac:dyDescent="0.25">
      <c r="A10" s="14"/>
      <c r="B10" s="15"/>
      <c r="C10" s="15"/>
      <c r="D10" s="15"/>
      <c r="E10" s="15"/>
      <c r="F10" s="15"/>
      <c r="G10" s="15"/>
      <c r="H10" s="15"/>
      <c r="J10" s="1" t="str">
        <f>JudgeStandin</f>
        <v>Springer</v>
      </c>
      <c r="K10" s="3" t="s">
        <v>88</v>
      </c>
      <c r="L10" s="3" t="s">
        <v>29</v>
      </c>
      <c r="M10" s="3" t="s">
        <v>41</v>
      </c>
    </row>
    <row r="11" spans="1:14" ht="15.95" customHeight="1" x14ac:dyDescent="0.25">
      <c r="A11" s="12"/>
      <c r="B11" s="13"/>
      <c r="C11" s="13"/>
      <c r="D11" s="13"/>
      <c r="E11" s="13"/>
      <c r="F11" s="13"/>
      <c r="G11" s="13"/>
      <c r="H11" s="13"/>
      <c r="I11" s="4"/>
      <c r="J11" s="1" t="str">
        <f>JudgeSupervisor</f>
        <v>Beobachter</v>
      </c>
      <c r="K11" s="3" t="s">
        <v>89</v>
      </c>
      <c r="L11" s="3" t="s">
        <v>30</v>
      </c>
      <c r="M11" s="3" t="s">
        <v>35</v>
      </c>
    </row>
    <row r="12" spans="1:14" ht="15.95" customHeight="1" x14ac:dyDescent="0.25">
      <c r="A12" s="14"/>
      <c r="B12" s="15"/>
      <c r="C12" s="15"/>
      <c r="D12" s="15"/>
      <c r="E12" s="15"/>
      <c r="F12" s="15"/>
      <c r="G12" s="15"/>
      <c r="H12" s="15"/>
      <c r="J12" s="1" t="str">
        <f>JudgeOther1</f>
        <v>Sonst 1</v>
      </c>
      <c r="K12" s="3" t="s">
        <v>90</v>
      </c>
      <c r="L12" s="3" t="s">
        <v>31</v>
      </c>
      <c r="M12" s="3" t="s">
        <v>4</v>
      </c>
    </row>
    <row r="13" spans="1:14" ht="15.95" customHeight="1" x14ac:dyDescent="0.25">
      <c r="A13" s="12"/>
      <c r="B13" s="13"/>
      <c r="C13" s="13"/>
      <c r="D13" s="13"/>
      <c r="E13" s="13"/>
      <c r="F13" s="13"/>
      <c r="G13" s="13"/>
      <c r="H13" s="13"/>
      <c r="J13" s="1" t="str">
        <f>JudgeOther2</f>
        <v>Sonst 2</v>
      </c>
    </row>
    <row r="14" spans="1:14" ht="15.95" customHeight="1" x14ac:dyDescent="0.25">
      <c r="A14" s="14"/>
      <c r="B14" s="15"/>
      <c r="C14" s="15"/>
      <c r="D14" s="15"/>
      <c r="E14" s="15"/>
      <c r="F14" s="15"/>
      <c r="G14" s="15"/>
      <c r="H14" s="15"/>
      <c r="J14" s="1"/>
    </row>
    <row r="15" spans="1:14" ht="15.95" customHeight="1" x14ac:dyDescent="0.25">
      <c r="A15" s="12"/>
      <c r="B15" s="13"/>
      <c r="C15" s="13"/>
      <c r="D15" s="13"/>
      <c r="E15" s="13"/>
      <c r="F15" s="13"/>
      <c r="G15" s="13"/>
      <c r="H15" s="13"/>
    </row>
    <row r="16" spans="1:14" ht="15.95" customHeight="1" x14ac:dyDescent="0.25">
      <c r="A16" s="14"/>
      <c r="B16" s="15"/>
      <c r="C16" s="15"/>
      <c r="D16" s="15"/>
      <c r="E16" s="15"/>
      <c r="F16" s="15"/>
      <c r="G16" s="15"/>
      <c r="H16" s="15"/>
    </row>
    <row r="17" spans="1:10" ht="15.95" customHeight="1" x14ac:dyDescent="0.25">
      <c r="A17" s="16"/>
      <c r="B17" s="17"/>
      <c r="C17" s="17"/>
      <c r="D17" s="17"/>
      <c r="E17" s="17"/>
      <c r="F17" s="17"/>
      <c r="G17" s="17"/>
      <c r="H17" s="17"/>
    </row>
    <row r="18" spans="1:10" ht="15.95" customHeight="1" x14ac:dyDescent="0.25">
      <c r="H18" s="4">
        <f>ChampionshipDate</f>
        <v>42532</v>
      </c>
    </row>
    <row r="26" spans="1:10" x14ac:dyDescent="0.25">
      <c r="E26" s="9"/>
      <c r="F26" s="10"/>
      <c r="G26" s="9"/>
      <c r="H26" s="10"/>
      <c r="I26" s="10"/>
      <c r="J26" s="9"/>
    </row>
    <row r="27" spans="1:10" x14ac:dyDescent="0.25">
      <c r="E27" s="9"/>
      <c r="F27" s="10"/>
      <c r="G27" s="9"/>
      <c r="H27" s="10"/>
      <c r="I27" s="10"/>
      <c r="J27" s="9"/>
    </row>
    <row r="28" spans="1:10" x14ac:dyDescent="0.25">
      <c r="E28" s="9"/>
      <c r="F28" s="10"/>
      <c r="G28" s="9"/>
      <c r="H28" s="10"/>
      <c r="I28" s="10"/>
      <c r="J28" s="9"/>
    </row>
    <row r="29" spans="1:10" x14ac:dyDescent="0.25">
      <c r="E29" s="9"/>
      <c r="F29" s="10"/>
      <c r="G29" s="9"/>
      <c r="H29" s="10"/>
      <c r="I29" s="10"/>
      <c r="J29" s="9"/>
    </row>
    <row r="30" spans="1:10" x14ac:dyDescent="0.25">
      <c r="E30" s="9"/>
      <c r="F30" s="10"/>
      <c r="G30" s="9"/>
      <c r="H30" s="10"/>
      <c r="I30" s="10"/>
      <c r="J30" s="9"/>
    </row>
    <row r="31" spans="1:10" x14ac:dyDescent="0.25">
      <c r="E31" s="9"/>
      <c r="F31" s="10"/>
      <c r="G31" s="9"/>
      <c r="H31" s="10"/>
      <c r="I31" s="10"/>
      <c r="J31" s="9"/>
    </row>
    <row r="32" spans="1:10" x14ac:dyDescent="0.25">
      <c r="E32" s="9"/>
      <c r="F32" s="10"/>
      <c r="G32" s="9"/>
      <c r="H32" s="10"/>
      <c r="I32" s="10"/>
      <c r="J32" s="9"/>
    </row>
    <row r="33" spans="5:10" x14ac:dyDescent="0.25">
      <c r="E33" s="9"/>
      <c r="F33" s="10"/>
      <c r="G33" s="9"/>
      <c r="H33" s="10"/>
      <c r="I33" s="10"/>
      <c r="J33" s="9"/>
    </row>
    <row r="34" spans="5:10" x14ac:dyDescent="0.25">
      <c r="E34" s="9"/>
      <c r="F34" s="10"/>
      <c r="G34" s="9"/>
      <c r="H34" s="10"/>
      <c r="I34" s="10"/>
      <c r="J34" s="9"/>
    </row>
    <row r="35" spans="5:10" x14ac:dyDescent="0.25">
      <c r="E35" s="9"/>
      <c r="F35" s="10"/>
      <c r="G35" s="9"/>
      <c r="H35" s="10"/>
      <c r="I35" s="10"/>
      <c r="J35" s="9"/>
    </row>
    <row r="36" spans="5:10" x14ac:dyDescent="0.25">
      <c r="E36" s="9"/>
      <c r="F36" s="10"/>
      <c r="G36" s="9"/>
      <c r="H36" s="10"/>
      <c r="I36" s="10"/>
      <c r="J36" s="9"/>
    </row>
    <row r="37" spans="5:10" x14ac:dyDescent="0.25">
      <c r="E37" s="9"/>
      <c r="F37" s="10"/>
      <c r="G37" s="9"/>
      <c r="H37" s="10"/>
      <c r="I37" s="10"/>
      <c r="J37" s="9"/>
    </row>
    <row r="38" spans="5:10" x14ac:dyDescent="0.25">
      <c r="E38" s="9"/>
      <c r="F38" s="10"/>
      <c r="G38" s="9"/>
      <c r="H38" s="10"/>
      <c r="I38" s="10"/>
      <c r="J38" s="9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KatameFiles">
                <anchor moveWithCells="1" sizeWithCells="1">
                  <from>
                    <xdr:col>8</xdr:col>
                    <xdr:colOff>781050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pageSetUpPr fitToPage="1"/>
  </sheetPr>
  <dimension ref="A1:R58"/>
  <sheetViews>
    <sheetView zoomScaleNormal="100" workbookViewId="0">
      <selection sqref="A1:H1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16384" width="11.5703125" style="3"/>
  </cols>
  <sheetData>
    <row r="1" spans="1:18" ht="84.95" customHeight="1" x14ac:dyDescent="0.6">
      <c r="A1" s="43" t="s">
        <v>44</v>
      </c>
      <c r="B1" s="43"/>
      <c r="C1" s="43"/>
      <c r="D1" s="43"/>
      <c r="E1" s="43"/>
      <c r="F1" s="43"/>
      <c r="G1" s="43"/>
      <c r="H1" s="43"/>
      <c r="I1" s="7"/>
      <c r="J1" s="7"/>
    </row>
    <row r="2" spans="1:18" ht="24.6" customHeight="1" x14ac:dyDescent="0.35">
      <c r="A2" s="44" t="str">
        <f>ChampionshipName</f>
        <v>Deutsche Katameisterschaften 2016</v>
      </c>
      <c r="B2" s="44"/>
      <c r="C2" s="44"/>
      <c r="D2" s="44"/>
      <c r="E2" s="44"/>
      <c r="F2" s="44"/>
      <c r="G2" s="44"/>
      <c r="H2" s="44"/>
      <c r="I2" s="8"/>
      <c r="J2" s="8"/>
    </row>
    <row r="3" spans="1:18" ht="40.35" customHeight="1" x14ac:dyDescent="0.25">
      <c r="A3" s="45" t="str">
        <f>ChampionshipType</f>
        <v>Vorrunde</v>
      </c>
      <c r="B3" s="45"/>
      <c r="C3" s="45"/>
      <c r="D3" s="45"/>
      <c r="E3" s="45"/>
      <c r="F3" s="45"/>
      <c r="G3" s="45"/>
      <c r="H3" s="45"/>
    </row>
    <row r="4" spans="1:18" ht="15.95" customHeight="1" x14ac:dyDescent="0.25">
      <c r="A4" s="18" t="str">
        <f>StartNo</f>
        <v>Startnummer</v>
      </c>
      <c r="B4" s="18" t="str">
        <f>"Tori " &amp; NameTitle</f>
        <v>Tori Name</v>
      </c>
      <c r="C4" s="18" t="str">
        <f>"Tori " &amp; GivenNameTitle</f>
        <v>Tori Vorname</v>
      </c>
      <c r="D4" s="18" t="str">
        <f>"Tori " &amp; Club</f>
        <v>Tori Verein</v>
      </c>
      <c r="E4" s="18" t="str">
        <f>"Uke " &amp; NameTitle</f>
        <v>Uke Name</v>
      </c>
      <c r="F4" s="18" t="str">
        <f>"Uke " &amp; GivenNameTitle</f>
        <v>Uke Vorname</v>
      </c>
      <c r="G4" s="18" t="str">
        <f>"Uke " &amp; Club</f>
        <v>Uke Verein</v>
      </c>
      <c r="H4" s="18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9">
        <v>1</v>
      </c>
      <c r="B5" s="20" t="s">
        <v>91</v>
      </c>
      <c r="C5" s="20" t="s">
        <v>19</v>
      </c>
      <c r="D5" s="20" t="s">
        <v>20</v>
      </c>
      <c r="E5" s="20" t="s">
        <v>22</v>
      </c>
      <c r="F5" s="20" t="s">
        <v>23</v>
      </c>
      <c r="G5" s="20" t="s">
        <v>20</v>
      </c>
      <c r="H5" s="20" t="s">
        <v>21</v>
      </c>
      <c r="J5" s="1" t="str">
        <f>Judge1</f>
        <v>Wertung 1</v>
      </c>
      <c r="K5" s="3" t="s">
        <v>94</v>
      </c>
      <c r="L5" s="3" t="s">
        <v>24</v>
      </c>
      <c r="M5" s="3" t="s">
        <v>0</v>
      </c>
      <c r="R5" s="4"/>
    </row>
    <row r="6" spans="1:18" ht="15.95" customHeight="1" x14ac:dyDescent="0.25">
      <c r="A6" s="21">
        <v>2</v>
      </c>
      <c r="B6" s="22" t="s">
        <v>92</v>
      </c>
      <c r="C6" s="22" t="s">
        <v>33</v>
      </c>
      <c r="D6" s="22" t="s">
        <v>34</v>
      </c>
      <c r="E6" s="22" t="s">
        <v>32</v>
      </c>
      <c r="F6" s="22" t="s">
        <v>36</v>
      </c>
      <c r="G6" s="22" t="s">
        <v>20</v>
      </c>
      <c r="H6" s="22" t="s">
        <v>35</v>
      </c>
      <c r="J6" s="1" t="str">
        <f>Judge2</f>
        <v>Wertung 2</v>
      </c>
      <c r="K6" s="3" t="s">
        <v>95</v>
      </c>
      <c r="L6" s="3" t="s">
        <v>25</v>
      </c>
      <c r="M6" s="3" t="s">
        <v>1</v>
      </c>
      <c r="R6" s="4"/>
    </row>
    <row r="7" spans="1:18" ht="15.95" customHeight="1" x14ac:dyDescent="0.25">
      <c r="A7" s="19">
        <v>3</v>
      </c>
      <c r="B7" s="20" t="s">
        <v>93</v>
      </c>
      <c r="C7" s="20" t="s">
        <v>38</v>
      </c>
      <c r="D7" s="20" t="s">
        <v>39</v>
      </c>
      <c r="E7" s="20" t="s">
        <v>37</v>
      </c>
      <c r="F7" s="20" t="s">
        <v>38</v>
      </c>
      <c r="G7" s="20" t="s">
        <v>39</v>
      </c>
      <c r="H7" s="20" t="s">
        <v>40</v>
      </c>
      <c r="J7" s="1" t="str">
        <f>JudgeHead</f>
        <v>Wertung 3 (H)</v>
      </c>
      <c r="K7" s="3" t="s">
        <v>96</v>
      </c>
      <c r="L7" s="3" t="s">
        <v>26</v>
      </c>
      <c r="M7" s="3" t="s">
        <v>21</v>
      </c>
      <c r="R7" s="4"/>
    </row>
    <row r="8" spans="1:18" ht="15.95" customHeight="1" x14ac:dyDescent="0.25">
      <c r="A8" s="21"/>
      <c r="B8" s="22"/>
      <c r="C8" s="22"/>
      <c r="D8" s="22"/>
      <c r="E8" s="22"/>
      <c r="F8" s="22"/>
      <c r="G8" s="22"/>
      <c r="H8" s="22"/>
      <c r="J8" s="1" t="str">
        <f>Judge4</f>
        <v>Wertung 4</v>
      </c>
      <c r="K8" s="3" t="s">
        <v>97</v>
      </c>
      <c r="L8" s="3" t="s">
        <v>27</v>
      </c>
      <c r="M8" s="3" t="s">
        <v>2</v>
      </c>
      <c r="R8" s="4"/>
    </row>
    <row r="9" spans="1:18" ht="15.95" customHeight="1" x14ac:dyDescent="0.25">
      <c r="A9" s="19"/>
      <c r="B9" s="20"/>
      <c r="C9" s="20"/>
      <c r="D9" s="20"/>
      <c r="E9" s="20"/>
      <c r="F9" s="20"/>
      <c r="G9" s="20"/>
      <c r="H9" s="20"/>
      <c r="J9" s="1" t="str">
        <f>Judge5</f>
        <v>Wertung 5</v>
      </c>
      <c r="K9" s="3" t="s">
        <v>98</v>
      </c>
      <c r="L9" s="3" t="s">
        <v>28</v>
      </c>
      <c r="M9" s="3" t="s">
        <v>3</v>
      </c>
      <c r="R9" s="4"/>
    </row>
    <row r="10" spans="1:18" ht="15.95" customHeight="1" x14ac:dyDescent="0.25">
      <c r="A10" s="21"/>
      <c r="B10" s="22"/>
      <c r="C10" s="22"/>
      <c r="D10" s="22"/>
      <c r="E10" s="22"/>
      <c r="F10" s="22"/>
      <c r="G10" s="22"/>
      <c r="H10" s="22"/>
      <c r="J10" s="1" t="str">
        <f>JudgeStandin</f>
        <v>Springer</v>
      </c>
      <c r="K10" s="3" t="s">
        <v>99</v>
      </c>
      <c r="L10" s="3" t="s">
        <v>29</v>
      </c>
      <c r="M10" s="3" t="s">
        <v>41</v>
      </c>
      <c r="R10" s="4"/>
    </row>
    <row r="11" spans="1:18" ht="15.95" customHeight="1" x14ac:dyDescent="0.25">
      <c r="A11" s="19"/>
      <c r="B11" s="20"/>
      <c r="C11" s="20"/>
      <c r="D11" s="20"/>
      <c r="E11" s="20"/>
      <c r="F11" s="20"/>
      <c r="G11" s="20"/>
      <c r="H11" s="20"/>
      <c r="I11" s="4"/>
      <c r="J11" s="1" t="str">
        <f>JudgeSupervisor</f>
        <v>Beobachter</v>
      </c>
      <c r="K11" s="3" t="s">
        <v>100</v>
      </c>
      <c r="L11" s="3" t="s">
        <v>30</v>
      </c>
      <c r="M11" s="3" t="s">
        <v>35</v>
      </c>
      <c r="R11" s="4"/>
    </row>
    <row r="12" spans="1:18" ht="15.95" customHeight="1" x14ac:dyDescent="0.25">
      <c r="A12" s="21"/>
      <c r="B12" s="22"/>
      <c r="C12" s="22"/>
      <c r="D12" s="22"/>
      <c r="E12" s="22"/>
      <c r="F12" s="22"/>
      <c r="G12" s="22"/>
      <c r="H12" s="22"/>
      <c r="J12" s="1" t="str">
        <f>JudgeOther1</f>
        <v>Sonst 1</v>
      </c>
      <c r="K12" s="3" t="s">
        <v>101</v>
      </c>
      <c r="L12" s="3" t="s">
        <v>31</v>
      </c>
      <c r="M12" s="3" t="s">
        <v>4</v>
      </c>
      <c r="R12" s="4"/>
    </row>
    <row r="13" spans="1:18" ht="15.95" customHeight="1" x14ac:dyDescent="0.25">
      <c r="A13" s="19"/>
      <c r="B13" s="20"/>
      <c r="C13" s="20"/>
      <c r="D13" s="20"/>
      <c r="E13" s="20"/>
      <c r="F13" s="20"/>
      <c r="G13" s="20"/>
      <c r="H13" s="20"/>
      <c r="J13" s="1" t="str">
        <f>JudgeOther2</f>
        <v>Sonst 2</v>
      </c>
      <c r="R13" s="4"/>
    </row>
    <row r="14" spans="1:18" ht="15.95" customHeight="1" x14ac:dyDescent="0.25">
      <c r="A14" s="21"/>
      <c r="B14" s="22"/>
      <c r="C14" s="22"/>
      <c r="D14" s="22"/>
      <c r="E14" s="22"/>
      <c r="F14" s="22"/>
      <c r="G14" s="22"/>
      <c r="H14" s="22"/>
      <c r="J14" s="1"/>
      <c r="R14" s="4"/>
    </row>
    <row r="15" spans="1:18" ht="15.95" customHeight="1" x14ac:dyDescent="0.25">
      <c r="A15" s="19"/>
      <c r="B15" s="20"/>
      <c r="C15" s="20"/>
      <c r="D15" s="20"/>
      <c r="E15" s="20"/>
      <c r="F15" s="20"/>
      <c r="G15" s="20"/>
      <c r="H15" s="20"/>
      <c r="L15" s="4"/>
      <c r="R15" s="4"/>
    </row>
    <row r="16" spans="1:18" ht="15.95" customHeight="1" x14ac:dyDescent="0.25">
      <c r="A16" s="21"/>
      <c r="B16" s="22"/>
      <c r="C16" s="22"/>
      <c r="D16" s="22"/>
      <c r="E16" s="22"/>
      <c r="F16" s="22"/>
      <c r="G16" s="22"/>
      <c r="H16" s="22"/>
      <c r="L16" s="4"/>
      <c r="R16" s="4"/>
    </row>
    <row r="17" spans="1:18" ht="15.95" customHeight="1" x14ac:dyDescent="0.25">
      <c r="A17" s="23"/>
      <c r="B17" s="24"/>
      <c r="C17" s="24"/>
      <c r="D17" s="24"/>
      <c r="E17" s="24"/>
      <c r="F17" s="24"/>
      <c r="G17" s="24"/>
      <c r="H17" s="24"/>
      <c r="L17" s="4"/>
      <c r="R17" s="4"/>
    </row>
    <row r="18" spans="1:18" ht="15.95" customHeight="1" x14ac:dyDescent="0.25">
      <c r="H18" s="4">
        <f>ChampionshipDate</f>
        <v>42532</v>
      </c>
    </row>
    <row r="22" spans="1:18" x14ac:dyDescent="0.25">
      <c r="E22" s="9"/>
      <c r="F22" s="10"/>
      <c r="G22" s="9"/>
      <c r="H22" s="10"/>
      <c r="I22" s="10"/>
      <c r="J22" s="9"/>
    </row>
    <row r="23" spans="1:18" x14ac:dyDescent="0.25">
      <c r="E23" s="9"/>
      <c r="F23" s="10"/>
      <c r="G23" s="9"/>
      <c r="H23" s="10"/>
      <c r="I23" s="10"/>
      <c r="J23" s="9"/>
    </row>
    <row r="26" spans="1:18" x14ac:dyDescent="0.25">
      <c r="D26" s="4"/>
      <c r="I26" s="4"/>
    </row>
    <row r="27" spans="1:18" x14ac:dyDescent="0.25">
      <c r="D27" s="4"/>
      <c r="I27" s="4"/>
    </row>
    <row r="28" spans="1:18" x14ac:dyDescent="0.25">
      <c r="D28" s="4"/>
      <c r="I28" s="4"/>
    </row>
    <row r="29" spans="1:18" x14ac:dyDescent="0.25">
      <c r="D29" s="4"/>
      <c r="I29" s="4"/>
    </row>
    <row r="30" spans="1:18" x14ac:dyDescent="0.25">
      <c r="D30" s="4"/>
      <c r="I30" s="4"/>
    </row>
    <row r="31" spans="1:18" x14ac:dyDescent="0.25">
      <c r="D31" s="4"/>
      <c r="I31" s="4"/>
    </row>
    <row r="32" spans="1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JuFiles">
                <anchor moveWithCells="1" sizeWithCells="1">
                  <from>
                    <xdr:col>8</xdr:col>
                    <xdr:colOff>781050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2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pageSetUpPr fitToPage="1"/>
  </sheetPr>
  <dimension ref="A1:R64"/>
  <sheetViews>
    <sheetView workbookViewId="0">
      <selection sqref="A1:H1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16384" width="11.5703125" style="3"/>
  </cols>
  <sheetData>
    <row r="1" spans="1:18" ht="84.95" customHeight="1" x14ac:dyDescent="0.6">
      <c r="A1" s="43" t="s">
        <v>45</v>
      </c>
      <c r="B1" s="43"/>
      <c r="C1" s="43"/>
      <c r="D1" s="43"/>
      <c r="E1" s="43"/>
      <c r="F1" s="43"/>
      <c r="G1" s="43"/>
      <c r="H1" s="43"/>
      <c r="I1" s="7"/>
      <c r="J1" s="7"/>
    </row>
    <row r="2" spans="1:18" ht="24.6" customHeight="1" x14ac:dyDescent="0.35">
      <c r="A2" s="46" t="str">
        <f>ChampionshipName</f>
        <v>Deutsche Katameisterschaften 2016</v>
      </c>
      <c r="B2" s="46"/>
      <c r="C2" s="46"/>
      <c r="D2" s="46"/>
      <c r="E2" s="46"/>
      <c r="F2" s="46"/>
      <c r="G2" s="46"/>
      <c r="H2" s="46"/>
      <c r="I2" s="8"/>
      <c r="J2" s="8"/>
    </row>
    <row r="3" spans="1:18" ht="40.35" customHeight="1" x14ac:dyDescent="0.25">
      <c r="A3" s="45" t="str">
        <f>ChampionshipType</f>
        <v>Vorrunde</v>
      </c>
      <c r="B3" s="45"/>
      <c r="C3" s="45"/>
      <c r="D3" s="45"/>
      <c r="E3" s="45"/>
      <c r="F3" s="45"/>
      <c r="G3" s="45"/>
      <c r="H3" s="45"/>
    </row>
    <row r="4" spans="1:18" ht="15.95" customHeight="1" x14ac:dyDescent="0.25">
      <c r="A4" s="18" t="str">
        <f>StartNo</f>
        <v>Startnummer</v>
      </c>
      <c r="B4" s="18" t="str">
        <f>"Tori " &amp; NameTitle</f>
        <v>Tori Name</v>
      </c>
      <c r="C4" s="18" t="str">
        <f>"Tori " &amp; GivenNameTitle</f>
        <v>Tori Vorname</v>
      </c>
      <c r="D4" s="18" t="str">
        <f>"Tori " &amp; Club</f>
        <v>Tori Verein</v>
      </c>
      <c r="E4" s="18" t="str">
        <f>"Uke " &amp; NameTitle</f>
        <v>Uke Name</v>
      </c>
      <c r="F4" s="18" t="str">
        <f>"Uke " &amp; GivenNameTitle</f>
        <v>Uke Vorname</v>
      </c>
      <c r="G4" s="18" t="str">
        <f>"Uke " &amp; Club</f>
        <v>Uke Verein</v>
      </c>
      <c r="H4" s="18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31">
        <v>1</v>
      </c>
      <c r="B5" s="28" t="s">
        <v>102</v>
      </c>
      <c r="C5" s="28" t="s">
        <v>19</v>
      </c>
      <c r="D5" s="28" t="s">
        <v>20</v>
      </c>
      <c r="E5" s="28" t="s">
        <v>22</v>
      </c>
      <c r="F5" s="28" t="s">
        <v>23</v>
      </c>
      <c r="G5" s="28" t="s">
        <v>20</v>
      </c>
      <c r="H5" s="32" t="s">
        <v>21</v>
      </c>
      <c r="J5" s="1" t="str">
        <f>Judge1</f>
        <v>Wertung 1</v>
      </c>
      <c r="K5" s="3" t="s">
        <v>105</v>
      </c>
      <c r="L5" s="3" t="s">
        <v>24</v>
      </c>
      <c r="M5" s="3" t="s">
        <v>0</v>
      </c>
      <c r="R5" s="4"/>
    </row>
    <row r="6" spans="1:18" ht="15.95" customHeight="1" x14ac:dyDescent="0.25">
      <c r="A6" s="26">
        <v>2</v>
      </c>
      <c r="B6" s="15" t="s">
        <v>103</v>
      </c>
      <c r="C6" s="15" t="s">
        <v>33</v>
      </c>
      <c r="D6" s="15" t="s">
        <v>34</v>
      </c>
      <c r="E6" s="15" t="s">
        <v>32</v>
      </c>
      <c r="F6" s="15" t="s">
        <v>36</v>
      </c>
      <c r="G6" s="15" t="s">
        <v>20</v>
      </c>
      <c r="H6" s="33" t="s">
        <v>35</v>
      </c>
      <c r="J6" s="1" t="str">
        <f>Judge2</f>
        <v>Wertung 2</v>
      </c>
      <c r="K6" s="3" t="s">
        <v>106</v>
      </c>
      <c r="L6" s="3" t="s">
        <v>25</v>
      </c>
      <c r="M6" s="3" t="s">
        <v>1</v>
      </c>
      <c r="R6" s="4"/>
    </row>
    <row r="7" spans="1:18" ht="15.95" customHeight="1" x14ac:dyDescent="0.25">
      <c r="A7" s="31">
        <v>3</v>
      </c>
      <c r="B7" s="28" t="s">
        <v>104</v>
      </c>
      <c r="C7" s="28" t="s">
        <v>38</v>
      </c>
      <c r="D7" s="28" t="s">
        <v>39</v>
      </c>
      <c r="E7" s="28" t="s">
        <v>37</v>
      </c>
      <c r="F7" s="28" t="s">
        <v>38</v>
      </c>
      <c r="G7" s="28" t="s">
        <v>39</v>
      </c>
      <c r="H7" s="32" t="s">
        <v>40</v>
      </c>
      <c r="J7" s="1" t="str">
        <f>JudgeHead</f>
        <v>Wertung 3 (H)</v>
      </c>
      <c r="K7" s="3" t="s">
        <v>107</v>
      </c>
      <c r="L7" s="3" t="s">
        <v>26</v>
      </c>
      <c r="M7" s="3" t="s">
        <v>21</v>
      </c>
      <c r="R7" s="4"/>
    </row>
    <row r="8" spans="1:18" ht="15.95" customHeight="1" x14ac:dyDescent="0.25">
      <c r="A8" s="14"/>
      <c r="B8" s="15"/>
      <c r="C8" s="15"/>
      <c r="D8" s="15"/>
      <c r="E8" s="15"/>
      <c r="F8" s="15"/>
      <c r="G8" s="15"/>
      <c r="H8" s="33"/>
      <c r="J8" s="1" t="str">
        <f>Judge4</f>
        <v>Wertung 4</v>
      </c>
      <c r="K8" s="3" t="s">
        <v>108</v>
      </c>
      <c r="L8" s="3" t="s">
        <v>27</v>
      </c>
      <c r="M8" s="3" t="s">
        <v>2</v>
      </c>
      <c r="R8" s="4"/>
    </row>
    <row r="9" spans="1:18" ht="15.95" customHeight="1" x14ac:dyDescent="0.25">
      <c r="A9" s="27"/>
      <c r="B9" s="28"/>
      <c r="C9" s="28"/>
      <c r="D9" s="28"/>
      <c r="E9" s="28"/>
      <c r="F9" s="28"/>
      <c r="G9" s="28"/>
      <c r="H9" s="32"/>
      <c r="J9" s="1" t="str">
        <f>Judge5</f>
        <v>Wertung 5</v>
      </c>
      <c r="K9" s="3" t="s">
        <v>109</v>
      </c>
      <c r="L9" s="3" t="s">
        <v>28</v>
      </c>
      <c r="M9" s="3" t="s">
        <v>3</v>
      </c>
      <c r="R9" s="4"/>
    </row>
    <row r="10" spans="1:18" ht="15.95" customHeight="1" x14ac:dyDescent="0.25">
      <c r="A10" s="14"/>
      <c r="B10" s="15"/>
      <c r="C10" s="15"/>
      <c r="D10" s="15"/>
      <c r="E10" s="15"/>
      <c r="F10" s="15"/>
      <c r="G10" s="15"/>
      <c r="H10" s="33"/>
      <c r="J10" s="1" t="str">
        <f>JudgeStandin</f>
        <v>Springer</v>
      </c>
      <c r="K10" s="3" t="s">
        <v>110</v>
      </c>
      <c r="L10" s="3" t="s">
        <v>29</v>
      </c>
      <c r="M10" s="3" t="s">
        <v>41</v>
      </c>
      <c r="R10" s="4"/>
    </row>
    <row r="11" spans="1:18" ht="15.95" customHeight="1" x14ac:dyDescent="0.25">
      <c r="A11" s="27"/>
      <c r="B11" s="28"/>
      <c r="C11" s="28"/>
      <c r="D11" s="28"/>
      <c r="E11" s="28"/>
      <c r="F11" s="28"/>
      <c r="G11" s="28"/>
      <c r="H11" s="32"/>
      <c r="I11" s="4"/>
      <c r="J11" s="1" t="str">
        <f>JudgeSupervisor</f>
        <v>Beobachter</v>
      </c>
      <c r="K11" s="3" t="s">
        <v>111</v>
      </c>
      <c r="L11" s="3" t="s">
        <v>30</v>
      </c>
      <c r="M11" s="3" t="s">
        <v>35</v>
      </c>
      <c r="R11" s="4"/>
    </row>
    <row r="12" spans="1:18" ht="15.95" customHeight="1" x14ac:dyDescent="0.25">
      <c r="A12" s="14"/>
      <c r="B12" s="15"/>
      <c r="C12" s="15"/>
      <c r="D12" s="15"/>
      <c r="E12" s="15"/>
      <c r="F12" s="15"/>
      <c r="G12" s="15"/>
      <c r="H12" s="33"/>
      <c r="J12" s="1" t="str">
        <f>JudgeOther1</f>
        <v>Sonst 1</v>
      </c>
      <c r="K12" s="3" t="s">
        <v>112</v>
      </c>
      <c r="L12" s="3" t="s">
        <v>31</v>
      </c>
      <c r="M12" s="3" t="s">
        <v>4</v>
      </c>
      <c r="R12" s="4"/>
    </row>
    <row r="13" spans="1:18" ht="15.95" customHeight="1" x14ac:dyDescent="0.25">
      <c r="A13" s="27"/>
      <c r="B13" s="28"/>
      <c r="C13" s="28"/>
      <c r="D13" s="28"/>
      <c r="E13" s="28"/>
      <c r="F13" s="28"/>
      <c r="G13" s="28"/>
      <c r="H13" s="32"/>
      <c r="J13" s="1" t="str">
        <f>JudgeOther2</f>
        <v>Sonst 2</v>
      </c>
      <c r="R13" s="4"/>
    </row>
    <row r="14" spans="1:18" ht="15.95" customHeight="1" x14ac:dyDescent="0.25">
      <c r="A14" s="14"/>
      <c r="B14" s="15"/>
      <c r="C14" s="15"/>
      <c r="D14" s="15"/>
      <c r="E14" s="15"/>
      <c r="F14" s="15"/>
      <c r="G14" s="15"/>
      <c r="H14" s="33"/>
      <c r="J14" s="1"/>
      <c r="R14" s="4"/>
    </row>
    <row r="15" spans="1:18" ht="15.95" customHeight="1" x14ac:dyDescent="0.25">
      <c r="A15" s="27"/>
      <c r="B15" s="28"/>
      <c r="C15" s="28"/>
      <c r="D15" s="28"/>
      <c r="E15" s="28"/>
      <c r="F15" s="28"/>
      <c r="G15" s="28"/>
      <c r="H15" s="32"/>
      <c r="R15" s="4"/>
    </row>
    <row r="16" spans="1:18" ht="15.75" x14ac:dyDescent="0.25">
      <c r="A16" s="14"/>
      <c r="B16" s="15"/>
      <c r="C16" s="15"/>
      <c r="D16" s="15"/>
      <c r="E16" s="15"/>
      <c r="F16" s="15"/>
      <c r="G16" s="15"/>
      <c r="H16" s="33"/>
      <c r="R16" s="4"/>
    </row>
    <row r="17" spans="1:18" ht="15.75" x14ac:dyDescent="0.25">
      <c r="A17" s="29"/>
      <c r="B17" s="30"/>
      <c r="C17" s="30"/>
      <c r="D17" s="30"/>
      <c r="E17" s="30"/>
      <c r="F17" s="30"/>
      <c r="G17" s="30"/>
      <c r="H17" s="34"/>
      <c r="R17" s="4"/>
    </row>
    <row r="18" spans="1:18" x14ac:dyDescent="0.25">
      <c r="H18" s="4">
        <f>ChampionshipDate</f>
        <v>42532</v>
      </c>
      <c r="R18" s="4"/>
    </row>
    <row r="19" spans="1:18" x14ac:dyDescent="0.25">
      <c r="R19" s="4"/>
    </row>
    <row r="28" spans="1:18" x14ac:dyDescent="0.25">
      <c r="E28" s="9"/>
      <c r="F28" s="10"/>
      <c r="G28" s="9"/>
      <c r="H28" s="10"/>
      <c r="I28" s="10"/>
      <c r="J28" s="9"/>
    </row>
    <row r="29" spans="1:18" x14ac:dyDescent="0.25">
      <c r="E29" s="9"/>
      <c r="F29" s="10"/>
      <c r="G29" s="9"/>
      <c r="H29" s="10"/>
      <c r="I29" s="10"/>
      <c r="J29" s="9"/>
    </row>
    <row r="33" spans="4:9" x14ac:dyDescent="0.25">
      <c r="D33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1" spans="4:9" x14ac:dyDescent="0.25">
      <c r="D41" s="4"/>
      <c r="I41" s="4"/>
    </row>
    <row r="42" spans="4:9" x14ac:dyDescent="0.25">
      <c r="D42" s="4"/>
      <c r="I42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KimeFiles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>
    <pageSetUpPr fitToPage="1"/>
  </sheetPr>
  <dimension ref="A1:R62"/>
  <sheetViews>
    <sheetView workbookViewId="0">
      <selection sqref="A1:H1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16384" width="11.5703125" style="3"/>
  </cols>
  <sheetData>
    <row r="1" spans="1:18" ht="84.95" customHeight="1" x14ac:dyDescent="0.6">
      <c r="A1" s="43" t="s">
        <v>46</v>
      </c>
      <c r="B1" s="43"/>
      <c r="C1" s="43"/>
      <c r="D1" s="43"/>
      <c r="E1" s="43"/>
      <c r="F1" s="43"/>
      <c r="G1" s="43"/>
      <c r="H1" s="43"/>
      <c r="I1" s="7"/>
      <c r="J1" s="7"/>
    </row>
    <row r="2" spans="1:18" ht="24.6" customHeight="1" x14ac:dyDescent="0.35">
      <c r="A2" s="44" t="str">
        <f>ChampionshipName</f>
        <v>Deutsche Katameisterschaften 2016</v>
      </c>
      <c r="B2" s="44"/>
      <c r="C2" s="44"/>
      <c r="D2" s="44"/>
      <c r="E2" s="44"/>
      <c r="F2" s="44"/>
      <c r="G2" s="44"/>
      <c r="H2" s="44"/>
      <c r="I2" s="8"/>
      <c r="J2" s="8"/>
    </row>
    <row r="3" spans="1:18" ht="40.35" customHeight="1" x14ac:dyDescent="0.25">
      <c r="A3" s="45" t="str">
        <f>ChampionshipType</f>
        <v>Vorrunde</v>
      </c>
      <c r="B3" s="45"/>
      <c r="C3" s="45"/>
      <c r="D3" s="45"/>
      <c r="E3" s="45"/>
      <c r="F3" s="45"/>
      <c r="G3" s="45"/>
      <c r="H3" s="45"/>
    </row>
    <row r="4" spans="1:18" ht="15.95" customHeight="1" x14ac:dyDescent="0.25">
      <c r="A4" s="18" t="str">
        <f>StartNo</f>
        <v>Startnummer</v>
      </c>
      <c r="B4" s="18" t="str">
        <f>"Tori " &amp; NameTitle</f>
        <v>Tori Name</v>
      </c>
      <c r="C4" s="18" t="str">
        <f>"Tori " &amp; GivenNameTitle</f>
        <v>Tori Vorname</v>
      </c>
      <c r="D4" s="18" t="str">
        <f>"Tori " &amp; Club</f>
        <v>Tori Verein</v>
      </c>
      <c r="E4" s="18" t="str">
        <f>"Uke " &amp; NameTitle</f>
        <v>Uke Name</v>
      </c>
      <c r="F4" s="18" t="str">
        <f>"Uke " &amp; GivenNameTitle</f>
        <v>Uke Vorname</v>
      </c>
      <c r="G4" s="18" t="str">
        <f>"Uke " &amp; Club</f>
        <v>Uke Verein</v>
      </c>
      <c r="H4" s="18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31">
        <v>1</v>
      </c>
      <c r="B5" s="35" t="s">
        <v>134</v>
      </c>
      <c r="C5" s="35" t="s">
        <v>19</v>
      </c>
      <c r="D5" s="35" t="s">
        <v>20</v>
      </c>
      <c r="E5" s="35" t="s">
        <v>22</v>
      </c>
      <c r="F5" s="35" t="s">
        <v>23</v>
      </c>
      <c r="G5" s="35" t="s">
        <v>20</v>
      </c>
      <c r="H5" s="35" t="s">
        <v>21</v>
      </c>
      <c r="J5" s="1" t="str">
        <f>Judge1</f>
        <v>Wertung 1</v>
      </c>
      <c r="K5" s="3" t="s">
        <v>115</v>
      </c>
      <c r="L5" s="3" t="s">
        <v>24</v>
      </c>
      <c r="M5" s="3" t="s">
        <v>0</v>
      </c>
      <c r="R5" s="4"/>
    </row>
    <row r="6" spans="1:18" ht="15.95" customHeight="1" x14ac:dyDescent="0.25">
      <c r="A6" s="26">
        <v>2</v>
      </c>
      <c r="B6" s="15" t="s">
        <v>113</v>
      </c>
      <c r="C6" s="15" t="s">
        <v>33</v>
      </c>
      <c r="D6" s="15" t="s">
        <v>34</v>
      </c>
      <c r="E6" s="15" t="s">
        <v>32</v>
      </c>
      <c r="F6" s="15" t="s">
        <v>36</v>
      </c>
      <c r="G6" s="15" t="s">
        <v>20</v>
      </c>
      <c r="H6" s="15" t="s">
        <v>35</v>
      </c>
      <c r="J6" s="1" t="str">
        <f>Judge2</f>
        <v>Wertung 2</v>
      </c>
      <c r="K6" s="3" t="s">
        <v>116</v>
      </c>
      <c r="L6" s="3" t="s">
        <v>25</v>
      </c>
      <c r="M6" s="3" t="s">
        <v>1</v>
      </c>
      <c r="R6" s="4"/>
    </row>
    <row r="7" spans="1:18" ht="15.95" customHeight="1" x14ac:dyDescent="0.25">
      <c r="A7" s="31">
        <v>3</v>
      </c>
      <c r="B7" s="35" t="s">
        <v>114</v>
      </c>
      <c r="C7" s="35" t="s">
        <v>38</v>
      </c>
      <c r="D7" s="35" t="s">
        <v>39</v>
      </c>
      <c r="E7" s="35" t="s">
        <v>37</v>
      </c>
      <c r="F7" s="35" t="s">
        <v>38</v>
      </c>
      <c r="G7" s="35" t="s">
        <v>39</v>
      </c>
      <c r="H7" s="35" t="s">
        <v>40</v>
      </c>
      <c r="J7" s="1" t="str">
        <f>JudgeHead</f>
        <v>Wertung 3 (H)</v>
      </c>
      <c r="K7" s="3" t="s">
        <v>117</v>
      </c>
      <c r="L7" s="3" t="s">
        <v>26</v>
      </c>
      <c r="M7" s="3" t="s">
        <v>21</v>
      </c>
      <c r="R7" s="4"/>
    </row>
    <row r="8" spans="1:18" ht="15.95" customHeight="1" x14ac:dyDescent="0.25">
      <c r="A8" s="14"/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3" t="s">
        <v>118</v>
      </c>
      <c r="L8" s="3" t="s">
        <v>27</v>
      </c>
      <c r="M8" s="3" t="s">
        <v>2</v>
      </c>
      <c r="R8" s="4"/>
    </row>
    <row r="9" spans="1:18" ht="15.95" customHeight="1" x14ac:dyDescent="0.25">
      <c r="A9" s="27"/>
      <c r="B9" s="35"/>
      <c r="C9" s="35"/>
      <c r="D9" s="35"/>
      <c r="E9" s="35"/>
      <c r="F9" s="35"/>
      <c r="G9" s="35"/>
      <c r="H9" s="35"/>
      <c r="J9" s="1" t="str">
        <f>Judge5</f>
        <v>Wertung 5</v>
      </c>
      <c r="K9" s="3" t="s">
        <v>119</v>
      </c>
      <c r="L9" s="3" t="s">
        <v>28</v>
      </c>
      <c r="M9" s="3" t="s">
        <v>3</v>
      </c>
      <c r="R9" s="4"/>
    </row>
    <row r="10" spans="1:18" ht="15.95" customHeight="1" x14ac:dyDescent="0.25">
      <c r="A10" s="14"/>
      <c r="B10" s="15"/>
      <c r="C10" s="15"/>
      <c r="D10" s="15"/>
      <c r="E10" s="15"/>
      <c r="F10" s="15"/>
      <c r="G10" s="15"/>
      <c r="H10" s="15"/>
      <c r="J10" s="1" t="str">
        <f>JudgeStandin</f>
        <v>Springer</v>
      </c>
      <c r="K10" s="3" t="s">
        <v>120</v>
      </c>
      <c r="L10" s="3" t="s">
        <v>29</v>
      </c>
      <c r="M10" s="3" t="s">
        <v>41</v>
      </c>
      <c r="R10" s="4"/>
    </row>
    <row r="11" spans="1:18" ht="15.95" customHeight="1" x14ac:dyDescent="0.25">
      <c r="A11" s="27"/>
      <c r="B11" s="35"/>
      <c r="C11" s="35"/>
      <c r="D11" s="35"/>
      <c r="E11" s="35"/>
      <c r="F11" s="35"/>
      <c r="G11" s="35"/>
      <c r="H11" s="35"/>
      <c r="I11" s="4"/>
      <c r="J11" s="1" t="str">
        <f>JudgeSupervisor</f>
        <v>Beobachter</v>
      </c>
      <c r="K11" s="3" t="s">
        <v>121</v>
      </c>
      <c r="L11" s="3" t="s">
        <v>30</v>
      </c>
      <c r="M11" s="3" t="s">
        <v>35</v>
      </c>
      <c r="R11" s="4"/>
    </row>
    <row r="12" spans="1:18" ht="15.95" customHeight="1" x14ac:dyDescent="0.25">
      <c r="A12" s="14"/>
      <c r="B12" s="15"/>
      <c r="C12" s="15"/>
      <c r="D12" s="15"/>
      <c r="E12" s="15"/>
      <c r="F12" s="15"/>
      <c r="G12" s="15"/>
      <c r="H12" s="15"/>
      <c r="J12" s="1" t="str">
        <f>JudgeOther1</f>
        <v>Sonst 1</v>
      </c>
      <c r="K12" s="3" t="s">
        <v>122</v>
      </c>
      <c r="L12" s="3" t="s">
        <v>31</v>
      </c>
      <c r="M12" s="3" t="s">
        <v>4</v>
      </c>
      <c r="R12" s="4"/>
    </row>
    <row r="13" spans="1:18" ht="15.95" customHeight="1" x14ac:dyDescent="0.25">
      <c r="A13" s="27"/>
      <c r="B13" s="35"/>
      <c r="C13" s="35"/>
      <c r="D13" s="35"/>
      <c r="E13" s="35"/>
      <c r="F13" s="35"/>
      <c r="G13" s="35"/>
      <c r="H13" s="35"/>
      <c r="J13" s="1" t="str">
        <f>JudgeOther2</f>
        <v>Sonst 2</v>
      </c>
      <c r="R13" s="4"/>
    </row>
    <row r="14" spans="1:18" ht="15.95" customHeight="1" x14ac:dyDescent="0.25">
      <c r="A14" s="14"/>
      <c r="B14" s="15"/>
      <c r="C14" s="15"/>
      <c r="D14" s="15"/>
      <c r="E14" s="15"/>
      <c r="F14" s="15"/>
      <c r="G14" s="15"/>
      <c r="H14" s="15"/>
      <c r="J14" s="1"/>
      <c r="R14" s="4"/>
    </row>
    <row r="15" spans="1:18" ht="15.75" x14ac:dyDescent="0.25">
      <c r="A15" s="27"/>
      <c r="B15" s="35"/>
      <c r="C15" s="35"/>
      <c r="D15" s="35"/>
      <c r="E15" s="35"/>
      <c r="F15" s="35"/>
      <c r="G15" s="35"/>
      <c r="H15" s="35"/>
      <c r="R15" s="4"/>
    </row>
    <row r="16" spans="1:18" ht="15.75" x14ac:dyDescent="0.25">
      <c r="A16" s="14"/>
      <c r="B16" s="15"/>
      <c r="C16" s="15"/>
      <c r="D16" s="15"/>
      <c r="E16" s="15"/>
      <c r="F16" s="15"/>
      <c r="G16" s="15"/>
      <c r="H16" s="15"/>
      <c r="R16" s="4"/>
    </row>
    <row r="17" spans="1:18" ht="15.75" x14ac:dyDescent="0.25">
      <c r="A17" s="29"/>
      <c r="B17" s="36"/>
      <c r="C17" s="36"/>
      <c r="D17" s="36"/>
      <c r="E17" s="36"/>
      <c r="F17" s="36"/>
      <c r="G17" s="36"/>
      <c r="H17" s="36"/>
      <c r="R17" s="4"/>
    </row>
    <row r="18" spans="1:18" x14ac:dyDescent="0.25">
      <c r="H18" s="4">
        <f>ChampionshipDate</f>
        <v>42532</v>
      </c>
      <c r="R18" s="4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GoshinFiles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R60"/>
  <sheetViews>
    <sheetView workbookViewId="0">
      <selection sqref="A1:H1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16384" width="11.5703125" style="3"/>
  </cols>
  <sheetData>
    <row r="1" spans="1:18" ht="84.95" customHeight="1" x14ac:dyDescent="0.6">
      <c r="A1" s="43" t="s">
        <v>47</v>
      </c>
      <c r="B1" s="43"/>
      <c r="C1" s="43"/>
      <c r="D1" s="43"/>
      <c r="E1" s="43"/>
      <c r="F1" s="43"/>
      <c r="G1" s="43"/>
      <c r="H1" s="43"/>
      <c r="I1" s="7"/>
      <c r="J1" s="7"/>
    </row>
    <row r="2" spans="1:18" ht="24.6" customHeight="1" x14ac:dyDescent="0.35">
      <c r="A2" s="44" t="str">
        <f>ChampionshipName</f>
        <v>Deutsche Katameisterschaften 2016</v>
      </c>
      <c r="B2" s="44"/>
      <c r="C2" s="44"/>
      <c r="D2" s="44"/>
      <c r="E2" s="44"/>
      <c r="F2" s="44"/>
      <c r="G2" s="44"/>
      <c r="H2" s="44"/>
      <c r="I2" s="8"/>
      <c r="J2" s="8"/>
    </row>
    <row r="3" spans="1:18" ht="40.35" customHeight="1" x14ac:dyDescent="0.25">
      <c r="A3" s="45" t="str">
        <f>ChampionshipType</f>
        <v>Vorrunde</v>
      </c>
      <c r="B3" s="45"/>
      <c r="C3" s="45"/>
      <c r="D3" s="45"/>
      <c r="E3" s="45"/>
      <c r="F3" s="45"/>
      <c r="G3" s="45"/>
      <c r="H3" s="45"/>
    </row>
    <row r="4" spans="1:18" ht="15.95" customHeight="1" x14ac:dyDescent="0.25">
      <c r="A4" s="18" t="str">
        <f>StartNo</f>
        <v>Startnummer</v>
      </c>
      <c r="B4" s="18" t="str">
        <f>"Tori " &amp; NameTitle</f>
        <v>Tori Name</v>
      </c>
      <c r="C4" s="18" t="str">
        <f>"Tori " &amp; GivenNameTitle</f>
        <v>Tori Vorname</v>
      </c>
      <c r="D4" s="18" t="str">
        <f>"Tori " &amp; Club</f>
        <v>Tori Verein</v>
      </c>
      <c r="E4" s="18" t="str">
        <f>"Uke " &amp; NameTitle</f>
        <v>Uke Name</v>
      </c>
      <c r="F4" s="18" t="str">
        <f>"Uke " &amp; GivenNameTitle</f>
        <v>Uke Vorname</v>
      </c>
      <c r="G4" s="18" t="str">
        <f>"Uke " &amp; Club</f>
        <v>Uke Verein</v>
      </c>
      <c r="H4" s="18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31">
        <v>1</v>
      </c>
      <c r="B5" s="37" t="s">
        <v>123</v>
      </c>
      <c r="C5" s="38" t="s">
        <v>19</v>
      </c>
      <c r="D5" s="35" t="s">
        <v>20</v>
      </c>
      <c r="E5" s="35" t="s">
        <v>22</v>
      </c>
      <c r="F5" s="35" t="s">
        <v>23</v>
      </c>
      <c r="G5" s="35" t="s">
        <v>20</v>
      </c>
      <c r="H5" s="35" t="s">
        <v>21</v>
      </c>
      <c r="J5" s="1" t="str">
        <f>Judge1</f>
        <v>Wertung 1</v>
      </c>
      <c r="K5" s="3" t="s">
        <v>126</v>
      </c>
      <c r="L5" s="3" t="s">
        <v>24</v>
      </c>
      <c r="M5" s="3" t="s">
        <v>0</v>
      </c>
      <c r="R5" s="4"/>
    </row>
    <row r="6" spans="1:18" ht="15.95" customHeight="1" x14ac:dyDescent="0.25">
      <c r="A6" s="26">
        <v>2</v>
      </c>
      <c r="B6" s="39" t="s">
        <v>124</v>
      </c>
      <c r="C6" s="40" t="s">
        <v>33</v>
      </c>
      <c r="D6" s="15" t="s">
        <v>34</v>
      </c>
      <c r="E6" s="15" t="s">
        <v>32</v>
      </c>
      <c r="F6" s="15" t="s">
        <v>36</v>
      </c>
      <c r="G6" s="15" t="s">
        <v>20</v>
      </c>
      <c r="H6" s="15" t="s">
        <v>35</v>
      </c>
      <c r="J6" s="1" t="str">
        <f>Judge2</f>
        <v>Wertung 2</v>
      </c>
      <c r="K6" s="3" t="s">
        <v>127</v>
      </c>
      <c r="L6" s="3" t="s">
        <v>25</v>
      </c>
      <c r="M6" s="3" t="s">
        <v>1</v>
      </c>
      <c r="R6" s="4"/>
    </row>
    <row r="7" spans="1:18" ht="15.95" customHeight="1" x14ac:dyDescent="0.25">
      <c r="A7" s="31">
        <v>3</v>
      </c>
      <c r="B7" s="37" t="s">
        <v>125</v>
      </c>
      <c r="C7" s="38" t="s">
        <v>38</v>
      </c>
      <c r="D7" s="35" t="s">
        <v>39</v>
      </c>
      <c r="E7" s="35" t="s">
        <v>37</v>
      </c>
      <c r="F7" s="35" t="s">
        <v>38</v>
      </c>
      <c r="G7" s="35" t="s">
        <v>39</v>
      </c>
      <c r="H7" s="35" t="s">
        <v>40</v>
      </c>
      <c r="J7" s="1" t="str">
        <f>JudgeHead</f>
        <v>Wertung 3 (H)</v>
      </c>
      <c r="K7" s="3" t="s">
        <v>128</v>
      </c>
      <c r="L7" s="3" t="s">
        <v>26</v>
      </c>
      <c r="M7" s="3" t="s">
        <v>21</v>
      </c>
      <c r="R7" s="4"/>
    </row>
    <row r="8" spans="1:18" ht="15.95" customHeight="1" x14ac:dyDescent="0.25">
      <c r="A8" s="14"/>
      <c r="B8" s="39"/>
      <c r="C8" s="40"/>
      <c r="D8" s="15"/>
      <c r="E8" s="15"/>
      <c r="F8" s="15"/>
      <c r="G8" s="15"/>
      <c r="H8" s="15"/>
      <c r="J8" s="1" t="str">
        <f>Judge4</f>
        <v>Wertung 4</v>
      </c>
      <c r="K8" s="3" t="s">
        <v>129</v>
      </c>
      <c r="L8" s="3" t="s">
        <v>27</v>
      </c>
      <c r="M8" s="3" t="s">
        <v>2</v>
      </c>
      <c r="R8" s="4"/>
    </row>
    <row r="9" spans="1:18" ht="15.95" customHeight="1" x14ac:dyDescent="0.25">
      <c r="A9" s="27"/>
      <c r="B9" s="37"/>
      <c r="C9" s="38"/>
      <c r="D9" s="35"/>
      <c r="E9" s="35"/>
      <c r="F9" s="35"/>
      <c r="G9" s="35"/>
      <c r="H9" s="35"/>
      <c r="J9" s="1" t="str">
        <f>Judge5</f>
        <v>Wertung 5</v>
      </c>
      <c r="K9" s="3" t="s">
        <v>130</v>
      </c>
      <c r="L9" s="3" t="s">
        <v>28</v>
      </c>
      <c r="M9" s="3" t="s">
        <v>3</v>
      </c>
      <c r="R9" s="4"/>
    </row>
    <row r="10" spans="1:18" ht="15.95" customHeight="1" x14ac:dyDescent="0.25">
      <c r="A10" s="14"/>
      <c r="B10" s="39"/>
      <c r="C10" s="40"/>
      <c r="D10" s="15"/>
      <c r="E10" s="15"/>
      <c r="F10" s="15"/>
      <c r="G10" s="15"/>
      <c r="H10" s="15"/>
      <c r="J10" s="1" t="str">
        <f>JudgeStandin</f>
        <v>Springer</v>
      </c>
      <c r="K10" s="3" t="s">
        <v>131</v>
      </c>
      <c r="L10" s="3" t="s">
        <v>29</v>
      </c>
      <c r="M10" s="3" t="s">
        <v>41</v>
      </c>
      <c r="R10" s="4"/>
    </row>
    <row r="11" spans="1:18" ht="15.95" customHeight="1" x14ac:dyDescent="0.25">
      <c r="A11" s="41"/>
      <c r="B11" s="37"/>
      <c r="C11" s="38"/>
      <c r="D11" s="38"/>
      <c r="E11" s="38"/>
      <c r="F11" s="38"/>
      <c r="G11" s="38"/>
      <c r="H11" s="38"/>
      <c r="I11" s="4"/>
      <c r="J11" s="1" t="str">
        <f>JudgeSupervisor</f>
        <v>Beobachter</v>
      </c>
      <c r="K11" s="3" t="s">
        <v>132</v>
      </c>
      <c r="L11" s="3" t="s">
        <v>30</v>
      </c>
      <c r="M11" s="3" t="s">
        <v>35</v>
      </c>
      <c r="R11" s="4"/>
    </row>
    <row r="12" spans="1:18" ht="15.95" customHeight="1" x14ac:dyDescent="0.25">
      <c r="A12" s="14"/>
      <c r="B12" s="39"/>
      <c r="C12" s="40"/>
      <c r="D12" s="15"/>
      <c r="E12" s="15"/>
      <c r="F12" s="15"/>
      <c r="G12" s="15"/>
      <c r="H12" s="15"/>
      <c r="J12" s="1" t="str">
        <f>JudgeOther1</f>
        <v>Sonst 1</v>
      </c>
      <c r="K12" s="3" t="s">
        <v>133</v>
      </c>
      <c r="L12" s="3" t="s">
        <v>31</v>
      </c>
      <c r="M12" s="3" t="s">
        <v>4</v>
      </c>
      <c r="R12" s="4"/>
    </row>
    <row r="13" spans="1:18" ht="15.75" x14ac:dyDescent="0.25">
      <c r="A13" s="27"/>
      <c r="B13" s="37"/>
      <c r="C13" s="38"/>
      <c r="D13" s="35"/>
      <c r="E13" s="35"/>
      <c r="F13" s="35"/>
      <c r="G13" s="35"/>
      <c r="H13" s="35"/>
      <c r="J13" s="1" t="str">
        <f>JudgeOther2</f>
        <v>Sonst 2</v>
      </c>
      <c r="R13" s="4"/>
    </row>
    <row r="14" spans="1:18" ht="15.75" x14ac:dyDescent="0.25">
      <c r="A14" s="14"/>
      <c r="B14" s="39"/>
      <c r="C14" s="40"/>
      <c r="D14" s="15"/>
      <c r="E14" s="15"/>
      <c r="F14" s="15"/>
      <c r="G14" s="15"/>
      <c r="H14" s="15"/>
      <c r="J14" s="1"/>
      <c r="R14" s="4"/>
    </row>
    <row r="15" spans="1:18" ht="15.75" x14ac:dyDescent="0.25">
      <c r="A15" s="27"/>
      <c r="B15" s="37"/>
      <c r="C15" s="38"/>
      <c r="D15" s="35"/>
      <c r="E15" s="35"/>
      <c r="F15" s="35"/>
      <c r="G15" s="35"/>
      <c r="H15" s="35"/>
      <c r="R15" s="4"/>
    </row>
    <row r="16" spans="1:18" ht="15.75" x14ac:dyDescent="0.25">
      <c r="A16" s="14"/>
      <c r="B16" s="39"/>
      <c r="C16" s="40"/>
      <c r="D16" s="15"/>
      <c r="E16" s="15"/>
      <c r="F16" s="15"/>
      <c r="G16" s="15"/>
      <c r="H16" s="15"/>
    </row>
    <row r="17" spans="1:10" ht="15.75" x14ac:dyDescent="0.25">
      <c r="A17" s="29"/>
      <c r="B17" s="42"/>
      <c r="C17" s="36"/>
      <c r="D17" s="36"/>
      <c r="E17" s="36"/>
      <c r="F17" s="36"/>
      <c r="G17" s="36"/>
      <c r="H17" s="36"/>
    </row>
    <row r="18" spans="1:10" x14ac:dyDescent="0.25">
      <c r="H18" s="4">
        <f>ChampionshipDate</f>
        <v>42532</v>
      </c>
    </row>
    <row r="24" spans="1:10" x14ac:dyDescent="0.25">
      <c r="E24" s="9"/>
      <c r="F24" s="10"/>
      <c r="G24" s="9"/>
      <c r="H24" s="10"/>
      <c r="I24" s="10"/>
      <c r="J24" s="9"/>
    </row>
    <row r="32" spans="1:10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KoshikiFiles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L39"/>
  <sheetViews>
    <sheetView workbookViewId="0">
      <selection activeCell="B3" sqref="B3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68</v>
      </c>
      <c r="L1" t="s">
        <v>55</v>
      </c>
    </row>
    <row r="3" spans="1:12" x14ac:dyDescent="0.25">
      <c r="A3" t="s">
        <v>70</v>
      </c>
      <c r="B3" s="5" t="s">
        <v>17</v>
      </c>
      <c r="C3">
        <v>1</v>
      </c>
    </row>
    <row r="4" spans="1:12" x14ac:dyDescent="0.25">
      <c r="A4" s="3" t="s">
        <v>71</v>
      </c>
      <c r="B4" s="5" t="s">
        <v>42</v>
      </c>
      <c r="C4">
        <v>2</v>
      </c>
    </row>
    <row r="5" spans="1:12" x14ac:dyDescent="0.25">
      <c r="A5" t="s">
        <v>161</v>
      </c>
      <c r="B5" s="5" t="s">
        <v>135</v>
      </c>
      <c r="C5" s="3">
        <v>3</v>
      </c>
    </row>
    <row r="6" spans="1:12" x14ac:dyDescent="0.25">
      <c r="A6" t="s">
        <v>69</v>
      </c>
      <c r="B6" s="6">
        <v>42532</v>
      </c>
      <c r="C6" s="3">
        <v>4</v>
      </c>
    </row>
    <row r="7" spans="1:12" x14ac:dyDescent="0.25">
      <c r="A7" t="s">
        <v>162</v>
      </c>
      <c r="B7" s="5" t="s">
        <v>136</v>
      </c>
      <c r="C7" s="3">
        <v>5</v>
      </c>
    </row>
    <row r="8" spans="1:12" x14ac:dyDescent="0.25">
      <c r="A8" t="s">
        <v>56</v>
      </c>
      <c r="B8" s="5" t="s">
        <v>10</v>
      </c>
      <c r="C8" s="3">
        <v>6</v>
      </c>
    </row>
    <row r="9" spans="1:12" x14ac:dyDescent="0.25">
      <c r="A9" t="s">
        <v>57</v>
      </c>
      <c r="B9" s="5" t="s">
        <v>11</v>
      </c>
      <c r="C9" s="3">
        <v>7</v>
      </c>
    </row>
    <row r="10" spans="1:12" x14ac:dyDescent="0.25">
      <c r="A10" t="s">
        <v>59</v>
      </c>
      <c r="B10" s="5" t="s">
        <v>14</v>
      </c>
      <c r="C10" s="3">
        <v>8</v>
      </c>
    </row>
    <row r="11" spans="1:12" x14ac:dyDescent="0.25">
      <c r="A11" t="s">
        <v>58</v>
      </c>
      <c r="B11" s="5" t="s">
        <v>12</v>
      </c>
      <c r="C11" s="3">
        <v>9</v>
      </c>
    </row>
    <row r="12" spans="1:12" x14ac:dyDescent="0.25">
      <c r="A12" t="s">
        <v>60</v>
      </c>
      <c r="B12" s="5" t="s">
        <v>13</v>
      </c>
      <c r="C12" s="3">
        <v>10</v>
      </c>
    </row>
    <row r="13" spans="1:12" x14ac:dyDescent="0.25">
      <c r="A13" t="s">
        <v>61</v>
      </c>
      <c r="B13" s="5" t="s">
        <v>15</v>
      </c>
      <c r="C13" s="3">
        <v>11</v>
      </c>
    </row>
    <row r="14" spans="1:12" x14ac:dyDescent="0.25">
      <c r="A14" t="s">
        <v>62</v>
      </c>
      <c r="B14" s="5" t="s">
        <v>7</v>
      </c>
      <c r="C14" s="3">
        <v>12</v>
      </c>
    </row>
    <row r="15" spans="1:12" x14ac:dyDescent="0.25">
      <c r="A15" t="s">
        <v>63</v>
      </c>
      <c r="B15" s="5" t="s">
        <v>18</v>
      </c>
      <c r="C15" s="3">
        <v>13</v>
      </c>
    </row>
    <row r="16" spans="1:12" x14ac:dyDescent="0.25">
      <c r="A16" t="s">
        <v>64</v>
      </c>
      <c r="B16" s="5" t="s">
        <v>49</v>
      </c>
      <c r="C16" s="3">
        <v>14</v>
      </c>
    </row>
    <row r="17" spans="1:8" x14ac:dyDescent="0.25">
      <c r="A17" s="3" t="s">
        <v>65</v>
      </c>
      <c r="B17" s="5" t="s">
        <v>50</v>
      </c>
      <c r="C17" s="3">
        <v>15</v>
      </c>
    </row>
    <row r="18" spans="1:8" x14ac:dyDescent="0.25">
      <c r="A18" t="s">
        <v>67</v>
      </c>
      <c r="B18" s="5" t="s">
        <v>8</v>
      </c>
      <c r="C18" s="3">
        <v>16</v>
      </c>
    </row>
    <row r="19" spans="1:8" x14ac:dyDescent="0.25">
      <c r="A19" t="s">
        <v>5</v>
      </c>
      <c r="B19" t="s">
        <v>5</v>
      </c>
      <c r="C19" s="3">
        <v>17</v>
      </c>
    </row>
    <row r="20" spans="1:8" x14ac:dyDescent="0.25">
      <c r="A20" s="3" t="s">
        <v>165</v>
      </c>
      <c r="B20" t="s">
        <v>6</v>
      </c>
      <c r="C20" s="3">
        <v>18</v>
      </c>
    </row>
    <row r="21" spans="1:8" x14ac:dyDescent="0.25">
      <c r="A21" s="3" t="s">
        <v>66</v>
      </c>
      <c r="B21" s="5" t="s">
        <v>9</v>
      </c>
      <c r="C21" s="3">
        <v>19</v>
      </c>
    </row>
    <row r="22" spans="1:8" x14ac:dyDescent="0.25">
      <c r="A22" t="s">
        <v>163</v>
      </c>
      <c r="B22" s="5" t="s">
        <v>164</v>
      </c>
      <c r="C22" s="3">
        <v>20</v>
      </c>
    </row>
    <row r="23" spans="1:8" x14ac:dyDescent="0.25">
      <c r="A23" t="s">
        <v>137</v>
      </c>
      <c r="B23" s="5" t="s">
        <v>138</v>
      </c>
      <c r="C23" s="3">
        <v>21</v>
      </c>
    </row>
    <row r="24" spans="1:8" x14ac:dyDescent="0.25">
      <c r="A24" t="s">
        <v>48</v>
      </c>
      <c r="B24" s="5" t="s">
        <v>54</v>
      </c>
      <c r="C24" s="3">
        <v>22</v>
      </c>
    </row>
    <row r="25" spans="1:8" x14ac:dyDescent="0.25">
      <c r="A25" s="47" t="s">
        <v>139</v>
      </c>
      <c r="B25" s="47" t="s">
        <v>140</v>
      </c>
      <c r="C25" s="3">
        <v>23</v>
      </c>
    </row>
    <row r="26" spans="1:8" x14ac:dyDescent="0.25">
      <c r="A26" s="48" t="s">
        <v>166</v>
      </c>
      <c r="B26" s="47" t="s">
        <v>141</v>
      </c>
      <c r="C26" s="3">
        <v>24</v>
      </c>
    </row>
    <row r="27" spans="1:8" x14ac:dyDescent="0.25">
      <c r="A27" s="48" t="s">
        <v>167</v>
      </c>
      <c r="B27" s="47" t="s">
        <v>142</v>
      </c>
      <c r="C27" s="3">
        <v>25</v>
      </c>
    </row>
    <row r="28" spans="1:8" x14ac:dyDescent="0.25">
      <c r="A28" s="48" t="s">
        <v>168</v>
      </c>
      <c r="B28" s="47" t="s">
        <v>143</v>
      </c>
      <c r="C28" s="3">
        <v>26</v>
      </c>
    </row>
    <row r="29" spans="1:8" x14ac:dyDescent="0.25">
      <c r="A29" s="48" t="s">
        <v>169</v>
      </c>
      <c r="B29" s="47" t="s">
        <v>144</v>
      </c>
      <c r="C29" s="3">
        <v>27</v>
      </c>
    </row>
    <row r="30" spans="1:8" x14ac:dyDescent="0.25">
      <c r="A30" s="48" t="s">
        <v>170</v>
      </c>
      <c r="B30" s="47" t="s">
        <v>145</v>
      </c>
      <c r="C30" s="3">
        <v>28</v>
      </c>
      <c r="G30" s="47"/>
      <c r="H30" s="47"/>
    </row>
    <row r="31" spans="1:8" x14ac:dyDescent="0.25">
      <c r="A31" s="48" t="s">
        <v>171</v>
      </c>
      <c r="B31" s="47" t="s">
        <v>146</v>
      </c>
      <c r="C31" s="3">
        <v>29</v>
      </c>
      <c r="G31" s="47"/>
      <c r="H31" s="47"/>
    </row>
    <row r="32" spans="1:8" x14ac:dyDescent="0.25">
      <c r="A32" s="47" t="s">
        <v>147</v>
      </c>
      <c r="B32" s="47" t="s">
        <v>148</v>
      </c>
      <c r="C32" s="3">
        <v>30</v>
      </c>
      <c r="G32" s="47"/>
      <c r="H32" s="47"/>
    </row>
    <row r="33" spans="1:8" x14ac:dyDescent="0.25">
      <c r="A33" s="48" t="s">
        <v>149</v>
      </c>
      <c r="B33" s="5" t="s">
        <v>150</v>
      </c>
      <c r="C33" s="3">
        <v>31</v>
      </c>
      <c r="D33" s="47"/>
      <c r="E33" s="47"/>
      <c r="G33" s="47"/>
      <c r="H33" s="47"/>
    </row>
    <row r="34" spans="1:8" x14ac:dyDescent="0.25">
      <c r="A34" s="47" t="s">
        <v>151</v>
      </c>
      <c r="B34" s="47" t="s">
        <v>152</v>
      </c>
      <c r="C34" s="3">
        <v>32</v>
      </c>
    </row>
    <row r="35" spans="1:8" x14ac:dyDescent="0.25">
      <c r="A35" s="47" t="s">
        <v>153</v>
      </c>
      <c r="B35" s="47" t="s">
        <v>154</v>
      </c>
      <c r="C35" s="3">
        <v>33</v>
      </c>
      <c r="D35" s="47"/>
      <c r="E35" s="47"/>
    </row>
    <row r="36" spans="1:8" x14ac:dyDescent="0.25">
      <c r="A36" s="47" t="s">
        <v>155</v>
      </c>
      <c r="B36" s="47" t="s">
        <v>156</v>
      </c>
      <c r="C36" s="3">
        <v>34</v>
      </c>
    </row>
    <row r="37" spans="1:8" x14ac:dyDescent="0.25">
      <c r="A37" s="47" t="s">
        <v>157</v>
      </c>
      <c r="B37" s="47" t="s">
        <v>158</v>
      </c>
      <c r="C37" s="3">
        <v>35</v>
      </c>
    </row>
    <row r="38" spans="1:8" x14ac:dyDescent="0.25">
      <c r="A38" s="47" t="s">
        <v>159</v>
      </c>
      <c r="B38" s="47" t="s">
        <v>160</v>
      </c>
      <c r="C38" s="3">
        <v>36</v>
      </c>
    </row>
    <row r="39" spans="1:8" x14ac:dyDescent="0.25">
      <c r="D39" s="47"/>
      <c r="E39" s="47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AllFiles">
                <anchor moveWithCells="1" sizeWithCells="1">
                  <from>
                    <xdr:col>3</xdr:col>
                    <xdr:colOff>781050</xdr:colOff>
                    <xdr:row>5</xdr:row>
                    <xdr:rowOff>47625</xdr:rowOff>
                  </from>
                  <to>
                    <xdr:col>5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51</vt:i4>
      </vt:variant>
    </vt:vector>
  </HeadingPairs>
  <TitlesOfParts>
    <vt:vector size="58" baseType="lpstr">
      <vt:lpstr>1 Nage</vt:lpstr>
      <vt:lpstr>2 Katame</vt:lpstr>
      <vt:lpstr>3 Ju</vt:lpstr>
      <vt:lpstr>4 Kime</vt:lpstr>
      <vt:lpstr>5 Goshin</vt:lpstr>
      <vt:lpstr>6 Koshiki</vt:lpstr>
      <vt:lpstr>Konfiguration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Konfiguration!Druckbereich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2016-12-26T21:01:59Z</cp:lastPrinted>
  <dcterms:created xsi:type="dcterms:W3CDTF">2016-05-27T22:45:24Z</dcterms:created>
  <dcterms:modified xsi:type="dcterms:W3CDTF">2017-05-15T00:08:34Z</dcterms:modified>
</cp:coreProperties>
</file>