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EC92CA65-2258-4AE1-BFAC-7FC3A34DB709}" xr6:coauthVersionLast="41" xr6:coauthVersionMax="41" xr10:uidLastSave="{00000000-0000-0000-0000-000000000000}"/>
  <bookViews>
    <workbookView xWindow="23940" yWindow="-11928" windowWidth="38508" windowHeight="222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81029"/>
</workbook>
</file>

<file path=xl/calcChain.xml><?xml version="1.0" encoding="utf-8"?>
<calcChain xmlns="http://schemas.openxmlformats.org/spreadsheetml/2006/main">
  <c r="L36" i="22" l="1"/>
  <c r="K36" i="22"/>
  <c r="J36" i="22"/>
  <c r="I36" i="22"/>
  <c r="H36" i="22"/>
  <c r="G36" i="22"/>
  <c r="F36" i="22"/>
  <c r="K36" i="12"/>
  <c r="J36" i="12"/>
  <c r="I36" i="12"/>
  <c r="H36" i="12"/>
  <c r="G36" i="12"/>
  <c r="F36" i="12"/>
  <c r="L36" i="10"/>
  <c r="K36" i="10"/>
  <c r="J36" i="10"/>
  <c r="I36" i="10"/>
  <c r="H36" i="10"/>
  <c r="G36" i="10"/>
  <c r="F36" i="10"/>
  <c r="L36" i="8"/>
  <c r="K36" i="8"/>
  <c r="J36" i="8"/>
  <c r="I36" i="8"/>
  <c r="H36" i="8"/>
  <c r="G36" i="8"/>
  <c r="F36" i="8"/>
  <c r="L36" i="20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J5" i="1" l="1"/>
  <c r="B1" i="13"/>
  <c r="B1" i="21"/>
  <c r="B1" i="19"/>
  <c r="B1" i="11"/>
  <c r="B1" i="17"/>
  <c r="B1" i="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36" i="12" s="1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8" l="1"/>
  <c r="L36" i="1"/>
  <c r="X4" i="17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<sst xmlns="http://schemas.openxmlformats.org/spreadsheetml/2006/main" count="461" uniqueCount="238">
  <si>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</si>
  <si>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</si>
  <si>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</si>
  <si>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</si>
  <si>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</si>
  <si>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</si>
  <si>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</si>
  <si>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</si>
  <si>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</si>
  <si>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</si>
  <si>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</si>
  <si>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</si>
  <si>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</si>
  <si>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</si>
  <si>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</si>
  <si>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</si>
  <si>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</si>
  <si>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</si>
  <si>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</si>
  <si>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</si>
  <si>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</si>
  <si>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</si>
  <si>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</si>
  <si>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</si>
  <si>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</si>
  <si>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</si>
  <si>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</si>
  <si>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</si>
  <si>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</si>
  <si>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</si>
  <si>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</si>
  <si>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</si>
  <si>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</si>
  <si>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</si>
  <si>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</si>
  <si>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</si>
  <si>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</si>
  <si>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</si>
  <si>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</si>
  <si>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</si>
  <si>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</si>
  <si>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</si>
  <si>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</si>
  <si>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</si>
  <si>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</si>
  <si>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</si>
  <si>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</si>
  <si>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</si>
  <si>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</si>
  <si>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</si>
  <si>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</si>
  <si>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</si>
  <si>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</si>
  <si>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</si>
  <si>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</si>
  <si>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</si>
  <si>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</si>
  <si>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</si>
  <si>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</si>
  <si>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</si>
  <si>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</si>
  <si>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</si>
  <si>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</si>
  <si>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</si>
  <si>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</si>
  <si>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</si>
  <si>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</si>
  <si>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</si>
  <si>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</si>
  <si>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</si>
  <si>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</si>
  <si>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</si>
  <si>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</si>
  <si>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</si>
  <si>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</si>
  <si>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</si>
  <si>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</si>
  <si>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</si>
  <si>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</si>
  <si>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</si>
  <si>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</si>
  <si>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</si>
  <si>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</si>
  <si>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</si>
  <si>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</si>
  <si>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</si>
  <si>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</si>
  <si>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</si>
  <si>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</si>
  <si>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</si>
  <si>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</si>
  <si>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</si>
  <si>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</si>
  <si>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</si>
  <si>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</si>
  <si>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</si>
  <si>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</si>
  <si>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</si>
  <si>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</si>
  <si>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</si>
  <si>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</si>
  <si>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</si>
  <si>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</si>
  <si>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</si>
  <si>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</si>
  <si>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</si>
  <si>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</si>
  <si>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</si>
  <si>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</si>
  <si>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</si>
  <si>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</si>
  <si>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</si>
  <si>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</si>
  <si>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</si>
  <si>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</si>
  <si>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</si>
  <si>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</si>
  <si>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</si>
  <si>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</si>
  <si>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</si>
  <si>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</si>
  <si>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</si>
  <si>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</si>
  <si>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</si>
  <si>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</si>
  <si>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</si>
  <si>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</si>
  <si>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</si>
  <si>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</si>
  <si>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</si>
  <si>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</si>
  <si>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</si>
  <si>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</si>
  <si>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</si>
  <si>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</si>
  <si>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</si>
  <si>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</si>
  <si>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</si>
  <si>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</si>
  <si>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</si>
  <si>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</si>
  <si>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</si>
  <si>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</si>
  <si>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</si>
  <si>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</si>
  <si>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</si>
  <si>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</si>
  <si>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</si>
  <si>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</si>
  <si>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</si>
  <si>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</si>
  <si>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</si>
  <si>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</si>
  <si>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</si>
  <si>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</si>
  <si>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</si>
  <si>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</si>
  <si>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</si>
  <si>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</si>
  <si>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</si>
  <si>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</si>
  <si>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</si>
  <si>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</si>
  <si>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</si>
  <si>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</si>
  <si>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</si>
  <si>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</si>
  <si>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</si>
  <si>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</si>
  <si>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</si>
  <si>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</si>
  <si>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</si>
  <si>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</si>
  <si>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</si>
  <si>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</si>
  <si>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</si>
  <si>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</si>
  <si>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</si>
  <si>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</si>
  <si>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</si>
  <si>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</si>
  <si>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</si>
  <si>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</si>
  <si>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</si>
  <si>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</si>
  <si>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</si>
  <si>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</si>
  <si>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</si>
  <si>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</si>
  <si>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</si>
  <si>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</si>
  <si>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</si>
  <si>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</si>
  <si>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</si>
  <si>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</si>
  <si>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</si>
  <si>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</si>
  <si>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</si>
  <si>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</si>
  <si>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</si>
  <si>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</si>
  <si>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</si>
  <si>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</si>
  <si>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</si>
  <si>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</si>
  <si>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</si>
  <si>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</si>
  <si>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</si>
  <si>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</si>
  <si>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</si>
  <si>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</si>
  <si>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</si>
  <si>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</si>
  <si>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</si>
  <si>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</si>
  <si>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</si>
  <si>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</si>
  <si>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</si>
  <si>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</si>
  <si>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</si>
  <si>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</si>
  <si>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</si>
  <si>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</si>
  <si>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</si>
  <si>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</si>
  <si>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</si>
  <si>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</si>
  <si>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</si>
  <si>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</si>
  <si>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</si>
  <si>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</si>
  <si>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</si>
  <si>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</si>
  <si>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Tsuki dashi</t>
  </si>
  <si>
    <t>Uchi mata Rechts</t>
  </si>
  <si>
    <t>Uchi mata Links</t>
  </si>
  <si>
    <t>Harai goshi Rechts</t>
  </si>
  <si>
    <t>Harai goshi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</si>
</sst>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390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 hidden="1"/>
    </xf>
    <xf numFmtId="0" fontId="4" fillId="0" borderId="15" xfId="0" applyFont="1" applyBorder="1" applyAlignment="1" applyProtection="1">
      <alignment horizontal="center" vertical="center"/>
      <protection locked="0"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9" fillId="0" borderId="0" xfId="0" applyFont="1" applyAlignment="1" applyProtection="1">
      <alignment vertical="center"/>
      <protection locked="0" hidden="1"/>
    </xf>
    <xf numFmtId="0" fontId="18" fillId="0" borderId="0" xfId="0" applyFont="1"/>
    <xf numFmtId="0" fontId="10" fillId="0" borderId="0" xfId="0" applyFont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19" fillId="0" borderId="0" xfId="0" applyFont="1" applyAlignment="1">
      <alignment textRotation="90"/>
    </xf>
    <xf numFmtId="0" fontId="0" fillId="0" borderId="0" xfId="0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Alignment="1" applyProtection="1">
      <alignment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Border="1" applyAlignment="1" applyProtection="1">
      <alignment horizontal="center" vertical="center"/>
      <protection locked="0" hidden="1"/>
    </xf>
    <xf numFmtId="164" fontId="29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Border="1" applyAlignment="1" applyProtection="1">
      <alignment horizontal="center" vertical="center"/>
      <protection locked="0" hidden="1"/>
    </xf>
    <xf numFmtId="164" fontId="29" fillId="0" borderId="82" xfId="0" applyNumberFormat="1" applyFont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Border="1" applyAlignment="1" applyProtection="1">
      <alignment horizontal="center" vertical="center"/>
      <protection hidden="1"/>
    </xf>
    <xf numFmtId="164" fontId="29" fillId="0" borderId="60" xfId="0" applyNumberFormat="1" applyFont="1" applyBorder="1" applyAlignment="1" applyProtection="1">
      <alignment horizontal="center" vertical="center"/>
      <protection hidden="1"/>
    </xf>
    <xf numFmtId="164" fontId="29" fillId="0" borderId="44" xfId="0" applyNumberFormat="1" applyFont="1" applyBorder="1" applyAlignment="1" applyProtection="1">
      <alignment horizontal="center" vertical="center"/>
      <protection hidden="1"/>
    </xf>
    <xf numFmtId="164" fontId="29" fillId="3" borderId="74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4" xfId="0" applyNumberFormat="1" applyFont="1" applyBorder="1" applyAlignment="1" applyProtection="1">
      <alignment horizontal="center" vertical="center"/>
      <protection hidden="1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30" fillId="0" borderId="0" xfId="0" applyFont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4" xfId="0" applyFont="1" applyBorder="1"/>
    <xf numFmtId="0" fontId="33" fillId="0" borderId="0" xfId="0" applyFont="1"/>
    <xf numFmtId="0" fontId="30" fillId="0" borderId="0" xfId="0" applyFont="1"/>
    <xf numFmtId="0" fontId="30" fillId="0" borderId="94" xfId="0" applyFont="1" applyBorder="1" applyAlignment="1">
      <alignment textRotation="90"/>
    </xf>
    <xf numFmtId="0" fontId="34" fillId="0" borderId="8" xfId="0" applyFont="1" applyBorder="1"/>
    <xf numFmtId="0" fontId="20" fillId="0" borderId="77" xfId="0" applyFont="1" applyBorder="1"/>
    <xf numFmtId="0" fontId="35" fillId="0" borderId="41" xfId="0" applyFont="1" applyBorder="1"/>
    <xf numFmtId="0" fontId="35" fillId="0" borderId="0" xfId="0" applyFont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Alignment="1">
      <alignment horizontal="right"/>
    </xf>
    <xf numFmtId="1" fontId="36" fillId="0" borderId="0" xfId="0" applyNumberFormat="1" applyFont="1" applyAlignment="1">
      <alignment horizontal="right"/>
    </xf>
    <xf numFmtId="164" fontId="36" fillId="0" borderId="94" xfId="0" applyNumberFormat="1" applyFont="1" applyBorder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36" fillId="0" borderId="0" xfId="0" applyFont="1" applyAlignment="1">
      <alignment horizontal="right"/>
    </xf>
    <xf numFmtId="0" fontId="36" fillId="0" borderId="94" xfId="0" applyFont="1" applyBorder="1" applyAlignment="1">
      <alignment horizontal="right"/>
    </xf>
    <xf numFmtId="164" fontId="38" fillId="0" borderId="8" xfId="0" applyNumberFormat="1" applyFont="1" applyBorder="1" applyAlignment="1">
      <alignment horizontal="right"/>
    </xf>
    <xf numFmtId="1" fontId="38" fillId="0" borderId="8" xfId="0" applyNumberFormat="1" applyFont="1" applyBorder="1" applyAlignment="1">
      <alignment horizontal="right"/>
    </xf>
    <xf numFmtId="1" fontId="38" fillId="0" borderId="6" xfId="0" applyNumberFormat="1" applyFont="1" applyBorder="1" applyAlignment="1">
      <alignment horizontal="right"/>
    </xf>
    <xf numFmtId="9" fontId="36" fillId="0" borderId="93" xfId="2" applyFont="1" applyBorder="1" applyAlignment="1">
      <alignment horizontal="right"/>
    </xf>
    <xf numFmtId="9" fontId="36" fillId="0" borderId="94" xfId="2" applyFont="1" applyBorder="1" applyAlignment="1">
      <alignment horizontal="right"/>
    </xf>
    <xf numFmtId="164" fontId="36" fillId="0" borderId="77" xfId="0" applyNumberFormat="1" applyFont="1" applyBorder="1" applyAlignment="1">
      <alignment horizontal="right"/>
    </xf>
    <xf numFmtId="1" fontId="36" fillId="0" borderId="77" xfId="0" applyNumberFormat="1" applyFont="1" applyBorder="1" applyAlignment="1">
      <alignment horizontal="right"/>
    </xf>
    <xf numFmtId="164" fontId="39" fillId="0" borderId="41" xfId="0" applyNumberFormat="1" applyFont="1" applyBorder="1" applyAlignment="1">
      <alignment horizontal="right"/>
    </xf>
    <xf numFmtId="1" fontId="39" fillId="0" borderId="41" xfId="0" applyNumberFormat="1" applyFont="1" applyBorder="1" applyAlignment="1">
      <alignment horizontal="right"/>
    </xf>
    <xf numFmtId="9" fontId="39" fillId="0" borderId="95" xfId="2" applyFont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4" xfId="0" applyFont="1" applyBorder="1"/>
    <xf numFmtId="1" fontId="39" fillId="0" borderId="0" xfId="0" applyNumberFormat="1" applyFont="1" applyAlignment="1">
      <alignment horizontal="right"/>
    </xf>
    <xf numFmtId="9" fontId="39" fillId="0" borderId="94" xfId="2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1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80" xfId="0" applyFont="1" applyFill="1" applyBorder="1" applyAlignment="1" applyProtection="1">
      <alignment horizontal="center" vertical="center"/>
      <protection locked="0" hidden="1"/>
    </xf>
    <xf numFmtId="0" fontId="29" fillId="3" borderId="84" xfId="0" applyFont="1" applyFill="1" applyBorder="1" applyAlignment="1" applyProtection="1">
      <alignment horizontal="center" vertical="center"/>
      <protection locked="0" hidden="1"/>
    </xf>
    <xf numFmtId="0" fontId="29" fillId="3" borderId="82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1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84" xfId="0" applyFont="1" applyFill="1" applyBorder="1" applyAlignment="1" applyProtection="1">
      <alignment horizontal="center" vertical="center"/>
      <protection locked="0" hidden="1"/>
    </xf>
    <xf numFmtId="0" fontId="29" fillId="5" borderId="82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Border="1" applyAlignment="1" applyProtection="1">
      <alignment horizontal="center" vertical="center"/>
      <protection hidden="1"/>
    </xf>
    <xf numFmtId="0" fontId="41" fillId="0" borderId="39" xfId="0" applyFont="1" applyBorder="1" applyAlignment="1" applyProtection="1">
      <alignment horizontal="center" vertical="center"/>
      <protection hidden="1"/>
    </xf>
    <xf numFmtId="164" fontId="41" fillId="0" borderId="40" xfId="0" applyNumberFormat="1" applyFont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6" xfId="0" applyFont="1" applyFill="1" applyBorder="1" applyAlignment="1" applyProtection="1">
      <alignment horizontal="center" vertical="center"/>
      <protection locked="0" hidden="1"/>
    </xf>
    <xf numFmtId="0" fontId="29" fillId="0" borderId="25" xfId="0" applyFont="1" applyBorder="1" applyAlignment="1" applyProtection="1">
      <alignment horizontal="center" vertical="center"/>
      <protection locked="0" hidden="1"/>
    </xf>
    <xf numFmtId="0" fontId="29" fillId="0" borderId="28" xfId="0" applyFont="1" applyBorder="1" applyAlignment="1" applyProtection="1">
      <alignment horizontal="center" vertical="center"/>
      <protection locked="0" hidden="1"/>
    </xf>
    <xf numFmtId="0" fontId="29" fillId="0" borderId="26" xfId="0" applyFont="1" applyBorder="1" applyAlignment="1" applyProtection="1">
      <alignment horizontal="center" vertical="center"/>
      <protection locked="0" hidden="1"/>
    </xf>
    <xf numFmtId="0" fontId="29" fillId="0" borderId="29" xfId="0" applyFont="1" applyBorder="1" applyAlignment="1" applyProtection="1">
      <alignment horizontal="center" vertical="center"/>
      <protection locked="0" hidden="1"/>
    </xf>
    <xf numFmtId="0" fontId="29" fillId="0" borderId="48" xfId="0" applyFont="1" applyBorder="1" applyAlignment="1" applyProtection="1">
      <alignment horizontal="center" vertical="center"/>
      <protection locked="0" hidden="1"/>
    </xf>
    <xf numFmtId="0" fontId="29" fillId="0" borderId="46" xfId="0" applyFont="1" applyBorder="1" applyAlignment="1" applyProtection="1">
      <alignment horizontal="center" vertical="center"/>
      <protection locked="0" hidden="1"/>
    </xf>
    <xf numFmtId="0" fontId="29" fillId="0" borderId="71" xfId="0" applyFont="1" applyBorder="1" applyAlignment="1" applyProtection="1">
      <alignment horizontal="center" vertical="center"/>
      <protection locked="0" hidden="1"/>
    </xf>
    <xf numFmtId="0" fontId="29" fillId="0" borderId="47" xfId="0" applyFont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0" fontId="29" fillId="3" borderId="88" xfId="0" applyFont="1" applyFill="1" applyBorder="1" applyAlignment="1" applyProtection="1">
      <alignment horizontal="center" vertical="center"/>
      <protection locked="0" hidden="1"/>
    </xf>
    <xf numFmtId="0" fontId="29" fillId="3" borderId="90" xfId="0" applyFont="1" applyFill="1" applyBorder="1" applyAlignment="1" applyProtection="1">
      <alignment horizontal="center" vertical="center"/>
      <protection locked="0" hidden="1"/>
    </xf>
    <xf numFmtId="0" fontId="29" fillId="3" borderId="89" xfId="0" applyFont="1" applyFill="1" applyBorder="1" applyAlignment="1" applyProtection="1">
      <alignment horizontal="center" vertical="center"/>
      <protection locked="0" hidden="1"/>
    </xf>
    <xf numFmtId="0" fontId="29" fillId="0" borderId="45" xfId="0" applyFont="1" applyBorder="1" applyAlignment="1" applyProtection="1">
      <alignment horizontal="center" vertical="center"/>
      <protection locked="0" hidden="1"/>
    </xf>
    <xf numFmtId="0" fontId="29" fillId="0" borderId="80" xfId="0" applyFont="1" applyBorder="1" applyAlignment="1" applyProtection="1">
      <alignment horizontal="center" vertical="center"/>
      <protection locked="0" hidden="1"/>
    </xf>
    <xf numFmtId="0" fontId="29" fillId="0" borderId="84" xfId="0" applyFont="1" applyBorder="1" applyAlignment="1" applyProtection="1">
      <alignment horizontal="center" vertical="center"/>
      <protection locked="0" hidden="1"/>
    </xf>
    <xf numFmtId="0" fontId="29" fillId="0" borderId="82" xfId="0" applyFont="1" applyBorder="1" applyAlignment="1" applyProtection="1">
      <alignment horizontal="center" vertical="center"/>
      <protection locked="0" hidden="1"/>
    </xf>
    <xf numFmtId="0" fontId="29" fillId="0" borderId="35" xfId="0" applyFont="1" applyBorder="1" applyAlignment="1" applyProtection="1">
      <alignment horizontal="center" vertical="center"/>
      <protection locked="0" hidden="1"/>
    </xf>
    <xf numFmtId="0" fontId="29" fillId="0" borderId="81" xfId="0" applyFont="1" applyBorder="1" applyAlignment="1" applyProtection="1">
      <alignment horizontal="center" vertical="center"/>
      <protection locked="0" hidden="1"/>
    </xf>
    <xf numFmtId="0" fontId="29" fillId="0" borderId="34" xfId="0" applyFont="1" applyBorder="1" applyAlignment="1" applyProtection="1">
      <alignment horizontal="center" vertical="center"/>
      <protection locked="0" hidden="1"/>
    </xf>
    <xf numFmtId="0" fontId="29" fillId="0" borderId="36" xfId="0" applyFont="1" applyBorder="1" applyAlignment="1" applyProtection="1">
      <alignment horizontal="center" vertical="center"/>
      <protection locked="0" hidden="1"/>
    </xf>
    <xf numFmtId="0" fontId="29" fillId="0" borderId="70" xfId="0" applyFont="1" applyBorder="1" applyAlignment="1" applyProtection="1">
      <alignment horizontal="center" vertical="center"/>
      <protection locked="0" hidden="1"/>
    </xf>
    <xf numFmtId="0" fontId="29" fillId="0" borderId="86" xfId="0" applyFont="1" applyBorder="1" applyAlignment="1" applyProtection="1">
      <alignment horizontal="center" vertical="center"/>
      <protection locked="0" hidden="1"/>
    </xf>
    <xf numFmtId="0" fontId="29" fillId="0" borderId="85" xfId="0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locked="0" hidden="1"/>
    </xf>
    <xf numFmtId="0" fontId="29" fillId="0" borderId="91" xfId="0" applyFont="1" applyBorder="1" applyAlignment="1" applyProtection="1">
      <alignment horizontal="center" vertical="center"/>
      <protection locked="0" hidden="1"/>
    </xf>
    <xf numFmtId="0" fontId="29" fillId="0" borderId="23" xfId="0" applyFont="1" applyBorder="1" applyAlignment="1" applyProtection="1">
      <alignment horizontal="center" vertical="center"/>
      <protection locked="0" hidden="1"/>
    </xf>
    <xf numFmtId="0" fontId="29" fillId="0" borderId="24" xfId="0" applyFont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2" xfId="0" applyFont="1" applyFill="1" applyBorder="1" applyAlignment="1" applyProtection="1">
      <alignment horizontal="center" vertical="center"/>
      <protection locked="0" hidden="1"/>
    </xf>
    <xf numFmtId="164" fontId="29" fillId="0" borderId="71" xfId="0" applyNumberFormat="1" applyFont="1" applyBorder="1" applyAlignment="1" applyProtection="1">
      <alignment horizontal="center" vertical="center"/>
      <protection locked="0" hidden="1"/>
    </xf>
    <xf numFmtId="164" fontId="29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Border="1" applyAlignment="1" applyProtection="1">
      <alignment horizontal="center" vertical="center"/>
      <protection locked="0" hidden="1"/>
    </xf>
    <xf numFmtId="0" fontId="29" fillId="0" borderId="43" xfId="0" applyFont="1" applyBorder="1" applyAlignment="1" applyProtection="1">
      <alignment horizontal="center" vertical="center"/>
      <protection locked="0" hidden="1"/>
    </xf>
    <xf numFmtId="0" fontId="29" fillId="0" borderId="62" xfId="0" applyFont="1" applyBorder="1" applyAlignment="1" applyProtection="1">
      <alignment horizontal="center" vertical="center"/>
      <protection locked="0" hidden="1"/>
    </xf>
    <xf numFmtId="0" fontId="29" fillId="0" borderId="44" xfId="0" applyFont="1" applyBorder="1" applyAlignment="1" applyProtection="1">
      <alignment horizontal="center" vertical="center"/>
      <protection locked="0" hidden="1"/>
    </xf>
    <xf numFmtId="164" fontId="29" fillId="0" borderId="62" xfId="0" applyNumberFormat="1" applyFont="1" applyBorder="1" applyAlignment="1" applyProtection="1">
      <alignment horizontal="center" vertical="center"/>
      <protection locked="0" hidden="1"/>
    </xf>
    <xf numFmtId="0" fontId="29" fillId="0" borderId="49" xfId="0" applyFont="1" applyBorder="1" applyAlignment="1" applyProtection="1">
      <alignment horizontal="center" vertical="center"/>
      <protection locked="0" hidden="1"/>
    </xf>
    <xf numFmtId="0" fontId="29" fillId="0" borderId="59" xfId="0" applyFont="1" applyBorder="1" applyAlignment="1" applyProtection="1">
      <alignment horizontal="center" vertical="center"/>
      <protection locked="0" hidden="1"/>
    </xf>
    <xf numFmtId="0" fontId="29" fillId="0" borderId="22" xfId="0" applyFont="1" applyBorder="1" applyAlignment="1" applyProtection="1">
      <alignment horizontal="center" vertical="center"/>
      <protection locked="0" hidden="1"/>
    </xf>
    <xf numFmtId="0" fontId="29" fillId="0" borderId="60" xfId="0" applyFont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Border="1" applyAlignment="1" applyProtection="1">
      <alignment horizontal="center" vertical="center"/>
      <protection locked="0" hidden="1"/>
    </xf>
    <xf numFmtId="0" fontId="29" fillId="0" borderId="57" xfId="0" applyFont="1" applyBorder="1" applyAlignment="1" applyProtection="1">
      <alignment horizontal="center" vertical="center"/>
      <protection locked="0" hidden="1"/>
    </xf>
    <xf numFmtId="0" fontId="29" fillId="0" borderId="78" xfId="0" applyFont="1" applyBorder="1" applyAlignment="1" applyProtection="1">
      <alignment horizontal="center" vertical="center"/>
      <protection locked="0" hidden="1"/>
    </xf>
    <xf numFmtId="0" fontId="29" fillId="0" borderId="87" xfId="0" applyFont="1" applyBorder="1" applyAlignment="1" applyProtection="1">
      <alignment horizontal="center" vertical="center"/>
      <protection locked="0" hidden="1"/>
    </xf>
    <xf numFmtId="0" fontId="29" fillId="0" borderId="66" xfId="0" applyFont="1" applyBorder="1" applyAlignment="1" applyProtection="1">
      <alignment horizontal="center" vertical="center"/>
      <protection locked="0" hidden="1"/>
    </xf>
    <xf numFmtId="164" fontId="29" fillId="0" borderId="87" xfId="0" applyNumberFormat="1" applyFont="1" applyBorder="1" applyAlignment="1" applyProtection="1">
      <alignment horizontal="center" vertical="center"/>
      <protection locked="0" hidden="1"/>
    </xf>
    <xf numFmtId="0" fontId="29" fillId="0" borderId="69" xfId="0" applyFont="1" applyBorder="1" applyAlignment="1" applyProtection="1">
      <alignment horizontal="center" vertical="center"/>
      <protection locked="0" hidden="1"/>
    </xf>
    <xf numFmtId="164" fontId="29" fillId="0" borderId="85" xfId="0" applyNumberFormat="1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hidden="1"/>
    </xf>
    <xf numFmtId="0" fontId="29" fillId="0" borderId="91" xfId="0" applyFont="1" applyBorder="1" applyAlignment="1" applyProtection="1">
      <alignment horizontal="center" vertical="center"/>
      <protection hidden="1"/>
    </xf>
    <xf numFmtId="0" fontId="29" fillId="0" borderId="23" xfId="0" applyFont="1" applyBorder="1" applyAlignment="1" applyProtection="1">
      <alignment horizontal="center" vertical="center"/>
      <protection hidden="1"/>
    </xf>
    <xf numFmtId="0" fontId="29" fillId="0" borderId="24" xfId="0" applyFont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2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Border="1" applyAlignment="1" applyProtection="1">
      <alignment horizontal="center" vertical="center"/>
      <protection hidden="1"/>
    </xf>
    <xf numFmtId="0" fontId="29" fillId="0" borderId="46" xfId="0" applyFont="1" applyBorder="1" applyAlignment="1" applyProtection="1">
      <alignment horizontal="center" vertical="center"/>
      <protection hidden="1"/>
    </xf>
    <xf numFmtId="0" fontId="29" fillId="0" borderId="71" xfId="0" applyFont="1" applyBorder="1" applyAlignment="1" applyProtection="1">
      <alignment horizontal="center" vertical="center"/>
      <protection hidden="1"/>
    </xf>
    <xf numFmtId="0" fontId="29" fillId="0" borderId="47" xfId="0" applyFont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1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Border="1" applyAlignment="1" applyProtection="1">
      <alignment horizontal="center" vertical="center"/>
      <protection hidden="1"/>
    </xf>
    <xf numFmtId="0" fontId="29" fillId="0" borderId="28" xfId="0" applyFont="1" applyBorder="1" applyAlignment="1" applyProtection="1">
      <alignment horizontal="center" vertical="center"/>
      <protection hidden="1"/>
    </xf>
    <xf numFmtId="0" fontId="29" fillId="0" borderId="26" xfId="0" applyFont="1" applyBorder="1" applyAlignment="1" applyProtection="1">
      <alignment horizontal="center" vertical="center"/>
      <protection hidden="1"/>
    </xf>
    <xf numFmtId="0" fontId="29" fillId="0" borderId="29" xfId="0" applyFont="1" applyBorder="1" applyAlignment="1" applyProtection="1">
      <alignment horizontal="center" vertical="center"/>
      <protection hidden="1"/>
    </xf>
    <xf numFmtId="0" fontId="29" fillId="0" borderId="49" xfId="0" applyFont="1" applyBorder="1" applyAlignment="1" applyProtection="1">
      <alignment horizontal="center" vertical="center"/>
      <protection hidden="1"/>
    </xf>
    <xf numFmtId="0" fontId="29" fillId="0" borderId="59" xfId="0" applyFont="1" applyBorder="1" applyAlignment="1" applyProtection="1">
      <alignment horizontal="center" vertical="center"/>
      <protection hidden="1"/>
    </xf>
    <xf numFmtId="0" fontId="29" fillId="0" borderId="22" xfId="0" applyFont="1" applyBorder="1" applyAlignment="1" applyProtection="1">
      <alignment horizontal="center" vertical="center"/>
      <protection hidden="1"/>
    </xf>
    <xf numFmtId="0" fontId="29" fillId="0" borderId="60" xfId="0" applyFont="1" applyBorder="1" applyAlignment="1" applyProtection="1">
      <alignment horizontal="center" vertical="center"/>
      <protection hidden="1"/>
    </xf>
    <xf numFmtId="0" fontId="29" fillId="0" borderId="31" xfId="0" applyFont="1" applyBorder="1" applyAlignment="1" applyProtection="1">
      <alignment horizontal="center" vertical="center"/>
      <protection hidden="1"/>
    </xf>
    <xf numFmtId="0" fontId="29" fillId="0" borderId="43" xfId="0" applyFont="1" applyBorder="1" applyAlignment="1" applyProtection="1">
      <alignment horizontal="center" vertical="center"/>
      <protection hidden="1"/>
    </xf>
    <xf numFmtId="0" fontId="29" fillId="0" borderId="62" xfId="0" applyFont="1" applyBorder="1" applyAlignment="1" applyProtection="1">
      <alignment horizontal="center" vertical="center"/>
      <protection hidden="1"/>
    </xf>
    <xf numFmtId="0" fontId="29" fillId="0" borderId="44" xfId="0" applyFont="1" applyBorder="1" applyAlignment="1" applyProtection="1">
      <alignment horizontal="center" vertical="center"/>
      <protection hidden="1"/>
    </xf>
    <xf numFmtId="0" fontId="29" fillId="3" borderId="75" xfId="0" applyFont="1" applyFill="1" applyBorder="1" applyAlignment="1" applyProtection="1">
      <alignment horizontal="center" vertical="center"/>
      <protection hidden="1"/>
    </xf>
    <xf numFmtId="0" fontId="29" fillId="3" borderId="92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5" xfId="0" applyFont="1" applyBorder="1" applyAlignment="1" applyProtection="1">
      <alignment horizontal="center" vertical="center"/>
      <protection hidden="1"/>
    </xf>
    <xf numFmtId="0" fontId="29" fillId="0" borderId="92" xfId="0" applyFont="1" applyBorder="1" applyAlignment="1" applyProtection="1">
      <alignment horizontal="center" vertical="center"/>
      <protection hidden="1"/>
    </xf>
    <xf numFmtId="0" fontId="29" fillId="0" borderId="56" xfId="0" applyFont="1" applyBorder="1" applyAlignment="1" applyProtection="1">
      <alignment horizontal="center" vertical="center"/>
      <protection hidden="1"/>
    </xf>
    <xf numFmtId="0" fontId="29" fillId="0" borderId="74" xfId="0" applyFont="1" applyBorder="1" applyAlignment="1" applyProtection="1">
      <alignment horizontal="center" vertical="center"/>
      <protection hidden="1"/>
    </xf>
    <xf numFmtId="164" fontId="37" fillId="0" borderId="0" xfId="0" applyNumberFormat="1" applyFont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Border="1" applyAlignment="1" applyProtection="1">
      <alignment horizontal="center" vertical="center"/>
      <protection hidden="1"/>
    </xf>
    <xf numFmtId="0" fontId="41" fillId="0" borderId="38" xfId="0" applyFont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Border="1" applyAlignment="1" applyProtection="1">
      <alignment horizontal="left" vertical="center" indent="1"/>
      <protection locked="0" hidden="1"/>
    </xf>
    <xf numFmtId="0" fontId="4" fillId="0" borderId="14" xfId="0" applyFont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left" vertical="center" indent="1"/>
      <protection locked="0" hidden="1"/>
    </xf>
    <xf numFmtId="0" fontId="4" fillId="0" borderId="8" xfId="0" applyFont="1" applyBorder="1" applyAlignment="1" applyProtection="1">
      <alignment horizontal="left" vertical="center" indent="1"/>
      <protection locked="0" hidden="1"/>
    </xf>
    <xf numFmtId="0" fontId="4" fillId="0" borderId="9" xfId="0" applyFont="1" applyBorder="1" applyAlignment="1" applyProtection="1">
      <alignment horizontal="left" vertical="center" indent="1"/>
      <protection locked="0" hidden="1"/>
    </xf>
    <xf numFmtId="0" fontId="5" fillId="0" borderId="6" xfId="0" applyFont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2" fontId="25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locked="0"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4" fillId="0" borderId="12" xfId="0" applyFont="1" applyBorder="1" applyAlignment="1" applyProtection="1">
      <alignment horizontal="left" vertical="center" indent="1"/>
      <protection locked="0" hidden="1"/>
    </xf>
    <xf numFmtId="0" fontId="4" fillId="0" borderId="13" xfId="0" applyFont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Border="1" applyAlignment="1" applyProtection="1">
      <alignment horizontal="right" vertical="center" indent="1"/>
      <protection hidden="1"/>
    </xf>
    <xf numFmtId="0" fontId="7" fillId="0" borderId="47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9" xfId="0" applyFont="1" applyBorder="1" applyAlignment="1" applyProtection="1">
      <alignment horizontal="right" vertical="center" indent="1"/>
      <protection hidden="1"/>
    </xf>
    <xf numFmtId="0" fontId="7" fillId="0" borderId="60" xfId="0" applyFont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0" borderId="63" xfId="0" applyFont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Border="1" applyAlignment="1" applyProtection="1">
      <alignment horizontal="right" vertical="center" indent="1"/>
      <protection hidden="1"/>
    </xf>
    <xf numFmtId="0" fontId="7" fillId="0" borderId="66" xfId="0" applyFont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Border="1" applyAlignment="1" applyProtection="1">
      <alignment horizontal="right" vertical="center" indent="1"/>
      <protection hidden="1"/>
    </xf>
    <xf numFmtId="2" fontId="23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>
      <alignment horizontal="center" vertical="center"/>
    </xf>
    <xf numFmtId="0" fontId="7" fillId="0" borderId="73" xfId="0" applyFont="1" applyBorder="1" applyAlignment="1" applyProtection="1">
      <alignment horizontal="right" vertical="center" indent="1"/>
      <protection hidden="1"/>
    </xf>
    <xf numFmtId="0" fontId="7" fillId="0" borderId="74" xfId="0" applyFont="1" applyBorder="1" applyAlignment="1" applyProtection="1">
      <alignment horizontal="right" vertical="center" inden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30" fillId="0" borderId="0" xfId="0" applyFont="1" applyAlignment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310515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0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01" t="s">
        <v>7</v>
      </c>
      <c r="E13" s="302"/>
      <c r="F13" s="133"/>
      <c r="G13" s="134"/>
      <c r="H13" s="135"/>
      <c r="I13" s="135"/>
      <c r="J13" s="136"/>
      <c r="K13" s="136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8</v>
      </c>
      <c r="D14" s="287" t="s">
        <v>9</v>
      </c>
      <c r="E14" s="288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289" t="s">
        <v>10</v>
      </c>
      <c r="E15" s="290"/>
      <c r="F15" s="141"/>
      <c r="G15" s="142"/>
      <c r="H15" s="143"/>
      <c r="I15" s="143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80"/>
      <c r="D16" s="291" t="s">
        <v>11</v>
      </c>
      <c r="E16" s="292"/>
      <c r="F16" s="145"/>
      <c r="G16" s="146"/>
      <c r="H16" s="147"/>
      <c r="I16" s="147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6">
        <v>5</v>
      </c>
      <c r="B17" s="6"/>
      <c r="C17" s="279" t="s">
        <v>12</v>
      </c>
      <c r="D17" s="281" t="s">
        <v>13</v>
      </c>
      <c r="E17" s="282"/>
      <c r="F17" s="149"/>
      <c r="G17" s="150"/>
      <c r="H17" s="151"/>
      <c r="I17" s="151"/>
      <c r="J17" s="152"/>
      <c r="K17" s="152"/>
      <c r="L17" s="77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80"/>
      <c r="D18" s="283" t="s">
        <v>14</v>
      </c>
      <c r="E18" s="284"/>
      <c r="F18" s="153"/>
      <c r="G18" s="154"/>
      <c r="H18" s="155"/>
      <c r="I18" s="155"/>
      <c r="J18" s="156"/>
      <c r="K18" s="156"/>
      <c r="L18" s="78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280"/>
      <c r="D19" s="285" t="s">
        <v>15</v>
      </c>
      <c r="E19" s="286"/>
      <c r="F19" s="157"/>
      <c r="G19" s="158"/>
      <c r="H19" s="159"/>
      <c r="I19" s="159"/>
      <c r="J19" s="160"/>
      <c r="K19" s="160"/>
      <c r="L19" s="79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79" t="s">
        <v>16</v>
      </c>
      <c r="D20" s="287" t="s">
        <v>17</v>
      </c>
      <c r="E20" s="288"/>
      <c r="F20" s="137"/>
      <c r="G20" s="138"/>
      <c r="H20" s="139"/>
      <c r="I20" s="139"/>
      <c r="J20" s="140"/>
      <c r="K20" s="140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289" t="s">
        <v>18</v>
      </c>
      <c r="E21" s="290"/>
      <c r="F21" s="141"/>
      <c r="G21" s="142"/>
      <c r="H21" s="143"/>
      <c r="I21" s="143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80"/>
      <c r="D22" s="291" t="s">
        <v>19</v>
      </c>
      <c r="E22" s="292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x14ac:dyDescent="0.25">
      <c r="A23" s="9">
        <v>11</v>
      </c>
      <c r="B23" s="42"/>
      <c r="C23" s="279" t="s">
        <v>20</v>
      </c>
      <c r="D23" s="281" t="s">
        <v>21</v>
      </c>
      <c r="E23" s="282"/>
      <c r="F23" s="149"/>
      <c r="G23" s="150"/>
      <c r="H23" s="151"/>
      <c r="I23" s="151"/>
      <c r="J23" s="152"/>
      <c r="K23" s="152"/>
      <c r="L23" s="77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80"/>
      <c r="D24" s="283" t="s">
        <v>22</v>
      </c>
      <c r="E24" s="284"/>
      <c r="F24" s="153"/>
      <c r="G24" s="154"/>
      <c r="H24" s="155"/>
      <c r="I24" s="155"/>
      <c r="J24" s="156"/>
      <c r="K24" s="156"/>
      <c r="L24" s="78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280"/>
      <c r="D25" s="285" t="s">
        <v>23</v>
      </c>
      <c r="E25" s="286"/>
      <c r="F25" s="157"/>
      <c r="G25" s="158"/>
      <c r="H25" s="159"/>
      <c r="I25" s="159"/>
      <c r="J25" s="160"/>
      <c r="K25" s="160"/>
      <c r="L25" s="79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79" t="s">
        <v>24</v>
      </c>
      <c r="D26" s="287" t="s">
        <v>25</v>
      </c>
      <c r="E26" s="288"/>
      <c r="F26" s="137"/>
      <c r="G26" s="138"/>
      <c r="H26" s="139"/>
      <c r="I26" s="139"/>
      <c r="J26" s="140"/>
      <c r="K26" s="140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289" t="s">
        <v>26</v>
      </c>
      <c r="E27" s="290"/>
      <c r="F27" s="141"/>
      <c r="G27" s="142"/>
      <c r="H27" s="143"/>
      <c r="I27" s="143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80"/>
      <c r="D28" s="291" t="s">
        <v>27</v>
      </c>
      <c r="E28" s="292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293" t="s">
        <v>28</v>
      </c>
      <c r="E35" s="294"/>
      <c r="F35" s="165"/>
      <c r="G35" s="166"/>
      <c r="H35" s="167"/>
      <c r="I35" s="167"/>
      <c r="J35" s="168"/>
      <c r="K35" s="168"/>
      <c r="L35" s="7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46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01" t="s">
        <v>7</v>
      </c>
      <c r="E13" s="302"/>
      <c r="F13" s="149"/>
      <c r="G13" s="152"/>
      <c r="H13" s="152"/>
      <c r="I13" s="152"/>
      <c r="J13" s="152"/>
      <c r="K13" s="152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47</v>
      </c>
      <c r="D14" s="339" t="s">
        <v>48</v>
      </c>
      <c r="E14" s="340"/>
      <c r="F14" s="137"/>
      <c r="G14" s="140"/>
      <c r="H14" s="140"/>
      <c r="I14" s="140"/>
      <c r="J14" s="140"/>
      <c r="K14" s="140"/>
      <c r="L14" s="76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329" t="s">
        <v>49</v>
      </c>
      <c r="E15" s="330"/>
      <c r="F15" s="141"/>
      <c r="G15" s="144"/>
      <c r="H15" s="144"/>
      <c r="I15" s="144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80"/>
      <c r="D16" s="335" t="s">
        <v>50</v>
      </c>
      <c r="E16" s="336"/>
      <c r="F16" s="145"/>
      <c r="G16" s="148"/>
      <c r="H16" s="148"/>
      <c r="I16" s="148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80"/>
      <c r="D17" s="329" t="s">
        <v>51</v>
      </c>
      <c r="E17" s="330"/>
      <c r="F17" s="141"/>
      <c r="G17" s="144"/>
      <c r="H17" s="144"/>
      <c r="I17" s="144"/>
      <c r="J17" s="144"/>
      <c r="K17" s="144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27" t="s">
        <v>52</v>
      </c>
      <c r="E18" s="328"/>
      <c r="F18" s="145"/>
      <c r="G18" s="148"/>
      <c r="H18" s="148"/>
      <c r="I18" s="148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80" t="s">
        <v>53</v>
      </c>
      <c r="D19" s="333" t="s">
        <v>54</v>
      </c>
      <c r="E19" s="334"/>
      <c r="F19" s="172"/>
      <c r="G19" s="173"/>
      <c r="H19" s="173"/>
      <c r="I19" s="173"/>
      <c r="J19" s="173"/>
      <c r="K19" s="173"/>
      <c r="L19" s="81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80"/>
      <c r="D20" s="335" t="s">
        <v>55</v>
      </c>
      <c r="E20" s="336"/>
      <c r="F20" s="145"/>
      <c r="G20" s="148"/>
      <c r="H20" s="148"/>
      <c r="I20" s="148"/>
      <c r="J20" s="148"/>
      <c r="K20" s="148"/>
      <c r="L20" s="73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329" t="s">
        <v>56</v>
      </c>
      <c r="E21" s="330"/>
      <c r="F21" s="141"/>
      <c r="G21" s="144"/>
      <c r="H21" s="144"/>
      <c r="I21" s="144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80"/>
      <c r="D22" s="335" t="s">
        <v>57</v>
      </c>
      <c r="E22" s="336"/>
      <c r="F22" s="145"/>
      <c r="G22" s="148"/>
      <c r="H22" s="148"/>
      <c r="I22" s="148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37" t="s">
        <v>58</v>
      </c>
      <c r="E23" s="338"/>
      <c r="F23" s="157"/>
      <c r="G23" s="160"/>
      <c r="H23" s="160"/>
      <c r="I23" s="160"/>
      <c r="J23" s="160"/>
      <c r="K23" s="160"/>
      <c r="L23" s="79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80" t="s">
        <v>59</v>
      </c>
      <c r="D24" s="327" t="s">
        <v>60</v>
      </c>
      <c r="E24" s="328"/>
      <c r="F24" s="137"/>
      <c r="G24" s="140"/>
      <c r="H24" s="140"/>
      <c r="I24" s="140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80"/>
      <c r="D25" s="329" t="s">
        <v>61</v>
      </c>
      <c r="E25" s="330"/>
      <c r="F25" s="141"/>
      <c r="G25" s="144"/>
      <c r="H25" s="144"/>
      <c r="I25" s="144"/>
      <c r="J25" s="144"/>
      <c r="K25" s="144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80"/>
      <c r="D26" s="327" t="s">
        <v>62</v>
      </c>
      <c r="E26" s="328"/>
      <c r="F26" s="145"/>
      <c r="G26" s="148"/>
      <c r="H26" s="148"/>
      <c r="I26" s="148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329" t="s">
        <v>63</v>
      </c>
      <c r="E27" s="330"/>
      <c r="F27" s="141"/>
      <c r="G27" s="144"/>
      <c r="H27" s="144"/>
      <c r="I27" s="144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31" t="s">
        <v>64</v>
      </c>
      <c r="E28" s="332"/>
      <c r="F28" s="161"/>
      <c r="G28" s="164"/>
      <c r="H28" s="164"/>
      <c r="I28" s="164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 t="str">
        <f t="shared" si="0"/>
        <v/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 t="str">
        <f t="shared" si="0"/>
        <v/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 t="str">
        <f t="shared" si="0"/>
        <v/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 t="str">
        <f t="shared" si="0"/>
        <v/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 t="str">
        <f t="shared" si="0"/>
        <v/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293" t="s">
        <v>28</v>
      </c>
      <c r="E35" s="294"/>
      <c r="F35" s="165"/>
      <c r="G35" s="168"/>
      <c r="H35" s="168"/>
      <c r="I35" s="168"/>
      <c r="J35" s="168"/>
      <c r="K35" s="168"/>
      <c r="L35" s="70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3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68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45" t="s">
        <v>7</v>
      </c>
      <c r="E13" s="346"/>
      <c r="F13" s="174"/>
      <c r="G13" s="175"/>
      <c r="H13" s="176"/>
      <c r="I13" s="176"/>
      <c r="J13" s="152"/>
      <c r="K13" s="17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69</v>
      </c>
      <c r="D14" s="287" t="s">
        <v>233</v>
      </c>
      <c r="E14" s="288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341" t="s">
        <v>71</v>
      </c>
      <c r="E15" s="342"/>
      <c r="F15" s="178"/>
      <c r="G15" s="179"/>
      <c r="H15" s="180"/>
      <c r="I15" s="180"/>
      <c r="J15" s="144"/>
      <c r="K15" s="181"/>
      <c r="L15" s="82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80"/>
      <c r="D16" s="283" t="s">
        <v>72</v>
      </c>
      <c r="E16" s="284"/>
      <c r="F16" s="182"/>
      <c r="G16" s="183"/>
      <c r="H16" s="184"/>
      <c r="I16" s="184"/>
      <c r="J16" s="148"/>
      <c r="K16" s="185"/>
      <c r="L16" s="8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80"/>
      <c r="D17" s="341" t="s">
        <v>73</v>
      </c>
      <c r="E17" s="342"/>
      <c r="F17" s="178"/>
      <c r="G17" s="179"/>
      <c r="H17" s="180"/>
      <c r="I17" s="180"/>
      <c r="J17" s="144"/>
      <c r="K17" s="181"/>
      <c r="L17" s="82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43" t="s">
        <v>74</v>
      </c>
      <c r="E18" s="344"/>
      <c r="F18" s="145"/>
      <c r="G18" s="146"/>
      <c r="H18" s="147"/>
      <c r="I18" s="147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80" t="s">
        <v>75</v>
      </c>
      <c r="D19" s="347" t="s">
        <v>76</v>
      </c>
      <c r="E19" s="348"/>
      <c r="F19" s="174"/>
      <c r="G19" s="175"/>
      <c r="H19" s="176"/>
      <c r="I19" s="176"/>
      <c r="J19" s="173"/>
      <c r="K19" s="177"/>
      <c r="L19" s="8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80"/>
      <c r="D20" s="283" t="s">
        <v>77</v>
      </c>
      <c r="E20" s="284"/>
      <c r="F20" s="153"/>
      <c r="G20" s="154"/>
      <c r="H20" s="155"/>
      <c r="I20" s="155"/>
      <c r="J20" s="148"/>
      <c r="K20" s="156"/>
      <c r="L20" s="78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341" t="s">
        <v>78</v>
      </c>
      <c r="E21" s="342"/>
      <c r="F21" s="178"/>
      <c r="G21" s="179"/>
      <c r="H21" s="180"/>
      <c r="I21" s="180"/>
      <c r="J21" s="144"/>
      <c r="K21" s="181"/>
      <c r="L21" s="82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80"/>
      <c r="D22" s="283" t="s">
        <v>79</v>
      </c>
      <c r="E22" s="284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49" t="s">
        <v>80</v>
      </c>
      <c r="E23" s="350"/>
      <c r="F23" s="186"/>
      <c r="G23" s="187"/>
      <c r="H23" s="188"/>
      <c r="I23" s="188"/>
      <c r="J23" s="160"/>
      <c r="K23" s="189"/>
      <c r="L23" s="85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80" t="s">
        <v>81</v>
      </c>
      <c r="D24" s="287" t="s">
        <v>82</v>
      </c>
      <c r="E24" s="288"/>
      <c r="F24" s="137"/>
      <c r="G24" s="138"/>
      <c r="H24" s="139"/>
      <c r="I24" s="139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80"/>
      <c r="D25" s="341" t="s">
        <v>83</v>
      </c>
      <c r="E25" s="342"/>
      <c r="F25" s="178"/>
      <c r="G25" s="179"/>
      <c r="H25" s="180"/>
      <c r="I25" s="180"/>
      <c r="J25" s="144"/>
      <c r="K25" s="181"/>
      <c r="L25" s="82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80"/>
      <c r="D26" s="283" t="s">
        <v>84</v>
      </c>
      <c r="E26" s="284"/>
      <c r="F26" s="145"/>
      <c r="G26" s="146"/>
      <c r="H26" s="147"/>
      <c r="I26" s="147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341" t="s">
        <v>85</v>
      </c>
      <c r="E27" s="342"/>
      <c r="F27" s="178"/>
      <c r="G27" s="179"/>
      <c r="H27" s="180"/>
      <c r="I27" s="180"/>
      <c r="J27" s="144"/>
      <c r="K27" s="181"/>
      <c r="L27" s="82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43" t="s">
        <v>86</v>
      </c>
      <c r="E28" s="344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8">
        <v>17</v>
      </c>
      <c r="B35" s="6"/>
      <c r="C35" s="32"/>
      <c r="D35" s="351" t="s">
        <v>28</v>
      </c>
      <c r="E35" s="352"/>
      <c r="F35" s="190"/>
      <c r="G35" s="191"/>
      <c r="H35" s="192"/>
      <c r="I35" s="192"/>
      <c r="J35" s="168"/>
      <c r="K35" s="193"/>
      <c r="L35" s="8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21" t="s">
        <v>87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16" s="19" customFormat="1" ht="7.9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  <c r="L4" s="20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65"/>
    </row>
    <row r="6" spans="1:16" ht="7.9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0"/>
    </row>
    <row r="11" spans="1:16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">
        <v>5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21" customHeight="1" thickBot="1" x14ac:dyDescent="0.3">
      <c r="A13" s="5">
        <v>1</v>
      </c>
      <c r="B13" s="353"/>
      <c r="C13" s="354"/>
      <c r="D13" s="345" t="s">
        <v>7</v>
      </c>
      <c r="E13" s="346"/>
      <c r="F13" s="197"/>
      <c r="G13" s="198"/>
      <c r="H13" s="199"/>
      <c r="I13" s="199"/>
      <c r="J13" s="199"/>
      <c r="K13" s="200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21" customHeight="1" x14ac:dyDescent="0.25">
      <c r="A14" s="6">
        <v>2</v>
      </c>
      <c r="B14" s="355" t="s">
        <v>88</v>
      </c>
      <c r="C14" s="360" t="s">
        <v>89</v>
      </c>
      <c r="D14" s="373" t="s">
        <v>90</v>
      </c>
      <c r="E14" s="292"/>
      <c r="F14" s="201"/>
      <c r="G14" s="202"/>
      <c r="H14" s="203"/>
      <c r="I14" s="203"/>
      <c r="J14" s="203"/>
      <c r="K14" s="140"/>
      <c r="L14" s="76" t="str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21" customHeight="1" x14ac:dyDescent="0.25">
      <c r="A15" s="7">
        <v>3</v>
      </c>
      <c r="B15" s="356"/>
      <c r="C15" s="361"/>
      <c r="D15" s="365" t="s">
        <v>91</v>
      </c>
      <c r="E15" s="342"/>
      <c r="F15" s="178"/>
      <c r="G15" s="179"/>
      <c r="H15" s="180"/>
      <c r="I15" s="180"/>
      <c r="J15" s="180"/>
      <c r="K15" s="181"/>
      <c r="L15" s="204" t="str">
        <f t="shared" si="0"/>
        <v/>
      </c>
      <c r="N15" s="23" t="s">
        <v>211</v>
      </c>
      <c r="O15" s="23"/>
      <c r="P15" s="23" t="s">
        <v>209</v>
      </c>
    </row>
    <row r="16" spans="1:16" ht="21" customHeight="1" x14ac:dyDescent="0.25">
      <c r="A16" s="34">
        <v>4</v>
      </c>
      <c r="B16" s="356"/>
      <c r="C16" s="361"/>
      <c r="D16" s="366" t="s">
        <v>92</v>
      </c>
      <c r="E16" s="284"/>
      <c r="F16" s="153"/>
      <c r="G16" s="154"/>
      <c r="H16" s="155"/>
      <c r="I16" s="155"/>
      <c r="J16" s="155"/>
      <c r="K16" s="156"/>
      <c r="L16" s="205" t="str">
        <f t="shared" si="0"/>
        <v/>
      </c>
    </row>
    <row r="17" spans="1:12" ht="21" customHeight="1" x14ac:dyDescent="0.25">
      <c r="A17" s="7">
        <v>5</v>
      </c>
      <c r="B17" s="356"/>
      <c r="C17" s="361"/>
      <c r="D17" s="365" t="s">
        <v>93</v>
      </c>
      <c r="E17" s="342"/>
      <c r="F17" s="178"/>
      <c r="G17" s="179"/>
      <c r="H17" s="180"/>
      <c r="I17" s="180"/>
      <c r="J17" s="180"/>
      <c r="K17" s="181"/>
      <c r="L17" s="204" t="str">
        <f t="shared" si="0"/>
        <v/>
      </c>
    </row>
    <row r="18" spans="1:12" ht="21" customHeight="1" thickBot="1" x14ac:dyDescent="0.3">
      <c r="A18" s="7">
        <v>6</v>
      </c>
      <c r="B18" s="356"/>
      <c r="C18" s="361"/>
      <c r="D18" s="359" t="s">
        <v>94</v>
      </c>
      <c r="E18" s="344"/>
      <c r="F18" s="161"/>
      <c r="G18" s="162"/>
      <c r="H18" s="163"/>
      <c r="I18" s="163"/>
      <c r="J18" s="163"/>
      <c r="K18" s="164"/>
      <c r="L18" s="206" t="str">
        <f t="shared" si="0"/>
        <v/>
      </c>
    </row>
    <row r="19" spans="1:12" ht="21" customHeight="1" x14ac:dyDescent="0.25">
      <c r="A19" s="34">
        <v>7</v>
      </c>
      <c r="B19" s="356"/>
      <c r="C19" s="360" t="s">
        <v>95</v>
      </c>
      <c r="D19" s="363" t="s">
        <v>96</v>
      </c>
      <c r="E19" s="364"/>
      <c r="F19" s="207"/>
      <c r="G19" s="208"/>
      <c r="H19" s="209"/>
      <c r="I19" s="209"/>
      <c r="J19" s="209"/>
      <c r="K19" s="210"/>
      <c r="L19" s="211" t="str">
        <f t="shared" si="0"/>
        <v/>
      </c>
    </row>
    <row r="20" spans="1:12" ht="21" customHeight="1" x14ac:dyDescent="0.25">
      <c r="A20" s="34">
        <v>8</v>
      </c>
      <c r="B20" s="356"/>
      <c r="C20" s="361"/>
      <c r="D20" s="366" t="s">
        <v>97</v>
      </c>
      <c r="E20" s="284"/>
      <c r="F20" s="153"/>
      <c r="G20" s="154"/>
      <c r="H20" s="155"/>
      <c r="I20" s="155"/>
      <c r="J20" s="155"/>
      <c r="K20" s="156"/>
      <c r="L20" s="205" t="str">
        <f t="shared" si="0"/>
        <v/>
      </c>
    </row>
    <row r="21" spans="1:12" ht="21" customHeight="1" thickBot="1" x14ac:dyDescent="0.3">
      <c r="A21" s="8">
        <v>9</v>
      </c>
      <c r="B21" s="357"/>
      <c r="C21" s="362"/>
      <c r="D21" s="358" t="s">
        <v>98</v>
      </c>
      <c r="E21" s="350"/>
      <c r="F21" s="212"/>
      <c r="G21" s="213"/>
      <c r="H21" s="214"/>
      <c r="I21" s="214"/>
      <c r="J21" s="214"/>
      <c r="K21" s="215"/>
      <c r="L21" s="216" t="str">
        <f t="shared" si="0"/>
        <v/>
      </c>
    </row>
    <row r="22" spans="1:12" ht="21" customHeight="1" x14ac:dyDescent="0.25">
      <c r="A22" s="35">
        <v>10</v>
      </c>
      <c r="B22" s="355" t="s">
        <v>99</v>
      </c>
      <c r="C22" s="360" t="s">
        <v>89</v>
      </c>
      <c r="D22" s="363" t="s">
        <v>90</v>
      </c>
      <c r="E22" s="364"/>
      <c r="F22" s="207"/>
      <c r="G22" s="208"/>
      <c r="H22" s="209"/>
      <c r="I22" s="209"/>
      <c r="J22" s="209"/>
      <c r="K22" s="210"/>
      <c r="L22" s="211" t="str">
        <f t="shared" si="0"/>
        <v/>
      </c>
    </row>
    <row r="23" spans="1:12" ht="21" customHeight="1" x14ac:dyDescent="0.25">
      <c r="A23" s="34">
        <v>11</v>
      </c>
      <c r="B23" s="356"/>
      <c r="C23" s="361"/>
      <c r="D23" s="366" t="s">
        <v>100</v>
      </c>
      <c r="E23" s="284"/>
      <c r="F23" s="153"/>
      <c r="G23" s="154"/>
      <c r="H23" s="155"/>
      <c r="I23" s="155"/>
      <c r="J23" s="155"/>
      <c r="K23" s="156"/>
      <c r="L23" s="205" t="str">
        <f t="shared" si="0"/>
        <v/>
      </c>
    </row>
    <row r="24" spans="1:12" ht="21" customHeight="1" x14ac:dyDescent="0.25">
      <c r="A24" s="34">
        <v>12</v>
      </c>
      <c r="B24" s="356"/>
      <c r="C24" s="361"/>
      <c r="D24" s="365" t="s">
        <v>91</v>
      </c>
      <c r="E24" s="342"/>
      <c r="F24" s="178"/>
      <c r="G24" s="179"/>
      <c r="H24" s="180"/>
      <c r="I24" s="180"/>
      <c r="J24" s="180"/>
      <c r="K24" s="181"/>
      <c r="L24" s="204" t="str">
        <f t="shared" si="0"/>
        <v/>
      </c>
    </row>
    <row r="25" spans="1:12" ht="21" customHeight="1" x14ac:dyDescent="0.25">
      <c r="A25" s="34">
        <v>13</v>
      </c>
      <c r="B25" s="356"/>
      <c r="C25" s="361"/>
      <c r="D25" s="366" t="s">
        <v>84</v>
      </c>
      <c r="E25" s="284"/>
      <c r="F25" s="153"/>
      <c r="G25" s="154"/>
      <c r="H25" s="155"/>
      <c r="I25" s="155"/>
      <c r="J25" s="155"/>
      <c r="K25" s="156"/>
      <c r="L25" s="205" t="str">
        <f t="shared" si="0"/>
        <v/>
      </c>
    </row>
    <row r="26" spans="1:12" ht="21" customHeight="1" x14ac:dyDescent="0.25">
      <c r="A26" s="34">
        <v>14</v>
      </c>
      <c r="B26" s="356"/>
      <c r="C26" s="361"/>
      <c r="D26" s="365" t="s">
        <v>92</v>
      </c>
      <c r="E26" s="342"/>
      <c r="F26" s="178"/>
      <c r="G26" s="179"/>
      <c r="H26" s="180"/>
      <c r="I26" s="180"/>
      <c r="J26" s="180"/>
      <c r="K26" s="181"/>
      <c r="L26" s="204" t="str">
        <f t="shared" si="0"/>
        <v/>
      </c>
    </row>
    <row r="27" spans="1:12" ht="21" customHeight="1" x14ac:dyDescent="0.25">
      <c r="A27" s="34">
        <v>15</v>
      </c>
      <c r="B27" s="356"/>
      <c r="C27" s="361"/>
      <c r="D27" s="366" t="s">
        <v>93</v>
      </c>
      <c r="E27" s="284"/>
      <c r="F27" s="153"/>
      <c r="G27" s="154"/>
      <c r="H27" s="155"/>
      <c r="I27" s="155"/>
      <c r="J27" s="155"/>
      <c r="K27" s="156"/>
      <c r="L27" s="205" t="str">
        <f t="shared" si="0"/>
        <v/>
      </c>
    </row>
    <row r="28" spans="1:12" ht="21" customHeight="1" x14ac:dyDescent="0.25">
      <c r="A28" s="34">
        <v>16</v>
      </c>
      <c r="B28" s="356"/>
      <c r="C28" s="361"/>
      <c r="D28" s="365" t="s">
        <v>101</v>
      </c>
      <c r="E28" s="342"/>
      <c r="F28" s="178"/>
      <c r="G28" s="179"/>
      <c r="H28" s="180"/>
      <c r="I28" s="180"/>
      <c r="J28" s="180"/>
      <c r="K28" s="181"/>
      <c r="L28" s="204" t="str">
        <f t="shared" si="0"/>
        <v/>
      </c>
    </row>
    <row r="29" spans="1:12" ht="21" customHeight="1" thickBot="1" x14ac:dyDescent="0.3">
      <c r="A29" s="34">
        <v>17</v>
      </c>
      <c r="B29" s="356"/>
      <c r="C29" s="362"/>
      <c r="D29" s="359" t="s">
        <v>94</v>
      </c>
      <c r="E29" s="344"/>
      <c r="F29" s="161"/>
      <c r="G29" s="162"/>
      <c r="H29" s="163"/>
      <c r="I29" s="163"/>
      <c r="J29" s="163"/>
      <c r="K29" s="164"/>
      <c r="L29" s="206" t="str">
        <f t="shared" si="0"/>
        <v/>
      </c>
    </row>
    <row r="30" spans="1:12" ht="21" customHeight="1" x14ac:dyDescent="0.25">
      <c r="A30" s="34">
        <v>18</v>
      </c>
      <c r="B30" s="356"/>
      <c r="C30" s="360" t="s">
        <v>95</v>
      </c>
      <c r="D30" s="367" t="s">
        <v>96</v>
      </c>
      <c r="E30" s="368"/>
      <c r="F30" s="217"/>
      <c r="G30" s="218"/>
      <c r="H30" s="219"/>
      <c r="I30" s="219"/>
      <c r="J30" s="219"/>
      <c r="K30" s="220"/>
      <c r="L30" s="221" t="str">
        <f t="shared" si="0"/>
        <v/>
      </c>
    </row>
    <row r="31" spans="1:12" ht="21" customHeight="1" thickBot="1" x14ac:dyDescent="0.3">
      <c r="A31" s="34">
        <v>19</v>
      </c>
      <c r="B31" s="356"/>
      <c r="C31" s="362"/>
      <c r="D31" s="359" t="s">
        <v>97</v>
      </c>
      <c r="E31" s="344"/>
      <c r="F31" s="161"/>
      <c r="G31" s="162"/>
      <c r="H31" s="163"/>
      <c r="I31" s="163"/>
      <c r="J31" s="163"/>
      <c r="K31" s="164"/>
      <c r="L31" s="206" t="str">
        <f t="shared" si="0"/>
        <v/>
      </c>
    </row>
    <row r="32" spans="1:12" ht="21" customHeight="1" x14ac:dyDescent="0.25">
      <c r="A32" s="34">
        <v>20</v>
      </c>
      <c r="B32" s="356"/>
      <c r="C32" s="361" t="s">
        <v>102</v>
      </c>
      <c r="D32" s="367" t="s">
        <v>103</v>
      </c>
      <c r="E32" s="368"/>
      <c r="F32" s="217"/>
      <c r="G32" s="218"/>
      <c r="H32" s="219"/>
      <c r="I32" s="219"/>
      <c r="J32" s="219"/>
      <c r="K32" s="220"/>
      <c r="L32" s="221" t="str">
        <f t="shared" si="0"/>
        <v/>
      </c>
    </row>
    <row r="33" spans="1:12" ht="21" customHeight="1" thickBot="1" x14ac:dyDescent="0.3">
      <c r="A33" s="8">
        <v>21</v>
      </c>
      <c r="B33" s="357"/>
      <c r="C33" s="362"/>
      <c r="D33" s="359" t="s">
        <v>76</v>
      </c>
      <c r="E33" s="344"/>
      <c r="F33" s="161"/>
      <c r="G33" s="162"/>
      <c r="H33" s="163"/>
      <c r="I33" s="163"/>
      <c r="J33" s="163"/>
      <c r="K33" s="164"/>
      <c r="L33" s="206" t="str">
        <f t="shared" si="0"/>
        <v/>
      </c>
    </row>
    <row r="34" spans="1:12" ht="21" hidden="1" customHeight="1" thickBot="1" x14ac:dyDescent="0.3"/>
    <row r="35" spans="1:12" ht="21" customHeight="1" thickBot="1" x14ac:dyDescent="0.3">
      <c r="A35" s="38">
        <v>22</v>
      </c>
      <c r="B35" s="369"/>
      <c r="C35" s="370"/>
      <c r="D35" s="371" t="s">
        <v>28</v>
      </c>
      <c r="E35" s="372"/>
      <c r="F35" s="194"/>
      <c r="G35" s="195"/>
      <c r="H35" s="196"/>
      <c r="I35" s="196"/>
      <c r="J35" s="196"/>
      <c r="K35" s="222"/>
      <c r="L35" s="223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</row>
    <row r="36" spans="1:12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39"/>
    </row>
    <row r="38" spans="1:12" ht="15.75" thickTop="1" x14ac:dyDescent="0.25"/>
  </sheetData>
  <mergeCells count="55"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B13:C13"/>
    <mergeCell ref="D13:E13"/>
    <mergeCell ref="B14:B21"/>
    <mergeCell ref="D21:E21"/>
    <mergeCell ref="D18:E18"/>
    <mergeCell ref="C19:C21"/>
    <mergeCell ref="D19:E19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77" t="s">
        <v>104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40"/>
    </row>
    <row r="11" spans="1:16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19.899999999999999" customHeight="1" thickBot="1" x14ac:dyDescent="0.3">
      <c r="A13" s="5">
        <v>1</v>
      </c>
      <c r="B13" s="5"/>
      <c r="C13" s="41"/>
      <c r="D13" s="345" t="s">
        <v>7</v>
      </c>
      <c r="E13" s="346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6">
        <v>2</v>
      </c>
      <c r="B14" s="6"/>
      <c r="C14" s="355" t="s">
        <v>105</v>
      </c>
      <c r="D14" s="373" t="s">
        <v>90</v>
      </c>
      <c r="E14" s="292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7">
        <v>3</v>
      </c>
      <c r="B15" s="6"/>
      <c r="C15" s="356"/>
      <c r="D15" s="365" t="s">
        <v>106</v>
      </c>
      <c r="E15" s="342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6"/>
      <c r="D16" s="366" t="s">
        <v>107</v>
      </c>
      <c r="E16" s="284"/>
      <c r="F16" s="236"/>
      <c r="G16" s="237"/>
      <c r="H16" s="238"/>
      <c r="I16" s="238"/>
      <c r="J16" s="238"/>
      <c r="K16" s="239"/>
      <c r="L16" s="90" t="str">
        <f t="shared" si="0"/>
        <v/>
      </c>
    </row>
    <row r="17" spans="1:12" ht="19.899999999999999" customHeight="1" x14ac:dyDescent="0.25">
      <c r="A17" s="7">
        <v>5</v>
      </c>
      <c r="B17" s="6"/>
      <c r="C17" s="356"/>
      <c r="D17" s="365" t="s">
        <v>108</v>
      </c>
      <c r="E17" s="342"/>
      <c r="F17" s="232"/>
      <c r="G17" s="233"/>
      <c r="H17" s="234"/>
      <c r="I17" s="234"/>
      <c r="J17" s="234"/>
      <c r="K17" s="235"/>
      <c r="L17" s="89" t="str">
        <f t="shared" si="0"/>
        <v/>
      </c>
    </row>
    <row r="18" spans="1:12" ht="19.899999999999999" customHeight="1" x14ac:dyDescent="0.25">
      <c r="A18" s="7">
        <v>6</v>
      </c>
      <c r="B18" s="6"/>
      <c r="C18" s="356"/>
      <c r="D18" s="366" t="s">
        <v>109</v>
      </c>
      <c r="E18" s="284"/>
      <c r="F18" s="236"/>
      <c r="G18" s="237"/>
      <c r="H18" s="238"/>
      <c r="I18" s="238"/>
      <c r="J18" s="238"/>
      <c r="K18" s="239"/>
      <c r="L18" s="90" t="str">
        <f t="shared" si="0"/>
        <v/>
      </c>
    </row>
    <row r="19" spans="1:12" ht="19.899999999999999" customHeight="1" x14ac:dyDescent="0.25">
      <c r="A19" s="7">
        <v>7</v>
      </c>
      <c r="B19" s="6"/>
      <c r="C19" s="356"/>
      <c r="D19" s="365" t="s">
        <v>110</v>
      </c>
      <c r="E19" s="342"/>
      <c r="F19" s="232"/>
      <c r="G19" s="233"/>
      <c r="H19" s="234"/>
      <c r="I19" s="234"/>
      <c r="J19" s="234"/>
      <c r="K19" s="235"/>
      <c r="L19" s="89" t="str">
        <f t="shared" si="0"/>
        <v/>
      </c>
    </row>
    <row r="20" spans="1:12" ht="19.899999999999999" customHeight="1" thickBot="1" x14ac:dyDescent="0.3">
      <c r="A20" s="7">
        <v>8</v>
      </c>
      <c r="B20" s="6"/>
      <c r="C20" s="356"/>
      <c r="D20" s="373" t="s">
        <v>111</v>
      </c>
      <c r="E20" s="292"/>
      <c r="F20" s="228"/>
      <c r="G20" s="229"/>
      <c r="H20" s="230"/>
      <c r="I20" s="230"/>
      <c r="J20" s="230"/>
      <c r="K20" s="231"/>
      <c r="L20" s="88" t="str">
        <f t="shared" si="0"/>
        <v/>
      </c>
    </row>
    <row r="21" spans="1:12" ht="19.899999999999999" customHeight="1" x14ac:dyDescent="0.25">
      <c r="A21" s="42">
        <v>9</v>
      </c>
      <c r="B21" s="42"/>
      <c r="C21" s="355" t="s">
        <v>112</v>
      </c>
      <c r="D21" s="376" t="s">
        <v>78</v>
      </c>
      <c r="E21" s="348"/>
      <c r="F21" s="240"/>
      <c r="G21" s="241"/>
      <c r="H21" s="242"/>
      <c r="I21" s="242"/>
      <c r="J21" s="242"/>
      <c r="K21" s="243"/>
      <c r="L21" s="91" t="str">
        <f t="shared" si="0"/>
        <v/>
      </c>
    </row>
    <row r="22" spans="1:12" ht="19.899999999999999" customHeight="1" x14ac:dyDescent="0.25">
      <c r="A22" s="7">
        <v>10</v>
      </c>
      <c r="B22" s="6"/>
      <c r="C22" s="356"/>
      <c r="D22" s="366" t="s">
        <v>113</v>
      </c>
      <c r="E22" s="284"/>
      <c r="F22" s="236"/>
      <c r="G22" s="237"/>
      <c r="H22" s="238"/>
      <c r="I22" s="238"/>
      <c r="J22" s="238"/>
      <c r="K22" s="239"/>
      <c r="L22" s="90" t="str">
        <f t="shared" si="0"/>
        <v/>
      </c>
    </row>
    <row r="23" spans="1:12" ht="19.899999999999999" customHeight="1" x14ac:dyDescent="0.25">
      <c r="A23" s="7">
        <v>11</v>
      </c>
      <c r="B23" s="6"/>
      <c r="C23" s="356"/>
      <c r="D23" s="365" t="s">
        <v>114</v>
      </c>
      <c r="E23" s="342"/>
      <c r="F23" s="232"/>
      <c r="G23" s="233"/>
      <c r="H23" s="234"/>
      <c r="I23" s="234"/>
      <c r="J23" s="234"/>
      <c r="K23" s="235"/>
      <c r="L23" s="89" t="str">
        <f t="shared" si="0"/>
        <v/>
      </c>
    </row>
    <row r="24" spans="1:12" ht="19.899999999999999" customHeight="1" x14ac:dyDescent="0.25">
      <c r="A24" s="34">
        <v>12</v>
      </c>
      <c r="B24" s="38"/>
      <c r="C24" s="356"/>
      <c r="D24" s="366" t="s">
        <v>115</v>
      </c>
      <c r="E24" s="284"/>
      <c r="F24" s="236"/>
      <c r="G24" s="237"/>
      <c r="H24" s="238"/>
      <c r="I24" s="238"/>
      <c r="J24" s="238"/>
      <c r="K24" s="239"/>
      <c r="L24" s="90" t="str">
        <f t="shared" si="0"/>
        <v/>
      </c>
    </row>
    <row r="25" spans="1:12" ht="19.899999999999999" customHeight="1" thickBot="1" x14ac:dyDescent="0.3">
      <c r="A25" s="8">
        <v>13</v>
      </c>
      <c r="B25" s="49"/>
      <c r="C25" s="357"/>
      <c r="D25" s="358" t="s">
        <v>116</v>
      </c>
      <c r="E25" s="350"/>
      <c r="F25" s="244"/>
      <c r="G25" s="245"/>
      <c r="H25" s="246"/>
      <c r="I25" s="246"/>
      <c r="J25" s="246"/>
      <c r="K25" s="247"/>
      <c r="L25" s="92" t="str">
        <f t="shared" si="0"/>
        <v/>
      </c>
    </row>
    <row r="26" spans="1:12" ht="19.899999999999999" customHeight="1" x14ac:dyDescent="0.25">
      <c r="A26" s="35">
        <v>14</v>
      </c>
      <c r="B26" s="38"/>
      <c r="C26" s="356" t="s">
        <v>95</v>
      </c>
      <c r="D26" s="363" t="s">
        <v>91</v>
      </c>
      <c r="E26" s="364"/>
      <c r="F26" s="248"/>
      <c r="G26" s="249"/>
      <c r="H26" s="250"/>
      <c r="I26" s="250"/>
      <c r="J26" s="250"/>
      <c r="K26" s="251"/>
      <c r="L26" s="93" t="str">
        <f t="shared" si="0"/>
        <v/>
      </c>
    </row>
    <row r="27" spans="1:12" ht="19.899999999999999" customHeight="1" x14ac:dyDescent="0.25">
      <c r="A27" s="34">
        <v>15</v>
      </c>
      <c r="B27" s="38"/>
      <c r="C27" s="356"/>
      <c r="D27" s="366" t="s">
        <v>117</v>
      </c>
      <c r="E27" s="284"/>
      <c r="F27" s="236"/>
      <c r="G27" s="237"/>
      <c r="H27" s="238"/>
      <c r="I27" s="238"/>
      <c r="J27" s="238"/>
      <c r="K27" s="239"/>
      <c r="L27" s="90" t="str">
        <f t="shared" si="0"/>
        <v/>
      </c>
    </row>
    <row r="28" spans="1:12" ht="19.899999999999999" customHeight="1" thickBot="1" x14ac:dyDescent="0.3">
      <c r="A28" s="8">
        <v>16</v>
      </c>
      <c r="B28" s="49"/>
      <c r="C28" s="357"/>
      <c r="D28" s="358" t="s">
        <v>118</v>
      </c>
      <c r="E28" s="350"/>
      <c r="F28" s="244"/>
      <c r="G28" s="245"/>
      <c r="H28" s="246"/>
      <c r="I28" s="246"/>
      <c r="J28" s="246"/>
      <c r="K28" s="247"/>
      <c r="L28" s="92" t="str">
        <f t="shared" si="0"/>
        <v/>
      </c>
    </row>
    <row r="29" spans="1:12" ht="19.899999999999999" customHeight="1" x14ac:dyDescent="0.25">
      <c r="A29" s="35">
        <v>17</v>
      </c>
      <c r="B29" s="38"/>
      <c r="C29" s="356" t="s">
        <v>119</v>
      </c>
      <c r="D29" s="363" t="s">
        <v>120</v>
      </c>
      <c r="E29" s="364"/>
      <c r="F29" s="248"/>
      <c r="G29" s="249"/>
      <c r="H29" s="250"/>
      <c r="I29" s="250"/>
      <c r="J29" s="250"/>
      <c r="K29" s="251"/>
      <c r="L29" s="93" t="str">
        <f t="shared" si="0"/>
        <v/>
      </c>
    </row>
    <row r="30" spans="1:12" ht="19.899999999999999" customHeight="1" x14ac:dyDescent="0.25">
      <c r="A30" s="34">
        <v>18</v>
      </c>
      <c r="B30" s="38"/>
      <c r="C30" s="356"/>
      <c r="D30" s="366" t="s">
        <v>121</v>
      </c>
      <c r="E30" s="284"/>
      <c r="F30" s="236"/>
      <c r="G30" s="237"/>
      <c r="H30" s="238"/>
      <c r="I30" s="238"/>
      <c r="J30" s="238"/>
      <c r="K30" s="239"/>
      <c r="L30" s="90" t="str">
        <f t="shared" si="0"/>
        <v/>
      </c>
    </row>
    <row r="31" spans="1:12" ht="19.899999999999999" customHeight="1" thickBot="1" x14ac:dyDescent="0.3">
      <c r="A31" s="8">
        <v>19</v>
      </c>
      <c r="B31" s="49"/>
      <c r="C31" s="357"/>
      <c r="D31" s="358" t="s">
        <v>122</v>
      </c>
      <c r="E31" s="350"/>
      <c r="F31" s="244"/>
      <c r="G31" s="245"/>
      <c r="H31" s="246"/>
      <c r="I31" s="246"/>
      <c r="J31" s="246"/>
      <c r="K31" s="247"/>
      <c r="L31" s="92" t="str">
        <f t="shared" si="0"/>
        <v/>
      </c>
    </row>
    <row r="32" spans="1:12" ht="19.899999999999999" customHeight="1" x14ac:dyDescent="0.25">
      <c r="A32" s="35">
        <v>20</v>
      </c>
      <c r="B32" s="38"/>
      <c r="C32" s="356" t="s">
        <v>123</v>
      </c>
      <c r="D32" s="363" t="s">
        <v>124</v>
      </c>
      <c r="E32" s="364"/>
      <c r="F32" s="248"/>
      <c r="G32" s="249"/>
      <c r="H32" s="250"/>
      <c r="I32" s="250"/>
      <c r="J32" s="250"/>
      <c r="K32" s="251"/>
      <c r="L32" s="93" t="str">
        <f t="shared" si="0"/>
        <v/>
      </c>
    </row>
    <row r="33" spans="1:12" ht="19.899999999999999" customHeight="1" x14ac:dyDescent="0.25">
      <c r="A33" s="34">
        <v>21</v>
      </c>
      <c r="B33" s="38"/>
      <c r="C33" s="356"/>
      <c r="D33" s="366" t="s">
        <v>125</v>
      </c>
      <c r="E33" s="284"/>
      <c r="F33" s="236"/>
      <c r="G33" s="237"/>
      <c r="H33" s="238"/>
      <c r="I33" s="238"/>
      <c r="J33" s="238"/>
      <c r="K33" s="239"/>
      <c r="L33" s="90" t="str">
        <f t="shared" si="0"/>
        <v/>
      </c>
    </row>
    <row r="34" spans="1:12" ht="19.899999999999999" customHeight="1" thickBot="1" x14ac:dyDescent="0.3">
      <c r="A34" s="8">
        <v>22</v>
      </c>
      <c r="B34" s="49"/>
      <c r="C34" s="357"/>
      <c r="D34" s="358" t="s">
        <v>126</v>
      </c>
      <c r="E34" s="350"/>
      <c r="F34" s="244"/>
      <c r="G34" s="245"/>
      <c r="H34" s="246"/>
      <c r="I34" s="246"/>
      <c r="J34" s="246"/>
      <c r="K34" s="247"/>
      <c r="L34" s="92" t="str">
        <f t="shared" si="0"/>
        <v/>
      </c>
    </row>
    <row r="35" spans="1:12" ht="19.899999999999999" customHeight="1" thickBot="1" x14ac:dyDescent="0.3">
      <c r="A35" s="35">
        <v>23</v>
      </c>
      <c r="B35" s="38"/>
      <c r="C35" s="43"/>
      <c r="D35" s="374" t="s">
        <v>28</v>
      </c>
      <c r="E35" s="375"/>
      <c r="F35" s="252"/>
      <c r="G35" s="253"/>
      <c r="H35" s="254"/>
      <c r="I35" s="254"/>
      <c r="J35" s="254"/>
      <c r="K35" s="255"/>
      <c r="L35" s="94" t="str">
        <f t="shared" si="0"/>
        <v/>
      </c>
    </row>
    <row r="36" spans="1:12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s="45" customFormat="1" ht="20.100000000000001" customHeight="1" thickTop="1" thickBot="1" x14ac:dyDescent="0.35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78" t="s">
        <v>127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55000000000000004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O9" s="19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9"/>
    </row>
    <row r="11" spans="1:16" ht="27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19.899999999999999" customHeight="1" thickBot="1" x14ac:dyDescent="0.3">
      <c r="A13" s="5">
        <v>1</v>
      </c>
      <c r="B13" s="5"/>
      <c r="C13" s="41"/>
      <c r="D13" s="345" t="s">
        <v>7</v>
      </c>
      <c r="E13" s="346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34">
        <v>2</v>
      </c>
      <c r="B14" s="38"/>
      <c r="C14" s="355" t="s">
        <v>128</v>
      </c>
      <c r="D14" s="373" t="s">
        <v>129</v>
      </c>
      <c r="E14" s="292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34">
        <v>3</v>
      </c>
      <c r="B15" s="38"/>
      <c r="C15" s="356"/>
      <c r="D15" s="365" t="s">
        <v>130</v>
      </c>
      <c r="E15" s="342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6"/>
      <c r="D16" s="366" t="s">
        <v>131</v>
      </c>
      <c r="E16" s="284"/>
      <c r="F16" s="236"/>
      <c r="G16" s="237"/>
      <c r="H16" s="238"/>
      <c r="I16" s="238"/>
      <c r="J16" s="238"/>
      <c r="K16" s="239"/>
      <c r="L16" s="90" t="str">
        <f t="shared" si="0"/>
        <v/>
      </c>
      <c r="N16" s="25"/>
    </row>
    <row r="17" spans="1:14" ht="19.899999999999999" customHeight="1" x14ac:dyDescent="0.25">
      <c r="A17" s="34">
        <v>5</v>
      </c>
      <c r="B17" s="38"/>
      <c r="C17" s="356"/>
      <c r="D17" s="365" t="s">
        <v>132</v>
      </c>
      <c r="E17" s="342"/>
      <c r="F17" s="232"/>
      <c r="G17" s="233"/>
      <c r="H17" s="234"/>
      <c r="I17" s="234"/>
      <c r="J17" s="234"/>
      <c r="K17" s="235"/>
      <c r="L17" s="89" t="str">
        <f t="shared" si="0"/>
        <v/>
      </c>
      <c r="N17" s="25"/>
    </row>
    <row r="18" spans="1:14" ht="19.899999999999999" customHeight="1" x14ac:dyDescent="0.25">
      <c r="A18" s="34">
        <v>6</v>
      </c>
      <c r="B18" s="38"/>
      <c r="C18" s="356"/>
      <c r="D18" s="366" t="s">
        <v>133</v>
      </c>
      <c r="E18" s="284"/>
      <c r="F18" s="236"/>
      <c r="G18" s="237"/>
      <c r="H18" s="238"/>
      <c r="I18" s="238"/>
      <c r="J18" s="238"/>
      <c r="K18" s="239"/>
      <c r="L18" s="90" t="str">
        <f t="shared" si="0"/>
        <v/>
      </c>
      <c r="N18" s="25"/>
    </row>
    <row r="19" spans="1:14" ht="19.899999999999999" customHeight="1" x14ac:dyDescent="0.25">
      <c r="A19" s="34">
        <v>7</v>
      </c>
      <c r="B19" s="38"/>
      <c r="C19" s="356"/>
      <c r="D19" s="365" t="s">
        <v>134</v>
      </c>
      <c r="E19" s="342"/>
      <c r="F19" s="232"/>
      <c r="G19" s="233"/>
      <c r="H19" s="234"/>
      <c r="I19" s="234"/>
      <c r="J19" s="234"/>
      <c r="K19" s="235"/>
      <c r="L19" s="89" t="str">
        <f t="shared" si="0"/>
        <v/>
      </c>
      <c r="N19" s="25"/>
    </row>
    <row r="20" spans="1:14" ht="19.899999999999999" customHeight="1" x14ac:dyDescent="0.25">
      <c r="A20" s="34">
        <v>8</v>
      </c>
      <c r="B20" s="38"/>
      <c r="C20" s="356"/>
      <c r="D20" s="366" t="s">
        <v>135</v>
      </c>
      <c r="E20" s="284"/>
      <c r="F20" s="236"/>
      <c r="G20" s="237"/>
      <c r="H20" s="238"/>
      <c r="I20" s="238"/>
      <c r="J20" s="238"/>
      <c r="K20" s="239"/>
      <c r="L20" s="90" t="str">
        <f t="shared" si="0"/>
        <v/>
      </c>
      <c r="N20" s="25"/>
    </row>
    <row r="21" spans="1:14" ht="19.899999999999999" customHeight="1" x14ac:dyDescent="0.25">
      <c r="A21" s="34">
        <v>9</v>
      </c>
      <c r="B21" s="38"/>
      <c r="C21" s="356"/>
      <c r="D21" s="365" t="s">
        <v>136</v>
      </c>
      <c r="E21" s="342"/>
      <c r="F21" s="232"/>
      <c r="G21" s="233"/>
      <c r="H21" s="234"/>
      <c r="I21" s="234"/>
      <c r="J21" s="234"/>
      <c r="K21" s="235"/>
      <c r="L21" s="89" t="str">
        <f t="shared" si="0"/>
        <v/>
      </c>
      <c r="N21" s="25"/>
    </row>
    <row r="22" spans="1:14" ht="19.899999999999999" customHeight="1" x14ac:dyDescent="0.25">
      <c r="A22" s="34">
        <v>10</v>
      </c>
      <c r="B22" s="38"/>
      <c r="C22" s="356"/>
      <c r="D22" s="366" t="s">
        <v>137</v>
      </c>
      <c r="E22" s="284"/>
      <c r="F22" s="236"/>
      <c r="G22" s="237"/>
      <c r="H22" s="238"/>
      <c r="I22" s="238"/>
      <c r="J22" s="238"/>
      <c r="K22" s="239"/>
      <c r="L22" s="90" t="str">
        <f t="shared" si="0"/>
        <v/>
      </c>
      <c r="N22" s="25"/>
    </row>
    <row r="23" spans="1:14" ht="19.899999999999999" customHeight="1" x14ac:dyDescent="0.25">
      <c r="A23" s="34">
        <v>11</v>
      </c>
      <c r="B23" s="38"/>
      <c r="C23" s="356"/>
      <c r="D23" s="365" t="s">
        <v>138</v>
      </c>
      <c r="E23" s="342"/>
      <c r="F23" s="232"/>
      <c r="G23" s="233"/>
      <c r="H23" s="234"/>
      <c r="I23" s="234"/>
      <c r="J23" s="234"/>
      <c r="K23" s="235"/>
      <c r="L23" s="89" t="str">
        <f t="shared" si="0"/>
        <v/>
      </c>
      <c r="N23" s="25"/>
    </row>
    <row r="24" spans="1:14" ht="19.899999999999999" customHeight="1" x14ac:dyDescent="0.25">
      <c r="A24" s="34">
        <v>12</v>
      </c>
      <c r="B24" s="38"/>
      <c r="C24" s="356"/>
      <c r="D24" s="366" t="s">
        <v>139</v>
      </c>
      <c r="E24" s="284"/>
      <c r="F24" s="236"/>
      <c r="G24" s="237"/>
      <c r="H24" s="238"/>
      <c r="I24" s="238"/>
      <c r="J24" s="238"/>
      <c r="K24" s="239"/>
      <c r="L24" s="90" t="str">
        <f t="shared" si="0"/>
        <v/>
      </c>
      <c r="N24" s="25"/>
    </row>
    <row r="25" spans="1:14" ht="19.899999999999999" customHeight="1" x14ac:dyDescent="0.25">
      <c r="A25" s="34">
        <v>13</v>
      </c>
      <c r="B25" s="38"/>
      <c r="C25" s="356"/>
      <c r="D25" s="365" t="s">
        <v>140</v>
      </c>
      <c r="E25" s="342"/>
      <c r="F25" s="232"/>
      <c r="G25" s="233"/>
      <c r="H25" s="234"/>
      <c r="I25" s="234"/>
      <c r="J25" s="234"/>
      <c r="K25" s="235"/>
      <c r="L25" s="89" t="str">
        <f t="shared" si="0"/>
        <v/>
      </c>
      <c r="N25" s="25"/>
    </row>
    <row r="26" spans="1:14" ht="19.899999999999999" customHeight="1" x14ac:dyDescent="0.25">
      <c r="A26" s="34">
        <v>14</v>
      </c>
      <c r="B26" s="38"/>
      <c r="C26" s="356"/>
      <c r="D26" s="366" t="s">
        <v>141</v>
      </c>
      <c r="E26" s="284"/>
      <c r="F26" s="236"/>
      <c r="G26" s="237"/>
      <c r="H26" s="238"/>
      <c r="I26" s="238"/>
      <c r="J26" s="238"/>
      <c r="K26" s="239"/>
      <c r="L26" s="90" t="str">
        <f t="shared" si="0"/>
        <v/>
      </c>
      <c r="N26" s="25"/>
    </row>
    <row r="27" spans="1:14" ht="19.899999999999999" customHeight="1" thickBot="1" x14ac:dyDescent="0.3">
      <c r="A27" s="34">
        <v>15</v>
      </c>
      <c r="B27" s="38"/>
      <c r="C27" s="357"/>
      <c r="D27" s="358" t="s">
        <v>142</v>
      </c>
      <c r="E27" s="350"/>
      <c r="F27" s="244"/>
      <c r="G27" s="245"/>
      <c r="H27" s="246"/>
      <c r="I27" s="246"/>
      <c r="J27" s="246"/>
      <c r="K27" s="247"/>
      <c r="L27" s="92" t="str">
        <f t="shared" si="0"/>
        <v/>
      </c>
      <c r="N27" s="25"/>
    </row>
    <row r="28" spans="1:14" ht="19.899999999999999" customHeight="1" x14ac:dyDescent="0.25">
      <c r="A28" s="34">
        <v>16</v>
      </c>
      <c r="B28" s="38"/>
      <c r="C28" s="356" t="s">
        <v>143</v>
      </c>
      <c r="D28" s="373" t="s">
        <v>144</v>
      </c>
      <c r="E28" s="292"/>
      <c r="F28" s="228"/>
      <c r="G28" s="229"/>
      <c r="H28" s="230"/>
      <c r="I28" s="230"/>
      <c r="J28" s="230"/>
      <c r="K28" s="231"/>
      <c r="L28" s="88" t="str">
        <f t="shared" si="0"/>
        <v/>
      </c>
      <c r="N28" s="25"/>
    </row>
    <row r="29" spans="1:14" ht="19.899999999999999" customHeight="1" x14ac:dyDescent="0.25">
      <c r="A29" s="34">
        <v>17</v>
      </c>
      <c r="B29" s="38"/>
      <c r="C29" s="356"/>
      <c r="D29" s="365" t="s">
        <v>145</v>
      </c>
      <c r="E29" s="342"/>
      <c r="F29" s="232"/>
      <c r="G29" s="233"/>
      <c r="H29" s="234"/>
      <c r="I29" s="234"/>
      <c r="J29" s="234"/>
      <c r="K29" s="235"/>
      <c r="L29" s="89" t="str">
        <f t="shared" si="0"/>
        <v/>
      </c>
      <c r="N29" s="25"/>
    </row>
    <row r="30" spans="1:14" ht="19.899999999999999" customHeight="1" x14ac:dyDescent="0.25">
      <c r="A30" s="34">
        <v>18</v>
      </c>
      <c r="B30" s="38"/>
      <c r="C30" s="356"/>
      <c r="D30" s="366" t="s">
        <v>146</v>
      </c>
      <c r="E30" s="284"/>
      <c r="F30" s="236"/>
      <c r="G30" s="237"/>
      <c r="H30" s="238"/>
      <c r="I30" s="238"/>
      <c r="J30" s="238"/>
      <c r="K30" s="239"/>
      <c r="L30" s="90" t="str">
        <f t="shared" si="0"/>
        <v/>
      </c>
      <c r="N30" s="25"/>
    </row>
    <row r="31" spans="1:14" ht="19.899999999999999" customHeight="1" x14ac:dyDescent="0.25">
      <c r="A31" s="34">
        <v>19</v>
      </c>
      <c r="B31" s="38"/>
      <c r="C31" s="356"/>
      <c r="D31" s="365" t="s">
        <v>147</v>
      </c>
      <c r="E31" s="342"/>
      <c r="F31" s="232"/>
      <c r="G31" s="233"/>
      <c r="H31" s="234"/>
      <c r="I31" s="234"/>
      <c r="J31" s="234"/>
      <c r="K31" s="235"/>
      <c r="L31" s="89" t="str">
        <f t="shared" si="0"/>
        <v/>
      </c>
      <c r="N31" s="25"/>
    </row>
    <row r="32" spans="1:14" ht="19.899999999999999" customHeight="1" x14ac:dyDescent="0.25">
      <c r="A32" s="34">
        <v>20</v>
      </c>
      <c r="B32" s="38"/>
      <c r="C32" s="356"/>
      <c r="D32" s="366" t="s">
        <v>148</v>
      </c>
      <c r="E32" s="284"/>
      <c r="F32" s="236"/>
      <c r="G32" s="237"/>
      <c r="H32" s="238"/>
      <c r="I32" s="238"/>
      <c r="J32" s="238"/>
      <c r="K32" s="239"/>
      <c r="L32" s="90" t="str">
        <f t="shared" si="0"/>
        <v/>
      </c>
      <c r="N32" s="25"/>
    </row>
    <row r="33" spans="1:14" ht="19.899999999999999" customHeight="1" x14ac:dyDescent="0.25">
      <c r="A33" s="34">
        <v>21</v>
      </c>
      <c r="B33" s="38"/>
      <c r="C33" s="356"/>
      <c r="D33" s="365" t="s">
        <v>149</v>
      </c>
      <c r="E33" s="342"/>
      <c r="F33" s="232"/>
      <c r="G33" s="233"/>
      <c r="H33" s="234"/>
      <c r="I33" s="234"/>
      <c r="J33" s="234"/>
      <c r="K33" s="235"/>
      <c r="L33" s="89" t="str">
        <f t="shared" si="0"/>
        <v/>
      </c>
      <c r="N33" s="25"/>
    </row>
    <row r="34" spans="1:14" ht="19.899999999999999" customHeight="1" thickBot="1" x14ac:dyDescent="0.3">
      <c r="A34" s="34">
        <v>22</v>
      </c>
      <c r="B34" s="38"/>
      <c r="C34" s="357"/>
      <c r="D34" s="359" t="s">
        <v>150</v>
      </c>
      <c r="E34" s="344"/>
      <c r="F34" s="256"/>
      <c r="G34" s="257"/>
      <c r="H34" s="258"/>
      <c r="I34" s="258"/>
      <c r="J34" s="258"/>
      <c r="K34" s="259"/>
      <c r="L34" s="95" t="str">
        <f t="shared" si="0"/>
        <v/>
      </c>
      <c r="N34" s="25"/>
    </row>
    <row r="35" spans="1:14" ht="19.899999999999999" customHeight="1" thickBot="1" x14ac:dyDescent="0.3">
      <c r="A35" s="5">
        <v>23</v>
      </c>
      <c r="B35" s="50"/>
      <c r="C35" s="43"/>
      <c r="D35" s="379" t="s">
        <v>28</v>
      </c>
      <c r="E35" s="380"/>
      <c r="F35" s="260"/>
      <c r="G35" s="261"/>
      <c r="H35" s="262"/>
      <c r="I35" s="262"/>
      <c r="J35" s="262"/>
      <c r="K35" s="263"/>
      <c r="L35" s="96" t="str">
        <f t="shared" si="0"/>
        <v/>
      </c>
      <c r="N35" s="25"/>
    </row>
    <row r="36" spans="1:14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4" s="45" customFormat="1" ht="20.100000000000001" customHeight="1" thickTop="1" thickBot="1" x14ac:dyDescent="0.35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213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81" t="str">
        <f>Doku!B32&amp;":"</f>
        <v>Paar Nr:</v>
      </c>
      <c r="K5" s="381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82" t="s">
        <v>7</v>
      </c>
      <c r="E13" s="383"/>
      <c r="F13" s="30"/>
      <c r="G13" s="54"/>
      <c r="H13" s="62"/>
      <c r="I13" s="62"/>
      <c r="J13" s="57"/>
      <c r="K13" s="5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8</v>
      </c>
      <c r="D14" s="384" t="s">
        <v>214</v>
      </c>
      <c r="E14" s="385"/>
      <c r="F14" s="26"/>
      <c r="G14" s="55"/>
      <c r="H14" s="63"/>
      <c r="I14" s="63"/>
      <c r="J14" s="58"/>
      <c r="K14" s="58"/>
      <c r="L14" s="76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thickBot="1" x14ac:dyDescent="0.3">
      <c r="A15" s="7">
        <v>3</v>
      </c>
      <c r="B15" s="6"/>
      <c r="C15" s="280"/>
      <c r="D15" s="386" t="s">
        <v>215</v>
      </c>
      <c r="E15" s="387"/>
      <c r="F15" s="31"/>
      <c r="G15" s="56"/>
      <c r="H15" s="64"/>
      <c r="I15" s="64"/>
      <c r="J15" s="59"/>
      <c r="K15" s="59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80"/>
      <c r="D16" s="384" t="s">
        <v>216</v>
      </c>
      <c r="E16" s="385"/>
      <c r="F16" s="26"/>
      <c r="G16" s="55"/>
      <c r="H16" s="63"/>
      <c r="I16" s="63"/>
      <c r="J16" s="58"/>
      <c r="K16" s="58"/>
      <c r="L16" s="76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thickBot="1" x14ac:dyDescent="0.3">
      <c r="A17" s="6">
        <v>5</v>
      </c>
      <c r="B17" s="6"/>
      <c r="C17" s="280"/>
      <c r="D17" s="386" t="s">
        <v>217</v>
      </c>
      <c r="E17" s="387"/>
      <c r="F17" s="31"/>
      <c r="G17" s="56"/>
      <c r="H17" s="64"/>
      <c r="I17" s="64"/>
      <c r="J17" s="59"/>
      <c r="K17" s="59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80"/>
      <c r="D18" s="384" t="s">
        <v>218</v>
      </c>
      <c r="E18" s="385"/>
      <c r="F18" s="26"/>
      <c r="G18" s="55"/>
      <c r="H18" s="63"/>
      <c r="I18" s="63"/>
      <c r="J18" s="58"/>
      <c r="K18" s="58"/>
      <c r="L18" s="76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326"/>
      <c r="D19" s="386" t="s">
        <v>219</v>
      </c>
      <c r="E19" s="387"/>
      <c r="F19" s="31"/>
      <c r="G19" s="56"/>
      <c r="H19" s="64"/>
      <c r="I19" s="64"/>
      <c r="J19" s="59"/>
      <c r="K19" s="59"/>
      <c r="L19" s="7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79" t="s">
        <v>12</v>
      </c>
      <c r="D20" s="384" t="s">
        <v>220</v>
      </c>
      <c r="E20" s="385"/>
      <c r="F20" s="26"/>
      <c r="G20" s="55"/>
      <c r="H20" s="63"/>
      <c r="I20" s="63"/>
      <c r="J20" s="58"/>
      <c r="K20" s="58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thickBot="1" x14ac:dyDescent="0.3">
      <c r="A21" s="7">
        <v>9</v>
      </c>
      <c r="B21" s="6"/>
      <c r="C21" s="280"/>
      <c r="D21" s="386" t="s">
        <v>221</v>
      </c>
      <c r="E21" s="387"/>
      <c r="F21" s="31"/>
      <c r="G21" s="56"/>
      <c r="H21" s="64"/>
      <c r="I21" s="64"/>
      <c r="J21" s="59"/>
      <c r="K21" s="59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80"/>
      <c r="D22" s="384" t="s">
        <v>236</v>
      </c>
      <c r="E22" s="385"/>
      <c r="F22" s="26"/>
      <c r="G22" s="55"/>
      <c r="H22" s="63"/>
      <c r="I22" s="63"/>
      <c r="J22" s="58"/>
      <c r="K22" s="58"/>
      <c r="L22" s="76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9">
        <v>11</v>
      </c>
      <c r="B23" s="42"/>
      <c r="C23" s="280"/>
      <c r="D23" s="386" t="s">
        <v>237</v>
      </c>
      <c r="E23" s="387"/>
      <c r="F23" s="31"/>
      <c r="G23" s="56"/>
      <c r="H23" s="64"/>
      <c r="I23" s="64"/>
      <c r="J23" s="59"/>
      <c r="K23" s="59"/>
      <c r="L23" s="74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80"/>
      <c r="D24" s="384" t="s">
        <v>224</v>
      </c>
      <c r="E24" s="385"/>
      <c r="F24" s="26"/>
      <c r="G24" s="55"/>
      <c r="H24" s="63"/>
      <c r="I24" s="63"/>
      <c r="J24" s="58"/>
      <c r="K24" s="58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326"/>
      <c r="D25" s="386" t="s">
        <v>225</v>
      </c>
      <c r="E25" s="387"/>
      <c r="F25" s="31"/>
      <c r="G25" s="56"/>
      <c r="H25" s="64"/>
      <c r="I25" s="64"/>
      <c r="J25" s="59"/>
      <c r="K25" s="59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79" t="s">
        <v>16</v>
      </c>
      <c r="D26" s="384" t="s">
        <v>226</v>
      </c>
      <c r="E26" s="385"/>
      <c r="F26" s="26"/>
      <c r="G26" s="55"/>
      <c r="H26" s="63"/>
      <c r="I26" s="63"/>
      <c r="J26" s="58"/>
      <c r="K26" s="58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thickBot="1" x14ac:dyDescent="0.3">
      <c r="A27" s="6">
        <v>15</v>
      </c>
      <c r="B27" s="6"/>
      <c r="C27" s="280"/>
      <c r="D27" s="386" t="s">
        <v>227</v>
      </c>
      <c r="E27" s="387"/>
      <c r="F27" s="31"/>
      <c r="G27" s="56"/>
      <c r="H27" s="64"/>
      <c r="I27" s="64"/>
      <c r="J27" s="59"/>
      <c r="K27" s="59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80"/>
      <c r="D28" s="384" t="s">
        <v>228</v>
      </c>
      <c r="E28" s="385"/>
      <c r="F28" s="26"/>
      <c r="G28" s="55"/>
      <c r="H28" s="63"/>
      <c r="I28" s="63"/>
      <c r="J28" s="58"/>
      <c r="K28" s="58"/>
      <c r="L28" s="76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customHeight="1" thickBot="1" x14ac:dyDescent="0.3">
      <c r="A29" s="10">
        <v>17</v>
      </c>
      <c r="B29" s="47"/>
      <c r="C29" s="280"/>
      <c r="D29" s="386" t="s">
        <v>229</v>
      </c>
      <c r="E29" s="387"/>
      <c r="F29" s="31"/>
      <c r="G29" s="56"/>
      <c r="H29" s="64"/>
      <c r="I29" s="64"/>
      <c r="J29" s="59"/>
      <c r="K29" s="59"/>
      <c r="L29" s="74" t="str">
        <f t="shared" si="0"/>
        <v/>
      </c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customHeight="1" thickTop="1" thickBot="1" x14ac:dyDescent="0.3">
      <c r="A30" s="51">
        <v>18</v>
      </c>
      <c r="B30" s="52"/>
      <c r="C30" s="280"/>
      <c r="D30" s="384" t="s">
        <v>234</v>
      </c>
      <c r="E30" s="385"/>
      <c r="F30" s="26"/>
      <c r="G30" s="55"/>
      <c r="H30" s="63"/>
      <c r="I30" s="63"/>
      <c r="J30" s="58"/>
      <c r="K30" s="58"/>
      <c r="L30" s="76" t="str">
        <f t="shared" si="0"/>
        <v/>
      </c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customHeight="1" thickTop="1" thickBot="1" x14ac:dyDescent="0.3">
      <c r="A31" s="51">
        <v>19</v>
      </c>
      <c r="B31" s="52"/>
      <c r="C31" s="326"/>
      <c r="D31" s="386" t="s">
        <v>235</v>
      </c>
      <c r="E31" s="387"/>
      <c r="F31" s="31"/>
      <c r="G31" s="56"/>
      <c r="H31" s="64"/>
      <c r="I31" s="64"/>
      <c r="J31" s="59"/>
      <c r="K31" s="59"/>
      <c r="L31" s="74" t="str">
        <f t="shared" si="0"/>
        <v/>
      </c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thickTop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Top="1" thickBot="1" x14ac:dyDescent="0.3">
      <c r="A35" s="51">
        <v>20</v>
      </c>
      <c r="B35" s="52"/>
      <c r="C35" s="32"/>
      <c r="D35" s="384" t="s">
        <v>28</v>
      </c>
      <c r="E35" s="385"/>
      <c r="F35" s="26"/>
      <c r="G35" s="55"/>
      <c r="H35" s="63"/>
      <c r="I35" s="63"/>
      <c r="J35" s="58"/>
      <c r="K35" s="58"/>
      <c r="L35" s="7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AA1" s="102"/>
      <c r="AF1" s="103"/>
    </row>
    <row r="2" spans="1:32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</v>
      </c>
      <c r="E2" s="98" t="s">
        <v>10</v>
      </c>
      <c r="F2" s="98" t="s">
        <v>11</v>
      </c>
      <c r="G2" s="98" t="s">
        <v>13</v>
      </c>
      <c r="H2" s="98" t="s">
        <v>14</v>
      </c>
      <c r="I2" s="98" t="s">
        <v>15</v>
      </c>
      <c r="J2" s="98" t="s">
        <v>17</v>
      </c>
      <c r="K2" s="98" t="s">
        <v>18</v>
      </c>
      <c r="L2" s="98" t="s">
        <v>19</v>
      </c>
      <c r="M2" s="98" t="s">
        <v>21</v>
      </c>
      <c r="N2" s="98" t="s">
        <v>22</v>
      </c>
      <c r="O2" s="98" t="s">
        <v>23</v>
      </c>
      <c r="P2" s="98" t="s">
        <v>25</v>
      </c>
      <c r="Q2" s="98" t="s">
        <v>26</v>
      </c>
      <c r="R2" s="98" t="s">
        <v>27</v>
      </c>
      <c r="S2" s="98"/>
      <c r="T2" s="98"/>
      <c r="U2" s="98"/>
      <c r="V2" s="98"/>
      <c r="W2" s="98"/>
      <c r="X2" s="98"/>
      <c r="Y2" s="98" t="str">
        <f>Doku!B52</f>
        <v>Abgrüßen</v>
      </c>
      <c r="Z2" s="98" t="str">
        <f>Doku!B42</f>
        <v>Gesamt</v>
      </c>
      <c r="AA2" s="105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ref="S4:X4" ca="1" si="3">MAX(S8:S12)-MIN(S8:S12)</f>
        <v>0</v>
      </c>
      <c r="T4" s="112">
        <f t="shared" ca="1" si="3"/>
        <v>0</v>
      </c>
      <c r="U4" s="112">
        <f t="shared" ca="1" si="3"/>
        <v>0</v>
      </c>
      <c r="V4" s="112">
        <f t="shared" ca="1" si="3"/>
        <v>0</v>
      </c>
      <c r="W4" s="112">
        <f t="shared" ca="1" si="3"/>
        <v>0</v>
      </c>
      <c r="X4" s="112">
        <f t="shared" ca="1" si="3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4">D3/3</f>
        <v>0</v>
      </c>
      <c r="E5" s="112">
        <f t="shared" ca="1" si="4"/>
        <v>0</v>
      </c>
      <c r="F5" s="112">
        <f t="shared" ca="1" si="4"/>
        <v>0</v>
      </c>
      <c r="G5" s="112">
        <f t="shared" ca="1" si="4"/>
        <v>0</v>
      </c>
      <c r="H5" s="112">
        <f t="shared" ca="1" si="4"/>
        <v>0</v>
      </c>
      <c r="I5" s="112">
        <f t="shared" ca="1" si="4"/>
        <v>0</v>
      </c>
      <c r="J5" s="112">
        <f t="shared" ca="1" si="4"/>
        <v>0</v>
      </c>
      <c r="K5" s="112">
        <f t="shared" ca="1" si="4"/>
        <v>0</v>
      </c>
      <c r="L5" s="112">
        <f t="shared" ca="1" si="4"/>
        <v>0</v>
      </c>
      <c r="M5" s="112">
        <f t="shared" ca="1" si="4"/>
        <v>0</v>
      </c>
      <c r="N5" s="112">
        <f t="shared" ca="1" si="4"/>
        <v>0</v>
      </c>
      <c r="O5" s="112">
        <f t="shared" ca="1" si="4"/>
        <v>0</v>
      </c>
      <c r="P5" s="112">
        <f t="shared" ca="1" si="4"/>
        <v>0</v>
      </c>
      <c r="Q5" s="112">
        <f t="shared" ca="1" si="4"/>
        <v>0</v>
      </c>
      <c r="R5" s="112">
        <f t="shared" ca="1" si="4"/>
        <v>0</v>
      </c>
      <c r="S5" s="112">
        <f t="shared" ref="S5:X5" ca="1" si="5">S3/3</f>
        <v>0</v>
      </c>
      <c r="T5" s="112">
        <f t="shared" ca="1" si="5"/>
        <v>0</v>
      </c>
      <c r="U5" s="112">
        <f t="shared" ca="1" si="5"/>
        <v>0</v>
      </c>
      <c r="V5" s="112">
        <f t="shared" ca="1" si="5"/>
        <v>0</v>
      </c>
      <c r="W5" s="112">
        <f t="shared" ca="1" si="5"/>
        <v>0</v>
      </c>
      <c r="X5" s="112">
        <f t="shared" ca="1" si="5"/>
        <v>0</v>
      </c>
      <c r="Y5" s="112">
        <f t="shared" ca="1" si="4"/>
        <v>0</v>
      </c>
      <c r="Z5" s="113">
        <f t="shared" ca="1" si="4"/>
        <v>0</v>
      </c>
      <c r="AA5" s="115"/>
      <c r="AB5" s="113">
        <f t="shared" ca="1" si="4"/>
        <v>0</v>
      </c>
      <c r="AC5" s="113">
        <f t="shared" ca="1" si="4"/>
        <v>0</v>
      </c>
      <c r="AD5" s="113">
        <f t="shared" ca="1" si="4"/>
        <v>0</v>
      </c>
      <c r="AE5" s="112">
        <f t="shared" ca="1" si="4"/>
        <v>0</v>
      </c>
      <c r="AF5" s="113">
        <f t="shared" ca="1" si="4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" si="6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7">IF(A8&lt;&gt;"",INDIRECT("'"&amp;$A8&amp;"'!E5"),"")</f>
        <v/>
      </c>
      <c r="C8" s="112" t="str">
        <f t="shared" ref="C8:C13" ca="1" si="8">IF($A8&lt;&gt;"",INDIRECT("'"&amp;$A8&amp;"'!L13"),"")</f>
        <v/>
      </c>
      <c r="D8" s="112" t="str">
        <f t="shared" ref="D8:D13" ca="1" si="9">IF($A8&lt;&gt;"",INDIRECT("'"&amp;$A8&amp;"'!L14"),"")</f>
        <v/>
      </c>
      <c r="E8" s="112" t="str">
        <f t="shared" ref="E8:E13" ca="1" si="10">IF($A8&lt;&gt;"",INDIRECT("'"&amp;$A8&amp;"'!L15"),"")</f>
        <v/>
      </c>
      <c r="F8" s="112" t="str">
        <f t="shared" ref="F8:F13" ca="1" si="11">IF($A8&lt;&gt;"",INDIRECT("'"&amp;$A8&amp;"'!L16"),"")</f>
        <v/>
      </c>
      <c r="G8" s="112" t="str">
        <f t="shared" ref="G8:G13" ca="1" si="12">IF($A8&lt;&gt;"",INDIRECT("'"&amp;$A8&amp;"'!L17"),"")</f>
        <v/>
      </c>
      <c r="H8" s="112" t="str">
        <f t="shared" ref="H8:H13" ca="1" si="13">IF($A8&lt;&gt;"",INDIRECT("'"&amp;$A8&amp;"'!L18"),"")</f>
        <v/>
      </c>
      <c r="I8" s="112" t="str">
        <f t="shared" ref="I8:I13" ca="1" si="14">IF($A8&lt;&gt;"",INDIRECT("'"&amp;$A8&amp;"'!L19"),"")</f>
        <v/>
      </c>
      <c r="J8" s="112" t="str">
        <f t="shared" ref="J8:J13" ca="1" si="15">IF($A8&lt;&gt;"",INDIRECT("'"&amp;$A8&amp;"'!L20"),"")</f>
        <v/>
      </c>
      <c r="K8" s="112" t="str">
        <f t="shared" ref="K8:K13" ca="1" si="16">IF($A8&lt;&gt;"",INDIRECT("'"&amp;$A8&amp;"'!L21"),"")</f>
        <v/>
      </c>
      <c r="L8" s="112" t="str">
        <f t="shared" ref="L8:L13" ca="1" si="17">IF($A8&lt;&gt;"",INDIRECT("'"&amp;$A8&amp;"'!L22"),"")</f>
        <v/>
      </c>
      <c r="M8" s="112" t="str">
        <f t="shared" ref="M8:M13" ca="1" si="18">IF($A8&lt;&gt;"",INDIRECT("'"&amp;$A8&amp;"'!L23"),"")</f>
        <v/>
      </c>
      <c r="N8" s="112" t="str">
        <f t="shared" ref="N8:N13" ca="1" si="19">IF($A8&lt;&gt;"",INDIRECT("'"&amp;$A8&amp;"'!L24"),"")</f>
        <v/>
      </c>
      <c r="O8" s="112" t="str">
        <f t="shared" ref="O8:O13" ca="1" si="20">IF($A8&lt;&gt;"",INDIRECT("'"&amp;$A8&amp;"'!L25"),"")</f>
        <v/>
      </c>
      <c r="P8" s="112" t="str">
        <f t="shared" ref="P8:P13" ca="1" si="21">IF($A8&lt;&gt;"",INDIRECT("'"&amp;$A8&amp;"'!L26"),"")</f>
        <v/>
      </c>
      <c r="Q8" s="112" t="str">
        <f t="shared" ref="Q8:Q13" ca="1" si="22">IF($A8&lt;&gt;"",INDIRECT("'"&amp;$A8&amp;"'!L27"),"")</f>
        <v/>
      </c>
      <c r="R8" s="112" t="str">
        <f t="shared" ref="R8:R13" ca="1" si="23">IF($A8&lt;&gt;"",INDIRECT("'"&amp;$A8&amp;"'!L28"),"")</f>
        <v/>
      </c>
      <c r="S8" s="112" t="str">
        <f t="shared" ref="S8:S13" ca="1" si="24">IF($A8&lt;&gt;"",INDIRECT("'"&amp;$A8&amp;"'!L29"),"")</f>
        <v/>
      </c>
      <c r="T8" s="112" t="str">
        <f t="shared" ref="T8:T13" ca="1" si="25">IF($A8&lt;&gt;"",INDIRECT("'"&amp;$A8&amp;"'!L30"),"")</f>
        <v/>
      </c>
      <c r="U8" s="112" t="str">
        <f t="shared" ref="U8:U13" ca="1" si="26">IF($A8&lt;&gt;"",INDIRECT("'"&amp;$A8&amp;"'!L31"),"")</f>
        <v/>
      </c>
      <c r="V8" s="112" t="str">
        <f t="shared" ref="V8:V13" ca="1" si="27">IF($A8&lt;&gt;"",INDIRECT("'"&amp;$A8&amp;"'!L32"),"")</f>
        <v/>
      </c>
      <c r="W8" s="112" t="str">
        <f t="shared" ref="W8:W13" ca="1" si="28">IF($A8&lt;&gt;"",INDIRECT("'"&amp;$A8&amp;"'!L33"),"")</f>
        <v/>
      </c>
      <c r="X8" s="112" t="str">
        <f t="shared" ref="X8:X13" ca="1" si="29">IF($A8&lt;&gt;"",INDIRECT("'"&amp;$A8&amp;"'!L34"),"")</f>
        <v/>
      </c>
      <c r="Y8" s="112" t="str">
        <f t="shared" ref="Y8:Y13" ca="1" si="30">IF($A8&lt;&gt;"",INDIRECT("'"&amp;$A8&amp;"'!L35"),"")</f>
        <v/>
      </c>
      <c r="Z8" s="113" t="str">
        <f t="shared" ref="Z8:Z13" ca="1" si="31">IF($A8&lt;&gt;"",INDIRECT("'"&amp;$A8&amp;"'!L36"),"")</f>
        <v/>
      </c>
      <c r="AA8" s="121" t="str">
        <f t="shared" ref="AA8:AA13" si="32">IF($A8&lt;&gt;"",SUM(C22:Y22)/COUNT(C8:Y8),"")</f>
        <v/>
      </c>
      <c r="AB8" s="113" t="str">
        <f t="shared" ref="AB8:AB13" ca="1" si="33">IF($A8&lt;&gt;"",INDIRECT("'"&amp;$A8&amp;"'!F36"),"")</f>
        <v/>
      </c>
      <c r="AC8" s="113" t="str">
        <f t="shared" ref="AC8:AC13" ca="1" si="34">IF($A8&lt;&gt;"",INDIRECT("'"&amp;$A8&amp;"'!H36"),"")</f>
        <v/>
      </c>
      <c r="AD8" s="113" t="str">
        <f t="shared" ref="AD8:AD13" ca="1" si="35">IF($A8&lt;&gt;"",INDIRECT("'"&amp;$A8&amp;"'!I36"),"")</f>
        <v/>
      </c>
      <c r="AE8" s="112" t="str">
        <f t="shared" ref="AE8:AE13" ca="1" si="36">IF($A8&lt;&gt;"",INDIRECT("'"&amp;$A8&amp;"'!J36"),"")</f>
        <v/>
      </c>
      <c r="AF8" s="113" t="str">
        <f t="shared" ref="AF8:AF13" ca="1" si="37">IF($A8&lt;&gt;"",INDIRECT("'"&amp;$A8&amp;"'!K36"),"")</f>
        <v/>
      </c>
    </row>
    <row r="9" spans="1:32" ht="15" customHeight="1" x14ac:dyDescent="0.2">
      <c r="B9" s="27" t="str">
        <f t="shared" ca="1" si="7"/>
        <v/>
      </c>
      <c r="C9" s="112" t="str">
        <f t="shared" ca="1" si="8"/>
        <v/>
      </c>
      <c r="D9" s="112" t="str">
        <f t="shared" ca="1" si="9"/>
        <v/>
      </c>
      <c r="E9" s="112" t="str">
        <f t="shared" ca="1" si="10"/>
        <v/>
      </c>
      <c r="F9" s="112" t="str">
        <f t="shared" ca="1" si="11"/>
        <v/>
      </c>
      <c r="G9" s="112" t="str">
        <f t="shared" ca="1" si="12"/>
        <v/>
      </c>
      <c r="H9" s="112" t="str">
        <f t="shared" ca="1" si="13"/>
        <v/>
      </c>
      <c r="I9" s="112" t="str">
        <f t="shared" ca="1" si="14"/>
        <v/>
      </c>
      <c r="J9" s="112" t="str">
        <f t="shared" ca="1" si="15"/>
        <v/>
      </c>
      <c r="K9" s="112" t="str">
        <f t="shared" ca="1" si="16"/>
        <v/>
      </c>
      <c r="L9" s="112" t="str">
        <f t="shared" ca="1" si="17"/>
        <v/>
      </c>
      <c r="M9" s="112" t="str">
        <f t="shared" ca="1" si="18"/>
        <v/>
      </c>
      <c r="N9" s="112" t="str">
        <f t="shared" ca="1" si="19"/>
        <v/>
      </c>
      <c r="O9" s="112" t="str">
        <f t="shared" ca="1" si="20"/>
        <v/>
      </c>
      <c r="P9" s="112" t="str">
        <f t="shared" ca="1" si="21"/>
        <v/>
      </c>
      <c r="Q9" s="112" t="str">
        <f t="shared" ca="1" si="22"/>
        <v/>
      </c>
      <c r="R9" s="112" t="str">
        <f t="shared" ca="1" si="23"/>
        <v/>
      </c>
      <c r="S9" s="112" t="str">
        <f t="shared" ca="1" si="24"/>
        <v/>
      </c>
      <c r="T9" s="112" t="str">
        <f t="shared" ca="1" si="25"/>
        <v/>
      </c>
      <c r="U9" s="112" t="str">
        <f t="shared" ca="1" si="26"/>
        <v/>
      </c>
      <c r="V9" s="112" t="str">
        <f t="shared" ca="1" si="27"/>
        <v/>
      </c>
      <c r="W9" s="112" t="str">
        <f t="shared" ca="1" si="28"/>
        <v/>
      </c>
      <c r="X9" s="112" t="str">
        <f t="shared" ca="1" si="29"/>
        <v/>
      </c>
      <c r="Y9" s="112" t="str">
        <f t="shared" ca="1" si="30"/>
        <v/>
      </c>
      <c r="Z9" s="113" t="str">
        <f t="shared" ca="1" si="31"/>
        <v/>
      </c>
      <c r="AA9" s="122" t="str">
        <f t="shared" si="32"/>
        <v/>
      </c>
      <c r="AB9" s="113" t="str">
        <f t="shared" ca="1" si="33"/>
        <v/>
      </c>
      <c r="AC9" s="113" t="str">
        <f t="shared" ca="1" si="34"/>
        <v/>
      </c>
      <c r="AD9" s="113" t="str">
        <f t="shared" ca="1" si="35"/>
        <v/>
      </c>
      <c r="AE9" s="112" t="str">
        <f t="shared" ca="1" si="36"/>
        <v/>
      </c>
      <c r="AF9" s="113" t="str">
        <f t="shared" ca="1" si="37"/>
        <v/>
      </c>
    </row>
    <row r="10" spans="1:32" ht="15" customHeight="1" x14ac:dyDescent="0.2">
      <c r="B10" s="27" t="str">
        <f t="shared" ca="1" si="7"/>
        <v/>
      </c>
      <c r="C10" s="112" t="str">
        <f t="shared" ca="1" si="8"/>
        <v/>
      </c>
      <c r="D10" s="112" t="str">
        <f t="shared" ca="1" si="9"/>
        <v/>
      </c>
      <c r="E10" s="112" t="str">
        <f t="shared" ca="1" si="10"/>
        <v/>
      </c>
      <c r="F10" s="112" t="str">
        <f t="shared" ca="1" si="11"/>
        <v/>
      </c>
      <c r="G10" s="112" t="str">
        <f t="shared" ca="1" si="12"/>
        <v/>
      </c>
      <c r="H10" s="112" t="str">
        <f t="shared" ca="1" si="13"/>
        <v/>
      </c>
      <c r="I10" s="112" t="str">
        <f t="shared" ca="1" si="14"/>
        <v/>
      </c>
      <c r="J10" s="112" t="str">
        <f t="shared" ca="1" si="15"/>
        <v/>
      </c>
      <c r="K10" s="112" t="str">
        <f t="shared" ca="1" si="16"/>
        <v/>
      </c>
      <c r="L10" s="112" t="str">
        <f t="shared" ca="1" si="17"/>
        <v/>
      </c>
      <c r="M10" s="112" t="str">
        <f t="shared" ca="1" si="18"/>
        <v/>
      </c>
      <c r="N10" s="112" t="str">
        <f t="shared" ca="1" si="19"/>
        <v/>
      </c>
      <c r="O10" s="112" t="str">
        <f t="shared" ca="1" si="20"/>
        <v/>
      </c>
      <c r="P10" s="112" t="str">
        <f t="shared" ca="1" si="21"/>
        <v/>
      </c>
      <c r="Q10" s="112" t="str">
        <f t="shared" ca="1" si="22"/>
        <v/>
      </c>
      <c r="R10" s="112" t="str">
        <f t="shared" ca="1" si="23"/>
        <v/>
      </c>
      <c r="S10" s="112" t="str">
        <f t="shared" ca="1" si="24"/>
        <v/>
      </c>
      <c r="T10" s="112" t="str">
        <f t="shared" ca="1" si="25"/>
        <v/>
      </c>
      <c r="U10" s="112" t="str">
        <f t="shared" ca="1" si="26"/>
        <v/>
      </c>
      <c r="V10" s="112" t="str">
        <f t="shared" ca="1" si="27"/>
        <v/>
      </c>
      <c r="W10" s="112" t="str">
        <f t="shared" ca="1" si="28"/>
        <v/>
      </c>
      <c r="X10" s="112" t="str">
        <f t="shared" ca="1" si="29"/>
        <v/>
      </c>
      <c r="Y10" s="112" t="str">
        <f t="shared" ca="1" si="30"/>
        <v/>
      </c>
      <c r="Z10" s="113" t="str">
        <f t="shared" ca="1" si="31"/>
        <v/>
      </c>
      <c r="AA10" s="122" t="str">
        <f t="shared" si="32"/>
        <v/>
      </c>
      <c r="AB10" s="113" t="str">
        <f t="shared" ca="1" si="33"/>
        <v/>
      </c>
      <c r="AC10" s="113" t="str">
        <f t="shared" ca="1" si="34"/>
        <v/>
      </c>
      <c r="AD10" s="113" t="str">
        <f t="shared" ca="1" si="35"/>
        <v/>
      </c>
      <c r="AE10" s="112" t="str">
        <f t="shared" ca="1" si="36"/>
        <v/>
      </c>
      <c r="AF10" s="113" t="str">
        <f t="shared" ca="1" si="37"/>
        <v/>
      </c>
    </row>
    <row r="11" spans="1:32" ht="15" customHeight="1" x14ac:dyDescent="0.2">
      <c r="B11" s="27" t="str">
        <f t="shared" ca="1" si="7"/>
        <v/>
      </c>
      <c r="C11" s="112" t="str">
        <f t="shared" ca="1" si="8"/>
        <v/>
      </c>
      <c r="D11" s="112" t="str">
        <f t="shared" ca="1" si="9"/>
        <v/>
      </c>
      <c r="E11" s="112" t="str">
        <f t="shared" ca="1" si="10"/>
        <v/>
      </c>
      <c r="F11" s="112" t="str">
        <f t="shared" ca="1" si="11"/>
        <v/>
      </c>
      <c r="G11" s="112" t="str">
        <f t="shared" ca="1" si="12"/>
        <v/>
      </c>
      <c r="H11" s="112" t="str">
        <f t="shared" ca="1" si="13"/>
        <v/>
      </c>
      <c r="I11" s="112" t="str">
        <f t="shared" ca="1" si="14"/>
        <v/>
      </c>
      <c r="J11" s="112" t="str">
        <f t="shared" ca="1" si="15"/>
        <v/>
      </c>
      <c r="K11" s="112" t="str">
        <f t="shared" ca="1" si="16"/>
        <v/>
      </c>
      <c r="L11" s="112" t="str">
        <f t="shared" ca="1" si="17"/>
        <v/>
      </c>
      <c r="M11" s="112" t="str">
        <f t="shared" ca="1" si="18"/>
        <v/>
      </c>
      <c r="N11" s="112" t="str">
        <f t="shared" ca="1" si="19"/>
        <v/>
      </c>
      <c r="O11" s="112" t="str">
        <f t="shared" ca="1" si="20"/>
        <v/>
      </c>
      <c r="P11" s="112" t="str">
        <f t="shared" ca="1" si="21"/>
        <v/>
      </c>
      <c r="Q11" s="112" t="str">
        <f t="shared" ca="1" si="22"/>
        <v/>
      </c>
      <c r="R11" s="112" t="str">
        <f t="shared" ca="1" si="23"/>
        <v/>
      </c>
      <c r="S11" s="112" t="str">
        <f t="shared" ca="1" si="24"/>
        <v/>
      </c>
      <c r="T11" s="112" t="str">
        <f t="shared" ca="1" si="25"/>
        <v/>
      </c>
      <c r="U11" s="112" t="str">
        <f t="shared" ca="1" si="26"/>
        <v/>
      </c>
      <c r="V11" s="112" t="str">
        <f t="shared" ca="1" si="27"/>
        <v/>
      </c>
      <c r="W11" s="112" t="str">
        <f t="shared" ca="1" si="28"/>
        <v/>
      </c>
      <c r="X11" s="112" t="str">
        <f t="shared" ca="1" si="29"/>
        <v/>
      </c>
      <c r="Y11" s="112" t="str">
        <f t="shared" ca="1" si="30"/>
        <v/>
      </c>
      <c r="Z11" s="113" t="str">
        <f t="shared" ca="1" si="31"/>
        <v/>
      </c>
      <c r="AA11" s="122" t="str">
        <f t="shared" si="32"/>
        <v/>
      </c>
      <c r="AB11" s="113" t="str">
        <f t="shared" ca="1" si="33"/>
        <v/>
      </c>
      <c r="AC11" s="113" t="str">
        <f t="shared" ca="1" si="34"/>
        <v/>
      </c>
      <c r="AD11" s="113" t="str">
        <f t="shared" ca="1" si="35"/>
        <v/>
      </c>
      <c r="AE11" s="112" t="str">
        <f t="shared" ca="1" si="36"/>
        <v/>
      </c>
      <c r="AF11" s="113" t="str">
        <f t="shared" ca="1" si="37"/>
        <v/>
      </c>
    </row>
    <row r="12" spans="1:32" ht="15" customHeight="1" thickBot="1" x14ac:dyDescent="0.25">
      <c r="B12" s="107" t="str">
        <f t="shared" ca="1" si="7"/>
        <v/>
      </c>
      <c r="C12" s="123" t="str">
        <f t="shared" ca="1" si="8"/>
        <v/>
      </c>
      <c r="D12" s="123" t="str">
        <f t="shared" ca="1" si="9"/>
        <v/>
      </c>
      <c r="E12" s="123" t="str">
        <f t="shared" ca="1" si="10"/>
        <v/>
      </c>
      <c r="F12" s="123" t="str">
        <f t="shared" ca="1" si="11"/>
        <v/>
      </c>
      <c r="G12" s="123" t="str">
        <f t="shared" ca="1" si="12"/>
        <v/>
      </c>
      <c r="H12" s="123" t="str">
        <f t="shared" ca="1" si="13"/>
        <v/>
      </c>
      <c r="I12" s="123" t="str">
        <f t="shared" ca="1" si="14"/>
        <v/>
      </c>
      <c r="J12" s="123" t="str">
        <f t="shared" ca="1" si="15"/>
        <v/>
      </c>
      <c r="K12" s="123" t="str">
        <f t="shared" ca="1" si="16"/>
        <v/>
      </c>
      <c r="L12" s="123" t="str">
        <f t="shared" ca="1" si="17"/>
        <v/>
      </c>
      <c r="M12" s="123" t="str">
        <f t="shared" ca="1" si="18"/>
        <v/>
      </c>
      <c r="N12" s="123" t="str">
        <f t="shared" ca="1" si="19"/>
        <v/>
      </c>
      <c r="O12" s="123" t="str">
        <f t="shared" ca="1" si="20"/>
        <v/>
      </c>
      <c r="P12" s="123" t="str">
        <f t="shared" ca="1" si="21"/>
        <v/>
      </c>
      <c r="Q12" s="123" t="str">
        <f t="shared" ca="1" si="22"/>
        <v/>
      </c>
      <c r="R12" s="123" t="str">
        <f t="shared" ca="1" si="23"/>
        <v/>
      </c>
      <c r="S12" s="123" t="str">
        <f t="shared" ca="1" si="24"/>
        <v/>
      </c>
      <c r="T12" s="123" t="str">
        <f t="shared" ca="1" si="25"/>
        <v/>
      </c>
      <c r="U12" s="123" t="str">
        <f t="shared" ca="1" si="26"/>
        <v/>
      </c>
      <c r="V12" s="123" t="str">
        <f t="shared" ca="1" si="27"/>
        <v/>
      </c>
      <c r="W12" s="123" t="str">
        <f t="shared" ca="1" si="28"/>
        <v/>
      </c>
      <c r="X12" s="123" t="str">
        <f t="shared" ca="1" si="29"/>
        <v/>
      </c>
      <c r="Y12" s="123" t="str">
        <f t="shared" ca="1" si="30"/>
        <v/>
      </c>
      <c r="Z12" s="124" t="str">
        <f t="shared" ca="1" si="31"/>
        <v/>
      </c>
      <c r="AA12" s="122" t="str">
        <f t="shared" si="32"/>
        <v/>
      </c>
      <c r="AB12" s="124" t="str">
        <f t="shared" ca="1" si="33"/>
        <v/>
      </c>
      <c r="AC12" s="124" t="str">
        <f t="shared" ca="1" si="34"/>
        <v/>
      </c>
      <c r="AD12" s="124" t="str">
        <f t="shared" ca="1" si="35"/>
        <v/>
      </c>
      <c r="AE12" s="123" t="str">
        <f t="shared" ca="1" si="36"/>
        <v/>
      </c>
      <c r="AF12" s="124" t="str">
        <f t="shared" ca="1" si="37"/>
        <v/>
      </c>
    </row>
    <row r="13" spans="1:32" ht="15" customHeight="1" thickBot="1" x14ac:dyDescent="0.25">
      <c r="A13" s="108"/>
      <c r="B13" s="108" t="str">
        <f t="shared" ca="1" si="7"/>
        <v/>
      </c>
      <c r="C13" s="125" t="str">
        <f t="shared" ca="1" si="8"/>
        <v/>
      </c>
      <c r="D13" s="125" t="str">
        <f t="shared" ca="1" si="9"/>
        <v/>
      </c>
      <c r="E13" s="125" t="str">
        <f t="shared" ca="1" si="10"/>
        <v/>
      </c>
      <c r="F13" s="125" t="str">
        <f t="shared" ca="1" si="11"/>
        <v/>
      </c>
      <c r="G13" s="125" t="str">
        <f t="shared" ca="1" si="12"/>
        <v/>
      </c>
      <c r="H13" s="125" t="str">
        <f t="shared" ca="1" si="13"/>
        <v/>
      </c>
      <c r="I13" s="125" t="str">
        <f t="shared" ca="1" si="14"/>
        <v/>
      </c>
      <c r="J13" s="125" t="str">
        <f t="shared" ca="1" si="15"/>
        <v/>
      </c>
      <c r="K13" s="125" t="str">
        <f t="shared" ca="1" si="16"/>
        <v/>
      </c>
      <c r="L13" s="125" t="str">
        <f t="shared" ca="1" si="17"/>
        <v/>
      </c>
      <c r="M13" s="125" t="str">
        <f t="shared" ca="1" si="18"/>
        <v/>
      </c>
      <c r="N13" s="125" t="str">
        <f t="shared" ca="1" si="19"/>
        <v/>
      </c>
      <c r="O13" s="125" t="str">
        <f t="shared" ca="1" si="20"/>
        <v/>
      </c>
      <c r="P13" s="125" t="str">
        <f t="shared" ca="1" si="21"/>
        <v/>
      </c>
      <c r="Q13" s="125" t="str">
        <f t="shared" ca="1" si="22"/>
        <v/>
      </c>
      <c r="R13" s="125" t="str">
        <f t="shared" ca="1" si="23"/>
        <v/>
      </c>
      <c r="S13" s="125" t="str">
        <f t="shared" ca="1" si="24"/>
        <v/>
      </c>
      <c r="T13" s="125" t="str">
        <f t="shared" ca="1" si="25"/>
        <v/>
      </c>
      <c r="U13" s="125" t="str">
        <f t="shared" ca="1" si="26"/>
        <v/>
      </c>
      <c r="V13" s="125" t="str">
        <f t="shared" ca="1" si="27"/>
        <v/>
      </c>
      <c r="W13" s="125" t="str">
        <f t="shared" ca="1" si="28"/>
        <v/>
      </c>
      <c r="X13" s="125" t="str">
        <f t="shared" ca="1" si="29"/>
        <v/>
      </c>
      <c r="Y13" s="125" t="str">
        <f t="shared" ca="1" si="30"/>
        <v/>
      </c>
      <c r="Z13" s="126" t="str">
        <f t="shared" ca="1" si="31"/>
        <v/>
      </c>
      <c r="AA13" s="127" t="str">
        <f t="shared" si="32"/>
        <v/>
      </c>
      <c r="AB13" s="126" t="str">
        <f t="shared" ca="1" si="33"/>
        <v/>
      </c>
      <c r="AC13" s="126" t="str">
        <f t="shared" ca="1" si="34"/>
        <v/>
      </c>
      <c r="AD13" s="126" t="str">
        <f t="shared" ca="1" si="35"/>
        <v/>
      </c>
      <c r="AE13" s="125" t="str">
        <f t="shared" ca="1" si="36"/>
        <v/>
      </c>
      <c r="AF13" s="126" t="str">
        <f t="shared" ca="1" si="37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8">IF(A15&lt;&gt;"",INDIRECT("'"&amp;$A15&amp;"'!E5"),"")</f>
        <v/>
      </c>
      <c r="C15" s="128" t="str">
        <f t="shared" ref="C15:C16" ca="1" si="39">IF($A15&lt;&gt;"",INDIRECT("'"&amp;$A15&amp;"'!L13"),"")</f>
        <v/>
      </c>
      <c r="D15" s="128" t="str">
        <f t="shared" ref="D15:D16" ca="1" si="40">IF($A15&lt;&gt;"",INDIRECT("'"&amp;$A15&amp;"'!L14"),"")</f>
        <v/>
      </c>
      <c r="E15" s="128" t="str">
        <f t="shared" ref="E15:E16" ca="1" si="41">IF($A15&lt;&gt;"",INDIRECT("'"&amp;$A15&amp;"'!L15"),"")</f>
        <v/>
      </c>
      <c r="F15" s="128" t="str">
        <f t="shared" ref="F15:F16" ca="1" si="42">IF($A15&lt;&gt;"",INDIRECT("'"&amp;$A15&amp;"'!L16"),"")</f>
        <v/>
      </c>
      <c r="G15" s="128" t="str">
        <f t="shared" ref="G15:G16" ca="1" si="43">IF($A15&lt;&gt;"",INDIRECT("'"&amp;$A15&amp;"'!L17"),"")</f>
        <v/>
      </c>
      <c r="H15" s="128" t="str">
        <f t="shared" ref="H15:H16" ca="1" si="44">IF($A15&lt;&gt;"",INDIRECT("'"&amp;$A15&amp;"'!L18"),"")</f>
        <v/>
      </c>
      <c r="I15" s="128" t="str">
        <f t="shared" ref="I15:I16" ca="1" si="45">IF($A15&lt;&gt;"",INDIRECT("'"&amp;$A15&amp;"'!L19"),"")</f>
        <v/>
      </c>
      <c r="J15" s="128" t="str">
        <f t="shared" ref="J15:J16" ca="1" si="46">IF($A15&lt;&gt;"",INDIRECT("'"&amp;$A15&amp;"'!L20"),"")</f>
        <v/>
      </c>
      <c r="K15" s="128" t="str">
        <f t="shared" ref="K15:K16" ca="1" si="47">IF($A15&lt;&gt;"",INDIRECT("'"&amp;$A15&amp;"'!L21"),"")</f>
        <v/>
      </c>
      <c r="L15" s="128" t="str">
        <f t="shared" ref="L15:L16" ca="1" si="48">IF($A15&lt;&gt;"",INDIRECT("'"&amp;$A15&amp;"'!L22"),"")</f>
        <v/>
      </c>
      <c r="M15" s="128" t="str">
        <f t="shared" ref="M15:M16" ca="1" si="49">IF($A15&lt;&gt;"",INDIRECT("'"&amp;$A15&amp;"'!L23"),"")</f>
        <v/>
      </c>
      <c r="N15" s="128" t="str">
        <f t="shared" ref="N15:N16" ca="1" si="50">IF($A15&lt;&gt;"",INDIRECT("'"&amp;$A15&amp;"'!L24"),"")</f>
        <v/>
      </c>
      <c r="O15" s="128" t="str">
        <f t="shared" ref="O15:O16" ca="1" si="51">IF($A15&lt;&gt;"",INDIRECT("'"&amp;$A15&amp;"'!L25"),"")</f>
        <v/>
      </c>
      <c r="P15" s="128" t="str">
        <f t="shared" ref="P15:P16" ca="1" si="52">IF($A15&lt;&gt;"",INDIRECT("'"&amp;$A15&amp;"'!L26"),"")</f>
        <v/>
      </c>
      <c r="Q15" s="128" t="str">
        <f t="shared" ref="Q15:Q16" ca="1" si="53">IF($A15&lt;&gt;"",INDIRECT("'"&amp;$A15&amp;"'!L27"),"")</f>
        <v/>
      </c>
      <c r="R15" s="128" t="str">
        <f t="shared" ref="R15:R16" ca="1" si="54">IF($A15&lt;&gt;"",INDIRECT("'"&amp;$A15&amp;"'!L28"),"")</f>
        <v/>
      </c>
      <c r="S15" s="128" t="str">
        <f t="shared" ref="S15:S16" ca="1" si="55">IF($A15&lt;&gt;"",INDIRECT("'"&amp;$A15&amp;"'!L29"),"")</f>
        <v/>
      </c>
      <c r="T15" s="128" t="str">
        <f t="shared" ref="T15:T16" ca="1" si="56">IF($A15&lt;&gt;"",INDIRECT("'"&amp;$A15&amp;"'!L30"),"")</f>
        <v/>
      </c>
      <c r="U15" s="128" t="str">
        <f t="shared" ref="U15:U16" ca="1" si="57">IF($A15&lt;&gt;"",INDIRECT("'"&amp;$A15&amp;"'!L31"),"")</f>
        <v/>
      </c>
      <c r="V15" s="128" t="str">
        <f t="shared" ref="V15:V16" ca="1" si="58">IF($A15&lt;&gt;"",INDIRECT("'"&amp;$A15&amp;"'!L32"),"")</f>
        <v/>
      </c>
      <c r="W15" s="128" t="str">
        <f t="shared" ref="W15:W16" ca="1" si="59">IF($A15&lt;&gt;"",INDIRECT("'"&amp;$A15&amp;"'!L33"),"")</f>
        <v/>
      </c>
      <c r="X15" s="128" t="str">
        <f t="shared" ref="X15:X16" ca="1" si="60">IF($A15&lt;&gt;"",INDIRECT("'"&amp;$A15&amp;"'!L34"),"")</f>
        <v/>
      </c>
      <c r="Y15" s="128" t="str">
        <f t="shared" ref="Y15:Y16" ca="1" si="61">IF($A15&lt;&gt;"",INDIRECT("'"&amp;$A15&amp;"'!L35"),"")</f>
        <v/>
      </c>
      <c r="Z15" s="131" t="str">
        <f t="shared" ref="Z15:Z16" ca="1" si="62">IF($A15&lt;&gt;"",INDIRECT("'"&amp;$A15&amp;"'!L36"),"")</f>
        <v/>
      </c>
      <c r="AA15" s="132" t="str">
        <f t="shared" ref="AA15:AA16" si="63">IF($A15&lt;&gt;"",SUM(C29:Y29)/COUNT(C15:Y15),"")</f>
        <v/>
      </c>
      <c r="AB15" s="131" t="str">
        <f t="shared" ref="AB15:AB16" ca="1" si="64">IF($A15&lt;&gt;"",INDIRECT("'"&amp;$A15&amp;"'!F36"),"")</f>
        <v/>
      </c>
      <c r="AC15" s="131" t="str">
        <f t="shared" ref="AC15:AC16" ca="1" si="65">IF($A15&lt;&gt;"",INDIRECT("'"&amp;$A15&amp;"'!H36"),"")</f>
        <v/>
      </c>
      <c r="AD15" s="131" t="str">
        <f t="shared" ref="AD15:AD16" ca="1" si="66">IF($A15&lt;&gt;"",INDIRECT("'"&amp;$A15&amp;"'!I36"),"")</f>
        <v/>
      </c>
      <c r="AE15" s="128" t="str">
        <f t="shared" ref="AE15:AE16" ca="1" si="67">IF($A15&lt;&gt;"",INDIRECT("'"&amp;$A15&amp;"'!J36"),"")</f>
        <v/>
      </c>
      <c r="AF15" s="131" t="str">
        <f t="shared" ref="AF15:AF16" ca="1" si="68">IF($A15&lt;&gt;"",INDIRECT("'"&amp;$A15&amp;"'!K36"),"")</f>
        <v/>
      </c>
    </row>
    <row r="16" spans="1:32" ht="15" customHeight="1" x14ac:dyDescent="0.2">
      <c r="A16" s="109"/>
      <c r="B16" s="109" t="str">
        <f t="shared" ca="1" si="38"/>
        <v/>
      </c>
      <c r="C16" s="128" t="str">
        <f t="shared" ca="1" si="39"/>
        <v/>
      </c>
      <c r="D16" s="128" t="str">
        <f t="shared" ca="1" si="40"/>
        <v/>
      </c>
      <c r="E16" s="128" t="str">
        <f t="shared" ca="1" si="41"/>
        <v/>
      </c>
      <c r="F16" s="128" t="str">
        <f t="shared" ca="1" si="42"/>
        <v/>
      </c>
      <c r="G16" s="128" t="str">
        <f t="shared" ca="1" si="43"/>
        <v/>
      </c>
      <c r="H16" s="128" t="str">
        <f t="shared" ca="1" si="44"/>
        <v/>
      </c>
      <c r="I16" s="128" t="str">
        <f t="shared" ca="1" si="45"/>
        <v/>
      </c>
      <c r="J16" s="128" t="str">
        <f t="shared" ca="1" si="46"/>
        <v/>
      </c>
      <c r="K16" s="128" t="str">
        <f t="shared" ca="1" si="47"/>
        <v/>
      </c>
      <c r="L16" s="128" t="str">
        <f t="shared" ca="1" si="48"/>
        <v/>
      </c>
      <c r="M16" s="128" t="str">
        <f t="shared" ca="1" si="49"/>
        <v/>
      </c>
      <c r="N16" s="128" t="str">
        <f t="shared" ca="1" si="50"/>
        <v/>
      </c>
      <c r="O16" s="128" t="str">
        <f t="shared" ca="1" si="51"/>
        <v/>
      </c>
      <c r="P16" s="128" t="str">
        <f t="shared" ca="1" si="52"/>
        <v/>
      </c>
      <c r="Q16" s="128" t="str">
        <f t="shared" ca="1" si="53"/>
        <v/>
      </c>
      <c r="R16" s="128" t="str">
        <f t="shared" ca="1" si="54"/>
        <v/>
      </c>
      <c r="S16" s="128" t="str">
        <f t="shared" ca="1" si="55"/>
        <v/>
      </c>
      <c r="T16" s="128" t="str">
        <f t="shared" ca="1" si="56"/>
        <v/>
      </c>
      <c r="U16" s="128" t="str">
        <f t="shared" ca="1" si="57"/>
        <v/>
      </c>
      <c r="V16" s="128" t="str">
        <f t="shared" ca="1" si="58"/>
        <v/>
      </c>
      <c r="W16" s="128" t="str">
        <f t="shared" ca="1" si="59"/>
        <v/>
      </c>
      <c r="X16" s="128" t="str">
        <f t="shared" ca="1" si="60"/>
        <v/>
      </c>
      <c r="Y16" s="128" t="str">
        <f t="shared" ca="1" si="61"/>
        <v/>
      </c>
      <c r="Z16" s="131" t="str">
        <f t="shared" ca="1" si="62"/>
        <v/>
      </c>
      <c r="AA16" s="132" t="str">
        <f t="shared" si="63"/>
        <v/>
      </c>
      <c r="AB16" s="131" t="str">
        <f t="shared" ca="1" si="64"/>
        <v/>
      </c>
      <c r="AC16" s="131" t="str">
        <f t="shared" ca="1" si="65"/>
        <v/>
      </c>
      <c r="AD16" s="131" t="str">
        <f t="shared" ca="1" si="66"/>
        <v/>
      </c>
      <c r="AE16" s="128" t="str">
        <f t="shared" ca="1" si="67"/>
        <v/>
      </c>
      <c r="AF16" s="131" t="str">
        <f t="shared" ca="1" si="68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B27" si="69">A8</f>
        <v>0</v>
      </c>
      <c r="B22" s="27" t="str">
        <f t="shared" ca="1" si="69"/>
        <v/>
      </c>
      <c r="C22" s="27" t="str">
        <f t="shared" ref="C22:Y22" si="70">IF($A8&lt;&gt;"",IF(ABS(C$3/3-C8)&lt;=0.75,1,0),"")</f>
        <v/>
      </c>
      <c r="D22" s="27" t="str">
        <f t="shared" si="70"/>
        <v/>
      </c>
      <c r="E22" s="27" t="str">
        <f t="shared" si="70"/>
        <v/>
      </c>
      <c r="F22" s="27" t="str">
        <f t="shared" si="70"/>
        <v/>
      </c>
      <c r="G22" s="27" t="str">
        <f t="shared" si="70"/>
        <v/>
      </c>
      <c r="H22" s="27" t="str">
        <f t="shared" si="70"/>
        <v/>
      </c>
      <c r="I22" s="27" t="str">
        <f t="shared" si="70"/>
        <v/>
      </c>
      <c r="J22" s="27" t="str">
        <f t="shared" si="70"/>
        <v/>
      </c>
      <c r="K22" s="27" t="str">
        <f t="shared" si="70"/>
        <v/>
      </c>
      <c r="L22" s="27" t="str">
        <f t="shared" si="70"/>
        <v/>
      </c>
      <c r="M22" s="27" t="str">
        <f t="shared" si="70"/>
        <v/>
      </c>
      <c r="N22" s="27" t="str">
        <f t="shared" si="70"/>
        <v/>
      </c>
      <c r="O22" s="27" t="str">
        <f t="shared" si="70"/>
        <v/>
      </c>
      <c r="P22" s="27" t="str">
        <f t="shared" si="70"/>
        <v/>
      </c>
      <c r="Q22" s="27" t="str">
        <f t="shared" si="70"/>
        <v/>
      </c>
      <c r="R22" s="27" t="str">
        <f t="shared" si="70"/>
        <v/>
      </c>
      <c r="S22" s="27" t="str">
        <f t="shared" si="70"/>
        <v/>
      </c>
      <c r="T22" s="27" t="str">
        <f t="shared" si="70"/>
        <v/>
      </c>
      <c r="U22" s="27" t="str">
        <f t="shared" si="70"/>
        <v/>
      </c>
      <c r="V22" s="27" t="str">
        <f t="shared" si="70"/>
        <v/>
      </c>
      <c r="W22" s="27" t="str">
        <f t="shared" si="70"/>
        <v/>
      </c>
      <c r="X22" s="27" t="str">
        <f t="shared" si="70"/>
        <v/>
      </c>
      <c r="Y22" s="27" t="str">
        <f t="shared" si="70"/>
        <v/>
      </c>
    </row>
    <row r="23" spans="1:32" ht="15" hidden="1" customHeight="1" x14ac:dyDescent="0.2">
      <c r="A23" s="27">
        <f t="shared" si="69"/>
        <v>0</v>
      </c>
      <c r="B23" s="27" t="str">
        <f t="shared" ca="1" si="69"/>
        <v/>
      </c>
      <c r="C23" s="27" t="str">
        <f t="shared" ref="C23:Y23" si="71">IF($A9&lt;&gt;"",IF(ABS(C$3/3-C9)&lt;=0.75,1,0),"")</f>
        <v/>
      </c>
      <c r="D23" s="27" t="str">
        <f t="shared" si="71"/>
        <v/>
      </c>
      <c r="E23" s="27" t="str">
        <f t="shared" si="71"/>
        <v/>
      </c>
      <c r="F23" s="27" t="str">
        <f t="shared" si="71"/>
        <v/>
      </c>
      <c r="G23" s="27" t="str">
        <f t="shared" si="71"/>
        <v/>
      </c>
      <c r="H23" s="27" t="str">
        <f t="shared" si="71"/>
        <v/>
      </c>
      <c r="I23" s="27" t="str">
        <f t="shared" si="71"/>
        <v/>
      </c>
      <c r="J23" s="27" t="str">
        <f t="shared" si="71"/>
        <v/>
      </c>
      <c r="K23" s="27" t="str">
        <f t="shared" si="71"/>
        <v/>
      </c>
      <c r="L23" s="27" t="str">
        <f t="shared" si="71"/>
        <v/>
      </c>
      <c r="M23" s="27" t="str">
        <f t="shared" si="71"/>
        <v/>
      </c>
      <c r="N23" s="27" t="str">
        <f t="shared" si="71"/>
        <v/>
      </c>
      <c r="O23" s="27" t="str">
        <f t="shared" si="71"/>
        <v/>
      </c>
      <c r="P23" s="27" t="str">
        <f t="shared" si="71"/>
        <v/>
      </c>
      <c r="Q23" s="27" t="str">
        <f t="shared" si="71"/>
        <v/>
      </c>
      <c r="R23" s="27" t="str">
        <f t="shared" si="71"/>
        <v/>
      </c>
      <c r="S23" s="27" t="str">
        <f t="shared" si="71"/>
        <v/>
      </c>
      <c r="T23" s="27" t="str">
        <f t="shared" si="71"/>
        <v/>
      </c>
      <c r="U23" s="27" t="str">
        <f t="shared" si="71"/>
        <v/>
      </c>
      <c r="V23" s="27" t="str">
        <f t="shared" si="71"/>
        <v/>
      </c>
      <c r="W23" s="27" t="str">
        <f t="shared" si="71"/>
        <v/>
      </c>
      <c r="X23" s="27" t="str">
        <f t="shared" si="71"/>
        <v/>
      </c>
      <c r="Y23" s="27" t="str">
        <f t="shared" si="71"/>
        <v/>
      </c>
    </row>
    <row r="24" spans="1:32" ht="15" hidden="1" customHeight="1" x14ac:dyDescent="0.2">
      <c r="A24" s="27">
        <f t="shared" si="69"/>
        <v>0</v>
      </c>
      <c r="B24" s="27" t="str">
        <f t="shared" ca="1" si="69"/>
        <v/>
      </c>
      <c r="C24" s="27" t="str">
        <f t="shared" ref="C24:Y24" si="72">IF($A10&lt;&gt;"",IF(ABS(C$3/3-C10)&lt;=0.75,1,0),"")</f>
        <v/>
      </c>
      <c r="D24" s="27" t="str">
        <f t="shared" si="72"/>
        <v/>
      </c>
      <c r="E24" s="27" t="str">
        <f t="shared" si="72"/>
        <v/>
      </c>
      <c r="F24" s="27" t="str">
        <f t="shared" si="72"/>
        <v/>
      </c>
      <c r="G24" s="27" t="str">
        <f t="shared" si="72"/>
        <v/>
      </c>
      <c r="H24" s="27" t="str">
        <f t="shared" si="72"/>
        <v/>
      </c>
      <c r="I24" s="27" t="str">
        <f t="shared" si="72"/>
        <v/>
      </c>
      <c r="J24" s="27" t="str">
        <f t="shared" si="72"/>
        <v/>
      </c>
      <c r="K24" s="27" t="str">
        <f t="shared" si="72"/>
        <v/>
      </c>
      <c r="L24" s="27" t="str">
        <f t="shared" si="72"/>
        <v/>
      </c>
      <c r="M24" s="27" t="str">
        <f t="shared" si="72"/>
        <v/>
      </c>
      <c r="N24" s="27" t="str">
        <f t="shared" si="72"/>
        <v/>
      </c>
      <c r="O24" s="27" t="str">
        <f t="shared" si="72"/>
        <v/>
      </c>
      <c r="P24" s="27" t="str">
        <f t="shared" si="72"/>
        <v/>
      </c>
      <c r="Q24" s="27" t="str">
        <f t="shared" si="72"/>
        <v/>
      </c>
      <c r="R24" s="27" t="str">
        <f t="shared" si="72"/>
        <v/>
      </c>
      <c r="S24" s="27" t="str">
        <f t="shared" si="72"/>
        <v/>
      </c>
      <c r="T24" s="27" t="str">
        <f t="shared" si="72"/>
        <v/>
      </c>
      <c r="U24" s="27" t="str">
        <f t="shared" si="72"/>
        <v/>
      </c>
      <c r="V24" s="27" t="str">
        <f t="shared" si="72"/>
        <v/>
      </c>
      <c r="W24" s="27" t="str">
        <f t="shared" si="72"/>
        <v/>
      </c>
      <c r="X24" s="27" t="str">
        <f t="shared" si="72"/>
        <v/>
      </c>
      <c r="Y24" s="27" t="str">
        <f t="shared" si="72"/>
        <v/>
      </c>
    </row>
    <row r="25" spans="1:32" ht="15" hidden="1" customHeight="1" x14ac:dyDescent="0.2">
      <c r="A25" s="27">
        <f t="shared" si="69"/>
        <v>0</v>
      </c>
      <c r="B25" s="27" t="str">
        <f t="shared" ca="1" si="69"/>
        <v/>
      </c>
      <c r="C25" s="27" t="str">
        <f t="shared" ref="C25:Y25" si="73">IF($A11&lt;&gt;"",IF(ABS(C$3/3-C11)&lt;=0.75,1,0),"")</f>
        <v/>
      </c>
      <c r="D25" s="27" t="str">
        <f t="shared" si="73"/>
        <v/>
      </c>
      <c r="E25" s="27" t="str">
        <f t="shared" si="73"/>
        <v/>
      </c>
      <c r="F25" s="27" t="str">
        <f t="shared" si="73"/>
        <v/>
      </c>
      <c r="G25" s="27" t="str">
        <f t="shared" si="73"/>
        <v/>
      </c>
      <c r="H25" s="27" t="str">
        <f t="shared" si="73"/>
        <v/>
      </c>
      <c r="I25" s="27" t="str">
        <f t="shared" si="73"/>
        <v/>
      </c>
      <c r="J25" s="27" t="str">
        <f t="shared" si="73"/>
        <v/>
      </c>
      <c r="K25" s="27" t="str">
        <f t="shared" si="73"/>
        <v/>
      </c>
      <c r="L25" s="27" t="str">
        <f t="shared" si="73"/>
        <v/>
      </c>
      <c r="M25" s="27" t="str">
        <f t="shared" si="73"/>
        <v/>
      </c>
      <c r="N25" s="27" t="str">
        <f t="shared" si="73"/>
        <v/>
      </c>
      <c r="O25" s="27" t="str">
        <f t="shared" si="73"/>
        <v/>
      </c>
      <c r="P25" s="27" t="str">
        <f t="shared" si="73"/>
        <v/>
      </c>
      <c r="Q25" s="27" t="str">
        <f t="shared" si="73"/>
        <v/>
      </c>
      <c r="R25" s="27" t="str">
        <f t="shared" si="73"/>
        <v/>
      </c>
      <c r="S25" s="27" t="str">
        <f t="shared" si="73"/>
        <v/>
      </c>
      <c r="T25" s="27" t="str">
        <f t="shared" si="73"/>
        <v/>
      </c>
      <c r="U25" s="27" t="str">
        <f t="shared" si="73"/>
        <v/>
      </c>
      <c r="V25" s="27" t="str">
        <f t="shared" si="73"/>
        <v/>
      </c>
      <c r="W25" s="27" t="str">
        <f t="shared" si="73"/>
        <v/>
      </c>
      <c r="X25" s="27" t="str">
        <f t="shared" si="73"/>
        <v/>
      </c>
      <c r="Y25" s="27" t="str">
        <f t="shared" si="73"/>
        <v/>
      </c>
    </row>
    <row r="26" spans="1:32" ht="15" hidden="1" customHeight="1" x14ac:dyDescent="0.2">
      <c r="A26" s="27">
        <f t="shared" si="69"/>
        <v>0</v>
      </c>
      <c r="B26" s="27" t="str">
        <f t="shared" ca="1" si="69"/>
        <v/>
      </c>
      <c r="C26" s="27" t="str">
        <f t="shared" ref="C26:Y26" si="74">IF($A12&lt;&gt;"",IF(ABS(C$3/3-C12)&lt;=0.75,1,0),"")</f>
        <v/>
      </c>
      <c r="D26" s="27" t="str">
        <f t="shared" si="74"/>
        <v/>
      </c>
      <c r="E26" s="27" t="str">
        <f t="shared" si="74"/>
        <v/>
      </c>
      <c r="F26" s="27" t="str">
        <f t="shared" si="74"/>
        <v/>
      </c>
      <c r="G26" s="27" t="str">
        <f t="shared" si="74"/>
        <v/>
      </c>
      <c r="H26" s="27" t="str">
        <f t="shared" si="74"/>
        <v/>
      </c>
      <c r="I26" s="27" t="str">
        <f t="shared" si="74"/>
        <v/>
      </c>
      <c r="J26" s="27" t="str">
        <f t="shared" si="74"/>
        <v/>
      </c>
      <c r="K26" s="27" t="str">
        <f t="shared" si="74"/>
        <v/>
      </c>
      <c r="L26" s="27" t="str">
        <f t="shared" si="74"/>
        <v/>
      </c>
      <c r="M26" s="27" t="str">
        <f t="shared" si="74"/>
        <v/>
      </c>
      <c r="N26" s="27" t="str">
        <f t="shared" si="74"/>
        <v/>
      </c>
      <c r="O26" s="27" t="str">
        <f t="shared" si="74"/>
        <v/>
      </c>
      <c r="P26" s="27" t="str">
        <f t="shared" si="74"/>
        <v/>
      </c>
      <c r="Q26" s="27" t="str">
        <f t="shared" si="74"/>
        <v/>
      </c>
      <c r="R26" s="27" t="str">
        <f t="shared" si="74"/>
        <v/>
      </c>
      <c r="S26" s="27" t="str">
        <f t="shared" si="74"/>
        <v/>
      </c>
      <c r="T26" s="27" t="str">
        <f t="shared" si="74"/>
        <v/>
      </c>
      <c r="U26" s="27" t="str">
        <f t="shared" si="74"/>
        <v/>
      </c>
      <c r="V26" s="27" t="str">
        <f t="shared" si="74"/>
        <v/>
      </c>
      <c r="W26" s="27" t="str">
        <f t="shared" si="74"/>
        <v/>
      </c>
      <c r="X26" s="27" t="str">
        <f t="shared" si="74"/>
        <v/>
      </c>
      <c r="Y26" s="27" t="str">
        <f t="shared" si="74"/>
        <v/>
      </c>
    </row>
    <row r="27" spans="1:32" ht="15" hidden="1" customHeight="1" x14ac:dyDescent="0.2">
      <c r="A27" s="27">
        <f t="shared" si="69"/>
        <v>0</v>
      </c>
      <c r="B27" s="27" t="str">
        <f t="shared" ca="1" si="69"/>
        <v/>
      </c>
      <c r="C27" s="27" t="str">
        <f t="shared" ref="C27:Y27" si="75">IF($A13&lt;&gt;"",IF(ABS(C$3/3-C13)&lt;=0.75,1,0),"")</f>
        <v/>
      </c>
      <c r="D27" s="27" t="str">
        <f t="shared" si="75"/>
        <v/>
      </c>
      <c r="E27" s="27" t="str">
        <f t="shared" si="75"/>
        <v/>
      </c>
      <c r="F27" s="27" t="str">
        <f t="shared" si="75"/>
        <v/>
      </c>
      <c r="G27" s="27" t="str">
        <f t="shared" si="75"/>
        <v/>
      </c>
      <c r="H27" s="27" t="str">
        <f t="shared" si="75"/>
        <v/>
      </c>
      <c r="I27" s="27" t="str">
        <f t="shared" si="75"/>
        <v/>
      </c>
      <c r="J27" s="27" t="str">
        <f t="shared" si="75"/>
        <v/>
      </c>
      <c r="K27" s="27" t="str">
        <f t="shared" si="75"/>
        <v/>
      </c>
      <c r="L27" s="27" t="str">
        <f t="shared" si="75"/>
        <v/>
      </c>
      <c r="M27" s="27" t="str">
        <f t="shared" si="75"/>
        <v/>
      </c>
      <c r="N27" s="27" t="str">
        <f t="shared" si="75"/>
        <v/>
      </c>
      <c r="O27" s="27" t="str">
        <f t="shared" si="75"/>
        <v/>
      </c>
      <c r="P27" s="27" t="str">
        <f t="shared" si="75"/>
        <v/>
      </c>
      <c r="Q27" s="27" t="str">
        <f t="shared" si="75"/>
        <v/>
      </c>
      <c r="R27" s="27" t="str">
        <f t="shared" si="75"/>
        <v/>
      </c>
      <c r="S27" s="27" t="str">
        <f t="shared" si="75"/>
        <v/>
      </c>
      <c r="T27" s="27" t="str">
        <f t="shared" si="75"/>
        <v/>
      </c>
      <c r="U27" s="27" t="str">
        <f t="shared" si="75"/>
        <v/>
      </c>
      <c r="V27" s="27" t="str">
        <f t="shared" si="75"/>
        <v/>
      </c>
      <c r="W27" s="27" t="str">
        <f t="shared" si="75"/>
        <v/>
      </c>
      <c r="X27" s="27" t="str">
        <f t="shared" si="75"/>
        <v/>
      </c>
      <c r="Y27" s="27" t="str">
        <f t="shared" si="75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29" si="76">IF($A15&lt;&gt;"",IF(ABS(C$3/3-C15)&lt;=0.75,1,0),"")</f>
        <v/>
      </c>
      <c r="D29" s="27" t="str">
        <f t="shared" si="76"/>
        <v/>
      </c>
      <c r="E29" s="27" t="str">
        <f t="shared" si="76"/>
        <v/>
      </c>
      <c r="F29" s="27" t="str">
        <f t="shared" si="76"/>
        <v/>
      </c>
      <c r="G29" s="27" t="str">
        <f t="shared" si="76"/>
        <v/>
      </c>
      <c r="H29" s="27" t="str">
        <f t="shared" si="76"/>
        <v/>
      </c>
      <c r="I29" s="27" t="str">
        <f t="shared" si="76"/>
        <v/>
      </c>
      <c r="J29" s="27" t="str">
        <f t="shared" si="76"/>
        <v/>
      </c>
      <c r="K29" s="27" t="str">
        <f t="shared" si="76"/>
        <v/>
      </c>
      <c r="L29" s="27" t="str">
        <f t="shared" si="76"/>
        <v/>
      </c>
      <c r="M29" s="27" t="str">
        <f t="shared" si="76"/>
        <v/>
      </c>
      <c r="N29" s="27" t="str">
        <f t="shared" si="76"/>
        <v/>
      </c>
      <c r="O29" s="27" t="str">
        <f t="shared" si="76"/>
        <v/>
      </c>
      <c r="P29" s="27" t="str">
        <f t="shared" si="76"/>
        <v/>
      </c>
      <c r="Q29" s="27" t="str">
        <f t="shared" si="76"/>
        <v/>
      </c>
      <c r="R29" s="27" t="str">
        <f t="shared" si="76"/>
        <v/>
      </c>
      <c r="S29" s="27" t="str">
        <f t="shared" si="76"/>
        <v/>
      </c>
      <c r="T29" s="27" t="str">
        <f t="shared" si="76"/>
        <v/>
      </c>
      <c r="U29" s="27" t="str">
        <f t="shared" si="76"/>
        <v/>
      </c>
      <c r="V29" s="27" t="str">
        <f t="shared" si="76"/>
        <v/>
      </c>
      <c r="W29" s="27" t="str">
        <f t="shared" si="76"/>
        <v/>
      </c>
      <c r="X29" s="27" t="str">
        <f t="shared" si="76"/>
        <v/>
      </c>
      <c r="Y29" s="27" t="str">
        <f t="shared" si="76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ref="C30:Y30" si="77">IF($A16&lt;&gt;"",IF(ABS(C$3/3-C16)&lt;=0.75,1,0),"")</f>
        <v/>
      </c>
      <c r="D30" s="27" t="str">
        <f t="shared" si="77"/>
        <v/>
      </c>
      <c r="E30" s="27" t="str">
        <f t="shared" si="77"/>
        <v/>
      </c>
      <c r="F30" s="27" t="str">
        <f t="shared" si="77"/>
        <v/>
      </c>
      <c r="G30" s="27" t="str">
        <f t="shared" si="77"/>
        <v/>
      </c>
      <c r="H30" s="27" t="str">
        <f t="shared" si="77"/>
        <v/>
      </c>
      <c r="I30" s="27" t="str">
        <f t="shared" si="77"/>
        <v/>
      </c>
      <c r="J30" s="27" t="str">
        <f t="shared" si="77"/>
        <v/>
      </c>
      <c r="K30" s="27" t="str">
        <f t="shared" si="77"/>
        <v/>
      </c>
      <c r="L30" s="27" t="str">
        <f t="shared" si="77"/>
        <v/>
      </c>
      <c r="M30" s="27" t="str">
        <f t="shared" si="77"/>
        <v/>
      </c>
      <c r="N30" s="27" t="str">
        <f t="shared" si="77"/>
        <v/>
      </c>
      <c r="O30" s="27" t="str">
        <f t="shared" si="77"/>
        <v/>
      </c>
      <c r="P30" s="27" t="str">
        <f t="shared" si="77"/>
        <v/>
      </c>
      <c r="Q30" s="27" t="str">
        <f t="shared" si="77"/>
        <v/>
      </c>
      <c r="R30" s="27" t="str">
        <f t="shared" si="77"/>
        <v/>
      </c>
      <c r="S30" s="27" t="str">
        <f t="shared" si="77"/>
        <v/>
      </c>
      <c r="T30" s="27" t="str">
        <f t="shared" si="77"/>
        <v/>
      </c>
      <c r="U30" s="27" t="str">
        <f t="shared" si="77"/>
        <v/>
      </c>
      <c r="V30" s="27" t="str">
        <f t="shared" si="77"/>
        <v/>
      </c>
      <c r="W30" s="27" t="str">
        <f t="shared" si="77"/>
        <v/>
      </c>
      <c r="X30" s="27" t="str">
        <f t="shared" si="77"/>
        <v/>
      </c>
      <c r="Y30" s="27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48</v>
      </c>
      <c r="E2" s="98" t="s">
        <v>49</v>
      </c>
      <c r="F2" s="98" t="s">
        <v>50</v>
      </c>
      <c r="G2" s="98" t="s">
        <v>51</v>
      </c>
      <c r="H2" s="98" t="s">
        <v>52</v>
      </c>
      <c r="I2" s="98" t="s">
        <v>54</v>
      </c>
      <c r="J2" s="98" t="s">
        <v>55</v>
      </c>
      <c r="K2" s="98" t="s">
        <v>56</v>
      </c>
      <c r="L2" s="98" t="s">
        <v>57</v>
      </c>
      <c r="M2" s="98" t="s">
        <v>58</v>
      </c>
      <c r="N2" s="98" t="s">
        <v>60</v>
      </c>
      <c r="O2" s="98" t="s">
        <v>61</v>
      </c>
      <c r="P2" s="98" t="s">
        <v>62</v>
      </c>
      <c r="Q2" s="98" t="s">
        <v>63</v>
      </c>
      <c r="R2" s="98" t="s">
        <v>64</v>
      </c>
      <c r="S2" s="98"/>
      <c r="T2" s="98"/>
      <c r="U2" s="98"/>
      <c r="V2" s="98"/>
      <c r="W2" s="98"/>
      <c r="X2" s="98"/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45" ht="15" customHeight="1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 t="shared" ref="A22:A27" si="66">A8</f>
        <v>0</v>
      </c>
      <c r="B22" s="27" t="str">
        <f t="shared" ref="B22:B27" ca="1" si="67">B8</f>
        <v/>
      </c>
      <c r="C22" s="27" t="str">
        <f t="shared" ref="C22:Y27" si="68">IF($A8&lt;&gt;"",IF(ABS(C$3/3-C8)&lt;=0.75,1,0),"")</f>
        <v/>
      </c>
      <c r="D22" s="27" t="str">
        <f t="shared" si="68"/>
        <v/>
      </c>
      <c r="E22" s="27" t="str">
        <f t="shared" si="68"/>
        <v/>
      </c>
      <c r="F22" s="27" t="str">
        <f t="shared" si="68"/>
        <v/>
      </c>
      <c r="G22" s="27" t="str">
        <f t="shared" si="68"/>
        <v/>
      </c>
      <c r="H22" s="27" t="str">
        <f t="shared" si="68"/>
        <v/>
      </c>
      <c r="I22" s="27" t="str">
        <f t="shared" si="68"/>
        <v/>
      </c>
      <c r="J22" s="27" t="str">
        <f t="shared" si="68"/>
        <v/>
      </c>
      <c r="K22" s="27" t="str">
        <f t="shared" si="68"/>
        <v/>
      </c>
      <c r="L22" s="27" t="str">
        <f t="shared" si="68"/>
        <v/>
      </c>
      <c r="M22" s="27" t="str">
        <f t="shared" si="68"/>
        <v/>
      </c>
      <c r="N22" s="27" t="str">
        <f t="shared" si="68"/>
        <v/>
      </c>
      <c r="O22" s="27" t="str">
        <f t="shared" si="68"/>
        <v/>
      </c>
      <c r="P22" s="27" t="str">
        <f t="shared" si="68"/>
        <v/>
      </c>
      <c r="Q22" s="27" t="str">
        <f t="shared" si="68"/>
        <v/>
      </c>
      <c r="R22" s="27" t="str">
        <f t="shared" si="68"/>
        <v/>
      </c>
      <c r="S22" s="27" t="str">
        <f t="shared" si="68"/>
        <v/>
      </c>
      <c r="T22" s="27" t="str">
        <f t="shared" si="68"/>
        <v/>
      </c>
      <c r="U22" s="27" t="str">
        <f t="shared" si="68"/>
        <v/>
      </c>
      <c r="V22" s="27" t="str">
        <f t="shared" si="68"/>
        <v/>
      </c>
      <c r="W22" s="27" t="str">
        <f t="shared" si="68"/>
        <v/>
      </c>
      <c r="X22" s="27" t="str">
        <f t="shared" si="68"/>
        <v/>
      </c>
      <c r="Y22" s="27" t="str">
        <f t="shared" si="68"/>
        <v/>
      </c>
    </row>
    <row r="23" spans="1:32" hidden="1" x14ac:dyDescent="0.2">
      <c r="A23" s="27">
        <f t="shared" si="66"/>
        <v>0</v>
      </c>
      <c r="B23" s="27" t="str">
        <f t="shared" ca="1" si="67"/>
        <v/>
      </c>
      <c r="C23" s="27" t="str">
        <f t="shared" si="68"/>
        <v/>
      </c>
      <c r="D23" s="27" t="str">
        <f t="shared" si="68"/>
        <v/>
      </c>
      <c r="E23" s="27" t="str">
        <f t="shared" si="68"/>
        <v/>
      </c>
      <c r="F23" s="27" t="str">
        <f t="shared" si="68"/>
        <v/>
      </c>
      <c r="G23" s="27" t="str">
        <f t="shared" si="68"/>
        <v/>
      </c>
      <c r="H23" s="27" t="str">
        <f t="shared" si="68"/>
        <v/>
      </c>
      <c r="I23" s="27" t="str">
        <f t="shared" si="68"/>
        <v/>
      </c>
      <c r="J23" s="27" t="str">
        <f t="shared" si="68"/>
        <v/>
      </c>
      <c r="K23" s="27" t="str">
        <f t="shared" si="68"/>
        <v/>
      </c>
      <c r="L23" s="27" t="str">
        <f t="shared" si="68"/>
        <v/>
      </c>
      <c r="M23" s="27" t="str">
        <f t="shared" si="68"/>
        <v/>
      </c>
      <c r="N23" s="27" t="str">
        <f t="shared" si="68"/>
        <v/>
      </c>
      <c r="O23" s="27" t="str">
        <f t="shared" si="68"/>
        <v/>
      </c>
      <c r="P23" s="27" t="str">
        <f t="shared" si="68"/>
        <v/>
      </c>
      <c r="Q23" s="27" t="str">
        <f t="shared" si="68"/>
        <v/>
      </c>
      <c r="R23" s="27" t="str">
        <f t="shared" si="68"/>
        <v/>
      </c>
      <c r="S23" s="27" t="str">
        <f t="shared" si="68"/>
        <v/>
      </c>
      <c r="T23" s="27" t="str">
        <f t="shared" si="68"/>
        <v/>
      </c>
      <c r="U23" s="27" t="str">
        <f t="shared" si="68"/>
        <v/>
      </c>
      <c r="V23" s="27" t="str">
        <f t="shared" si="68"/>
        <v/>
      </c>
      <c r="W23" s="27" t="str">
        <f t="shared" si="68"/>
        <v/>
      </c>
      <c r="X23" s="27" t="str">
        <f t="shared" si="68"/>
        <v/>
      </c>
      <c r="Y23" s="27" t="str">
        <f t="shared" si="68"/>
        <v/>
      </c>
    </row>
    <row r="24" spans="1:32" hidden="1" x14ac:dyDescent="0.2">
      <c r="A24" s="27">
        <f t="shared" si="66"/>
        <v>0</v>
      </c>
      <c r="B24" s="27" t="str">
        <f t="shared" ca="1" si="67"/>
        <v/>
      </c>
      <c r="C24" s="27" t="str">
        <f t="shared" si="68"/>
        <v/>
      </c>
      <c r="D24" s="27" t="str">
        <f t="shared" si="68"/>
        <v/>
      </c>
      <c r="E24" s="27" t="str">
        <f t="shared" si="68"/>
        <v/>
      </c>
      <c r="F24" s="27" t="str">
        <f t="shared" si="68"/>
        <v/>
      </c>
      <c r="G24" s="27" t="str">
        <f t="shared" si="68"/>
        <v/>
      </c>
      <c r="H24" s="27" t="str">
        <f t="shared" si="68"/>
        <v/>
      </c>
      <c r="I24" s="27" t="str">
        <f t="shared" si="68"/>
        <v/>
      </c>
      <c r="J24" s="27" t="str">
        <f t="shared" si="68"/>
        <v/>
      </c>
      <c r="K24" s="27" t="str">
        <f t="shared" si="68"/>
        <v/>
      </c>
      <c r="L24" s="27" t="str">
        <f t="shared" si="68"/>
        <v/>
      </c>
      <c r="M24" s="27" t="str">
        <f t="shared" si="68"/>
        <v/>
      </c>
      <c r="N24" s="27" t="str">
        <f t="shared" si="68"/>
        <v/>
      </c>
      <c r="O24" s="27" t="str">
        <f t="shared" si="68"/>
        <v/>
      </c>
      <c r="P24" s="27" t="str">
        <f t="shared" si="68"/>
        <v/>
      </c>
      <c r="Q24" s="27" t="str">
        <f t="shared" si="68"/>
        <v/>
      </c>
      <c r="R24" s="27" t="str">
        <f t="shared" si="68"/>
        <v/>
      </c>
      <c r="S24" s="27" t="str">
        <f t="shared" si="68"/>
        <v/>
      </c>
      <c r="T24" s="27" t="str">
        <f t="shared" si="68"/>
        <v/>
      </c>
      <c r="U24" s="27" t="str">
        <f t="shared" si="68"/>
        <v/>
      </c>
      <c r="V24" s="27" t="str">
        <f t="shared" si="68"/>
        <v/>
      </c>
      <c r="W24" s="27" t="str">
        <f t="shared" si="68"/>
        <v/>
      </c>
      <c r="X24" s="27" t="str">
        <f t="shared" si="68"/>
        <v/>
      </c>
      <c r="Y24" s="27" t="str">
        <f t="shared" si="68"/>
        <v/>
      </c>
    </row>
    <row r="25" spans="1:32" hidden="1" x14ac:dyDescent="0.2">
      <c r="A25" s="27">
        <f t="shared" si="66"/>
        <v>0</v>
      </c>
      <c r="B25" s="27" t="str">
        <f t="shared" ca="1" si="67"/>
        <v/>
      </c>
      <c r="C25" s="27" t="str">
        <f t="shared" si="68"/>
        <v/>
      </c>
      <c r="D25" s="27" t="str">
        <f t="shared" si="68"/>
        <v/>
      </c>
      <c r="E25" s="27" t="str">
        <f t="shared" si="68"/>
        <v/>
      </c>
      <c r="F25" s="27" t="str">
        <f t="shared" si="68"/>
        <v/>
      </c>
      <c r="G25" s="27" t="str">
        <f t="shared" si="68"/>
        <v/>
      </c>
      <c r="H25" s="27" t="str">
        <f t="shared" si="68"/>
        <v/>
      </c>
      <c r="I25" s="27" t="str">
        <f t="shared" si="68"/>
        <v/>
      </c>
      <c r="J25" s="27" t="str">
        <f t="shared" si="68"/>
        <v/>
      </c>
      <c r="K25" s="27" t="str">
        <f t="shared" si="68"/>
        <v/>
      </c>
      <c r="L25" s="27" t="str">
        <f t="shared" si="68"/>
        <v/>
      </c>
      <c r="M25" s="27" t="str">
        <f t="shared" si="68"/>
        <v/>
      </c>
      <c r="N25" s="27" t="str">
        <f t="shared" si="68"/>
        <v/>
      </c>
      <c r="O25" s="27" t="str">
        <f t="shared" si="68"/>
        <v/>
      </c>
      <c r="P25" s="27" t="str">
        <f t="shared" si="68"/>
        <v/>
      </c>
      <c r="Q25" s="27" t="str">
        <f t="shared" si="68"/>
        <v/>
      </c>
      <c r="R25" s="27" t="str">
        <f t="shared" si="68"/>
        <v/>
      </c>
      <c r="S25" s="27" t="str">
        <f t="shared" si="68"/>
        <v/>
      </c>
      <c r="T25" s="27" t="str">
        <f t="shared" si="68"/>
        <v/>
      </c>
      <c r="U25" s="27" t="str">
        <f t="shared" si="68"/>
        <v/>
      </c>
      <c r="V25" s="27" t="str">
        <f t="shared" si="68"/>
        <v/>
      </c>
      <c r="W25" s="27" t="str">
        <f t="shared" si="68"/>
        <v/>
      </c>
      <c r="X25" s="27" t="str">
        <f t="shared" si="68"/>
        <v/>
      </c>
      <c r="Y25" s="27" t="str">
        <f t="shared" si="68"/>
        <v/>
      </c>
    </row>
    <row r="26" spans="1:32" hidden="1" x14ac:dyDescent="0.2">
      <c r="A26" s="27">
        <f t="shared" si="66"/>
        <v>0</v>
      </c>
      <c r="B26" s="27" t="str">
        <f t="shared" ca="1" si="67"/>
        <v/>
      </c>
      <c r="C26" s="27" t="str">
        <f t="shared" si="68"/>
        <v/>
      </c>
      <c r="D26" s="27" t="str">
        <f t="shared" si="68"/>
        <v/>
      </c>
      <c r="E26" s="27" t="str">
        <f t="shared" si="68"/>
        <v/>
      </c>
      <c r="F26" s="27" t="str">
        <f t="shared" si="68"/>
        <v/>
      </c>
      <c r="G26" s="27" t="str">
        <f t="shared" si="68"/>
        <v/>
      </c>
      <c r="H26" s="27" t="str">
        <f t="shared" si="68"/>
        <v/>
      </c>
      <c r="I26" s="27" t="str">
        <f t="shared" si="68"/>
        <v/>
      </c>
      <c r="J26" s="27" t="str">
        <f t="shared" si="68"/>
        <v/>
      </c>
      <c r="K26" s="27" t="str">
        <f t="shared" si="68"/>
        <v/>
      </c>
      <c r="L26" s="27" t="str">
        <f t="shared" si="68"/>
        <v/>
      </c>
      <c r="M26" s="27" t="str">
        <f t="shared" si="68"/>
        <v/>
      </c>
      <c r="N26" s="27" t="str">
        <f t="shared" si="68"/>
        <v/>
      </c>
      <c r="O26" s="27" t="str">
        <f t="shared" si="68"/>
        <v/>
      </c>
      <c r="P26" s="27" t="str">
        <f t="shared" si="68"/>
        <v/>
      </c>
      <c r="Q26" s="27" t="str">
        <f t="shared" si="68"/>
        <v/>
      </c>
      <c r="R26" s="27" t="str">
        <f t="shared" si="68"/>
        <v/>
      </c>
      <c r="S26" s="27" t="str">
        <f t="shared" si="68"/>
        <v/>
      </c>
      <c r="T26" s="27" t="str">
        <f t="shared" si="68"/>
        <v/>
      </c>
      <c r="U26" s="27" t="str">
        <f t="shared" si="68"/>
        <v/>
      </c>
      <c r="V26" s="27" t="str">
        <f t="shared" si="68"/>
        <v/>
      </c>
      <c r="W26" s="27" t="str">
        <f t="shared" si="68"/>
        <v/>
      </c>
      <c r="X26" s="27" t="str">
        <f t="shared" si="68"/>
        <v/>
      </c>
      <c r="Y26" s="27" t="str">
        <f t="shared" si="68"/>
        <v/>
      </c>
    </row>
    <row r="27" spans="1:32" hidden="1" x14ac:dyDescent="0.2">
      <c r="A27" s="27">
        <f t="shared" si="66"/>
        <v>0</v>
      </c>
      <c r="B27" s="27" t="str">
        <f t="shared" ca="1" si="67"/>
        <v/>
      </c>
      <c r="C27" s="27" t="str">
        <f t="shared" si="68"/>
        <v/>
      </c>
      <c r="D27" s="27" t="str">
        <f t="shared" si="68"/>
        <v/>
      </c>
      <c r="E27" s="27" t="str">
        <f t="shared" si="68"/>
        <v/>
      </c>
      <c r="F27" s="27" t="str">
        <f t="shared" si="68"/>
        <v/>
      </c>
      <c r="G27" s="27" t="str">
        <f t="shared" si="68"/>
        <v/>
      </c>
      <c r="H27" s="27" t="str">
        <f t="shared" si="68"/>
        <v/>
      </c>
      <c r="I27" s="27" t="str">
        <f t="shared" si="68"/>
        <v/>
      </c>
      <c r="J27" s="27" t="str">
        <f t="shared" si="68"/>
        <v/>
      </c>
      <c r="K27" s="27" t="str">
        <f t="shared" si="68"/>
        <v/>
      </c>
      <c r="L27" s="27" t="str">
        <f t="shared" si="68"/>
        <v/>
      </c>
      <c r="M27" s="27" t="str">
        <f t="shared" si="68"/>
        <v/>
      </c>
      <c r="N27" s="27" t="str">
        <f t="shared" si="68"/>
        <v/>
      </c>
      <c r="O27" s="27" t="str">
        <f t="shared" si="68"/>
        <v/>
      </c>
      <c r="P27" s="27" t="str">
        <f t="shared" si="68"/>
        <v/>
      </c>
      <c r="Q27" s="27" t="str">
        <f t="shared" si="68"/>
        <v/>
      </c>
      <c r="R27" s="27" t="str">
        <f t="shared" si="68"/>
        <v/>
      </c>
      <c r="S27" s="27" t="str">
        <f t="shared" si="68"/>
        <v/>
      </c>
      <c r="T27" s="27" t="str">
        <f t="shared" si="68"/>
        <v/>
      </c>
      <c r="U27" s="27" t="str">
        <f t="shared" si="68"/>
        <v/>
      </c>
      <c r="V27" s="27" t="str">
        <f t="shared" si="68"/>
        <v/>
      </c>
      <c r="W27" s="27" t="str">
        <f t="shared" si="68"/>
        <v/>
      </c>
      <c r="X27" s="27" t="str">
        <f t="shared" si="68"/>
        <v/>
      </c>
      <c r="Y27" s="27" t="str">
        <f t="shared" si="68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ca="1">B15</f>
        <v/>
      </c>
      <c r="C29" s="27" t="str">
        <f t="shared" ref="C29:Y30" si="69">IF($A15&lt;&gt;"",IF(ABS(C$3/3-C15)&lt;=0.75,1,0),"")</f>
        <v/>
      </c>
      <c r="D29" s="27" t="str">
        <f t="shared" si="69"/>
        <v/>
      </c>
      <c r="E29" s="27" t="str">
        <f t="shared" si="69"/>
        <v/>
      </c>
      <c r="F29" s="27" t="str">
        <f t="shared" si="69"/>
        <v/>
      </c>
      <c r="G29" s="27" t="str">
        <f t="shared" si="69"/>
        <v/>
      </c>
      <c r="H29" s="27" t="str">
        <f t="shared" si="69"/>
        <v/>
      </c>
      <c r="I29" s="27" t="str">
        <f t="shared" si="69"/>
        <v/>
      </c>
      <c r="J29" s="27" t="str">
        <f t="shared" si="69"/>
        <v/>
      </c>
      <c r="K29" s="27" t="str">
        <f t="shared" si="69"/>
        <v/>
      </c>
      <c r="L29" s="27" t="str">
        <f t="shared" si="69"/>
        <v/>
      </c>
      <c r="M29" s="27" t="str">
        <f t="shared" si="69"/>
        <v/>
      </c>
      <c r="N29" s="27" t="str">
        <f t="shared" si="69"/>
        <v/>
      </c>
      <c r="O29" s="27" t="str">
        <f t="shared" si="69"/>
        <v/>
      </c>
      <c r="P29" s="27" t="str">
        <f t="shared" si="69"/>
        <v/>
      </c>
      <c r="Q29" s="27" t="str">
        <f t="shared" si="69"/>
        <v/>
      </c>
      <c r="R29" s="27" t="str">
        <f t="shared" si="69"/>
        <v/>
      </c>
      <c r="S29" s="27" t="str">
        <f t="shared" si="69"/>
        <v/>
      </c>
      <c r="T29" s="27" t="str">
        <f t="shared" si="69"/>
        <v/>
      </c>
      <c r="U29" s="27" t="str">
        <f t="shared" si="69"/>
        <v/>
      </c>
      <c r="V29" s="27" t="str">
        <f t="shared" si="69"/>
        <v/>
      </c>
      <c r="W29" s="27" t="str">
        <f t="shared" si="69"/>
        <v/>
      </c>
      <c r="X29" s="27" t="str">
        <f t="shared" si="69"/>
        <v/>
      </c>
      <c r="Y29" s="27" t="str">
        <f t="shared" si="69"/>
        <v/>
      </c>
    </row>
    <row r="30" spans="1:32" hidden="1" x14ac:dyDescent="0.2">
      <c r="A30" s="27">
        <f>A16</f>
        <v>0</v>
      </c>
      <c r="B30" s="27" t="str">
        <f ca="1">B16</f>
        <v/>
      </c>
      <c r="C30" s="27" t="str">
        <f t="shared" si="69"/>
        <v/>
      </c>
      <c r="D30" s="27" t="str">
        <f t="shared" si="69"/>
        <v/>
      </c>
      <c r="E30" s="27" t="str">
        <f t="shared" si="69"/>
        <v/>
      </c>
      <c r="F30" s="27" t="str">
        <f t="shared" si="69"/>
        <v/>
      </c>
      <c r="G30" s="27" t="str">
        <f t="shared" si="69"/>
        <v/>
      </c>
      <c r="H30" s="27" t="str">
        <f t="shared" si="69"/>
        <v/>
      </c>
      <c r="I30" s="27" t="str">
        <f t="shared" si="69"/>
        <v/>
      </c>
      <c r="J30" s="27" t="str">
        <f t="shared" si="69"/>
        <v/>
      </c>
      <c r="K30" s="27" t="str">
        <f t="shared" si="69"/>
        <v/>
      </c>
      <c r="L30" s="27" t="str">
        <f t="shared" si="69"/>
        <v/>
      </c>
      <c r="M30" s="27" t="str">
        <f t="shared" si="69"/>
        <v/>
      </c>
      <c r="N30" s="27" t="str">
        <f t="shared" si="69"/>
        <v/>
      </c>
      <c r="O30" s="27" t="str">
        <f t="shared" si="69"/>
        <v/>
      </c>
      <c r="P30" s="27" t="str">
        <f t="shared" si="69"/>
        <v/>
      </c>
      <c r="Q30" s="27" t="str">
        <f t="shared" si="69"/>
        <v/>
      </c>
      <c r="R30" s="27" t="str">
        <f t="shared" si="69"/>
        <v/>
      </c>
      <c r="S30" s="27" t="str">
        <f t="shared" si="69"/>
        <v/>
      </c>
      <c r="T30" s="27" t="str">
        <f t="shared" si="69"/>
        <v/>
      </c>
      <c r="U30" s="27" t="str">
        <f t="shared" si="69"/>
        <v/>
      </c>
      <c r="V30" s="27" t="str">
        <f t="shared" si="69"/>
        <v/>
      </c>
      <c r="W30" s="27" t="str">
        <f t="shared" si="69"/>
        <v/>
      </c>
      <c r="X30" s="27" t="str">
        <f t="shared" si="69"/>
        <v/>
      </c>
      <c r="Y30" s="27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70</v>
      </c>
      <c r="E2" s="98" t="s">
        <v>71</v>
      </c>
      <c r="F2" s="98" t="s">
        <v>72</v>
      </c>
      <c r="G2" s="98" t="s">
        <v>73</v>
      </c>
      <c r="H2" s="98" t="s">
        <v>74</v>
      </c>
      <c r="I2" s="98" t="s">
        <v>76</v>
      </c>
      <c r="J2" s="98" t="s">
        <v>77</v>
      </c>
      <c r="K2" s="98" t="s">
        <v>78</v>
      </c>
      <c r="L2" s="98" t="s">
        <v>79</v>
      </c>
      <c r="M2" s="98" t="s">
        <v>80</v>
      </c>
      <c r="N2" s="98" t="s">
        <v>82</v>
      </c>
      <c r="O2" s="98" t="s">
        <v>83</v>
      </c>
      <c r="P2" s="98" t="s">
        <v>84</v>
      </c>
      <c r="Q2" s="98" t="s">
        <v>85</v>
      </c>
      <c r="R2" s="98" t="s">
        <v>86</v>
      </c>
      <c r="S2" s="98"/>
      <c r="T2" s="98"/>
      <c r="U2" s="98"/>
      <c r="V2" s="98"/>
      <c r="W2" s="98"/>
      <c r="X2" s="98"/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45" ht="15" customHeight="1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A27" si="66">A8</f>
        <v>0</v>
      </c>
      <c r="B22" s="27" t="str">
        <f t="shared" ref="B22:B27" ca="1" si="67">B8</f>
        <v/>
      </c>
      <c r="C22" s="27" t="str">
        <f t="shared" ref="C22:Y27" si="68">IF($A8&lt;&gt;"",IF(ABS(C$3/3-C8)&lt;=0.75,1,0),"")</f>
        <v/>
      </c>
      <c r="D22" s="27" t="str">
        <f t="shared" si="68"/>
        <v/>
      </c>
      <c r="E22" s="27" t="str">
        <f t="shared" si="68"/>
        <v/>
      </c>
      <c r="F22" s="27" t="str">
        <f t="shared" si="68"/>
        <v/>
      </c>
      <c r="G22" s="27" t="str">
        <f t="shared" si="68"/>
        <v/>
      </c>
      <c r="H22" s="27" t="str">
        <f t="shared" si="68"/>
        <v/>
      </c>
      <c r="I22" s="27" t="str">
        <f t="shared" si="68"/>
        <v/>
      </c>
      <c r="J22" s="27" t="str">
        <f t="shared" si="68"/>
        <v/>
      </c>
      <c r="K22" s="27" t="str">
        <f t="shared" si="68"/>
        <v/>
      </c>
      <c r="L22" s="27" t="str">
        <f t="shared" si="68"/>
        <v/>
      </c>
      <c r="M22" s="27" t="str">
        <f t="shared" si="68"/>
        <v/>
      </c>
      <c r="N22" s="27" t="str">
        <f t="shared" si="68"/>
        <v/>
      </c>
      <c r="O22" s="27" t="str">
        <f t="shared" si="68"/>
        <v/>
      </c>
      <c r="P22" s="27" t="str">
        <f t="shared" si="68"/>
        <v/>
      </c>
      <c r="Q22" s="27" t="str">
        <f t="shared" si="68"/>
        <v/>
      </c>
      <c r="R22" s="27" t="str">
        <f t="shared" si="68"/>
        <v/>
      </c>
      <c r="S22" s="27" t="str">
        <f t="shared" si="68"/>
        <v/>
      </c>
      <c r="T22" s="27" t="str">
        <f t="shared" si="68"/>
        <v/>
      </c>
      <c r="U22" s="27" t="str">
        <f t="shared" si="68"/>
        <v/>
      </c>
      <c r="V22" s="27" t="str">
        <f t="shared" si="68"/>
        <v/>
      </c>
      <c r="W22" s="27" t="str">
        <f t="shared" si="68"/>
        <v/>
      </c>
      <c r="X22" s="27" t="str">
        <f t="shared" si="68"/>
        <v/>
      </c>
      <c r="Y22" s="27" t="str">
        <f t="shared" si="68"/>
        <v/>
      </c>
    </row>
    <row r="23" spans="1:32" ht="15" hidden="1" customHeight="1" x14ac:dyDescent="0.2">
      <c r="A23" s="27">
        <f t="shared" si="66"/>
        <v>0</v>
      </c>
      <c r="B23" s="27" t="str">
        <f t="shared" ca="1" si="67"/>
        <v/>
      </c>
      <c r="C23" s="27" t="str">
        <f t="shared" si="68"/>
        <v/>
      </c>
      <c r="D23" s="27" t="str">
        <f t="shared" si="68"/>
        <v/>
      </c>
      <c r="E23" s="27" t="str">
        <f t="shared" si="68"/>
        <v/>
      </c>
      <c r="F23" s="27" t="str">
        <f t="shared" si="68"/>
        <v/>
      </c>
      <c r="G23" s="27" t="str">
        <f t="shared" si="68"/>
        <v/>
      </c>
      <c r="H23" s="27" t="str">
        <f t="shared" si="68"/>
        <v/>
      </c>
      <c r="I23" s="27" t="str">
        <f t="shared" si="68"/>
        <v/>
      </c>
      <c r="J23" s="27" t="str">
        <f t="shared" si="68"/>
        <v/>
      </c>
      <c r="K23" s="27" t="str">
        <f t="shared" si="68"/>
        <v/>
      </c>
      <c r="L23" s="27" t="str">
        <f t="shared" si="68"/>
        <v/>
      </c>
      <c r="M23" s="27" t="str">
        <f t="shared" si="68"/>
        <v/>
      </c>
      <c r="N23" s="27" t="str">
        <f t="shared" si="68"/>
        <v/>
      </c>
      <c r="O23" s="27" t="str">
        <f t="shared" si="68"/>
        <v/>
      </c>
      <c r="P23" s="27" t="str">
        <f t="shared" si="68"/>
        <v/>
      </c>
      <c r="Q23" s="27" t="str">
        <f t="shared" si="68"/>
        <v/>
      </c>
      <c r="R23" s="27" t="str">
        <f t="shared" si="68"/>
        <v/>
      </c>
      <c r="S23" s="27" t="str">
        <f t="shared" si="68"/>
        <v/>
      </c>
      <c r="T23" s="27" t="str">
        <f t="shared" si="68"/>
        <v/>
      </c>
      <c r="U23" s="27" t="str">
        <f t="shared" si="68"/>
        <v/>
      </c>
      <c r="V23" s="27" t="str">
        <f t="shared" si="68"/>
        <v/>
      </c>
      <c r="W23" s="27" t="str">
        <f t="shared" si="68"/>
        <v/>
      </c>
      <c r="X23" s="27" t="str">
        <f t="shared" si="68"/>
        <v/>
      </c>
      <c r="Y23" s="27" t="str">
        <f t="shared" si="68"/>
        <v/>
      </c>
    </row>
    <row r="24" spans="1:32" ht="15" hidden="1" customHeight="1" x14ac:dyDescent="0.2">
      <c r="A24" s="27">
        <f t="shared" si="66"/>
        <v>0</v>
      </c>
      <c r="B24" s="27" t="str">
        <f t="shared" ca="1" si="67"/>
        <v/>
      </c>
      <c r="C24" s="27" t="str">
        <f t="shared" si="68"/>
        <v/>
      </c>
      <c r="D24" s="27" t="str">
        <f t="shared" si="68"/>
        <v/>
      </c>
      <c r="E24" s="27" t="str">
        <f t="shared" si="68"/>
        <v/>
      </c>
      <c r="F24" s="27" t="str">
        <f t="shared" si="68"/>
        <v/>
      </c>
      <c r="G24" s="27" t="str">
        <f t="shared" si="68"/>
        <v/>
      </c>
      <c r="H24" s="27" t="str">
        <f t="shared" si="68"/>
        <v/>
      </c>
      <c r="I24" s="27" t="str">
        <f t="shared" si="68"/>
        <v/>
      </c>
      <c r="J24" s="27" t="str">
        <f t="shared" si="68"/>
        <v/>
      </c>
      <c r="K24" s="27" t="str">
        <f t="shared" si="68"/>
        <v/>
      </c>
      <c r="L24" s="27" t="str">
        <f t="shared" si="68"/>
        <v/>
      </c>
      <c r="M24" s="27" t="str">
        <f t="shared" si="68"/>
        <v/>
      </c>
      <c r="N24" s="27" t="str">
        <f t="shared" si="68"/>
        <v/>
      </c>
      <c r="O24" s="27" t="str">
        <f t="shared" si="68"/>
        <v/>
      </c>
      <c r="P24" s="27" t="str">
        <f t="shared" si="68"/>
        <v/>
      </c>
      <c r="Q24" s="27" t="str">
        <f t="shared" si="68"/>
        <v/>
      </c>
      <c r="R24" s="27" t="str">
        <f t="shared" si="68"/>
        <v/>
      </c>
      <c r="S24" s="27" t="str">
        <f t="shared" si="68"/>
        <v/>
      </c>
      <c r="T24" s="27" t="str">
        <f t="shared" si="68"/>
        <v/>
      </c>
      <c r="U24" s="27" t="str">
        <f t="shared" si="68"/>
        <v/>
      </c>
      <c r="V24" s="27" t="str">
        <f t="shared" si="68"/>
        <v/>
      </c>
      <c r="W24" s="27" t="str">
        <f t="shared" si="68"/>
        <v/>
      </c>
      <c r="X24" s="27" t="str">
        <f t="shared" si="68"/>
        <v/>
      </c>
      <c r="Y24" s="27" t="str">
        <f t="shared" si="68"/>
        <v/>
      </c>
    </row>
    <row r="25" spans="1:32" ht="15" hidden="1" customHeight="1" x14ac:dyDescent="0.2">
      <c r="A25" s="27">
        <f t="shared" si="66"/>
        <v>0</v>
      </c>
      <c r="B25" s="27" t="str">
        <f t="shared" ca="1" si="67"/>
        <v/>
      </c>
      <c r="C25" s="27" t="str">
        <f t="shared" si="68"/>
        <v/>
      </c>
      <c r="D25" s="27" t="str">
        <f t="shared" si="68"/>
        <v/>
      </c>
      <c r="E25" s="27" t="str">
        <f t="shared" si="68"/>
        <v/>
      </c>
      <c r="F25" s="27" t="str">
        <f t="shared" si="68"/>
        <v/>
      </c>
      <c r="G25" s="27" t="str">
        <f t="shared" si="68"/>
        <v/>
      </c>
      <c r="H25" s="27" t="str">
        <f t="shared" si="68"/>
        <v/>
      </c>
      <c r="I25" s="27" t="str">
        <f t="shared" si="68"/>
        <v/>
      </c>
      <c r="J25" s="27" t="str">
        <f t="shared" si="68"/>
        <v/>
      </c>
      <c r="K25" s="27" t="str">
        <f t="shared" si="68"/>
        <v/>
      </c>
      <c r="L25" s="27" t="str">
        <f t="shared" si="68"/>
        <v/>
      </c>
      <c r="M25" s="27" t="str">
        <f t="shared" si="68"/>
        <v/>
      </c>
      <c r="N25" s="27" t="str">
        <f t="shared" si="68"/>
        <v/>
      </c>
      <c r="O25" s="27" t="str">
        <f t="shared" si="68"/>
        <v/>
      </c>
      <c r="P25" s="27" t="str">
        <f t="shared" si="68"/>
        <v/>
      </c>
      <c r="Q25" s="27" t="str">
        <f t="shared" si="68"/>
        <v/>
      </c>
      <c r="R25" s="27" t="str">
        <f t="shared" si="68"/>
        <v/>
      </c>
      <c r="S25" s="27" t="str">
        <f t="shared" si="68"/>
        <v/>
      </c>
      <c r="T25" s="27" t="str">
        <f t="shared" si="68"/>
        <v/>
      </c>
      <c r="U25" s="27" t="str">
        <f t="shared" si="68"/>
        <v/>
      </c>
      <c r="V25" s="27" t="str">
        <f t="shared" si="68"/>
        <v/>
      </c>
      <c r="W25" s="27" t="str">
        <f t="shared" si="68"/>
        <v/>
      </c>
      <c r="X25" s="27" t="str">
        <f t="shared" si="68"/>
        <v/>
      </c>
      <c r="Y25" s="27" t="str">
        <f t="shared" si="68"/>
        <v/>
      </c>
    </row>
    <row r="26" spans="1:32" ht="15" hidden="1" customHeight="1" x14ac:dyDescent="0.2">
      <c r="A26" s="27">
        <f t="shared" si="66"/>
        <v>0</v>
      </c>
      <c r="B26" s="27" t="str">
        <f t="shared" ca="1" si="67"/>
        <v/>
      </c>
      <c r="C26" s="27" t="str">
        <f t="shared" si="68"/>
        <v/>
      </c>
      <c r="D26" s="27" t="str">
        <f t="shared" si="68"/>
        <v/>
      </c>
      <c r="E26" s="27" t="str">
        <f t="shared" si="68"/>
        <v/>
      </c>
      <c r="F26" s="27" t="str">
        <f t="shared" si="68"/>
        <v/>
      </c>
      <c r="G26" s="27" t="str">
        <f t="shared" si="68"/>
        <v/>
      </c>
      <c r="H26" s="27" t="str">
        <f t="shared" si="68"/>
        <v/>
      </c>
      <c r="I26" s="27" t="str">
        <f t="shared" si="68"/>
        <v/>
      </c>
      <c r="J26" s="27" t="str">
        <f t="shared" si="68"/>
        <v/>
      </c>
      <c r="K26" s="27" t="str">
        <f t="shared" si="68"/>
        <v/>
      </c>
      <c r="L26" s="27" t="str">
        <f t="shared" si="68"/>
        <v/>
      </c>
      <c r="M26" s="27" t="str">
        <f t="shared" si="68"/>
        <v/>
      </c>
      <c r="N26" s="27" t="str">
        <f t="shared" si="68"/>
        <v/>
      </c>
      <c r="O26" s="27" t="str">
        <f t="shared" si="68"/>
        <v/>
      </c>
      <c r="P26" s="27" t="str">
        <f t="shared" si="68"/>
        <v/>
      </c>
      <c r="Q26" s="27" t="str">
        <f t="shared" si="68"/>
        <v/>
      </c>
      <c r="R26" s="27" t="str">
        <f t="shared" si="68"/>
        <v/>
      </c>
      <c r="S26" s="27" t="str">
        <f t="shared" si="68"/>
        <v/>
      </c>
      <c r="T26" s="27" t="str">
        <f t="shared" si="68"/>
        <v/>
      </c>
      <c r="U26" s="27" t="str">
        <f t="shared" si="68"/>
        <v/>
      </c>
      <c r="V26" s="27" t="str">
        <f t="shared" si="68"/>
        <v/>
      </c>
      <c r="W26" s="27" t="str">
        <f t="shared" si="68"/>
        <v/>
      </c>
      <c r="X26" s="27" t="str">
        <f t="shared" si="68"/>
        <v/>
      </c>
      <c r="Y26" s="27" t="str">
        <f t="shared" si="68"/>
        <v/>
      </c>
    </row>
    <row r="27" spans="1:32" ht="15" hidden="1" customHeight="1" x14ac:dyDescent="0.2">
      <c r="A27" s="27">
        <f t="shared" si="66"/>
        <v>0</v>
      </c>
      <c r="B27" s="27" t="str">
        <f t="shared" ca="1" si="67"/>
        <v/>
      </c>
      <c r="C27" s="27" t="str">
        <f t="shared" si="68"/>
        <v/>
      </c>
      <c r="D27" s="27" t="str">
        <f t="shared" si="68"/>
        <v/>
      </c>
      <c r="E27" s="27" t="str">
        <f t="shared" si="68"/>
        <v/>
      </c>
      <c r="F27" s="27" t="str">
        <f t="shared" si="68"/>
        <v/>
      </c>
      <c r="G27" s="27" t="str">
        <f t="shared" si="68"/>
        <v/>
      </c>
      <c r="H27" s="27" t="str">
        <f t="shared" si="68"/>
        <v/>
      </c>
      <c r="I27" s="27" t="str">
        <f t="shared" si="68"/>
        <v/>
      </c>
      <c r="J27" s="27" t="str">
        <f t="shared" si="68"/>
        <v/>
      </c>
      <c r="K27" s="27" t="str">
        <f t="shared" si="68"/>
        <v/>
      </c>
      <c r="L27" s="27" t="str">
        <f t="shared" si="68"/>
        <v/>
      </c>
      <c r="M27" s="27" t="str">
        <f t="shared" si="68"/>
        <v/>
      </c>
      <c r="N27" s="27" t="str">
        <f t="shared" si="68"/>
        <v/>
      </c>
      <c r="O27" s="27" t="str">
        <f t="shared" si="68"/>
        <v/>
      </c>
      <c r="P27" s="27" t="str">
        <f t="shared" si="68"/>
        <v/>
      </c>
      <c r="Q27" s="27" t="str">
        <f t="shared" si="68"/>
        <v/>
      </c>
      <c r="R27" s="27" t="str">
        <f t="shared" si="68"/>
        <v/>
      </c>
      <c r="S27" s="27" t="str">
        <f t="shared" si="68"/>
        <v/>
      </c>
      <c r="T27" s="27" t="str">
        <f t="shared" si="68"/>
        <v/>
      </c>
      <c r="U27" s="27" t="str">
        <f t="shared" si="68"/>
        <v/>
      </c>
      <c r="V27" s="27" t="str">
        <f t="shared" si="68"/>
        <v/>
      </c>
      <c r="W27" s="27" t="str">
        <f t="shared" si="68"/>
        <v/>
      </c>
      <c r="X27" s="27" t="str">
        <f t="shared" si="68"/>
        <v/>
      </c>
      <c r="Y27" s="27" t="str">
        <f t="shared" si="68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30" si="69">IF($A15&lt;&gt;"",IF(ABS(C$3/3-C15)&lt;=0.75,1,0),"")</f>
        <v/>
      </c>
      <c r="D29" s="27" t="str">
        <f t="shared" si="69"/>
        <v/>
      </c>
      <c r="E29" s="27" t="str">
        <f t="shared" si="69"/>
        <v/>
      </c>
      <c r="F29" s="27" t="str">
        <f t="shared" si="69"/>
        <v/>
      </c>
      <c r="G29" s="27" t="str">
        <f t="shared" si="69"/>
        <v/>
      </c>
      <c r="H29" s="27" t="str">
        <f t="shared" si="69"/>
        <v/>
      </c>
      <c r="I29" s="27" t="str">
        <f t="shared" si="69"/>
        <v/>
      </c>
      <c r="J29" s="27" t="str">
        <f t="shared" si="69"/>
        <v/>
      </c>
      <c r="K29" s="27" t="str">
        <f t="shared" si="69"/>
        <v/>
      </c>
      <c r="L29" s="27" t="str">
        <f t="shared" si="69"/>
        <v/>
      </c>
      <c r="M29" s="27" t="str">
        <f t="shared" si="69"/>
        <v/>
      </c>
      <c r="N29" s="27" t="str">
        <f t="shared" si="69"/>
        <v/>
      </c>
      <c r="O29" s="27" t="str">
        <f t="shared" si="69"/>
        <v/>
      </c>
      <c r="P29" s="27" t="str">
        <f t="shared" si="69"/>
        <v/>
      </c>
      <c r="Q29" s="27" t="str">
        <f t="shared" si="69"/>
        <v/>
      </c>
      <c r="R29" s="27" t="str">
        <f t="shared" si="69"/>
        <v/>
      </c>
      <c r="S29" s="27" t="str">
        <f t="shared" si="69"/>
        <v/>
      </c>
      <c r="T29" s="27" t="str">
        <f t="shared" si="69"/>
        <v/>
      </c>
      <c r="U29" s="27" t="str">
        <f t="shared" si="69"/>
        <v/>
      </c>
      <c r="V29" s="27" t="str">
        <f t="shared" si="69"/>
        <v/>
      </c>
      <c r="W29" s="27" t="str">
        <f t="shared" si="69"/>
        <v/>
      </c>
      <c r="X29" s="27" t="str">
        <f t="shared" si="69"/>
        <v/>
      </c>
      <c r="Y29" s="27" t="str">
        <f t="shared" si="69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si="69"/>
        <v/>
      </c>
      <c r="D30" s="27" t="str">
        <f t="shared" si="69"/>
        <v/>
      </c>
      <c r="E30" s="27" t="str">
        <f t="shared" si="69"/>
        <v/>
      </c>
      <c r="F30" s="27" t="str">
        <f t="shared" si="69"/>
        <v/>
      </c>
      <c r="G30" s="27" t="str">
        <f t="shared" si="69"/>
        <v/>
      </c>
      <c r="H30" s="27" t="str">
        <f t="shared" si="69"/>
        <v/>
      </c>
      <c r="I30" s="27" t="str">
        <f t="shared" si="69"/>
        <v/>
      </c>
      <c r="J30" s="27" t="str">
        <f t="shared" si="69"/>
        <v/>
      </c>
      <c r="K30" s="27" t="str">
        <f t="shared" si="69"/>
        <v/>
      </c>
      <c r="L30" s="27" t="str">
        <f t="shared" si="69"/>
        <v/>
      </c>
      <c r="M30" s="27" t="str">
        <f t="shared" si="69"/>
        <v/>
      </c>
      <c r="N30" s="27" t="str">
        <f t="shared" si="69"/>
        <v/>
      </c>
      <c r="O30" s="27" t="str">
        <f t="shared" si="69"/>
        <v/>
      </c>
      <c r="P30" s="27" t="str">
        <f t="shared" si="69"/>
        <v/>
      </c>
      <c r="Q30" s="27" t="str">
        <f t="shared" si="69"/>
        <v/>
      </c>
      <c r="R30" s="27" t="str">
        <f t="shared" si="69"/>
        <v/>
      </c>
      <c r="S30" s="27" t="str">
        <f t="shared" si="69"/>
        <v/>
      </c>
      <c r="T30" s="27" t="str">
        <f t="shared" si="69"/>
        <v/>
      </c>
      <c r="U30" s="27" t="str">
        <f t="shared" si="69"/>
        <v/>
      </c>
      <c r="V30" s="27" t="str">
        <f t="shared" si="69"/>
        <v/>
      </c>
      <c r="W30" s="27" t="str">
        <f t="shared" si="69"/>
        <v/>
      </c>
      <c r="X30" s="27" t="str">
        <f t="shared" si="69"/>
        <v/>
      </c>
      <c r="Y30" s="27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3" width="5.7109375" style="27" customWidth="1"/>
    <col min="24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91</v>
      </c>
      <c r="F2" s="98" t="s">
        <v>92</v>
      </c>
      <c r="G2" s="98" t="s">
        <v>93</v>
      </c>
      <c r="H2" s="98" t="s">
        <v>94</v>
      </c>
      <c r="I2" s="98" t="s">
        <v>96</v>
      </c>
      <c r="J2" s="98" t="s">
        <v>97</v>
      </c>
      <c r="K2" s="98" t="s">
        <v>98</v>
      </c>
      <c r="L2" s="98" t="s">
        <v>90</v>
      </c>
      <c r="M2" s="98" t="s">
        <v>100</v>
      </c>
      <c r="N2" s="98" t="s">
        <v>91</v>
      </c>
      <c r="O2" s="98" t="s">
        <v>84</v>
      </c>
      <c r="P2" s="98" t="s">
        <v>92</v>
      </c>
      <c r="Q2" s="98" t="s">
        <v>93</v>
      </c>
      <c r="R2" s="98" t="s">
        <v>101</v>
      </c>
      <c r="S2" s="98" t="s">
        <v>94</v>
      </c>
      <c r="T2" s="98" t="s">
        <v>96</v>
      </c>
      <c r="U2" s="98" t="s">
        <v>97</v>
      </c>
      <c r="V2" s="98" t="s">
        <v>103</v>
      </c>
      <c r="W2" s="98" t="s">
        <v>76</v>
      </c>
      <c r="X2" s="98"/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ht="15" customHeight="1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106</v>
      </c>
      <c r="F2" s="98" t="s">
        <v>107</v>
      </c>
      <c r="G2" s="98" t="s">
        <v>108</v>
      </c>
      <c r="H2" s="98" t="s">
        <v>109</v>
      </c>
      <c r="I2" s="98" t="s">
        <v>110</v>
      </c>
      <c r="J2" s="98" t="s">
        <v>111</v>
      </c>
      <c r="K2" s="98" t="s">
        <v>78</v>
      </c>
      <c r="L2" s="98" t="s">
        <v>113</v>
      </c>
      <c r="M2" s="98" t="s">
        <v>114</v>
      </c>
      <c r="N2" s="98" t="s">
        <v>115</v>
      </c>
      <c r="O2" s="98" t="s">
        <v>116</v>
      </c>
      <c r="P2" s="98" t="s">
        <v>91</v>
      </c>
      <c r="Q2" s="98" t="s">
        <v>117</v>
      </c>
      <c r="R2" s="98" t="s">
        <v>118</v>
      </c>
      <c r="S2" s="98" t="s">
        <v>120</v>
      </c>
      <c r="T2" s="98" t="s">
        <v>121</v>
      </c>
      <c r="U2" s="98" t="s">
        <v>122</v>
      </c>
      <c r="V2" s="98" t="s">
        <v>124</v>
      </c>
      <c r="W2" s="98" t="s">
        <v>125</v>
      </c>
      <c r="X2" s="98" t="s">
        <v>126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INDIRECT("'"&amp;$A8&amp;"'!K6")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129</v>
      </c>
      <c r="E2" s="98" t="s">
        <v>130</v>
      </c>
      <c r="F2" s="98" t="s">
        <v>131</v>
      </c>
      <c r="G2" s="98" t="s">
        <v>132</v>
      </c>
      <c r="H2" s="98" t="s">
        <v>133</v>
      </c>
      <c r="I2" s="98" t="s">
        <v>134</v>
      </c>
      <c r="J2" s="98" t="s">
        <v>135</v>
      </c>
      <c r="K2" s="98" t="s">
        <v>151</v>
      </c>
      <c r="L2" s="98" t="s">
        <v>137</v>
      </c>
      <c r="M2" s="98" t="s">
        <v>152</v>
      </c>
      <c r="N2" s="98" t="s">
        <v>139</v>
      </c>
      <c r="O2" s="98" t="s">
        <v>153</v>
      </c>
      <c r="P2" s="98" t="s">
        <v>154</v>
      </c>
      <c r="Q2" s="98" t="s">
        <v>142</v>
      </c>
      <c r="R2" s="98" t="s">
        <v>144</v>
      </c>
      <c r="S2" s="98" t="s">
        <v>145</v>
      </c>
      <c r="T2" s="98" t="s">
        <v>146</v>
      </c>
      <c r="U2" s="98" t="s">
        <v>147</v>
      </c>
      <c r="V2" s="98" t="s">
        <v>148</v>
      </c>
      <c r="W2" s="98" t="s">
        <v>149</v>
      </c>
      <c r="X2" s="98" t="s">
        <v>150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1" width="5.7109375" style="27" customWidth="1"/>
    <col min="22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214</v>
      </c>
      <c r="E2" s="98" t="s">
        <v>215</v>
      </c>
      <c r="F2" s="98" t="s">
        <v>216</v>
      </c>
      <c r="G2" s="98" t="s">
        <v>217</v>
      </c>
      <c r="H2" s="98" t="s">
        <v>218</v>
      </c>
      <c r="I2" s="98" t="s">
        <v>219</v>
      </c>
      <c r="J2" s="98" t="s">
        <v>220</v>
      </c>
      <c r="K2" s="98" t="s">
        <v>221</v>
      </c>
      <c r="L2" s="98" t="s">
        <v>222</v>
      </c>
      <c r="M2" s="98" t="s">
        <v>223</v>
      </c>
      <c r="N2" s="98" t="s">
        <v>224</v>
      </c>
      <c r="O2" s="98" t="s">
        <v>225</v>
      </c>
      <c r="P2" s="98" t="s">
        <v>226</v>
      </c>
      <c r="Q2" s="98" t="s">
        <v>227</v>
      </c>
      <c r="R2" s="98" t="s">
        <v>228</v>
      </c>
      <c r="S2" s="98" t="s">
        <v>229</v>
      </c>
      <c r="T2" s="98" t="s">
        <v>230</v>
      </c>
      <c r="U2" s="98" t="s">
        <v>231</v>
      </c>
      <c r="V2" s="98"/>
      <c r="W2" s="98"/>
      <c r="X2" s="98"/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ht="15" customHeight="1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53"/>
  </cols>
  <sheetData>
    <row r="1" spans="1:3" x14ac:dyDescent="0.25">
      <c r="A1" s="53" t="s">
        <v>31</v>
      </c>
      <c r="B1" s="25" t="s">
        <v>190</v>
      </c>
    </row>
    <row r="2" spans="1:3" x14ac:dyDescent="0.25">
      <c r="A2" s="53" t="s">
        <v>32</v>
      </c>
      <c r="B2" s="53" t="s">
        <v>33</v>
      </c>
    </row>
    <row r="3" spans="1:3" x14ac:dyDescent="0.25">
      <c r="A3" t="s">
        <v>196</v>
      </c>
    </row>
    <row r="4" spans="1:3" x14ac:dyDescent="0.25">
      <c r="A4" s="53" t="s">
        <v>34</v>
      </c>
    </row>
    <row r="5" spans="1:3" x14ac:dyDescent="0.25">
      <c r="A5" s="53" t="s">
        <v>35</v>
      </c>
      <c r="B5" s="53" t="s">
        <v>36</v>
      </c>
    </row>
    <row r="7" spans="1:3" x14ac:dyDescent="0.25">
      <c r="B7" t="s">
        <v>197</v>
      </c>
      <c r="C7" t="s">
        <v>198</v>
      </c>
    </row>
    <row r="8" spans="1:3" x14ac:dyDescent="0.25">
      <c r="B8" t="s">
        <v>199</v>
      </c>
      <c r="C8" t="s">
        <v>194</v>
      </c>
    </row>
    <row r="9" spans="1:3" x14ac:dyDescent="0.25">
      <c r="B9" t="s">
        <v>195</v>
      </c>
      <c r="C9" s="53" t="s">
        <v>37</v>
      </c>
    </row>
    <row r="10" spans="1:3" x14ac:dyDescent="0.25">
      <c r="B10" t="s">
        <v>200</v>
      </c>
      <c r="C10" s="53" t="s">
        <v>38</v>
      </c>
    </row>
    <row r="11" spans="1:3" x14ac:dyDescent="0.25">
      <c r="B11" t="s">
        <v>201</v>
      </c>
      <c r="C11" s="53" t="s">
        <v>39</v>
      </c>
    </row>
    <row r="12" spans="1:3" x14ac:dyDescent="0.25">
      <c r="B12" t="s">
        <v>202</v>
      </c>
      <c r="C12" t="s">
        <v>203</v>
      </c>
    </row>
    <row r="20" spans="1:3" x14ac:dyDescent="0.25">
      <c r="B20" t="s">
        <v>204</v>
      </c>
      <c r="C20" s="53" t="s">
        <v>40</v>
      </c>
    </row>
    <row r="24" spans="1:3" x14ac:dyDescent="0.25">
      <c r="A24" s="53" t="s">
        <v>44</v>
      </c>
    </row>
    <row r="25" spans="1:3" x14ac:dyDescent="0.25">
      <c r="B25" s="53" t="s">
        <v>45</v>
      </c>
    </row>
    <row r="26" spans="1:3" ht="15" customHeight="1" x14ac:dyDescent="0.25">
      <c r="A26" s="53" t="s">
        <v>161</v>
      </c>
    </row>
    <row r="27" spans="1:3" ht="15" customHeight="1" x14ac:dyDescent="0.25"/>
    <row r="28" spans="1:3" ht="15" customHeight="1" x14ac:dyDescent="0.25">
      <c r="A28" s="53" t="s">
        <v>156</v>
      </c>
      <c r="B28" t="s">
        <v>193</v>
      </c>
    </row>
    <row r="29" spans="1:3" ht="15" customHeight="1" x14ac:dyDescent="0.25">
      <c r="A29" s="53" t="s">
        <v>155</v>
      </c>
      <c r="B29" t="s">
        <v>194</v>
      </c>
    </row>
    <row r="30" spans="1:3" ht="15" customHeight="1" x14ac:dyDescent="0.25">
      <c r="A30" s="53" t="s">
        <v>159</v>
      </c>
      <c r="B30" s="53" t="s">
        <v>160</v>
      </c>
    </row>
    <row r="31" spans="1:3" ht="15" customHeight="1" x14ac:dyDescent="0.25">
      <c r="A31" s="53" t="s">
        <v>157</v>
      </c>
      <c r="B31" s="53" t="s">
        <v>158</v>
      </c>
    </row>
    <row r="32" spans="1:3" ht="15" customHeight="1" x14ac:dyDescent="0.25">
      <c r="A32" s="53" t="s">
        <v>162</v>
      </c>
      <c r="B32" s="53" t="s">
        <v>189</v>
      </c>
    </row>
    <row r="33" spans="1:2" ht="15" customHeight="1" x14ac:dyDescent="0.25">
      <c r="A33" s="53" t="s">
        <v>163</v>
      </c>
      <c r="B33" s="53" t="s">
        <v>1</v>
      </c>
    </row>
    <row r="34" spans="1:2" ht="15" customHeight="1" x14ac:dyDescent="0.25">
      <c r="A34" s="53" t="s">
        <v>164</v>
      </c>
      <c r="B34" s="53" t="s">
        <v>2</v>
      </c>
    </row>
    <row r="35" spans="1:2" ht="15" customHeight="1" x14ac:dyDescent="0.25">
      <c r="A35" s="53" t="s">
        <v>165</v>
      </c>
      <c r="B35" s="53" t="s">
        <v>3</v>
      </c>
    </row>
    <row r="36" spans="1:2" ht="15" customHeight="1" x14ac:dyDescent="0.25">
      <c r="A36" s="53" t="s">
        <v>166</v>
      </c>
      <c r="B36" s="53" t="s">
        <v>4</v>
      </c>
    </row>
    <row r="37" spans="1:2" ht="15" customHeight="1" x14ac:dyDescent="0.25">
      <c r="A37" s="53" t="s">
        <v>167</v>
      </c>
      <c r="B37" s="53" t="s">
        <v>6</v>
      </c>
    </row>
    <row r="38" spans="1:2" ht="15" customHeight="1" x14ac:dyDescent="0.25">
      <c r="A38" s="53" t="s">
        <v>168</v>
      </c>
      <c r="B38" s="53" t="s">
        <v>67</v>
      </c>
    </row>
    <row r="39" spans="1:2" ht="15" customHeight="1" x14ac:dyDescent="0.25">
      <c r="A39" s="53" t="s">
        <v>169</v>
      </c>
      <c r="B39" s="53" t="s">
        <v>66</v>
      </c>
    </row>
    <row r="40" spans="1:2" ht="15" customHeight="1" x14ac:dyDescent="0.25">
      <c r="A40" s="53" t="s">
        <v>170</v>
      </c>
      <c r="B40" s="53" t="s">
        <v>65</v>
      </c>
    </row>
    <row r="41" spans="1:2" ht="15" customHeight="1" x14ac:dyDescent="0.25">
      <c r="A41" s="53" t="s">
        <v>171</v>
      </c>
      <c r="B41" s="53" t="s">
        <v>5</v>
      </c>
    </row>
    <row r="42" spans="1:2" ht="15" customHeight="1" x14ac:dyDescent="0.25">
      <c r="A42" s="53" t="s">
        <v>172</v>
      </c>
      <c r="B42" s="53" t="s">
        <v>41</v>
      </c>
    </row>
    <row r="43" spans="1:2" ht="15" customHeight="1" x14ac:dyDescent="0.25">
      <c r="A43" s="53" t="s">
        <v>173</v>
      </c>
      <c r="B43" s="53" t="s">
        <v>174</v>
      </c>
    </row>
    <row r="44" spans="1:2" ht="15" customHeight="1" x14ac:dyDescent="0.25">
      <c r="A44" s="53" t="s">
        <v>175</v>
      </c>
      <c r="B44" s="53" t="s">
        <v>42</v>
      </c>
    </row>
    <row r="45" spans="1:2" ht="15" customHeight="1" x14ac:dyDescent="0.25">
      <c r="A45" s="53" t="s">
        <v>176</v>
      </c>
      <c r="B45" s="53" t="s">
        <v>177</v>
      </c>
    </row>
    <row r="46" spans="1:2" ht="15" customHeight="1" x14ac:dyDescent="0.25">
      <c r="A46" s="53" t="s">
        <v>178</v>
      </c>
      <c r="B46" s="53" t="s">
        <v>179</v>
      </c>
    </row>
    <row r="47" spans="1:2" ht="15" customHeight="1" x14ac:dyDescent="0.25">
      <c r="A47" s="53" t="s">
        <v>180</v>
      </c>
      <c r="B47" s="53" t="s">
        <v>181</v>
      </c>
    </row>
    <row r="48" spans="1:2" ht="15" customHeight="1" x14ac:dyDescent="0.25">
      <c r="A48" s="53" t="s">
        <v>182</v>
      </c>
      <c r="B48" s="53" t="s">
        <v>183</v>
      </c>
    </row>
    <row r="49" spans="1:8" x14ac:dyDescent="0.25">
      <c r="A49" s="53" t="s">
        <v>184</v>
      </c>
      <c r="B49" s="53" t="s">
        <v>185</v>
      </c>
    </row>
    <row r="50" spans="1:8" x14ac:dyDescent="0.25">
      <c r="A50" s="53" t="s">
        <v>186</v>
      </c>
      <c r="B50" s="53" t="s">
        <v>43</v>
      </c>
    </row>
    <row r="51" spans="1:8" x14ac:dyDescent="0.25">
      <c r="A51" s="53" t="s">
        <v>187</v>
      </c>
      <c r="B51" s="53" t="s">
        <v>7</v>
      </c>
      <c r="F51"/>
      <c r="G51" s="29"/>
      <c r="H51"/>
    </row>
    <row r="52" spans="1:8" x14ac:dyDescent="0.25">
      <c r="A52" s="53" t="s">
        <v>188</v>
      </c>
      <c r="B52" s="53" t="s">
        <v>28</v>
      </c>
      <c r="F52" s="25"/>
      <c r="G52" s="25"/>
      <c r="H52" s="28"/>
    </row>
    <row r="53" spans="1:8" x14ac:dyDescent="0.25">
      <c r="A53" t="s">
        <v>206</v>
      </c>
      <c r="B53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2019-03-31T22:24:57Z</dcterms:modified>
</cp:coreProperties>
</file>