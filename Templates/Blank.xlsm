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eng\z_localGIT\judo-kata\Templates\"/>
    </mc:Choice>
  </mc:AlternateContent>
  <xr:revisionPtr revIDLastSave="0" documentId="13_ncr:1_{6AA78EC7-EA2B-4BCE-AA28-ED425B34A09B}" xr6:coauthVersionLast="41" xr6:coauthVersionMax="41" xr10:uidLastSave="{00000000-0000-0000-0000-000000000000}"/>
  <bookViews>
    <workbookView xWindow="22932" yWindow="-12936" windowWidth="46296" windowHeight="25680" xr2:uid="{00912E07-FE2B-4B6F-8D52-3B4088392B69}"/>
  </bookViews>
  <sheets>
    <sheet name="1 Nage" sheetId="1" r:id="rId1"/>
    <sheet name="2 Katame" sheetId="18" r:id="rId2"/>
    <sheet name="3 Ju" sheetId="20" r:id="rId3"/>
    <sheet name="4 Kime" sheetId="8" r:id="rId4"/>
    <sheet name="5 Goshin" sheetId="10" r:id="rId5"/>
    <sheet name="6 Koshiki" sheetId="12" r:id="rId6"/>
    <sheet name="7 Jugend" sheetId="22" r:id="rId7"/>
    <sheet name="1 Nage A" sheetId="17" r:id="rId8"/>
    <sheet name="2 Katame A" sheetId="19" r:id="rId9"/>
    <sheet name="3 Ju A" sheetId="21" r:id="rId10"/>
    <sheet name="4 Kime A" sheetId="9" r:id="rId11"/>
    <sheet name="5 Goshin A" sheetId="11" r:id="rId12"/>
    <sheet name="6 Koshiki A" sheetId="13" r:id="rId13"/>
    <sheet name="7 Jugend A" sheetId="23" r:id="rId14"/>
    <sheet name="Doku" sheetId="3" r:id="rId15"/>
  </sheets>
  <definedNames>
    <definedName name="_xlnm.Print_Area" localSheetId="0">'1 Nage'!$A$1:$L$37</definedName>
    <definedName name="_xlnm.Print_Area" localSheetId="7">'1 Nage A'!$A$1:$AF$16</definedName>
    <definedName name="_xlnm.Print_Area" localSheetId="1">'2 Katame'!$A$1:$L$37</definedName>
    <definedName name="_xlnm.Print_Area" localSheetId="8">'2 Katame A'!$A$1:$AF$16</definedName>
    <definedName name="_xlnm.Print_Area" localSheetId="2">'3 Ju'!$A$1:$L$37</definedName>
    <definedName name="_xlnm.Print_Area" localSheetId="9">'3 Ju A'!$A$1:$AF$16</definedName>
    <definedName name="_xlnm.Print_Area" localSheetId="3">'4 Kime'!$A$1:$L$37</definedName>
    <definedName name="_xlnm.Print_Area" localSheetId="10">'4 Kime A'!$A$1:$AF$16</definedName>
    <definedName name="_xlnm.Print_Area" localSheetId="4">'5 Goshin'!$A$1:$L$37</definedName>
    <definedName name="_xlnm.Print_Area" localSheetId="11">'5 Goshin A'!$A$1:$AF$16</definedName>
    <definedName name="_xlnm.Print_Area" localSheetId="5">'6 Koshiki'!$A$1:$L$37</definedName>
    <definedName name="_xlnm.Print_Area" localSheetId="12">'6 Koshiki A'!$A$1:$AF$16</definedName>
    <definedName name="_xlnm.Print_Area" localSheetId="6">'7 Jugend'!$A$1:$L$37</definedName>
    <definedName name="_xlnm.Print_Area" localSheetId="13">'7 Jugend A'!$A$1:$AF$16</definedName>
  </definedNames>
  <calcPr calcId="181029"/>
</workbook>
</file>

<file path=xl/calcChain.xml><?xml version="1.0" encoding="utf-8"?>
<calcChain xmlns="http://schemas.openxmlformats.org/spreadsheetml/2006/main">
  <c r="L36" i="22" l="1"/>
  <c r="K36" i="22"/>
  <c r="J36" i="22"/>
  <c r="I36" i="22"/>
  <c r="H36" i="22"/>
  <c r="G36" i="22"/>
  <c r="F36" i="22"/>
  <c r="K36" i="12"/>
  <c r="J36" i="12"/>
  <c r="I36" i="12"/>
  <c r="H36" i="12"/>
  <c r="G36" i="12"/>
  <c r="F36" i="12"/>
  <c r="L36" i="10"/>
  <c r="K36" i="10"/>
  <c r="J36" i="10"/>
  <c r="I36" i="10"/>
  <c r="H36" i="10"/>
  <c r="G36" i="10"/>
  <c r="F36" i="10"/>
  <c r="L36" i="8"/>
  <c r="K36" i="8"/>
  <c r="J36" i="8"/>
  <c r="I36" i="8"/>
  <c r="H36" i="8"/>
  <c r="G36" i="8"/>
  <c r="F36" i="8"/>
  <c r="L36" i="20"/>
  <c r="K36" i="20"/>
  <c r="J36" i="20"/>
  <c r="I36" i="20"/>
  <c r="H36" i="20"/>
  <c r="G36" i="20"/>
  <c r="F36" i="20"/>
  <c r="K36" i="18"/>
  <c r="J36" i="18"/>
  <c r="I36" i="18"/>
  <c r="H36" i="18"/>
  <c r="G36" i="18"/>
  <c r="F36" i="18"/>
  <c r="K36" i="1"/>
  <c r="J36" i="1"/>
  <c r="I36" i="1"/>
  <c r="H36" i="1"/>
  <c r="F36" i="1"/>
  <c r="B1" i="13"/>
  <c r="L35" i="22" l="1"/>
  <c r="L35" i="8"/>
  <c r="L35" i="20"/>
  <c r="L29" i="18"/>
  <c r="L35" i="18"/>
  <c r="L35" i="1"/>
  <c r="AF16" i="23" l="1"/>
  <c r="AE16" i="23"/>
  <c r="AD16" i="23"/>
  <c r="AC16" i="23"/>
  <c r="AB16" i="23"/>
  <c r="AA16" i="23"/>
  <c r="Z16" i="23"/>
  <c r="Y16" i="23"/>
  <c r="U16" i="23"/>
  <c r="T16" i="23"/>
  <c r="S16" i="23"/>
  <c r="R16" i="23"/>
  <c r="Q16" i="23"/>
  <c r="P16" i="23"/>
  <c r="O16" i="23"/>
  <c r="N16" i="23"/>
  <c r="M16" i="23"/>
  <c r="L16" i="23"/>
  <c r="K16" i="23"/>
  <c r="J16" i="23"/>
  <c r="I16" i="23"/>
  <c r="H16" i="23"/>
  <c r="G16" i="23"/>
  <c r="F16" i="23"/>
  <c r="E16" i="23"/>
  <c r="D16" i="23"/>
  <c r="C16" i="23"/>
  <c r="B16" i="23"/>
  <c r="AF15" i="23"/>
  <c r="AE15" i="23"/>
  <c r="AD15" i="23"/>
  <c r="AC15" i="23"/>
  <c r="AB15" i="23"/>
  <c r="AA15" i="23"/>
  <c r="Z15" i="23"/>
  <c r="Y15" i="23"/>
  <c r="U15" i="23"/>
  <c r="T15" i="23"/>
  <c r="S15" i="23"/>
  <c r="R15" i="23"/>
  <c r="Q15" i="23"/>
  <c r="P15" i="23"/>
  <c r="O15" i="23"/>
  <c r="N15" i="23"/>
  <c r="M15" i="23"/>
  <c r="L15" i="23"/>
  <c r="K15" i="23"/>
  <c r="J15" i="23"/>
  <c r="I15" i="23"/>
  <c r="H15" i="23"/>
  <c r="G15" i="23"/>
  <c r="F15" i="23"/>
  <c r="E15" i="23"/>
  <c r="D15" i="23"/>
  <c r="C15" i="23"/>
  <c r="B15" i="23"/>
  <c r="AF13" i="23"/>
  <c r="AE13" i="23"/>
  <c r="AD13" i="23"/>
  <c r="AC13" i="23"/>
  <c r="AB13" i="23"/>
  <c r="AA13" i="23"/>
  <c r="Z13" i="23"/>
  <c r="Y13" i="23"/>
  <c r="U13" i="23"/>
  <c r="T13" i="23"/>
  <c r="S13" i="23"/>
  <c r="R13" i="23"/>
  <c r="Q13" i="23"/>
  <c r="P13" i="23"/>
  <c r="O13" i="23"/>
  <c r="N13" i="23"/>
  <c r="M13" i="23"/>
  <c r="L13" i="23"/>
  <c r="K13" i="23"/>
  <c r="J13" i="23"/>
  <c r="I13" i="23"/>
  <c r="H13" i="23"/>
  <c r="G13" i="23"/>
  <c r="F13" i="23"/>
  <c r="E13" i="23"/>
  <c r="D13" i="23"/>
  <c r="C13" i="23"/>
  <c r="B13" i="23"/>
  <c r="AF12" i="23"/>
  <c r="AE12" i="23"/>
  <c r="AD12" i="23"/>
  <c r="AC12" i="23"/>
  <c r="AB12" i="23"/>
  <c r="AA12" i="23"/>
  <c r="Z12" i="23"/>
  <c r="Y12" i="23"/>
  <c r="U12" i="23"/>
  <c r="T12" i="23"/>
  <c r="S12" i="23"/>
  <c r="R12" i="23"/>
  <c r="Q12" i="23"/>
  <c r="P12" i="23"/>
  <c r="O12" i="23"/>
  <c r="N12" i="23"/>
  <c r="M12" i="23"/>
  <c r="L12" i="23"/>
  <c r="K12" i="23"/>
  <c r="J12" i="23"/>
  <c r="I12" i="23"/>
  <c r="H12" i="23"/>
  <c r="G12" i="23"/>
  <c r="F12" i="23"/>
  <c r="E12" i="23"/>
  <c r="D12" i="23"/>
  <c r="C12" i="23"/>
  <c r="B12" i="23"/>
  <c r="AF11" i="23"/>
  <c r="AE11" i="23"/>
  <c r="AD11" i="23"/>
  <c r="AC11" i="23"/>
  <c r="AB11" i="23"/>
  <c r="AA11" i="23"/>
  <c r="Z11" i="23"/>
  <c r="Y11" i="23"/>
  <c r="U11" i="23"/>
  <c r="T11" i="23"/>
  <c r="S11" i="23"/>
  <c r="R11" i="23"/>
  <c r="Q11" i="23"/>
  <c r="P11" i="23"/>
  <c r="O11" i="23"/>
  <c r="N11" i="23"/>
  <c r="M11" i="23"/>
  <c r="L11" i="23"/>
  <c r="K11" i="23"/>
  <c r="J11" i="23"/>
  <c r="I11" i="23"/>
  <c r="H11" i="23"/>
  <c r="G11" i="23"/>
  <c r="F11" i="23"/>
  <c r="E11" i="23"/>
  <c r="D11" i="23"/>
  <c r="C11" i="23"/>
  <c r="B11" i="23"/>
  <c r="AF10" i="23"/>
  <c r="AE10" i="23"/>
  <c r="AD10" i="23"/>
  <c r="AC10" i="23"/>
  <c r="AB10" i="23"/>
  <c r="AA10" i="23"/>
  <c r="Z10" i="23"/>
  <c r="Y10" i="23"/>
  <c r="U10" i="23"/>
  <c r="T10" i="23"/>
  <c r="S10" i="23"/>
  <c r="R10" i="23"/>
  <c r="Q10" i="23"/>
  <c r="P10" i="23"/>
  <c r="O10" i="23"/>
  <c r="N10" i="23"/>
  <c r="M10" i="23"/>
  <c r="L10" i="23"/>
  <c r="K10" i="23"/>
  <c r="J10" i="23"/>
  <c r="I10" i="23"/>
  <c r="H10" i="23"/>
  <c r="G10" i="23"/>
  <c r="F10" i="23"/>
  <c r="E10" i="23"/>
  <c r="D10" i="23"/>
  <c r="C10" i="23"/>
  <c r="B10" i="23"/>
  <c r="AF9" i="23"/>
  <c r="AE9" i="23"/>
  <c r="AD9" i="23"/>
  <c r="AC9" i="23"/>
  <c r="AB9" i="23"/>
  <c r="AA9" i="23"/>
  <c r="Z9" i="23"/>
  <c r="Y9" i="23"/>
  <c r="U9" i="23"/>
  <c r="T9" i="23"/>
  <c r="S9" i="23"/>
  <c r="R9" i="23"/>
  <c r="Q9" i="23"/>
  <c r="P9" i="23"/>
  <c r="O9" i="23"/>
  <c r="N9" i="23"/>
  <c r="M9" i="23"/>
  <c r="L9" i="23"/>
  <c r="K9" i="23"/>
  <c r="J9" i="23"/>
  <c r="I9" i="23"/>
  <c r="H9" i="23"/>
  <c r="G9" i="23"/>
  <c r="F9" i="23"/>
  <c r="E9" i="23"/>
  <c r="D9" i="23"/>
  <c r="C9" i="23"/>
  <c r="B9" i="23"/>
  <c r="AF8" i="23"/>
  <c r="AE8" i="23"/>
  <c r="AD8" i="23"/>
  <c r="AC8" i="23"/>
  <c r="AB8" i="23"/>
  <c r="AA8" i="23"/>
  <c r="Z8" i="23"/>
  <c r="Y8" i="23"/>
  <c r="U8" i="23"/>
  <c r="T8" i="23"/>
  <c r="S8" i="23"/>
  <c r="R8" i="23"/>
  <c r="Q8" i="23"/>
  <c r="P8" i="23"/>
  <c r="O8" i="23"/>
  <c r="N8" i="23"/>
  <c r="M8" i="23"/>
  <c r="L8" i="23"/>
  <c r="K8" i="23"/>
  <c r="J8" i="23"/>
  <c r="I8" i="23"/>
  <c r="H8" i="23"/>
  <c r="G8" i="23"/>
  <c r="F8" i="23"/>
  <c r="E8" i="23"/>
  <c r="D8" i="23"/>
  <c r="C8" i="23"/>
  <c r="B8" i="23"/>
  <c r="AF7" i="23"/>
  <c r="AE7" i="23"/>
  <c r="AD7" i="23"/>
  <c r="AC7" i="23"/>
  <c r="AB7" i="23"/>
  <c r="AA7" i="23"/>
  <c r="Z7" i="23"/>
  <c r="Y7" i="23"/>
  <c r="U7" i="23"/>
  <c r="T7" i="23"/>
  <c r="S7" i="23"/>
  <c r="R7" i="23"/>
  <c r="Q7" i="23"/>
  <c r="P7" i="23"/>
  <c r="O7" i="23"/>
  <c r="N7" i="23"/>
  <c r="M7" i="23"/>
  <c r="L7" i="23"/>
  <c r="K7" i="23"/>
  <c r="J7" i="23"/>
  <c r="I7" i="23"/>
  <c r="H7" i="23"/>
  <c r="G7" i="23"/>
  <c r="F7" i="23"/>
  <c r="E7" i="23"/>
  <c r="D7" i="23"/>
  <c r="C7" i="23"/>
  <c r="B7" i="23"/>
  <c r="A5" i="23"/>
  <c r="A4" i="23"/>
  <c r="AF16" i="13"/>
  <c r="AE16" i="13"/>
  <c r="AD16" i="13"/>
  <c r="AC16" i="13"/>
  <c r="AB16" i="13"/>
  <c r="AA16" i="13"/>
  <c r="Z16" i="13"/>
  <c r="Y16" i="13"/>
  <c r="X16" i="13"/>
  <c r="W16" i="13"/>
  <c r="V16" i="13"/>
  <c r="U16" i="13"/>
  <c r="T16" i="13"/>
  <c r="S16" i="13"/>
  <c r="R16" i="13"/>
  <c r="Q16" i="13"/>
  <c r="P16" i="13"/>
  <c r="O16" i="13"/>
  <c r="N16" i="13"/>
  <c r="M16" i="13"/>
  <c r="L16" i="13"/>
  <c r="K16" i="13"/>
  <c r="J16" i="13"/>
  <c r="I16" i="13"/>
  <c r="H16" i="13"/>
  <c r="G16" i="13"/>
  <c r="F16" i="13"/>
  <c r="E16" i="13"/>
  <c r="D16" i="13"/>
  <c r="C16" i="13"/>
  <c r="B16" i="13"/>
  <c r="AF15" i="13"/>
  <c r="AE15" i="13"/>
  <c r="AD15" i="13"/>
  <c r="AC15" i="13"/>
  <c r="AB15" i="13"/>
  <c r="AA15" i="13"/>
  <c r="Z15" i="13"/>
  <c r="Y15" i="13"/>
  <c r="X15" i="13"/>
  <c r="W15" i="13"/>
  <c r="V15" i="13"/>
  <c r="U15" i="13"/>
  <c r="T15" i="13"/>
  <c r="S15" i="13"/>
  <c r="R15" i="13"/>
  <c r="Q15" i="13"/>
  <c r="P15" i="13"/>
  <c r="O15" i="13"/>
  <c r="N15" i="13"/>
  <c r="M15" i="13"/>
  <c r="L15" i="13"/>
  <c r="K15" i="13"/>
  <c r="J15" i="13"/>
  <c r="I15" i="13"/>
  <c r="H15" i="13"/>
  <c r="G15" i="13"/>
  <c r="F15" i="13"/>
  <c r="E15" i="13"/>
  <c r="D15" i="13"/>
  <c r="C15" i="13"/>
  <c r="B15" i="13"/>
  <c r="AF13" i="13"/>
  <c r="AE13" i="13"/>
  <c r="AD13" i="13"/>
  <c r="AC13" i="13"/>
  <c r="AB13" i="13"/>
  <c r="AA13" i="13"/>
  <c r="Z13" i="13"/>
  <c r="Y13" i="13"/>
  <c r="X13" i="13"/>
  <c r="W13" i="13"/>
  <c r="V13" i="13"/>
  <c r="U13" i="13"/>
  <c r="T13" i="13"/>
  <c r="S13" i="13"/>
  <c r="R13" i="13"/>
  <c r="Q13" i="13"/>
  <c r="P13" i="13"/>
  <c r="O13" i="13"/>
  <c r="N13" i="13"/>
  <c r="M13" i="13"/>
  <c r="L13" i="13"/>
  <c r="K13" i="13"/>
  <c r="J13" i="13"/>
  <c r="I13" i="13"/>
  <c r="H13" i="13"/>
  <c r="G13" i="13"/>
  <c r="F13" i="13"/>
  <c r="E13" i="13"/>
  <c r="D13" i="13"/>
  <c r="C13" i="13"/>
  <c r="B13" i="13"/>
  <c r="AF12" i="13"/>
  <c r="AE12" i="13"/>
  <c r="AD12" i="13"/>
  <c r="AC12" i="13"/>
  <c r="AB12" i="13"/>
  <c r="AA12" i="13"/>
  <c r="Z12" i="13"/>
  <c r="Y12" i="13"/>
  <c r="X12" i="13"/>
  <c r="W12" i="13"/>
  <c r="V12" i="13"/>
  <c r="U12" i="13"/>
  <c r="T12" i="13"/>
  <c r="S12" i="13"/>
  <c r="R12" i="13"/>
  <c r="Q12" i="13"/>
  <c r="P12" i="13"/>
  <c r="O12" i="13"/>
  <c r="N12" i="13"/>
  <c r="M12" i="13"/>
  <c r="L12" i="13"/>
  <c r="K12" i="13"/>
  <c r="J12" i="13"/>
  <c r="I12" i="13"/>
  <c r="H12" i="13"/>
  <c r="G12" i="13"/>
  <c r="F12" i="13"/>
  <c r="E12" i="13"/>
  <c r="D12" i="13"/>
  <c r="C12" i="13"/>
  <c r="B12" i="13"/>
  <c r="AF11" i="13"/>
  <c r="AE11" i="13"/>
  <c r="AD11" i="13"/>
  <c r="AC11" i="13"/>
  <c r="AB11" i="13"/>
  <c r="AA11" i="13"/>
  <c r="Z11" i="13"/>
  <c r="Y11" i="13"/>
  <c r="X11" i="13"/>
  <c r="W11" i="13"/>
  <c r="V11" i="13"/>
  <c r="U11" i="13"/>
  <c r="T11" i="13"/>
  <c r="S11" i="13"/>
  <c r="R11" i="13"/>
  <c r="Q11" i="13"/>
  <c r="P11" i="13"/>
  <c r="O11" i="13"/>
  <c r="N11" i="13"/>
  <c r="M11" i="13"/>
  <c r="L11" i="13"/>
  <c r="K11" i="13"/>
  <c r="J11" i="13"/>
  <c r="I11" i="13"/>
  <c r="H11" i="13"/>
  <c r="G11" i="13"/>
  <c r="F11" i="13"/>
  <c r="E11" i="13"/>
  <c r="D11" i="13"/>
  <c r="C11" i="13"/>
  <c r="B11" i="13"/>
  <c r="AF10" i="13"/>
  <c r="AE10" i="13"/>
  <c r="AD10" i="13"/>
  <c r="AC10" i="13"/>
  <c r="AB10" i="13"/>
  <c r="AA10" i="13"/>
  <c r="Z10" i="13"/>
  <c r="Y10" i="13"/>
  <c r="X10" i="13"/>
  <c r="W10" i="13"/>
  <c r="V10" i="13"/>
  <c r="U10" i="13"/>
  <c r="T10" i="13"/>
  <c r="S10" i="13"/>
  <c r="R10" i="13"/>
  <c r="Q10" i="13"/>
  <c r="P10" i="13"/>
  <c r="O10" i="13"/>
  <c r="N10" i="13"/>
  <c r="M10" i="13"/>
  <c r="L10" i="13"/>
  <c r="K10" i="13"/>
  <c r="J10" i="13"/>
  <c r="I10" i="13"/>
  <c r="H10" i="13"/>
  <c r="G10" i="13"/>
  <c r="F10" i="13"/>
  <c r="E10" i="13"/>
  <c r="D10" i="13"/>
  <c r="C10" i="13"/>
  <c r="B10" i="13"/>
  <c r="AF9" i="13"/>
  <c r="AE9" i="13"/>
  <c r="AD9" i="13"/>
  <c r="AC9" i="13"/>
  <c r="AB9" i="13"/>
  <c r="AA9" i="13"/>
  <c r="Z9" i="13"/>
  <c r="Y9" i="13"/>
  <c r="X9" i="13"/>
  <c r="W9" i="13"/>
  <c r="V9" i="13"/>
  <c r="U9" i="13"/>
  <c r="T9" i="13"/>
  <c r="S9" i="13"/>
  <c r="R9" i="13"/>
  <c r="Q9" i="13"/>
  <c r="P9" i="13"/>
  <c r="O9" i="13"/>
  <c r="N9" i="13"/>
  <c r="M9" i="13"/>
  <c r="L9" i="13"/>
  <c r="K9" i="13"/>
  <c r="J9" i="13"/>
  <c r="I9" i="13"/>
  <c r="H9" i="13"/>
  <c r="G9" i="13"/>
  <c r="F9" i="13"/>
  <c r="E9" i="13"/>
  <c r="D9" i="13"/>
  <c r="C9" i="13"/>
  <c r="B9" i="13"/>
  <c r="AF8" i="13"/>
  <c r="AE8" i="13"/>
  <c r="AD8" i="13"/>
  <c r="AC8" i="13"/>
  <c r="AB8" i="13"/>
  <c r="AA8" i="13"/>
  <c r="Z8" i="13"/>
  <c r="Y8" i="13"/>
  <c r="X8" i="13"/>
  <c r="W8" i="13"/>
  <c r="V8" i="13"/>
  <c r="U8" i="13"/>
  <c r="T8" i="13"/>
  <c r="S8" i="13"/>
  <c r="R8" i="13"/>
  <c r="Q8" i="13"/>
  <c r="P8" i="13"/>
  <c r="O8" i="13"/>
  <c r="N8" i="13"/>
  <c r="M8" i="13"/>
  <c r="L8" i="13"/>
  <c r="K8" i="13"/>
  <c r="J8" i="13"/>
  <c r="I8" i="13"/>
  <c r="H8" i="13"/>
  <c r="G8" i="13"/>
  <c r="F8" i="13"/>
  <c r="E8" i="13"/>
  <c r="D8" i="13"/>
  <c r="C8" i="13"/>
  <c r="B8" i="13"/>
  <c r="AF7" i="13"/>
  <c r="AE7" i="13"/>
  <c r="AD7" i="13"/>
  <c r="AC7" i="13"/>
  <c r="AB7" i="13"/>
  <c r="AA7" i="13"/>
  <c r="Z7" i="13"/>
  <c r="Y7" i="13"/>
  <c r="X7" i="13"/>
  <c r="W7" i="13"/>
  <c r="V7" i="13"/>
  <c r="U7" i="13"/>
  <c r="T7" i="13"/>
  <c r="S7" i="13"/>
  <c r="R7" i="13"/>
  <c r="Q7" i="13"/>
  <c r="P7" i="13"/>
  <c r="O7" i="13"/>
  <c r="N7" i="13"/>
  <c r="M7" i="13"/>
  <c r="L7" i="13"/>
  <c r="K7" i="13"/>
  <c r="J7" i="13"/>
  <c r="I7" i="13"/>
  <c r="H7" i="13"/>
  <c r="G7" i="13"/>
  <c r="F7" i="13"/>
  <c r="E7" i="13"/>
  <c r="D7" i="13"/>
  <c r="C7" i="13"/>
  <c r="B7" i="13"/>
  <c r="A5" i="13"/>
  <c r="A4" i="13"/>
  <c r="Y30" i="23"/>
  <c r="U30" i="23"/>
  <c r="T30" i="23"/>
  <c r="S30" i="23"/>
  <c r="R30" i="23"/>
  <c r="Q30" i="23"/>
  <c r="P30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Y29" i="23"/>
  <c r="U29" i="23"/>
  <c r="T29" i="23"/>
  <c r="S29" i="23"/>
  <c r="R29" i="23"/>
  <c r="Q29" i="23"/>
  <c r="P29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Y27" i="23"/>
  <c r="U27" i="23"/>
  <c r="T27" i="23"/>
  <c r="S27" i="23"/>
  <c r="R27" i="23"/>
  <c r="Q27" i="23"/>
  <c r="P27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Y26" i="23"/>
  <c r="U26" i="23"/>
  <c r="T26" i="23"/>
  <c r="S26" i="23"/>
  <c r="R26" i="23"/>
  <c r="Q26" i="23"/>
  <c r="P26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Y25" i="23"/>
  <c r="U25" i="23"/>
  <c r="T25" i="23"/>
  <c r="S25" i="23"/>
  <c r="R25" i="23"/>
  <c r="Q25" i="23"/>
  <c r="P25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Y24" i="23"/>
  <c r="U24" i="23"/>
  <c r="T24" i="23"/>
  <c r="S24" i="23"/>
  <c r="R24" i="23"/>
  <c r="Q24" i="23"/>
  <c r="P24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Y23" i="23"/>
  <c r="U23" i="23"/>
  <c r="T23" i="23"/>
  <c r="S23" i="23"/>
  <c r="R23" i="23"/>
  <c r="Q23" i="23"/>
  <c r="P23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Y22" i="23"/>
  <c r="U22" i="23"/>
  <c r="T22" i="23"/>
  <c r="S22" i="23"/>
  <c r="R22" i="23"/>
  <c r="Q22" i="23"/>
  <c r="P22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Y30" i="13"/>
  <c r="X30" i="13"/>
  <c r="W30" i="13"/>
  <c r="V30" i="13"/>
  <c r="U30" i="13"/>
  <c r="T30" i="13"/>
  <c r="S30" i="13"/>
  <c r="R30" i="13"/>
  <c r="Q30" i="13"/>
  <c r="P30" i="13"/>
  <c r="O30" i="13"/>
  <c r="N30" i="13"/>
  <c r="M30" i="13"/>
  <c r="L30" i="13"/>
  <c r="K30" i="13"/>
  <c r="J30" i="13"/>
  <c r="I30" i="13"/>
  <c r="H30" i="13"/>
  <c r="G30" i="13"/>
  <c r="F30" i="13"/>
  <c r="E30" i="13"/>
  <c r="D30" i="13"/>
  <c r="C30" i="13"/>
  <c r="Y29" i="13"/>
  <c r="X29" i="13"/>
  <c r="W29" i="13"/>
  <c r="V29" i="13"/>
  <c r="U29" i="13"/>
  <c r="T29" i="13"/>
  <c r="S29" i="13"/>
  <c r="R29" i="13"/>
  <c r="Q29" i="13"/>
  <c r="P29" i="13"/>
  <c r="O29" i="13"/>
  <c r="N29" i="13"/>
  <c r="M29" i="13"/>
  <c r="L29" i="13"/>
  <c r="K29" i="13"/>
  <c r="J29" i="13"/>
  <c r="I29" i="13"/>
  <c r="H29" i="13"/>
  <c r="G29" i="13"/>
  <c r="F29" i="13"/>
  <c r="E29" i="13"/>
  <c r="D29" i="13"/>
  <c r="C29" i="13"/>
  <c r="Y27" i="13"/>
  <c r="X27" i="13"/>
  <c r="W27" i="13"/>
  <c r="V27" i="13"/>
  <c r="U27" i="13"/>
  <c r="T27" i="13"/>
  <c r="S27" i="13"/>
  <c r="R27" i="13"/>
  <c r="Q27" i="13"/>
  <c r="P27" i="13"/>
  <c r="O27" i="13"/>
  <c r="N27" i="13"/>
  <c r="M27" i="13"/>
  <c r="L27" i="13"/>
  <c r="K27" i="13"/>
  <c r="J27" i="13"/>
  <c r="I27" i="13"/>
  <c r="H27" i="13"/>
  <c r="G27" i="13"/>
  <c r="F27" i="13"/>
  <c r="E27" i="13"/>
  <c r="D27" i="13"/>
  <c r="C27" i="13"/>
  <c r="Y26" i="13"/>
  <c r="X26" i="13"/>
  <c r="W26" i="13"/>
  <c r="V26" i="13"/>
  <c r="U26" i="13"/>
  <c r="T26" i="13"/>
  <c r="S26" i="13"/>
  <c r="R26" i="13"/>
  <c r="Q26" i="13"/>
  <c r="P26" i="13"/>
  <c r="O26" i="13"/>
  <c r="N26" i="13"/>
  <c r="M26" i="13"/>
  <c r="L26" i="13"/>
  <c r="K26" i="13"/>
  <c r="J26" i="13"/>
  <c r="I26" i="13"/>
  <c r="H26" i="13"/>
  <c r="G26" i="13"/>
  <c r="F26" i="13"/>
  <c r="E26" i="13"/>
  <c r="D26" i="13"/>
  <c r="C26" i="13"/>
  <c r="Y25" i="13"/>
  <c r="X25" i="13"/>
  <c r="W25" i="13"/>
  <c r="V25" i="13"/>
  <c r="U25" i="13"/>
  <c r="T25" i="13"/>
  <c r="S25" i="13"/>
  <c r="R25" i="13"/>
  <c r="Q25" i="13"/>
  <c r="P25" i="13"/>
  <c r="O25" i="13"/>
  <c r="N25" i="13"/>
  <c r="M25" i="13"/>
  <c r="L25" i="13"/>
  <c r="K25" i="13"/>
  <c r="J25" i="13"/>
  <c r="I25" i="13"/>
  <c r="H25" i="13"/>
  <c r="G25" i="13"/>
  <c r="F25" i="13"/>
  <c r="E25" i="13"/>
  <c r="D25" i="13"/>
  <c r="C25" i="13"/>
  <c r="Y24" i="13"/>
  <c r="X24" i="13"/>
  <c r="W24" i="13"/>
  <c r="V24" i="13"/>
  <c r="U24" i="13"/>
  <c r="T24" i="13"/>
  <c r="S24" i="13"/>
  <c r="R24" i="13"/>
  <c r="Q24" i="13"/>
  <c r="P24" i="13"/>
  <c r="O24" i="13"/>
  <c r="N24" i="13"/>
  <c r="M24" i="13"/>
  <c r="L24" i="13"/>
  <c r="K24" i="13"/>
  <c r="J24" i="13"/>
  <c r="I24" i="13"/>
  <c r="H24" i="13"/>
  <c r="G24" i="13"/>
  <c r="F24" i="13"/>
  <c r="E24" i="13"/>
  <c r="D24" i="13"/>
  <c r="C24" i="13"/>
  <c r="Y23" i="13"/>
  <c r="X23" i="13"/>
  <c r="W23" i="13"/>
  <c r="V23" i="13"/>
  <c r="U23" i="13"/>
  <c r="T23" i="13"/>
  <c r="S23" i="13"/>
  <c r="R23" i="13"/>
  <c r="Q23" i="13"/>
  <c r="P23" i="13"/>
  <c r="O23" i="13"/>
  <c r="N23" i="13"/>
  <c r="M23" i="13"/>
  <c r="L23" i="13"/>
  <c r="K23" i="13"/>
  <c r="J23" i="13"/>
  <c r="I23" i="13"/>
  <c r="H23" i="13"/>
  <c r="G23" i="13"/>
  <c r="F23" i="13"/>
  <c r="E23" i="13"/>
  <c r="D23" i="13"/>
  <c r="C23" i="13"/>
  <c r="Y22" i="13"/>
  <c r="X22" i="13"/>
  <c r="W22" i="13"/>
  <c r="V22" i="13"/>
  <c r="U22" i="13"/>
  <c r="T22" i="13"/>
  <c r="S22" i="13"/>
  <c r="R22" i="13"/>
  <c r="Q22" i="13"/>
  <c r="P22" i="13"/>
  <c r="O22" i="13"/>
  <c r="N22" i="13"/>
  <c r="M22" i="13"/>
  <c r="L22" i="13"/>
  <c r="K22" i="13"/>
  <c r="J22" i="13"/>
  <c r="I22" i="13"/>
  <c r="H22" i="13"/>
  <c r="G22" i="13"/>
  <c r="F22" i="13"/>
  <c r="E22" i="13"/>
  <c r="D22" i="13"/>
  <c r="C22" i="13"/>
  <c r="Y30" i="11"/>
  <c r="X30" i="11"/>
  <c r="W30" i="11"/>
  <c r="V30" i="11"/>
  <c r="U30" i="11"/>
  <c r="T30" i="11"/>
  <c r="S30" i="11"/>
  <c r="R30" i="11"/>
  <c r="Q30" i="11"/>
  <c r="P30" i="11"/>
  <c r="O30" i="11"/>
  <c r="N30" i="11"/>
  <c r="M30" i="11"/>
  <c r="L30" i="11"/>
  <c r="K30" i="11"/>
  <c r="J30" i="11"/>
  <c r="I30" i="11"/>
  <c r="H30" i="11"/>
  <c r="G30" i="11"/>
  <c r="F30" i="11"/>
  <c r="E30" i="11"/>
  <c r="D30" i="11"/>
  <c r="C30" i="11"/>
  <c r="Y29" i="11"/>
  <c r="X29" i="11"/>
  <c r="W29" i="11"/>
  <c r="V29" i="11"/>
  <c r="U29" i="11"/>
  <c r="T29" i="11"/>
  <c r="S29" i="11"/>
  <c r="R29" i="11"/>
  <c r="Q29" i="11"/>
  <c r="P29" i="11"/>
  <c r="O29" i="11"/>
  <c r="N29" i="11"/>
  <c r="M29" i="11"/>
  <c r="L29" i="11"/>
  <c r="K29" i="11"/>
  <c r="J29" i="11"/>
  <c r="I29" i="11"/>
  <c r="H29" i="11"/>
  <c r="G29" i="11"/>
  <c r="F29" i="11"/>
  <c r="E29" i="11"/>
  <c r="D29" i="11"/>
  <c r="C29" i="11"/>
  <c r="Y27" i="11"/>
  <c r="X27" i="11"/>
  <c r="W27" i="11"/>
  <c r="V27" i="11"/>
  <c r="U27" i="11"/>
  <c r="T27" i="11"/>
  <c r="S27" i="11"/>
  <c r="R27" i="11"/>
  <c r="Q27" i="11"/>
  <c r="P27" i="11"/>
  <c r="O27" i="11"/>
  <c r="N27" i="11"/>
  <c r="M27" i="11"/>
  <c r="L27" i="11"/>
  <c r="K27" i="11"/>
  <c r="J27" i="11"/>
  <c r="I27" i="11"/>
  <c r="H27" i="11"/>
  <c r="G27" i="11"/>
  <c r="F27" i="11"/>
  <c r="E27" i="11"/>
  <c r="D27" i="11"/>
  <c r="C27" i="11"/>
  <c r="Y26" i="11"/>
  <c r="X26" i="11"/>
  <c r="W26" i="11"/>
  <c r="V26" i="11"/>
  <c r="U26" i="11"/>
  <c r="T26" i="11"/>
  <c r="S26" i="11"/>
  <c r="R26" i="11"/>
  <c r="Q26" i="11"/>
  <c r="P26" i="11"/>
  <c r="O26" i="11"/>
  <c r="N26" i="11"/>
  <c r="M26" i="11"/>
  <c r="L26" i="11"/>
  <c r="K26" i="11"/>
  <c r="J26" i="11"/>
  <c r="I26" i="11"/>
  <c r="H26" i="11"/>
  <c r="G26" i="11"/>
  <c r="F26" i="11"/>
  <c r="E26" i="11"/>
  <c r="D26" i="11"/>
  <c r="C26" i="11"/>
  <c r="Y25" i="11"/>
  <c r="X25" i="11"/>
  <c r="W25" i="11"/>
  <c r="V25" i="11"/>
  <c r="U25" i="11"/>
  <c r="T25" i="11"/>
  <c r="S25" i="11"/>
  <c r="R25" i="11"/>
  <c r="Q25" i="11"/>
  <c r="P25" i="11"/>
  <c r="O25" i="11"/>
  <c r="N25" i="11"/>
  <c r="M25" i="11"/>
  <c r="L25" i="11"/>
  <c r="K25" i="11"/>
  <c r="J25" i="11"/>
  <c r="I25" i="11"/>
  <c r="H25" i="11"/>
  <c r="G25" i="11"/>
  <c r="F25" i="11"/>
  <c r="E25" i="11"/>
  <c r="D25" i="11"/>
  <c r="C25" i="11"/>
  <c r="Y24" i="11"/>
  <c r="X24" i="11"/>
  <c r="W24" i="11"/>
  <c r="V24" i="11"/>
  <c r="U24" i="11"/>
  <c r="T24" i="11"/>
  <c r="S24" i="11"/>
  <c r="R24" i="11"/>
  <c r="Q24" i="11"/>
  <c r="P24" i="11"/>
  <c r="O24" i="11"/>
  <c r="N24" i="11"/>
  <c r="M24" i="11"/>
  <c r="L24" i="11"/>
  <c r="K24" i="11"/>
  <c r="J24" i="11"/>
  <c r="I24" i="11"/>
  <c r="H24" i="11"/>
  <c r="G24" i="11"/>
  <c r="F24" i="11"/>
  <c r="E24" i="11"/>
  <c r="D24" i="11"/>
  <c r="C24" i="11"/>
  <c r="Y23" i="11"/>
  <c r="X23" i="11"/>
  <c r="W23" i="11"/>
  <c r="V23" i="11"/>
  <c r="U23" i="11"/>
  <c r="T23" i="11"/>
  <c r="S23" i="11"/>
  <c r="R23" i="11"/>
  <c r="Q23" i="11"/>
  <c r="P23" i="11"/>
  <c r="O23" i="11"/>
  <c r="N23" i="11"/>
  <c r="M23" i="11"/>
  <c r="L23" i="11"/>
  <c r="K23" i="11"/>
  <c r="J23" i="11"/>
  <c r="I23" i="11"/>
  <c r="H23" i="11"/>
  <c r="G23" i="11"/>
  <c r="F23" i="11"/>
  <c r="E23" i="11"/>
  <c r="D23" i="11"/>
  <c r="C23" i="11"/>
  <c r="Y22" i="11"/>
  <c r="X22" i="11"/>
  <c r="W22" i="11"/>
  <c r="V22" i="11"/>
  <c r="U22" i="11"/>
  <c r="T22" i="11"/>
  <c r="S22" i="11"/>
  <c r="R22" i="11"/>
  <c r="Q22" i="11"/>
  <c r="P22" i="11"/>
  <c r="O22" i="11"/>
  <c r="N22" i="11"/>
  <c r="M22" i="11"/>
  <c r="L22" i="11"/>
  <c r="K22" i="11"/>
  <c r="J22" i="11"/>
  <c r="I22" i="11"/>
  <c r="H22" i="11"/>
  <c r="G22" i="11"/>
  <c r="F22" i="11"/>
  <c r="E22" i="11"/>
  <c r="D22" i="11"/>
  <c r="C22" i="11"/>
  <c r="AF16" i="11"/>
  <c r="AE16" i="11"/>
  <c r="AD16" i="11"/>
  <c r="AC16" i="11"/>
  <c r="AB16" i="11"/>
  <c r="AA16" i="11"/>
  <c r="Z16" i="11"/>
  <c r="Y16" i="11"/>
  <c r="X16" i="11"/>
  <c r="W16" i="11"/>
  <c r="V16" i="11"/>
  <c r="U16" i="11"/>
  <c r="T16" i="11"/>
  <c r="S16" i="11"/>
  <c r="R16" i="11"/>
  <c r="Q16" i="11"/>
  <c r="P16" i="11"/>
  <c r="O16" i="11"/>
  <c r="N16" i="11"/>
  <c r="M16" i="11"/>
  <c r="L16" i="11"/>
  <c r="K16" i="11"/>
  <c r="J16" i="11"/>
  <c r="I16" i="11"/>
  <c r="H16" i="11"/>
  <c r="G16" i="11"/>
  <c r="F16" i="11"/>
  <c r="E16" i="11"/>
  <c r="D16" i="11"/>
  <c r="C16" i="11"/>
  <c r="B16" i="11"/>
  <c r="B30" i="11" s="1"/>
  <c r="AF15" i="11"/>
  <c r="AE15" i="11"/>
  <c r="AD15" i="11"/>
  <c r="AC15" i="11"/>
  <c r="AB15" i="11"/>
  <c r="AA15" i="11"/>
  <c r="Z15" i="11"/>
  <c r="Y15" i="11"/>
  <c r="X15" i="11"/>
  <c r="W15" i="11"/>
  <c r="V15" i="11"/>
  <c r="U15" i="11"/>
  <c r="T15" i="11"/>
  <c r="S15" i="11"/>
  <c r="R15" i="11"/>
  <c r="Q15" i="11"/>
  <c r="P15" i="11"/>
  <c r="O15" i="11"/>
  <c r="N15" i="11"/>
  <c r="M15" i="11"/>
  <c r="L15" i="11"/>
  <c r="K15" i="11"/>
  <c r="J15" i="11"/>
  <c r="I15" i="11"/>
  <c r="H15" i="11"/>
  <c r="G15" i="11"/>
  <c r="F15" i="11"/>
  <c r="E15" i="11"/>
  <c r="D15" i="11"/>
  <c r="C15" i="11"/>
  <c r="B15" i="11"/>
  <c r="B29" i="11" s="1"/>
  <c r="AF13" i="11"/>
  <c r="AE13" i="11"/>
  <c r="AD13" i="11"/>
  <c r="AC13" i="11"/>
  <c r="AB13" i="11"/>
  <c r="AA13" i="11"/>
  <c r="Z13" i="11"/>
  <c r="Y13" i="11"/>
  <c r="X13" i="11"/>
  <c r="W13" i="11"/>
  <c r="V13" i="11"/>
  <c r="U13" i="11"/>
  <c r="T13" i="11"/>
  <c r="S13" i="11"/>
  <c r="R13" i="11"/>
  <c r="Q13" i="11"/>
  <c r="P13" i="11"/>
  <c r="O13" i="11"/>
  <c r="N13" i="11"/>
  <c r="M13" i="11"/>
  <c r="L13" i="11"/>
  <c r="K13" i="11"/>
  <c r="J13" i="11"/>
  <c r="I13" i="11"/>
  <c r="H13" i="11"/>
  <c r="G13" i="11"/>
  <c r="F13" i="11"/>
  <c r="E13" i="11"/>
  <c r="D13" i="11"/>
  <c r="C13" i="11"/>
  <c r="B13" i="11"/>
  <c r="B27" i="11" s="1"/>
  <c r="AF12" i="11"/>
  <c r="AE12" i="11"/>
  <c r="AD12" i="11"/>
  <c r="AC12" i="11"/>
  <c r="AB12" i="11"/>
  <c r="AA12" i="11"/>
  <c r="Z12" i="11"/>
  <c r="Y12" i="11"/>
  <c r="X12" i="11"/>
  <c r="W12" i="11"/>
  <c r="V12" i="11"/>
  <c r="U12" i="11"/>
  <c r="T12" i="11"/>
  <c r="S12" i="11"/>
  <c r="R12" i="11"/>
  <c r="Q12" i="11"/>
  <c r="P12" i="11"/>
  <c r="O12" i="11"/>
  <c r="N12" i="11"/>
  <c r="M12" i="11"/>
  <c r="L12" i="11"/>
  <c r="K12" i="11"/>
  <c r="J12" i="11"/>
  <c r="I12" i="11"/>
  <c r="H12" i="11"/>
  <c r="G12" i="11"/>
  <c r="F12" i="11"/>
  <c r="E12" i="11"/>
  <c r="D12" i="11"/>
  <c r="C12" i="11"/>
  <c r="B12" i="11"/>
  <c r="B26" i="11" s="1"/>
  <c r="AF11" i="11"/>
  <c r="AE11" i="11"/>
  <c r="AD11" i="11"/>
  <c r="AC11" i="11"/>
  <c r="AB11" i="11"/>
  <c r="AA11" i="11"/>
  <c r="Z11" i="11"/>
  <c r="Y11" i="11"/>
  <c r="X11" i="11"/>
  <c r="W11" i="11"/>
  <c r="V11" i="11"/>
  <c r="U11" i="11"/>
  <c r="T11" i="11"/>
  <c r="S11" i="11"/>
  <c r="R11" i="11"/>
  <c r="Q11" i="11"/>
  <c r="P11" i="11"/>
  <c r="O11" i="11"/>
  <c r="N11" i="11"/>
  <c r="M11" i="11"/>
  <c r="L11" i="11"/>
  <c r="K11" i="11"/>
  <c r="J11" i="11"/>
  <c r="I11" i="11"/>
  <c r="H11" i="11"/>
  <c r="G11" i="11"/>
  <c r="F11" i="11"/>
  <c r="E11" i="11"/>
  <c r="D11" i="11"/>
  <c r="C11" i="11"/>
  <c r="B11" i="11"/>
  <c r="B25" i="11" s="1"/>
  <c r="AF10" i="11"/>
  <c r="AE10" i="11"/>
  <c r="AD10" i="11"/>
  <c r="AC10" i="11"/>
  <c r="AB10" i="11"/>
  <c r="AA10" i="11"/>
  <c r="Z10" i="11"/>
  <c r="Y10" i="11"/>
  <c r="X10" i="11"/>
  <c r="W10" i="11"/>
  <c r="V10" i="11"/>
  <c r="U10" i="11"/>
  <c r="T10" i="11"/>
  <c r="S10" i="11"/>
  <c r="R10" i="11"/>
  <c r="Q10" i="11"/>
  <c r="P10" i="11"/>
  <c r="O10" i="11"/>
  <c r="N10" i="11"/>
  <c r="M10" i="11"/>
  <c r="L10" i="11"/>
  <c r="K10" i="11"/>
  <c r="J10" i="11"/>
  <c r="I10" i="11"/>
  <c r="H10" i="11"/>
  <c r="G10" i="11"/>
  <c r="F10" i="11"/>
  <c r="E10" i="11"/>
  <c r="D10" i="11"/>
  <c r="C10" i="11"/>
  <c r="B10" i="11"/>
  <c r="B24" i="11" s="1"/>
  <c r="AF9" i="11"/>
  <c r="AE9" i="11"/>
  <c r="AD9" i="11"/>
  <c r="AC9" i="11"/>
  <c r="AB9" i="11"/>
  <c r="AA9" i="11"/>
  <c r="Z9" i="11"/>
  <c r="Y9" i="11"/>
  <c r="X9" i="11"/>
  <c r="W9" i="11"/>
  <c r="V9" i="11"/>
  <c r="U9" i="11"/>
  <c r="T9" i="11"/>
  <c r="S9" i="11"/>
  <c r="R9" i="11"/>
  <c r="Q9" i="11"/>
  <c r="P9" i="11"/>
  <c r="O9" i="11"/>
  <c r="N9" i="11"/>
  <c r="M9" i="11"/>
  <c r="L9" i="11"/>
  <c r="K9" i="11"/>
  <c r="J9" i="11"/>
  <c r="I9" i="11"/>
  <c r="H9" i="11"/>
  <c r="G9" i="11"/>
  <c r="F9" i="11"/>
  <c r="E9" i="11"/>
  <c r="D9" i="11"/>
  <c r="C9" i="11"/>
  <c r="B9" i="11"/>
  <c r="B23" i="11" s="1"/>
  <c r="AF8" i="11"/>
  <c r="AE8" i="11"/>
  <c r="AD8" i="11"/>
  <c r="AC8" i="11"/>
  <c r="AB8" i="11"/>
  <c r="AA8" i="11"/>
  <c r="Z8" i="11"/>
  <c r="Y8" i="11"/>
  <c r="X8" i="11"/>
  <c r="W8" i="11"/>
  <c r="V8" i="11"/>
  <c r="U8" i="11"/>
  <c r="T8" i="11"/>
  <c r="S8" i="11"/>
  <c r="R8" i="11"/>
  <c r="Q8" i="11"/>
  <c r="P8" i="11"/>
  <c r="O8" i="11"/>
  <c r="N8" i="11"/>
  <c r="M8" i="11"/>
  <c r="L8" i="11"/>
  <c r="K8" i="11"/>
  <c r="J8" i="11"/>
  <c r="I8" i="11"/>
  <c r="H8" i="11"/>
  <c r="G8" i="11"/>
  <c r="F8" i="11"/>
  <c r="E8" i="11"/>
  <c r="D8" i="11"/>
  <c r="C8" i="11"/>
  <c r="B8" i="11"/>
  <c r="B22" i="11" s="1"/>
  <c r="AF7" i="11"/>
  <c r="AE7" i="11"/>
  <c r="AD7" i="11"/>
  <c r="AC7" i="11"/>
  <c r="AB7" i="11"/>
  <c r="AA7" i="11"/>
  <c r="Z7" i="11"/>
  <c r="Y7" i="11"/>
  <c r="X7" i="11"/>
  <c r="W7" i="11"/>
  <c r="V7" i="11"/>
  <c r="U7" i="11"/>
  <c r="T7" i="11"/>
  <c r="S7" i="11"/>
  <c r="R7" i="11"/>
  <c r="Q7" i="11"/>
  <c r="P7" i="11"/>
  <c r="O7" i="11"/>
  <c r="N7" i="11"/>
  <c r="M7" i="11"/>
  <c r="L7" i="11"/>
  <c r="K7" i="11"/>
  <c r="J7" i="11"/>
  <c r="I7" i="11"/>
  <c r="H7" i="11"/>
  <c r="G7" i="11"/>
  <c r="F7" i="11"/>
  <c r="E7" i="11"/>
  <c r="D7" i="11"/>
  <c r="C7" i="11"/>
  <c r="B7" i="11"/>
  <c r="A5" i="11"/>
  <c r="A4" i="11"/>
  <c r="AF16" i="9"/>
  <c r="AE16" i="9"/>
  <c r="AD16" i="9"/>
  <c r="AC16" i="9"/>
  <c r="AB16" i="9"/>
  <c r="AA16" i="9"/>
  <c r="Z16" i="9"/>
  <c r="Y16" i="9"/>
  <c r="W16" i="9"/>
  <c r="V16" i="9"/>
  <c r="U16" i="9"/>
  <c r="T16" i="9"/>
  <c r="S16" i="9"/>
  <c r="R16" i="9"/>
  <c r="Q16" i="9"/>
  <c r="P16" i="9"/>
  <c r="O16" i="9"/>
  <c r="N16" i="9"/>
  <c r="M16" i="9"/>
  <c r="L16" i="9"/>
  <c r="K16" i="9"/>
  <c r="J16" i="9"/>
  <c r="I16" i="9"/>
  <c r="H16" i="9"/>
  <c r="G16" i="9"/>
  <c r="F16" i="9"/>
  <c r="E16" i="9"/>
  <c r="D16" i="9"/>
  <c r="C16" i="9"/>
  <c r="B16" i="9"/>
  <c r="AF15" i="9"/>
  <c r="AE15" i="9"/>
  <c r="AD15" i="9"/>
  <c r="AC15" i="9"/>
  <c r="AB15" i="9"/>
  <c r="AA15" i="9"/>
  <c r="Z15" i="9"/>
  <c r="Y15" i="9"/>
  <c r="W15" i="9"/>
  <c r="V15" i="9"/>
  <c r="U15" i="9"/>
  <c r="T15" i="9"/>
  <c r="S15" i="9"/>
  <c r="R15" i="9"/>
  <c r="Q15" i="9"/>
  <c r="P15" i="9"/>
  <c r="O15" i="9"/>
  <c r="N15" i="9"/>
  <c r="M15" i="9"/>
  <c r="L15" i="9"/>
  <c r="K15" i="9"/>
  <c r="J15" i="9"/>
  <c r="I15" i="9"/>
  <c r="H15" i="9"/>
  <c r="G15" i="9"/>
  <c r="F15" i="9"/>
  <c r="E15" i="9"/>
  <c r="D15" i="9"/>
  <c r="C15" i="9"/>
  <c r="B15" i="9"/>
  <c r="AF13" i="9"/>
  <c r="AE13" i="9"/>
  <c r="AD13" i="9"/>
  <c r="AC13" i="9"/>
  <c r="AB13" i="9"/>
  <c r="AA13" i="9"/>
  <c r="Z13" i="9"/>
  <c r="Y13" i="9"/>
  <c r="W13" i="9"/>
  <c r="V13" i="9"/>
  <c r="U13" i="9"/>
  <c r="T13" i="9"/>
  <c r="S13" i="9"/>
  <c r="R13" i="9"/>
  <c r="Q13" i="9"/>
  <c r="P13" i="9"/>
  <c r="O13" i="9"/>
  <c r="N13" i="9"/>
  <c r="M13" i="9"/>
  <c r="L13" i="9"/>
  <c r="K13" i="9"/>
  <c r="J13" i="9"/>
  <c r="I13" i="9"/>
  <c r="H13" i="9"/>
  <c r="G13" i="9"/>
  <c r="F13" i="9"/>
  <c r="E13" i="9"/>
  <c r="D13" i="9"/>
  <c r="C13" i="9"/>
  <c r="B13" i="9"/>
  <c r="AF12" i="9"/>
  <c r="AE12" i="9"/>
  <c r="AD12" i="9"/>
  <c r="AC12" i="9"/>
  <c r="AB12" i="9"/>
  <c r="AA12" i="9"/>
  <c r="Z12" i="9"/>
  <c r="Y12" i="9"/>
  <c r="W12" i="9"/>
  <c r="V12" i="9"/>
  <c r="U12" i="9"/>
  <c r="T12" i="9"/>
  <c r="S12" i="9"/>
  <c r="R12" i="9"/>
  <c r="Q12" i="9"/>
  <c r="P12" i="9"/>
  <c r="O12" i="9"/>
  <c r="N12" i="9"/>
  <c r="M12" i="9"/>
  <c r="L12" i="9"/>
  <c r="K12" i="9"/>
  <c r="J12" i="9"/>
  <c r="I12" i="9"/>
  <c r="H12" i="9"/>
  <c r="G12" i="9"/>
  <c r="F12" i="9"/>
  <c r="E12" i="9"/>
  <c r="D12" i="9"/>
  <c r="C12" i="9"/>
  <c r="B12" i="9"/>
  <c r="AF11" i="9"/>
  <c r="AE11" i="9"/>
  <c r="AD11" i="9"/>
  <c r="AC11" i="9"/>
  <c r="AB11" i="9"/>
  <c r="AA11" i="9"/>
  <c r="Z11" i="9"/>
  <c r="Y11" i="9"/>
  <c r="W11" i="9"/>
  <c r="V11" i="9"/>
  <c r="U11" i="9"/>
  <c r="T11" i="9"/>
  <c r="S11" i="9"/>
  <c r="R11" i="9"/>
  <c r="Q11" i="9"/>
  <c r="P11" i="9"/>
  <c r="O11" i="9"/>
  <c r="N11" i="9"/>
  <c r="M11" i="9"/>
  <c r="L11" i="9"/>
  <c r="K11" i="9"/>
  <c r="J11" i="9"/>
  <c r="I11" i="9"/>
  <c r="H11" i="9"/>
  <c r="G11" i="9"/>
  <c r="F11" i="9"/>
  <c r="E11" i="9"/>
  <c r="D11" i="9"/>
  <c r="C11" i="9"/>
  <c r="B11" i="9"/>
  <c r="AF10" i="9"/>
  <c r="AE10" i="9"/>
  <c r="AD10" i="9"/>
  <c r="AC10" i="9"/>
  <c r="AB10" i="9"/>
  <c r="AA10" i="9"/>
  <c r="Z10" i="9"/>
  <c r="Y10" i="9"/>
  <c r="W10" i="9"/>
  <c r="V10" i="9"/>
  <c r="U10" i="9"/>
  <c r="T10" i="9"/>
  <c r="S10" i="9"/>
  <c r="R10" i="9"/>
  <c r="Q10" i="9"/>
  <c r="P10" i="9"/>
  <c r="O10" i="9"/>
  <c r="N10" i="9"/>
  <c r="M10" i="9"/>
  <c r="L10" i="9"/>
  <c r="K10" i="9"/>
  <c r="J10" i="9"/>
  <c r="I10" i="9"/>
  <c r="H10" i="9"/>
  <c r="G10" i="9"/>
  <c r="F10" i="9"/>
  <c r="E10" i="9"/>
  <c r="D10" i="9"/>
  <c r="C10" i="9"/>
  <c r="B10" i="9"/>
  <c r="AF9" i="9"/>
  <c r="AE9" i="9"/>
  <c r="AD9" i="9"/>
  <c r="AC9" i="9"/>
  <c r="AB9" i="9"/>
  <c r="AA9" i="9"/>
  <c r="Z9" i="9"/>
  <c r="Y9" i="9"/>
  <c r="W9" i="9"/>
  <c r="V9" i="9"/>
  <c r="U9" i="9"/>
  <c r="T9" i="9"/>
  <c r="S9" i="9"/>
  <c r="R9" i="9"/>
  <c r="Q9" i="9"/>
  <c r="P9" i="9"/>
  <c r="O9" i="9"/>
  <c r="N9" i="9"/>
  <c r="M9" i="9"/>
  <c r="L9" i="9"/>
  <c r="K9" i="9"/>
  <c r="J9" i="9"/>
  <c r="I9" i="9"/>
  <c r="H9" i="9"/>
  <c r="G9" i="9"/>
  <c r="F9" i="9"/>
  <c r="E9" i="9"/>
  <c r="D9" i="9"/>
  <c r="C9" i="9"/>
  <c r="B9" i="9"/>
  <c r="AF8" i="9"/>
  <c r="AE8" i="9"/>
  <c r="AD8" i="9"/>
  <c r="AC8" i="9"/>
  <c r="AB8" i="9"/>
  <c r="AA8" i="9"/>
  <c r="Z8" i="9"/>
  <c r="Y8" i="9"/>
  <c r="W8" i="9"/>
  <c r="V8" i="9"/>
  <c r="U8" i="9"/>
  <c r="T8" i="9"/>
  <c r="S8" i="9"/>
  <c r="R8" i="9"/>
  <c r="Q8" i="9"/>
  <c r="P8" i="9"/>
  <c r="O8" i="9"/>
  <c r="N8" i="9"/>
  <c r="M8" i="9"/>
  <c r="L8" i="9"/>
  <c r="K8" i="9"/>
  <c r="J8" i="9"/>
  <c r="I8" i="9"/>
  <c r="H8" i="9"/>
  <c r="G8" i="9"/>
  <c r="F8" i="9"/>
  <c r="E8" i="9"/>
  <c r="D8" i="9"/>
  <c r="C8" i="9"/>
  <c r="B8" i="9"/>
  <c r="AF7" i="9"/>
  <c r="AE7" i="9"/>
  <c r="AD7" i="9"/>
  <c r="AC7" i="9"/>
  <c r="AB7" i="9"/>
  <c r="AA7" i="9"/>
  <c r="Z7" i="9"/>
  <c r="Y7" i="9"/>
  <c r="W7" i="9"/>
  <c r="V7" i="9"/>
  <c r="U7" i="9"/>
  <c r="T7" i="9"/>
  <c r="S7" i="9"/>
  <c r="R7" i="9"/>
  <c r="Q7" i="9"/>
  <c r="P7" i="9"/>
  <c r="O7" i="9"/>
  <c r="N7" i="9"/>
  <c r="M7" i="9"/>
  <c r="L7" i="9"/>
  <c r="K7" i="9"/>
  <c r="J7" i="9"/>
  <c r="I7" i="9"/>
  <c r="H7" i="9"/>
  <c r="G7" i="9"/>
  <c r="F7" i="9"/>
  <c r="E7" i="9"/>
  <c r="D7" i="9"/>
  <c r="C7" i="9"/>
  <c r="B7" i="9"/>
  <c r="A5" i="9"/>
  <c r="A4" i="9"/>
  <c r="AF16" i="21"/>
  <c r="AE16" i="21"/>
  <c r="AD16" i="21"/>
  <c r="AC16" i="21"/>
  <c r="AB16" i="21"/>
  <c r="AA16" i="21"/>
  <c r="Z16" i="21"/>
  <c r="Y16" i="21"/>
  <c r="R16" i="21"/>
  <c r="Q16" i="21"/>
  <c r="P16" i="21"/>
  <c r="O16" i="21"/>
  <c r="N16" i="21"/>
  <c r="M16" i="21"/>
  <c r="L16" i="21"/>
  <c r="K16" i="21"/>
  <c r="J16" i="21"/>
  <c r="I16" i="21"/>
  <c r="H16" i="21"/>
  <c r="G16" i="21"/>
  <c r="F16" i="21"/>
  <c r="E16" i="21"/>
  <c r="D16" i="21"/>
  <c r="C16" i="21"/>
  <c r="B16" i="21"/>
  <c r="AF15" i="21"/>
  <c r="AE15" i="21"/>
  <c r="AD15" i="21"/>
  <c r="AC15" i="21"/>
  <c r="AB15" i="21"/>
  <c r="AA15" i="21"/>
  <c r="Z15" i="21"/>
  <c r="Y15" i="21"/>
  <c r="R15" i="21"/>
  <c r="Q15" i="21"/>
  <c r="P15" i="21"/>
  <c r="O15" i="21"/>
  <c r="N15" i="21"/>
  <c r="M15" i="21"/>
  <c r="L15" i="21"/>
  <c r="K15" i="21"/>
  <c r="J15" i="21"/>
  <c r="I15" i="21"/>
  <c r="H15" i="21"/>
  <c r="G15" i="21"/>
  <c r="F15" i="21"/>
  <c r="E15" i="21"/>
  <c r="D15" i="21"/>
  <c r="C15" i="21"/>
  <c r="B15" i="21"/>
  <c r="AF13" i="21"/>
  <c r="AE13" i="21"/>
  <c r="AD13" i="21"/>
  <c r="AC13" i="21"/>
  <c r="AB13" i="21"/>
  <c r="AA13" i="21"/>
  <c r="Z13" i="21"/>
  <c r="Y13" i="21"/>
  <c r="R13" i="21"/>
  <c r="Q13" i="21"/>
  <c r="P13" i="21"/>
  <c r="O13" i="21"/>
  <c r="N13" i="21"/>
  <c r="M13" i="21"/>
  <c r="L13" i="21"/>
  <c r="K13" i="21"/>
  <c r="J13" i="21"/>
  <c r="I13" i="21"/>
  <c r="H13" i="21"/>
  <c r="G13" i="21"/>
  <c r="F13" i="21"/>
  <c r="E13" i="21"/>
  <c r="D13" i="21"/>
  <c r="C13" i="21"/>
  <c r="B13" i="21"/>
  <c r="AF12" i="21"/>
  <c r="AE12" i="21"/>
  <c r="AD12" i="21"/>
  <c r="AC12" i="21"/>
  <c r="AB12" i="21"/>
  <c r="AA12" i="21"/>
  <c r="Z12" i="21"/>
  <c r="Y12" i="21"/>
  <c r="R12" i="21"/>
  <c r="Q12" i="21"/>
  <c r="P12" i="21"/>
  <c r="O12" i="21"/>
  <c r="N12" i="21"/>
  <c r="M12" i="21"/>
  <c r="L12" i="21"/>
  <c r="K12" i="21"/>
  <c r="J12" i="21"/>
  <c r="I12" i="21"/>
  <c r="H12" i="21"/>
  <c r="G12" i="21"/>
  <c r="F12" i="21"/>
  <c r="E12" i="21"/>
  <c r="D12" i="21"/>
  <c r="C12" i="21"/>
  <c r="B12" i="21"/>
  <c r="AF11" i="21"/>
  <c r="AE11" i="21"/>
  <c r="AD11" i="21"/>
  <c r="AC11" i="21"/>
  <c r="AB11" i="21"/>
  <c r="AA11" i="21"/>
  <c r="Z11" i="21"/>
  <c r="Y11" i="21"/>
  <c r="R11" i="21"/>
  <c r="Q11" i="21"/>
  <c r="P11" i="21"/>
  <c r="O11" i="21"/>
  <c r="N11" i="21"/>
  <c r="M11" i="21"/>
  <c r="L11" i="21"/>
  <c r="K11" i="21"/>
  <c r="J11" i="21"/>
  <c r="I11" i="21"/>
  <c r="H11" i="21"/>
  <c r="G11" i="21"/>
  <c r="F11" i="21"/>
  <c r="E11" i="21"/>
  <c r="D11" i="21"/>
  <c r="C11" i="21"/>
  <c r="B11" i="21"/>
  <c r="AF10" i="21"/>
  <c r="AE10" i="21"/>
  <c r="AD10" i="21"/>
  <c r="AC10" i="21"/>
  <c r="AB10" i="21"/>
  <c r="AA10" i="21"/>
  <c r="Z10" i="21"/>
  <c r="Y10" i="21"/>
  <c r="R10" i="21"/>
  <c r="Q10" i="21"/>
  <c r="P10" i="21"/>
  <c r="O10" i="21"/>
  <c r="N10" i="21"/>
  <c r="M10" i="21"/>
  <c r="L10" i="21"/>
  <c r="K10" i="21"/>
  <c r="J10" i="21"/>
  <c r="I10" i="21"/>
  <c r="H10" i="21"/>
  <c r="G10" i="21"/>
  <c r="F10" i="21"/>
  <c r="E10" i="21"/>
  <c r="D10" i="21"/>
  <c r="C10" i="21"/>
  <c r="B10" i="21"/>
  <c r="AF9" i="21"/>
  <c r="AE9" i="21"/>
  <c r="AD9" i="21"/>
  <c r="AC9" i="21"/>
  <c r="AB9" i="21"/>
  <c r="AA9" i="21"/>
  <c r="Z9" i="21"/>
  <c r="Y9" i="21"/>
  <c r="R9" i="21"/>
  <c r="Q9" i="21"/>
  <c r="P9" i="21"/>
  <c r="O9" i="21"/>
  <c r="N9" i="21"/>
  <c r="M9" i="21"/>
  <c r="L9" i="21"/>
  <c r="K9" i="21"/>
  <c r="J9" i="21"/>
  <c r="I9" i="21"/>
  <c r="H9" i="21"/>
  <c r="G9" i="21"/>
  <c r="F9" i="21"/>
  <c r="E9" i="21"/>
  <c r="D9" i="21"/>
  <c r="C9" i="21"/>
  <c r="B9" i="21"/>
  <c r="AF8" i="21"/>
  <c r="AE8" i="21"/>
  <c r="AD8" i="21"/>
  <c r="AC8" i="21"/>
  <c r="AB8" i="21"/>
  <c r="AA8" i="21"/>
  <c r="Z8" i="21"/>
  <c r="Y8" i="21"/>
  <c r="R8" i="21"/>
  <c r="Q8" i="21"/>
  <c r="P8" i="21"/>
  <c r="O8" i="21"/>
  <c r="N8" i="21"/>
  <c r="M8" i="21"/>
  <c r="L8" i="21"/>
  <c r="K8" i="21"/>
  <c r="J8" i="21"/>
  <c r="I8" i="21"/>
  <c r="H8" i="21"/>
  <c r="G8" i="21"/>
  <c r="F8" i="21"/>
  <c r="E8" i="21"/>
  <c r="D8" i="21"/>
  <c r="C8" i="21"/>
  <c r="B8" i="21"/>
  <c r="AF7" i="21"/>
  <c r="AE7" i="21"/>
  <c r="AD7" i="21"/>
  <c r="AC7" i="21"/>
  <c r="AB7" i="21"/>
  <c r="AA7" i="21"/>
  <c r="Z7" i="21"/>
  <c r="Y7" i="21"/>
  <c r="R7" i="21"/>
  <c r="Q7" i="21"/>
  <c r="P7" i="21"/>
  <c r="O7" i="21"/>
  <c r="N7" i="21"/>
  <c r="M7" i="21"/>
  <c r="L7" i="21"/>
  <c r="K7" i="21"/>
  <c r="J7" i="21"/>
  <c r="I7" i="21"/>
  <c r="H7" i="21"/>
  <c r="G7" i="21"/>
  <c r="F7" i="21"/>
  <c r="E7" i="21"/>
  <c r="D7" i="21"/>
  <c r="C7" i="21"/>
  <c r="B7" i="21"/>
  <c r="A5" i="21"/>
  <c r="A4" i="21"/>
  <c r="AF16" i="19"/>
  <c r="AE16" i="19"/>
  <c r="AD16" i="19"/>
  <c r="AC16" i="19"/>
  <c r="AB16" i="19"/>
  <c r="AA16" i="19"/>
  <c r="Z16" i="19"/>
  <c r="Y16" i="19"/>
  <c r="R16" i="19"/>
  <c r="Q16" i="19"/>
  <c r="P16" i="19"/>
  <c r="O16" i="19"/>
  <c r="N16" i="19"/>
  <c r="M16" i="19"/>
  <c r="L16" i="19"/>
  <c r="K16" i="19"/>
  <c r="J16" i="19"/>
  <c r="I16" i="19"/>
  <c r="H16" i="19"/>
  <c r="G16" i="19"/>
  <c r="F16" i="19"/>
  <c r="E16" i="19"/>
  <c r="D16" i="19"/>
  <c r="C16" i="19"/>
  <c r="B16" i="19"/>
  <c r="B30" i="19" s="1"/>
  <c r="AF15" i="19"/>
  <c r="AE15" i="19"/>
  <c r="AD15" i="19"/>
  <c r="AC15" i="19"/>
  <c r="AB15" i="19"/>
  <c r="AA15" i="19"/>
  <c r="Z15" i="19"/>
  <c r="Y15" i="19"/>
  <c r="R15" i="19"/>
  <c r="Q15" i="19"/>
  <c r="P15" i="19"/>
  <c r="O15" i="19"/>
  <c r="N15" i="19"/>
  <c r="M15" i="19"/>
  <c r="L15" i="19"/>
  <c r="K15" i="19"/>
  <c r="J15" i="19"/>
  <c r="I15" i="19"/>
  <c r="H15" i="19"/>
  <c r="G15" i="19"/>
  <c r="F15" i="19"/>
  <c r="E15" i="19"/>
  <c r="D15" i="19"/>
  <c r="C15" i="19"/>
  <c r="B15" i="19"/>
  <c r="B29" i="19" s="1"/>
  <c r="AF13" i="19"/>
  <c r="AE13" i="19"/>
  <c r="AD13" i="19"/>
  <c r="AC13" i="19"/>
  <c r="AB13" i="19"/>
  <c r="AA13" i="19"/>
  <c r="Z13" i="19"/>
  <c r="Y13" i="19"/>
  <c r="R13" i="19"/>
  <c r="Q13" i="19"/>
  <c r="P13" i="19"/>
  <c r="O13" i="19"/>
  <c r="N13" i="19"/>
  <c r="M13" i="19"/>
  <c r="L13" i="19"/>
  <c r="K13" i="19"/>
  <c r="J13" i="19"/>
  <c r="I13" i="19"/>
  <c r="H13" i="19"/>
  <c r="G13" i="19"/>
  <c r="F13" i="19"/>
  <c r="E13" i="19"/>
  <c r="D13" i="19"/>
  <c r="C13" i="19"/>
  <c r="B13" i="19"/>
  <c r="B27" i="19" s="1"/>
  <c r="AF12" i="19"/>
  <c r="AE12" i="19"/>
  <c r="AD12" i="19"/>
  <c r="AC12" i="19"/>
  <c r="AB12" i="19"/>
  <c r="AA12" i="19"/>
  <c r="Z12" i="19"/>
  <c r="Y12" i="19"/>
  <c r="R12" i="19"/>
  <c r="Q12" i="19"/>
  <c r="P12" i="19"/>
  <c r="O12" i="19"/>
  <c r="N12" i="19"/>
  <c r="M12" i="19"/>
  <c r="L12" i="19"/>
  <c r="K12" i="19"/>
  <c r="J12" i="19"/>
  <c r="I12" i="19"/>
  <c r="H12" i="19"/>
  <c r="G12" i="19"/>
  <c r="F12" i="19"/>
  <c r="E12" i="19"/>
  <c r="D12" i="19"/>
  <c r="C12" i="19"/>
  <c r="B12" i="19"/>
  <c r="B26" i="19" s="1"/>
  <c r="AF11" i="19"/>
  <c r="AE11" i="19"/>
  <c r="AD11" i="19"/>
  <c r="AC11" i="19"/>
  <c r="AB11" i="19"/>
  <c r="AA11" i="19"/>
  <c r="Z11" i="19"/>
  <c r="Y11" i="19"/>
  <c r="R11" i="19"/>
  <c r="Q11" i="19"/>
  <c r="P11" i="19"/>
  <c r="O11" i="19"/>
  <c r="N11" i="19"/>
  <c r="M11" i="19"/>
  <c r="L11" i="19"/>
  <c r="K11" i="19"/>
  <c r="J11" i="19"/>
  <c r="I11" i="19"/>
  <c r="H11" i="19"/>
  <c r="G11" i="19"/>
  <c r="F11" i="19"/>
  <c r="E11" i="19"/>
  <c r="D11" i="19"/>
  <c r="C11" i="19"/>
  <c r="B11" i="19"/>
  <c r="B25" i="19" s="1"/>
  <c r="AF10" i="19"/>
  <c r="AE10" i="19"/>
  <c r="AD10" i="19"/>
  <c r="AC10" i="19"/>
  <c r="AB10" i="19"/>
  <c r="AA10" i="19"/>
  <c r="Z10" i="19"/>
  <c r="Y10" i="19"/>
  <c r="R10" i="19"/>
  <c r="Q10" i="19"/>
  <c r="P10" i="19"/>
  <c r="O10" i="19"/>
  <c r="N10" i="19"/>
  <c r="M10" i="19"/>
  <c r="L10" i="19"/>
  <c r="K10" i="19"/>
  <c r="J10" i="19"/>
  <c r="I10" i="19"/>
  <c r="H10" i="19"/>
  <c r="G10" i="19"/>
  <c r="F10" i="19"/>
  <c r="E10" i="19"/>
  <c r="D10" i="19"/>
  <c r="C10" i="19"/>
  <c r="B10" i="19"/>
  <c r="B24" i="19" s="1"/>
  <c r="AF9" i="19"/>
  <c r="AE9" i="19"/>
  <c r="AD9" i="19"/>
  <c r="AC9" i="19"/>
  <c r="AB9" i="19"/>
  <c r="AA9" i="19"/>
  <c r="Z9" i="19"/>
  <c r="Y9" i="19"/>
  <c r="R9" i="19"/>
  <c r="Q9" i="19"/>
  <c r="P9" i="19"/>
  <c r="O9" i="19"/>
  <c r="N9" i="19"/>
  <c r="M9" i="19"/>
  <c r="L9" i="19"/>
  <c r="K9" i="19"/>
  <c r="J9" i="19"/>
  <c r="I9" i="19"/>
  <c r="H9" i="19"/>
  <c r="G9" i="19"/>
  <c r="F9" i="19"/>
  <c r="E9" i="19"/>
  <c r="D9" i="19"/>
  <c r="C9" i="19"/>
  <c r="B9" i="19"/>
  <c r="B23" i="19" s="1"/>
  <c r="AF8" i="19"/>
  <c r="AE8" i="19"/>
  <c r="AD8" i="19"/>
  <c r="AC8" i="19"/>
  <c r="AB8" i="19"/>
  <c r="AA8" i="19"/>
  <c r="Z8" i="19"/>
  <c r="Y8" i="19"/>
  <c r="R8" i="19"/>
  <c r="Q8" i="19"/>
  <c r="P8" i="19"/>
  <c r="O8" i="19"/>
  <c r="N8" i="19"/>
  <c r="M8" i="19"/>
  <c r="L8" i="19"/>
  <c r="K8" i="19"/>
  <c r="J8" i="19"/>
  <c r="I8" i="19"/>
  <c r="H8" i="19"/>
  <c r="G8" i="19"/>
  <c r="F8" i="19"/>
  <c r="E8" i="19"/>
  <c r="D8" i="19"/>
  <c r="C8" i="19"/>
  <c r="B8" i="19"/>
  <c r="B22" i="19" s="1"/>
  <c r="AF7" i="19"/>
  <c r="AE7" i="19"/>
  <c r="AD7" i="19"/>
  <c r="AC7" i="19"/>
  <c r="AB7" i="19"/>
  <c r="AA7" i="19"/>
  <c r="Z7" i="19"/>
  <c r="Y7" i="19"/>
  <c r="R7" i="19"/>
  <c r="Q7" i="19"/>
  <c r="P7" i="19"/>
  <c r="O7" i="19"/>
  <c r="N7" i="19"/>
  <c r="M7" i="19"/>
  <c r="L7" i="19"/>
  <c r="K7" i="19"/>
  <c r="J7" i="19"/>
  <c r="I7" i="19"/>
  <c r="H7" i="19"/>
  <c r="G7" i="19"/>
  <c r="F7" i="19"/>
  <c r="E7" i="19"/>
  <c r="D7" i="19"/>
  <c r="C7" i="19"/>
  <c r="B7" i="19"/>
  <c r="A5" i="19"/>
  <c r="A4" i="19"/>
  <c r="AF16" i="17"/>
  <c r="AE16" i="17"/>
  <c r="AD16" i="17"/>
  <c r="AC16" i="17"/>
  <c r="AB16" i="17"/>
  <c r="AA16" i="17"/>
  <c r="Z16" i="17"/>
  <c r="Y16" i="17"/>
  <c r="R16" i="17"/>
  <c r="Q16" i="17"/>
  <c r="P16" i="17"/>
  <c r="O16" i="17"/>
  <c r="N16" i="17"/>
  <c r="M16" i="17"/>
  <c r="L16" i="17"/>
  <c r="K16" i="17"/>
  <c r="J16" i="17"/>
  <c r="I16" i="17"/>
  <c r="H16" i="17"/>
  <c r="G16" i="17"/>
  <c r="F16" i="17"/>
  <c r="E16" i="17"/>
  <c r="D16" i="17"/>
  <c r="C16" i="17"/>
  <c r="B16" i="17"/>
  <c r="AF15" i="17"/>
  <c r="AE15" i="17"/>
  <c r="AD15" i="17"/>
  <c r="AC15" i="17"/>
  <c r="AB15" i="17"/>
  <c r="AA15" i="17"/>
  <c r="Z15" i="17"/>
  <c r="Y15" i="17"/>
  <c r="R15" i="17"/>
  <c r="Q15" i="17"/>
  <c r="P15" i="17"/>
  <c r="O15" i="17"/>
  <c r="N15" i="17"/>
  <c r="M15" i="17"/>
  <c r="L15" i="17"/>
  <c r="K15" i="17"/>
  <c r="J15" i="17"/>
  <c r="I15" i="17"/>
  <c r="H15" i="17"/>
  <c r="G15" i="17"/>
  <c r="F15" i="17"/>
  <c r="E15" i="17"/>
  <c r="D15" i="17"/>
  <c r="C15" i="17"/>
  <c r="B15" i="17"/>
  <c r="AF13" i="17"/>
  <c r="AE13" i="17"/>
  <c r="AD13" i="17"/>
  <c r="AC13" i="17"/>
  <c r="AB13" i="17"/>
  <c r="AA13" i="17"/>
  <c r="Z13" i="17"/>
  <c r="Y13" i="17"/>
  <c r="R13" i="17"/>
  <c r="Q13" i="17"/>
  <c r="P13" i="17"/>
  <c r="O13" i="17"/>
  <c r="N13" i="17"/>
  <c r="M13" i="17"/>
  <c r="L13" i="17"/>
  <c r="K13" i="17"/>
  <c r="J13" i="17"/>
  <c r="I13" i="17"/>
  <c r="H13" i="17"/>
  <c r="G13" i="17"/>
  <c r="F13" i="17"/>
  <c r="E13" i="17"/>
  <c r="D13" i="17"/>
  <c r="C13" i="17"/>
  <c r="B13" i="17"/>
  <c r="AF12" i="17"/>
  <c r="AE12" i="17"/>
  <c r="AD12" i="17"/>
  <c r="AC12" i="17"/>
  <c r="AB12" i="17"/>
  <c r="AA12" i="17"/>
  <c r="Z12" i="17"/>
  <c r="Y12" i="17"/>
  <c r="R12" i="17"/>
  <c r="Q12" i="17"/>
  <c r="P12" i="17"/>
  <c r="O12" i="17"/>
  <c r="N12" i="17"/>
  <c r="M12" i="17"/>
  <c r="L12" i="17"/>
  <c r="K12" i="17"/>
  <c r="J12" i="17"/>
  <c r="I12" i="17"/>
  <c r="H12" i="17"/>
  <c r="G12" i="17"/>
  <c r="F12" i="17"/>
  <c r="E12" i="17"/>
  <c r="D12" i="17"/>
  <c r="C12" i="17"/>
  <c r="B12" i="17"/>
  <c r="AF11" i="17"/>
  <c r="AE11" i="17"/>
  <c r="AD11" i="17"/>
  <c r="AC11" i="17"/>
  <c r="AB11" i="17"/>
  <c r="AA11" i="17"/>
  <c r="Z11" i="17"/>
  <c r="Y11" i="17"/>
  <c r="R11" i="17"/>
  <c r="Q11" i="17"/>
  <c r="P11" i="17"/>
  <c r="O11" i="17"/>
  <c r="N11" i="17"/>
  <c r="M11" i="17"/>
  <c r="L11" i="17"/>
  <c r="K11" i="17"/>
  <c r="J11" i="17"/>
  <c r="I11" i="17"/>
  <c r="H11" i="17"/>
  <c r="G11" i="17"/>
  <c r="F11" i="17"/>
  <c r="E11" i="17"/>
  <c r="D11" i="17"/>
  <c r="C11" i="17"/>
  <c r="B11" i="17"/>
  <c r="AF10" i="17"/>
  <c r="AE10" i="17"/>
  <c r="AD10" i="17"/>
  <c r="AC10" i="17"/>
  <c r="AB10" i="17"/>
  <c r="AA10" i="17"/>
  <c r="Z10" i="17"/>
  <c r="Y10" i="17"/>
  <c r="R10" i="17"/>
  <c r="Q10" i="17"/>
  <c r="P10" i="17"/>
  <c r="O10" i="17"/>
  <c r="N10" i="17"/>
  <c r="M10" i="17"/>
  <c r="L10" i="17"/>
  <c r="K10" i="17"/>
  <c r="J10" i="17"/>
  <c r="I10" i="17"/>
  <c r="H10" i="17"/>
  <c r="G10" i="17"/>
  <c r="F10" i="17"/>
  <c r="E10" i="17"/>
  <c r="D10" i="17"/>
  <c r="C10" i="17"/>
  <c r="B10" i="17"/>
  <c r="AF9" i="17"/>
  <c r="AE9" i="17"/>
  <c r="AD9" i="17"/>
  <c r="AC9" i="17"/>
  <c r="AB9" i="17"/>
  <c r="AA9" i="17"/>
  <c r="Z9" i="17"/>
  <c r="Y9" i="17"/>
  <c r="R9" i="17"/>
  <c r="Q9" i="17"/>
  <c r="P9" i="17"/>
  <c r="O9" i="17"/>
  <c r="N9" i="17"/>
  <c r="M9" i="17"/>
  <c r="L9" i="17"/>
  <c r="K9" i="17"/>
  <c r="J9" i="17"/>
  <c r="I9" i="17"/>
  <c r="H9" i="17"/>
  <c r="G9" i="17"/>
  <c r="F9" i="17"/>
  <c r="E9" i="17"/>
  <c r="D9" i="17"/>
  <c r="C9" i="17"/>
  <c r="B9" i="17"/>
  <c r="AF8" i="17"/>
  <c r="AE8" i="17"/>
  <c r="AD8" i="17"/>
  <c r="AC8" i="17"/>
  <c r="AB8" i="17"/>
  <c r="AA8" i="17"/>
  <c r="Z8" i="17"/>
  <c r="Y8" i="17"/>
  <c r="R8" i="17"/>
  <c r="Q8" i="17"/>
  <c r="P8" i="17"/>
  <c r="O8" i="17"/>
  <c r="N8" i="17"/>
  <c r="M8" i="17"/>
  <c r="L8" i="17"/>
  <c r="K8" i="17"/>
  <c r="J8" i="17"/>
  <c r="I8" i="17"/>
  <c r="H8" i="17"/>
  <c r="G8" i="17"/>
  <c r="F8" i="17"/>
  <c r="E8" i="17"/>
  <c r="D8" i="17"/>
  <c r="C8" i="17"/>
  <c r="B8" i="17"/>
  <c r="Y7" i="17"/>
  <c r="Y30" i="9"/>
  <c r="W30" i="9"/>
  <c r="V30" i="9"/>
  <c r="U30" i="9"/>
  <c r="T30" i="9"/>
  <c r="S30" i="9"/>
  <c r="R30" i="9"/>
  <c r="Q30" i="9"/>
  <c r="P30" i="9"/>
  <c r="O30" i="9"/>
  <c r="N30" i="9"/>
  <c r="M30" i="9"/>
  <c r="L30" i="9"/>
  <c r="K30" i="9"/>
  <c r="J30" i="9"/>
  <c r="I30" i="9"/>
  <c r="H30" i="9"/>
  <c r="G30" i="9"/>
  <c r="F30" i="9"/>
  <c r="E30" i="9"/>
  <c r="D30" i="9"/>
  <c r="C30" i="9"/>
  <c r="Y29" i="9"/>
  <c r="W29" i="9"/>
  <c r="V29" i="9"/>
  <c r="U29" i="9"/>
  <c r="T29" i="9"/>
  <c r="S29" i="9"/>
  <c r="R29" i="9"/>
  <c r="Q29" i="9"/>
  <c r="P29" i="9"/>
  <c r="O29" i="9"/>
  <c r="N29" i="9"/>
  <c r="M29" i="9"/>
  <c r="L29" i="9"/>
  <c r="K29" i="9"/>
  <c r="J29" i="9"/>
  <c r="I29" i="9"/>
  <c r="H29" i="9"/>
  <c r="G29" i="9"/>
  <c r="F29" i="9"/>
  <c r="E29" i="9"/>
  <c r="D29" i="9"/>
  <c r="C29" i="9"/>
  <c r="Y27" i="9"/>
  <c r="W27" i="9"/>
  <c r="V27" i="9"/>
  <c r="U27" i="9"/>
  <c r="T27" i="9"/>
  <c r="S27" i="9"/>
  <c r="R27" i="9"/>
  <c r="Q27" i="9"/>
  <c r="P27" i="9"/>
  <c r="O27" i="9"/>
  <c r="N27" i="9"/>
  <c r="M27" i="9"/>
  <c r="L27" i="9"/>
  <c r="K27" i="9"/>
  <c r="J27" i="9"/>
  <c r="I27" i="9"/>
  <c r="H27" i="9"/>
  <c r="G27" i="9"/>
  <c r="F27" i="9"/>
  <c r="E27" i="9"/>
  <c r="D27" i="9"/>
  <c r="C27" i="9"/>
  <c r="Y26" i="9"/>
  <c r="W26" i="9"/>
  <c r="V26" i="9"/>
  <c r="U26" i="9"/>
  <c r="T26" i="9"/>
  <c r="S26" i="9"/>
  <c r="R26" i="9"/>
  <c r="Q26" i="9"/>
  <c r="P26" i="9"/>
  <c r="O26" i="9"/>
  <c r="N26" i="9"/>
  <c r="M26" i="9"/>
  <c r="L26" i="9"/>
  <c r="K26" i="9"/>
  <c r="J26" i="9"/>
  <c r="I26" i="9"/>
  <c r="H26" i="9"/>
  <c r="G26" i="9"/>
  <c r="F26" i="9"/>
  <c r="E26" i="9"/>
  <c r="D26" i="9"/>
  <c r="C26" i="9"/>
  <c r="Y25" i="9"/>
  <c r="W25" i="9"/>
  <c r="V25" i="9"/>
  <c r="U25" i="9"/>
  <c r="T25" i="9"/>
  <c r="S25" i="9"/>
  <c r="R25" i="9"/>
  <c r="Q25" i="9"/>
  <c r="P25" i="9"/>
  <c r="O25" i="9"/>
  <c r="N25" i="9"/>
  <c r="M25" i="9"/>
  <c r="L25" i="9"/>
  <c r="K25" i="9"/>
  <c r="J25" i="9"/>
  <c r="I25" i="9"/>
  <c r="H25" i="9"/>
  <c r="G25" i="9"/>
  <c r="F25" i="9"/>
  <c r="E25" i="9"/>
  <c r="D25" i="9"/>
  <c r="C25" i="9"/>
  <c r="Y24" i="9"/>
  <c r="W24" i="9"/>
  <c r="V24" i="9"/>
  <c r="U24" i="9"/>
  <c r="T24" i="9"/>
  <c r="S24" i="9"/>
  <c r="R24" i="9"/>
  <c r="Q24" i="9"/>
  <c r="P24" i="9"/>
  <c r="O24" i="9"/>
  <c r="N24" i="9"/>
  <c r="M24" i="9"/>
  <c r="L24" i="9"/>
  <c r="K24" i="9"/>
  <c r="J24" i="9"/>
  <c r="I24" i="9"/>
  <c r="H24" i="9"/>
  <c r="G24" i="9"/>
  <c r="F24" i="9"/>
  <c r="E24" i="9"/>
  <c r="D24" i="9"/>
  <c r="C24" i="9"/>
  <c r="Y23" i="9"/>
  <c r="W23" i="9"/>
  <c r="V23" i="9"/>
  <c r="U23" i="9"/>
  <c r="T23" i="9"/>
  <c r="S23" i="9"/>
  <c r="R23" i="9"/>
  <c r="Q23" i="9"/>
  <c r="P23" i="9"/>
  <c r="O23" i="9"/>
  <c r="N23" i="9"/>
  <c r="M23" i="9"/>
  <c r="L23" i="9"/>
  <c r="K23" i="9"/>
  <c r="J23" i="9"/>
  <c r="I23" i="9"/>
  <c r="H23" i="9"/>
  <c r="G23" i="9"/>
  <c r="F23" i="9"/>
  <c r="E23" i="9"/>
  <c r="D23" i="9"/>
  <c r="C23" i="9"/>
  <c r="Y30" i="21"/>
  <c r="R30" i="21"/>
  <c r="Q30" i="21"/>
  <c r="P30" i="21"/>
  <c r="O30" i="21"/>
  <c r="N30" i="21"/>
  <c r="M30" i="21"/>
  <c r="L30" i="21"/>
  <c r="K30" i="21"/>
  <c r="J30" i="21"/>
  <c r="I30" i="21"/>
  <c r="H30" i="21"/>
  <c r="G30" i="21"/>
  <c r="F30" i="21"/>
  <c r="E30" i="21"/>
  <c r="D30" i="21"/>
  <c r="C30" i="21"/>
  <c r="Y29" i="21"/>
  <c r="R29" i="21"/>
  <c r="Q29" i="21"/>
  <c r="P29" i="21"/>
  <c r="O29" i="21"/>
  <c r="N29" i="21"/>
  <c r="M29" i="21"/>
  <c r="L29" i="21"/>
  <c r="K29" i="21"/>
  <c r="J29" i="21"/>
  <c r="I29" i="21"/>
  <c r="H29" i="21"/>
  <c r="G29" i="21"/>
  <c r="F29" i="21"/>
  <c r="E29" i="21"/>
  <c r="D29" i="21"/>
  <c r="C29" i="21"/>
  <c r="Y27" i="21"/>
  <c r="R27" i="21"/>
  <c r="Q27" i="21"/>
  <c r="P27" i="21"/>
  <c r="O27" i="21"/>
  <c r="N27" i="21"/>
  <c r="M27" i="21"/>
  <c r="L27" i="21"/>
  <c r="K27" i="21"/>
  <c r="J27" i="21"/>
  <c r="I27" i="21"/>
  <c r="H27" i="21"/>
  <c r="G27" i="21"/>
  <c r="F27" i="21"/>
  <c r="E27" i="21"/>
  <c r="D27" i="21"/>
  <c r="C27" i="21"/>
  <c r="Y26" i="21"/>
  <c r="R26" i="21"/>
  <c r="Q26" i="21"/>
  <c r="P26" i="21"/>
  <c r="O26" i="21"/>
  <c r="N26" i="21"/>
  <c r="M26" i="21"/>
  <c r="L26" i="21"/>
  <c r="K26" i="21"/>
  <c r="J26" i="21"/>
  <c r="I26" i="21"/>
  <c r="H26" i="21"/>
  <c r="G26" i="21"/>
  <c r="F26" i="21"/>
  <c r="E26" i="21"/>
  <c r="D26" i="21"/>
  <c r="C26" i="21"/>
  <c r="Y25" i="21"/>
  <c r="R25" i="21"/>
  <c r="Q25" i="21"/>
  <c r="P25" i="21"/>
  <c r="O25" i="21"/>
  <c r="N25" i="21"/>
  <c r="M25" i="21"/>
  <c r="L25" i="21"/>
  <c r="K25" i="21"/>
  <c r="J25" i="21"/>
  <c r="I25" i="21"/>
  <c r="H25" i="21"/>
  <c r="G25" i="21"/>
  <c r="F25" i="21"/>
  <c r="E25" i="21"/>
  <c r="D25" i="21"/>
  <c r="C25" i="21"/>
  <c r="Y24" i="21"/>
  <c r="R24" i="21"/>
  <c r="Q24" i="21"/>
  <c r="P24" i="21"/>
  <c r="O24" i="21"/>
  <c r="N24" i="21"/>
  <c r="M24" i="21"/>
  <c r="L24" i="21"/>
  <c r="K24" i="21"/>
  <c r="J24" i="21"/>
  <c r="I24" i="21"/>
  <c r="H24" i="21"/>
  <c r="G24" i="21"/>
  <c r="F24" i="21"/>
  <c r="E24" i="21"/>
  <c r="D24" i="21"/>
  <c r="C24" i="21"/>
  <c r="Y23" i="21"/>
  <c r="R23" i="21"/>
  <c r="Q23" i="21"/>
  <c r="P23" i="21"/>
  <c r="O23" i="21"/>
  <c r="N23" i="21"/>
  <c r="M23" i="21"/>
  <c r="L23" i="21"/>
  <c r="K23" i="21"/>
  <c r="J23" i="21"/>
  <c r="I23" i="21"/>
  <c r="H23" i="21"/>
  <c r="G23" i="21"/>
  <c r="F23" i="21"/>
  <c r="E23" i="21"/>
  <c r="D23" i="21"/>
  <c r="C23" i="21"/>
  <c r="Y22" i="21"/>
  <c r="R22" i="21"/>
  <c r="Q22" i="21"/>
  <c r="P22" i="21"/>
  <c r="O22" i="21"/>
  <c r="N22" i="21"/>
  <c r="M22" i="21"/>
  <c r="L22" i="21"/>
  <c r="K22" i="21"/>
  <c r="J22" i="21"/>
  <c r="I22" i="21"/>
  <c r="H22" i="21"/>
  <c r="G22" i="21"/>
  <c r="F22" i="21"/>
  <c r="E22" i="21"/>
  <c r="D22" i="21"/>
  <c r="C22" i="21"/>
  <c r="Y30" i="19"/>
  <c r="R30" i="19"/>
  <c r="Q30" i="19"/>
  <c r="P30" i="19"/>
  <c r="O30" i="19"/>
  <c r="N30" i="19"/>
  <c r="M30" i="19"/>
  <c r="L30" i="19"/>
  <c r="K30" i="19"/>
  <c r="J30" i="19"/>
  <c r="I30" i="19"/>
  <c r="H30" i="19"/>
  <c r="G30" i="19"/>
  <c r="F30" i="19"/>
  <c r="E30" i="19"/>
  <c r="D30" i="19"/>
  <c r="C30" i="19"/>
  <c r="Y29" i="19"/>
  <c r="R29" i="19"/>
  <c r="Q29" i="19"/>
  <c r="P29" i="19"/>
  <c r="O29" i="19"/>
  <c r="N29" i="19"/>
  <c r="M29" i="19"/>
  <c r="L29" i="19"/>
  <c r="K29" i="19"/>
  <c r="J29" i="19"/>
  <c r="I29" i="19"/>
  <c r="H29" i="19"/>
  <c r="G29" i="19"/>
  <c r="F29" i="19"/>
  <c r="E29" i="19"/>
  <c r="D29" i="19"/>
  <c r="C29" i="19"/>
  <c r="Y27" i="19"/>
  <c r="R27" i="19"/>
  <c r="Q27" i="19"/>
  <c r="P27" i="19"/>
  <c r="O27" i="19"/>
  <c r="N27" i="19"/>
  <c r="M27" i="19"/>
  <c r="L27" i="19"/>
  <c r="K27" i="19"/>
  <c r="J27" i="19"/>
  <c r="I27" i="19"/>
  <c r="H27" i="19"/>
  <c r="G27" i="19"/>
  <c r="F27" i="19"/>
  <c r="E27" i="19"/>
  <c r="D27" i="19"/>
  <c r="C27" i="19"/>
  <c r="Y26" i="19"/>
  <c r="R26" i="19"/>
  <c r="Q26" i="19"/>
  <c r="P26" i="19"/>
  <c r="O26" i="19"/>
  <c r="N26" i="19"/>
  <c r="M26" i="19"/>
  <c r="L26" i="19"/>
  <c r="K26" i="19"/>
  <c r="J26" i="19"/>
  <c r="I26" i="19"/>
  <c r="H26" i="19"/>
  <c r="G26" i="19"/>
  <c r="F26" i="19"/>
  <c r="E26" i="19"/>
  <c r="D26" i="19"/>
  <c r="C26" i="19"/>
  <c r="Y25" i="19"/>
  <c r="R25" i="19"/>
  <c r="Q25" i="19"/>
  <c r="P25" i="19"/>
  <c r="O25" i="19"/>
  <c r="N25" i="19"/>
  <c r="M25" i="19"/>
  <c r="L25" i="19"/>
  <c r="K25" i="19"/>
  <c r="J25" i="19"/>
  <c r="I25" i="19"/>
  <c r="H25" i="19"/>
  <c r="G25" i="19"/>
  <c r="F25" i="19"/>
  <c r="E25" i="19"/>
  <c r="D25" i="19"/>
  <c r="C25" i="19"/>
  <c r="Y24" i="19"/>
  <c r="R24" i="19"/>
  <c r="Q24" i="19"/>
  <c r="P24" i="19"/>
  <c r="O24" i="19"/>
  <c r="N24" i="19"/>
  <c r="M24" i="19"/>
  <c r="L24" i="19"/>
  <c r="K24" i="19"/>
  <c r="J24" i="19"/>
  <c r="I24" i="19"/>
  <c r="H24" i="19"/>
  <c r="G24" i="19"/>
  <c r="F24" i="19"/>
  <c r="E24" i="19"/>
  <c r="D24" i="19"/>
  <c r="C24" i="19"/>
  <c r="Y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E23" i="19"/>
  <c r="D23" i="19"/>
  <c r="C23" i="19"/>
  <c r="Y22" i="19"/>
  <c r="R22" i="19"/>
  <c r="Q22" i="19"/>
  <c r="P22" i="19"/>
  <c r="O22" i="19"/>
  <c r="N22" i="19"/>
  <c r="M22" i="19"/>
  <c r="L22" i="19"/>
  <c r="K22" i="19"/>
  <c r="J22" i="19"/>
  <c r="I22" i="19"/>
  <c r="H22" i="19"/>
  <c r="G22" i="19"/>
  <c r="F22" i="19"/>
  <c r="E22" i="19"/>
  <c r="D22" i="19"/>
  <c r="C22" i="19"/>
  <c r="Q4" i="23" l="1"/>
  <c r="Y4" i="23"/>
  <c r="H3" i="23"/>
  <c r="H5" i="23" s="1"/>
  <c r="P3" i="23"/>
  <c r="P5" i="23" s="1"/>
  <c r="AF3" i="23"/>
  <c r="AF5" i="23" s="1"/>
  <c r="I3" i="23"/>
  <c r="I5" i="23" s="1"/>
  <c r="Q3" i="23"/>
  <c r="Q5" i="23" s="1"/>
  <c r="J3" i="23"/>
  <c r="J5" i="23" s="1"/>
  <c r="R3" i="23"/>
  <c r="R5" i="23" s="1"/>
  <c r="Z4" i="23"/>
  <c r="AD4" i="13"/>
  <c r="S3" i="23"/>
  <c r="S5" i="23" s="1"/>
  <c r="D3" i="13"/>
  <c r="D5" i="13" s="1"/>
  <c r="L3" i="13"/>
  <c r="L5" i="13" s="1"/>
  <c r="T3" i="13"/>
  <c r="T5" i="13" s="1"/>
  <c r="AB3" i="13"/>
  <c r="AB5" i="13" s="1"/>
  <c r="E4" i="13"/>
  <c r="U4" i="13"/>
  <c r="AC3" i="13"/>
  <c r="AC5" i="13" s="1"/>
  <c r="AE4" i="13"/>
  <c r="H4" i="13"/>
  <c r="P4" i="13"/>
  <c r="X4" i="13"/>
  <c r="C4" i="23"/>
  <c r="K4" i="23"/>
  <c r="S4" i="23"/>
  <c r="D4" i="23"/>
  <c r="L4" i="23"/>
  <c r="T4" i="23"/>
  <c r="AB4" i="23"/>
  <c r="E3" i="23"/>
  <c r="E5" i="23" s="1"/>
  <c r="M3" i="23"/>
  <c r="M5" i="23" s="1"/>
  <c r="U3" i="23"/>
  <c r="U5" i="23" s="1"/>
  <c r="AC4" i="23"/>
  <c r="C3" i="13"/>
  <c r="C5" i="13" s="1"/>
  <c r="K3" i="13"/>
  <c r="K5" i="13" s="1"/>
  <c r="AD4" i="23"/>
  <c r="G4" i="23"/>
  <c r="O4" i="23"/>
  <c r="AE3" i="23"/>
  <c r="AE5" i="23" s="1"/>
  <c r="Y3" i="23"/>
  <c r="Y5" i="23" s="1"/>
  <c r="U4" i="23"/>
  <c r="AB3" i="23"/>
  <c r="AB5" i="23" s="1"/>
  <c r="J3" i="13"/>
  <c r="J5" i="13" s="1"/>
  <c r="R3" i="13"/>
  <c r="R5" i="13" s="1"/>
  <c r="Z4" i="13"/>
  <c r="F4" i="13"/>
  <c r="N4" i="13"/>
  <c r="V4" i="13"/>
  <c r="C3" i="23"/>
  <c r="C5" i="23" s="1"/>
  <c r="F3" i="23"/>
  <c r="F5" i="23" s="1"/>
  <c r="N3" i="23"/>
  <c r="N5" i="23" s="1"/>
  <c r="AD3" i="23"/>
  <c r="AD5" i="23" s="1"/>
  <c r="G3" i="23"/>
  <c r="G5" i="23" s="1"/>
  <c r="E4" i="23"/>
  <c r="K3" i="23"/>
  <c r="K5" i="23" s="1"/>
  <c r="I4" i="23"/>
  <c r="H3" i="11"/>
  <c r="H5" i="11" s="1"/>
  <c r="P3" i="11"/>
  <c r="P5" i="11" s="1"/>
  <c r="M4" i="13"/>
  <c r="O3" i="23"/>
  <c r="O5" i="23" s="1"/>
  <c r="M4" i="23"/>
  <c r="H4" i="11"/>
  <c r="X4" i="11"/>
  <c r="AF4" i="11"/>
  <c r="I4" i="11"/>
  <c r="Q4" i="11"/>
  <c r="C4" i="13"/>
  <c r="K4" i="13"/>
  <c r="S4" i="13"/>
  <c r="D4" i="13"/>
  <c r="L4" i="13"/>
  <c r="T4" i="13"/>
  <c r="AB4" i="13"/>
  <c r="F3" i="13"/>
  <c r="F5" i="13" s="1"/>
  <c r="N3" i="13"/>
  <c r="N5" i="13" s="1"/>
  <c r="V3" i="13"/>
  <c r="V5" i="13" s="1"/>
  <c r="AE3" i="13"/>
  <c r="AE5" i="13" s="1"/>
  <c r="D3" i="23"/>
  <c r="D5" i="23" s="1"/>
  <c r="L3" i="23"/>
  <c r="L5" i="23" s="1"/>
  <c r="T3" i="23"/>
  <c r="T5" i="23" s="1"/>
  <c r="AC3" i="23"/>
  <c r="AC5" i="23" s="1"/>
  <c r="F4" i="23"/>
  <c r="N4" i="23"/>
  <c r="AE4" i="23"/>
  <c r="P4" i="11"/>
  <c r="AF4" i="23"/>
  <c r="J3" i="11"/>
  <c r="J5" i="11" s="1"/>
  <c r="R3" i="11"/>
  <c r="R5" i="11" s="1"/>
  <c r="Z4" i="11"/>
  <c r="E3" i="13"/>
  <c r="E5" i="13" s="1"/>
  <c r="M3" i="13"/>
  <c r="M5" i="13" s="1"/>
  <c r="U3" i="13"/>
  <c r="U5" i="13" s="1"/>
  <c r="AC4" i="13"/>
  <c r="AD3" i="13"/>
  <c r="AD5" i="13" s="1"/>
  <c r="G3" i="13"/>
  <c r="G5" i="13" s="1"/>
  <c r="O3" i="13"/>
  <c r="O5" i="13" s="1"/>
  <c r="W3" i="13"/>
  <c r="W5" i="13" s="1"/>
  <c r="H3" i="13"/>
  <c r="H5" i="13" s="1"/>
  <c r="P3" i="13"/>
  <c r="P5" i="13" s="1"/>
  <c r="X3" i="13"/>
  <c r="X5" i="13" s="1"/>
  <c r="AF3" i="13"/>
  <c r="AF5" i="13" s="1"/>
  <c r="I3" i="13"/>
  <c r="I5" i="13" s="1"/>
  <c r="Q3" i="13"/>
  <c r="Q5" i="13" s="1"/>
  <c r="Y3" i="13"/>
  <c r="Y5" i="13" s="1"/>
  <c r="H4" i="23"/>
  <c r="P4" i="23"/>
  <c r="G3" i="11"/>
  <c r="G5" i="11" s="1"/>
  <c r="O4" i="11"/>
  <c r="W3" i="11"/>
  <c r="W5" i="11" s="1"/>
  <c r="AE4" i="11"/>
  <c r="S3" i="13"/>
  <c r="S5" i="13" s="1"/>
  <c r="J4" i="23"/>
  <c r="R4" i="23"/>
  <c r="Y4" i="11"/>
  <c r="I4" i="13"/>
  <c r="Q4" i="13"/>
  <c r="Y4" i="13"/>
  <c r="AD4" i="11"/>
  <c r="I3" i="11"/>
  <c r="I5" i="11" s="1"/>
  <c r="G4" i="13"/>
  <c r="O4" i="13"/>
  <c r="W4" i="13"/>
  <c r="AF4" i="13"/>
  <c r="Q3" i="11"/>
  <c r="Q5" i="11" s="1"/>
  <c r="X3" i="11"/>
  <c r="X5" i="11" s="1"/>
  <c r="J4" i="13"/>
  <c r="R4" i="13"/>
  <c r="Y3" i="11"/>
  <c r="Y5" i="11" s="1"/>
  <c r="AF3" i="11"/>
  <c r="AF5" i="11" s="1"/>
  <c r="AF3" i="9"/>
  <c r="AF5" i="9" s="1"/>
  <c r="W4" i="11"/>
  <c r="AF4" i="9"/>
  <c r="AE3" i="11"/>
  <c r="AE5" i="11" s="1"/>
  <c r="C4" i="11"/>
  <c r="K4" i="11"/>
  <c r="S4" i="11"/>
  <c r="D4" i="11"/>
  <c r="L4" i="11"/>
  <c r="T4" i="11"/>
  <c r="AB4" i="11"/>
  <c r="E3" i="11"/>
  <c r="E5" i="11" s="1"/>
  <c r="M3" i="11"/>
  <c r="M5" i="11" s="1"/>
  <c r="U3" i="11"/>
  <c r="U5" i="11" s="1"/>
  <c r="AC4" i="11"/>
  <c r="F3" i="11"/>
  <c r="F5" i="11" s="1"/>
  <c r="N3" i="11"/>
  <c r="N5" i="11" s="1"/>
  <c r="V3" i="11"/>
  <c r="V5" i="11" s="1"/>
  <c r="AD3" i="11"/>
  <c r="AD5" i="11" s="1"/>
  <c r="O3" i="11"/>
  <c r="O5" i="11" s="1"/>
  <c r="V4" i="9"/>
  <c r="G4" i="11"/>
  <c r="I3" i="9"/>
  <c r="I5" i="9" s="1"/>
  <c r="D3" i="21"/>
  <c r="D5" i="21" s="1"/>
  <c r="AC3" i="21"/>
  <c r="AC5" i="21" s="1"/>
  <c r="F4" i="21"/>
  <c r="F4" i="9"/>
  <c r="G4" i="9"/>
  <c r="O4" i="9"/>
  <c r="AE4" i="9"/>
  <c r="H3" i="9"/>
  <c r="H5" i="9" s="1"/>
  <c r="P4" i="9"/>
  <c r="Q4" i="9"/>
  <c r="Y3" i="9"/>
  <c r="Y5" i="9" s="1"/>
  <c r="K3" i="11"/>
  <c r="K5" i="11" s="1"/>
  <c r="AB3" i="11"/>
  <c r="AB5" i="11" s="1"/>
  <c r="M4" i="11"/>
  <c r="I4" i="9"/>
  <c r="H4" i="21"/>
  <c r="P3" i="21"/>
  <c r="P5" i="21" s="1"/>
  <c r="Q3" i="21"/>
  <c r="Q5" i="21" s="1"/>
  <c r="Y4" i="21"/>
  <c r="J3" i="9"/>
  <c r="J5" i="9" s="1"/>
  <c r="R3" i="9"/>
  <c r="R5" i="9" s="1"/>
  <c r="Z4" i="9"/>
  <c r="L3" i="9"/>
  <c r="L5" i="9" s="1"/>
  <c r="T3" i="9"/>
  <c r="T5" i="9" s="1"/>
  <c r="AC3" i="9"/>
  <c r="AC5" i="9" s="1"/>
  <c r="C3" i="11"/>
  <c r="C5" i="11" s="1"/>
  <c r="S3" i="11"/>
  <c r="S5" i="11" s="1"/>
  <c r="E4" i="11"/>
  <c r="U4" i="11"/>
  <c r="E4" i="19"/>
  <c r="M4" i="19"/>
  <c r="C4" i="9"/>
  <c r="K4" i="9"/>
  <c r="S4" i="9"/>
  <c r="D4" i="9"/>
  <c r="L4" i="9"/>
  <c r="T4" i="9"/>
  <c r="AB4" i="9"/>
  <c r="E3" i="9"/>
  <c r="E5" i="9" s="1"/>
  <c r="M3" i="9"/>
  <c r="M5" i="9" s="1"/>
  <c r="U3" i="9"/>
  <c r="U5" i="9" s="1"/>
  <c r="AC4" i="9"/>
  <c r="AD4" i="9"/>
  <c r="G3" i="9"/>
  <c r="G5" i="9" s="1"/>
  <c r="O3" i="9"/>
  <c r="O5" i="9" s="1"/>
  <c r="W3" i="9"/>
  <c r="W5" i="9" s="1"/>
  <c r="AE3" i="9"/>
  <c r="AE5" i="9" s="1"/>
  <c r="D3" i="11"/>
  <c r="D5" i="11" s="1"/>
  <c r="L3" i="11"/>
  <c r="L5" i="11" s="1"/>
  <c r="T3" i="11"/>
  <c r="T5" i="11" s="1"/>
  <c r="AC3" i="11"/>
  <c r="AC5" i="11" s="1"/>
  <c r="F4" i="11"/>
  <c r="N4" i="11"/>
  <c r="V4" i="11"/>
  <c r="AF3" i="19"/>
  <c r="AF5" i="19" s="1"/>
  <c r="Q4" i="19"/>
  <c r="Y4" i="19"/>
  <c r="H3" i="21"/>
  <c r="H5" i="21" s="1"/>
  <c r="P4" i="21"/>
  <c r="AF3" i="21"/>
  <c r="AF5" i="21" s="1"/>
  <c r="I3" i="21"/>
  <c r="I5" i="21" s="1"/>
  <c r="Q4" i="21"/>
  <c r="Y3" i="21"/>
  <c r="Y5" i="21" s="1"/>
  <c r="P3" i="9"/>
  <c r="P5" i="9" s="1"/>
  <c r="Y4" i="9"/>
  <c r="Q3" i="9"/>
  <c r="Q5" i="9" s="1"/>
  <c r="H4" i="9"/>
  <c r="F3" i="9"/>
  <c r="F5" i="9" s="1"/>
  <c r="N3" i="9"/>
  <c r="N5" i="9" s="1"/>
  <c r="V3" i="9"/>
  <c r="V5" i="9" s="1"/>
  <c r="AD3" i="9"/>
  <c r="AD5" i="9" s="1"/>
  <c r="N4" i="9"/>
  <c r="J4" i="11"/>
  <c r="R4" i="11"/>
  <c r="J3" i="21"/>
  <c r="J5" i="21" s="1"/>
  <c r="R3" i="21"/>
  <c r="R5" i="21" s="1"/>
  <c r="Z4" i="21"/>
  <c r="D3" i="9"/>
  <c r="D5" i="9" s="1"/>
  <c r="C4" i="21"/>
  <c r="K4" i="21"/>
  <c r="D4" i="21"/>
  <c r="L4" i="21"/>
  <c r="AB4" i="21"/>
  <c r="E3" i="21"/>
  <c r="E5" i="21" s="1"/>
  <c r="M3" i="21"/>
  <c r="M5" i="21" s="1"/>
  <c r="AC4" i="21"/>
  <c r="F3" i="21"/>
  <c r="F5" i="21" s="1"/>
  <c r="N3" i="21"/>
  <c r="N5" i="21" s="1"/>
  <c r="AD3" i="21"/>
  <c r="AD5" i="21" s="1"/>
  <c r="G3" i="21"/>
  <c r="G5" i="21" s="1"/>
  <c r="O3" i="21"/>
  <c r="O5" i="21" s="1"/>
  <c r="AE3" i="21"/>
  <c r="AE5" i="21" s="1"/>
  <c r="L3" i="21"/>
  <c r="L5" i="21" s="1"/>
  <c r="C3" i="9"/>
  <c r="K3" i="9"/>
  <c r="K5" i="9" s="1"/>
  <c r="S3" i="9"/>
  <c r="S5" i="9" s="1"/>
  <c r="AB3" i="9"/>
  <c r="AB5" i="9" s="1"/>
  <c r="E4" i="9"/>
  <c r="M4" i="9"/>
  <c r="U4" i="9"/>
  <c r="AE4" i="21"/>
  <c r="W4" i="9"/>
  <c r="I4" i="21"/>
  <c r="AF4" i="21"/>
  <c r="N4" i="21"/>
  <c r="J3" i="19"/>
  <c r="J5" i="19" s="1"/>
  <c r="R3" i="19"/>
  <c r="R5" i="19" s="1"/>
  <c r="Z4" i="19"/>
  <c r="J4" i="9"/>
  <c r="R4" i="9"/>
  <c r="C3" i="19"/>
  <c r="C5" i="19" s="1"/>
  <c r="K3" i="19"/>
  <c r="K5" i="19" s="1"/>
  <c r="AB3" i="19"/>
  <c r="AB5" i="19" s="1"/>
  <c r="AD4" i="19"/>
  <c r="C4" i="19"/>
  <c r="K4" i="19"/>
  <c r="D4" i="19"/>
  <c r="L4" i="19"/>
  <c r="AB4" i="19"/>
  <c r="E3" i="19"/>
  <c r="E5" i="19" s="1"/>
  <c r="M3" i="19"/>
  <c r="M5" i="19" s="1"/>
  <c r="AC4" i="19"/>
  <c r="C3" i="21"/>
  <c r="K3" i="21"/>
  <c r="K5" i="21" s="1"/>
  <c r="AB3" i="21"/>
  <c r="AB5" i="21" s="1"/>
  <c r="E4" i="21"/>
  <c r="M4" i="21"/>
  <c r="AD4" i="21"/>
  <c r="G4" i="21"/>
  <c r="O4" i="21"/>
  <c r="F3" i="19"/>
  <c r="F5" i="19" s="1"/>
  <c r="N3" i="19"/>
  <c r="N5" i="19" s="1"/>
  <c r="AD3" i="19"/>
  <c r="AD5" i="19" s="1"/>
  <c r="G4" i="19"/>
  <c r="O4" i="19"/>
  <c r="AE3" i="19"/>
  <c r="AE5" i="19" s="1"/>
  <c r="H3" i="19"/>
  <c r="H5" i="19" s="1"/>
  <c r="P3" i="19"/>
  <c r="P5" i="19" s="1"/>
  <c r="I3" i="19"/>
  <c r="I5" i="19" s="1"/>
  <c r="Q3" i="19"/>
  <c r="Q5" i="19" s="1"/>
  <c r="Y3" i="19"/>
  <c r="Y5" i="19" s="1"/>
  <c r="G3" i="19"/>
  <c r="G5" i="19" s="1"/>
  <c r="J4" i="21"/>
  <c r="R4" i="21"/>
  <c r="I4" i="19"/>
  <c r="O3" i="19"/>
  <c r="O5" i="19" s="1"/>
  <c r="D3" i="19"/>
  <c r="D5" i="19" s="1"/>
  <c r="L3" i="19"/>
  <c r="L5" i="19" s="1"/>
  <c r="AC3" i="19"/>
  <c r="AC5" i="19" s="1"/>
  <c r="F4" i="19"/>
  <c r="N4" i="19"/>
  <c r="AE4" i="19"/>
  <c r="AF4" i="19"/>
  <c r="H4" i="19"/>
  <c r="P4" i="19"/>
  <c r="J4" i="19"/>
  <c r="R4" i="19"/>
  <c r="Y30" i="17"/>
  <c r="R30" i="17"/>
  <c r="Q30" i="17"/>
  <c r="P30" i="17"/>
  <c r="O30" i="17"/>
  <c r="N30" i="17"/>
  <c r="M30" i="17"/>
  <c r="L30" i="17"/>
  <c r="K30" i="17"/>
  <c r="J30" i="17"/>
  <c r="I30" i="17"/>
  <c r="H30" i="17"/>
  <c r="G30" i="17"/>
  <c r="F30" i="17"/>
  <c r="E30" i="17"/>
  <c r="D30" i="17"/>
  <c r="C30" i="17"/>
  <c r="Y29" i="17"/>
  <c r="R29" i="17"/>
  <c r="Q29" i="17"/>
  <c r="P29" i="17"/>
  <c r="O29" i="17"/>
  <c r="N29" i="17"/>
  <c r="M29" i="17"/>
  <c r="L29" i="17"/>
  <c r="K29" i="17"/>
  <c r="J29" i="17"/>
  <c r="I29" i="17"/>
  <c r="H29" i="17"/>
  <c r="G29" i="17"/>
  <c r="F29" i="17"/>
  <c r="E29" i="17"/>
  <c r="D29" i="17"/>
  <c r="C29" i="17"/>
  <c r="AF7" i="17"/>
  <c r="AE7" i="17"/>
  <c r="AD7" i="17"/>
  <c r="AC7" i="17"/>
  <c r="AB7" i="17"/>
  <c r="AA7" i="17"/>
  <c r="Z7" i="17"/>
  <c r="R7" i="17"/>
  <c r="Q7" i="17"/>
  <c r="P7" i="17"/>
  <c r="O7" i="17"/>
  <c r="N7" i="17"/>
  <c r="M7" i="17"/>
  <c r="L7" i="17"/>
  <c r="K7" i="17"/>
  <c r="J7" i="17"/>
  <c r="I7" i="17"/>
  <c r="H7" i="17"/>
  <c r="G7" i="17"/>
  <c r="F7" i="17"/>
  <c r="E7" i="17"/>
  <c r="D7" i="17"/>
  <c r="C7" i="17"/>
  <c r="B7" i="17"/>
  <c r="Z3" i="13" l="1"/>
  <c r="Z5" i="13" s="1"/>
  <c r="Z3" i="23"/>
  <c r="Z5" i="23" s="1"/>
  <c r="Z3" i="11"/>
  <c r="Z5" i="11" s="1"/>
  <c r="Z3" i="9"/>
  <c r="Z5" i="9" s="1"/>
  <c r="C5" i="9"/>
  <c r="Z3" i="21"/>
  <c r="Z5" i="21" s="1"/>
  <c r="C5" i="21"/>
  <c r="Z3" i="19"/>
  <c r="Z5" i="19" s="1"/>
  <c r="J5" i="22"/>
  <c r="G5" i="22"/>
  <c r="A5" i="22"/>
  <c r="AE3" i="17" l="1"/>
  <c r="AE5" i="17" s="1"/>
  <c r="F37" i="22"/>
  <c r="A37" i="22"/>
  <c r="A36" i="22"/>
  <c r="A12" i="22"/>
  <c r="L11" i="22"/>
  <c r="K11" i="22"/>
  <c r="I11" i="22"/>
  <c r="H11" i="22"/>
  <c r="F11" i="22"/>
  <c r="L7" i="22"/>
  <c r="I7" i="22"/>
  <c r="F7" i="22"/>
  <c r="D7" i="22"/>
  <c r="A2" i="22"/>
  <c r="E1" i="22"/>
  <c r="A30" i="23" l="1"/>
  <c r="A29" i="23"/>
  <c r="A27" i="23"/>
  <c r="A26" i="23"/>
  <c r="A25" i="23"/>
  <c r="A24" i="23"/>
  <c r="A23" i="23"/>
  <c r="A22" i="23"/>
  <c r="AF2" i="23"/>
  <c r="AE2" i="23"/>
  <c r="AD2" i="23"/>
  <c r="AC2" i="23"/>
  <c r="AB2" i="23"/>
  <c r="Z2" i="23"/>
  <c r="Y2" i="23"/>
  <c r="C2" i="23"/>
  <c r="B2" i="23"/>
  <c r="A2" i="23"/>
  <c r="A1" i="23"/>
  <c r="L31" i="22"/>
  <c r="L30" i="22"/>
  <c r="L29" i="22"/>
  <c r="L28" i="22"/>
  <c r="L27" i="22"/>
  <c r="L26" i="22"/>
  <c r="L25" i="22"/>
  <c r="L24" i="22"/>
  <c r="L23" i="22"/>
  <c r="L22" i="22"/>
  <c r="L21" i="22"/>
  <c r="L20" i="22"/>
  <c r="L19" i="22"/>
  <c r="L18" i="22"/>
  <c r="L17" i="22"/>
  <c r="L16" i="22"/>
  <c r="L15" i="22"/>
  <c r="L14" i="22"/>
  <c r="L13" i="22"/>
  <c r="B1" i="23"/>
  <c r="B24" i="23" l="1"/>
  <c r="B22" i="23"/>
  <c r="B29" i="23"/>
  <c r="B27" i="23"/>
  <c r="B23" i="23"/>
  <c r="B25" i="23"/>
  <c r="B30" i="23"/>
  <c r="B26" i="23"/>
  <c r="J5" i="1" l="1"/>
  <c r="B1" i="21"/>
  <c r="B1" i="9"/>
  <c r="B1" i="17"/>
  <c r="B1" i="19"/>
  <c r="B1" i="11"/>
  <c r="AF2" i="13" l="1"/>
  <c r="AE2" i="13"/>
  <c r="AF2" i="11"/>
  <c r="AE2" i="11"/>
  <c r="AD2" i="11"/>
  <c r="AC2" i="11"/>
  <c r="AB2" i="11"/>
  <c r="AE2" i="9"/>
  <c r="AF2" i="21"/>
  <c r="AE2" i="21"/>
  <c r="AF2" i="19"/>
  <c r="AE2" i="19"/>
  <c r="AE2" i="17"/>
  <c r="L35" i="12" l="1"/>
  <c r="L34" i="12"/>
  <c r="L33" i="12"/>
  <c r="L32" i="12"/>
  <c r="L31" i="12"/>
  <c r="L30" i="12"/>
  <c r="L29" i="12"/>
  <c r="L28" i="12"/>
  <c r="L27" i="12"/>
  <c r="L26" i="12"/>
  <c r="L25" i="12"/>
  <c r="L24" i="12"/>
  <c r="L23" i="12"/>
  <c r="L22" i="12"/>
  <c r="L21" i="12"/>
  <c r="L20" i="12"/>
  <c r="L19" i="12"/>
  <c r="L18" i="12"/>
  <c r="L17" i="12"/>
  <c r="L16" i="12"/>
  <c r="L15" i="12"/>
  <c r="L14" i="12"/>
  <c r="L35" i="10"/>
  <c r="L34" i="10"/>
  <c r="L33" i="10"/>
  <c r="L32" i="10"/>
  <c r="L31" i="10"/>
  <c r="L30" i="10"/>
  <c r="L29" i="10"/>
  <c r="L28" i="10"/>
  <c r="L27" i="10"/>
  <c r="L26" i="10"/>
  <c r="L25" i="10"/>
  <c r="L24" i="10"/>
  <c r="L23" i="10"/>
  <c r="L22" i="10"/>
  <c r="L21" i="10"/>
  <c r="L20" i="10"/>
  <c r="L19" i="10"/>
  <c r="L18" i="10"/>
  <c r="L17" i="10"/>
  <c r="L16" i="10"/>
  <c r="L15" i="10"/>
  <c r="L14" i="10"/>
  <c r="L33" i="8"/>
  <c r="L32" i="8"/>
  <c r="L31" i="8"/>
  <c r="L30" i="8"/>
  <c r="L29" i="8"/>
  <c r="L28" i="8"/>
  <c r="L27" i="8"/>
  <c r="L26" i="8"/>
  <c r="L25" i="8"/>
  <c r="L24" i="8"/>
  <c r="L23" i="8"/>
  <c r="L22" i="8"/>
  <c r="L21" i="8"/>
  <c r="L20" i="8"/>
  <c r="L19" i="8"/>
  <c r="L18" i="8"/>
  <c r="L17" i="8"/>
  <c r="L16" i="8"/>
  <c r="L15" i="8"/>
  <c r="L14" i="8"/>
  <c r="L28" i="20"/>
  <c r="L27" i="20"/>
  <c r="L26" i="20"/>
  <c r="L25" i="20"/>
  <c r="L24" i="20"/>
  <c r="L23" i="20"/>
  <c r="L22" i="20"/>
  <c r="L21" i="20"/>
  <c r="L20" i="20"/>
  <c r="L19" i="20"/>
  <c r="L18" i="20"/>
  <c r="L17" i="20"/>
  <c r="L16" i="20"/>
  <c r="L15" i="20"/>
  <c r="L14" i="20"/>
  <c r="L13" i="12"/>
  <c r="L36" i="12" s="1"/>
  <c r="L13" i="10"/>
  <c r="L13" i="8"/>
  <c r="L13" i="20"/>
  <c r="L13" i="18"/>
  <c r="L28" i="1"/>
  <c r="L27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L14" i="18"/>
  <c r="L15" i="18"/>
  <c r="L16" i="18"/>
  <c r="L17" i="18"/>
  <c r="L18" i="18"/>
  <c r="L19" i="18"/>
  <c r="L20" i="18"/>
  <c r="L21" i="18"/>
  <c r="L22" i="18"/>
  <c r="L23" i="18"/>
  <c r="L24" i="18"/>
  <c r="L25" i="18"/>
  <c r="L26" i="18"/>
  <c r="L27" i="18"/>
  <c r="L28" i="18"/>
  <c r="L30" i="18"/>
  <c r="L31" i="18"/>
  <c r="L32" i="18"/>
  <c r="L33" i="18"/>
  <c r="L34" i="18"/>
  <c r="L13" i="1"/>
  <c r="K11" i="12"/>
  <c r="K11" i="10"/>
  <c r="K11" i="20"/>
  <c r="L36" i="18" l="1"/>
  <c r="L36" i="1"/>
  <c r="E3" i="17"/>
  <c r="M3" i="17"/>
  <c r="F3" i="17"/>
  <c r="N3" i="17"/>
  <c r="C3" i="17"/>
  <c r="G3" i="17"/>
  <c r="O3" i="17"/>
  <c r="H3" i="17"/>
  <c r="P3" i="17"/>
  <c r="I3" i="17"/>
  <c r="Q3" i="17"/>
  <c r="J3" i="17"/>
  <c r="R3" i="17"/>
  <c r="K3" i="17"/>
  <c r="Y3" i="17"/>
  <c r="D3" i="17"/>
  <c r="L3" i="17"/>
  <c r="A30" i="21"/>
  <c r="A29" i="21"/>
  <c r="A27" i="21"/>
  <c r="A26" i="21"/>
  <c r="A25" i="21"/>
  <c r="A24" i="21"/>
  <c r="A23" i="21"/>
  <c r="A22" i="21"/>
  <c r="AD2" i="21"/>
  <c r="AC2" i="21"/>
  <c r="AB2" i="21"/>
  <c r="Z2" i="21"/>
  <c r="Y2" i="21"/>
  <c r="C2" i="21"/>
  <c r="B2" i="21"/>
  <c r="A2" i="21"/>
  <c r="A1" i="21"/>
  <c r="F37" i="20"/>
  <c r="A37" i="20"/>
  <c r="A36" i="20"/>
  <c r="A12" i="20"/>
  <c r="L11" i="20"/>
  <c r="I11" i="20"/>
  <c r="H11" i="20"/>
  <c r="F11" i="20"/>
  <c r="L7" i="20"/>
  <c r="I7" i="20"/>
  <c r="F7" i="20"/>
  <c r="D7" i="20"/>
  <c r="J5" i="20"/>
  <c r="G5" i="20"/>
  <c r="A5" i="20"/>
  <c r="A2" i="20"/>
  <c r="E1" i="20"/>
  <c r="M26" i="17" l="1"/>
  <c r="M27" i="17"/>
  <c r="Y26" i="17"/>
  <c r="Y27" i="17"/>
  <c r="H26" i="17"/>
  <c r="H27" i="17"/>
  <c r="L26" i="17"/>
  <c r="L27" i="17"/>
  <c r="K26" i="17"/>
  <c r="K27" i="17"/>
  <c r="O26" i="17"/>
  <c r="O27" i="17"/>
  <c r="C26" i="17"/>
  <c r="C27" i="17"/>
  <c r="G26" i="17"/>
  <c r="G27" i="17"/>
  <c r="J26" i="17"/>
  <c r="J27" i="17"/>
  <c r="N26" i="17"/>
  <c r="N27" i="17"/>
  <c r="R26" i="17"/>
  <c r="R27" i="17"/>
  <c r="D26" i="17"/>
  <c r="D27" i="17"/>
  <c r="Q26" i="17"/>
  <c r="Q27" i="17"/>
  <c r="F26" i="17"/>
  <c r="F27" i="17"/>
  <c r="I26" i="17"/>
  <c r="I27" i="17"/>
  <c r="P26" i="17"/>
  <c r="P27" i="17"/>
  <c r="E26" i="17"/>
  <c r="E27" i="17"/>
  <c r="P24" i="17"/>
  <c r="P25" i="17"/>
  <c r="Y24" i="17"/>
  <c r="Y25" i="17"/>
  <c r="H24" i="17"/>
  <c r="H25" i="17"/>
  <c r="K24" i="17"/>
  <c r="K25" i="17"/>
  <c r="O24" i="17"/>
  <c r="O25" i="17"/>
  <c r="R24" i="17"/>
  <c r="R25" i="17"/>
  <c r="G24" i="17"/>
  <c r="G25" i="17"/>
  <c r="C24" i="17"/>
  <c r="C25" i="17"/>
  <c r="L24" i="17"/>
  <c r="L25" i="17"/>
  <c r="J24" i="17"/>
  <c r="J25" i="17"/>
  <c r="N24" i="17"/>
  <c r="N25" i="17"/>
  <c r="Q24" i="17"/>
  <c r="Q25" i="17"/>
  <c r="F24" i="17"/>
  <c r="F25" i="17"/>
  <c r="D24" i="17"/>
  <c r="D25" i="17"/>
  <c r="I24" i="17"/>
  <c r="I25" i="17"/>
  <c r="M24" i="17"/>
  <c r="M25" i="17"/>
  <c r="E24" i="17"/>
  <c r="E25" i="17"/>
  <c r="Q22" i="17"/>
  <c r="Q23" i="17"/>
  <c r="F22" i="17"/>
  <c r="F23" i="17"/>
  <c r="I22" i="17"/>
  <c r="I23" i="17"/>
  <c r="M22" i="17"/>
  <c r="M23" i="17"/>
  <c r="P22" i="17"/>
  <c r="P23" i="17"/>
  <c r="Y22" i="17"/>
  <c r="Y23" i="17"/>
  <c r="H22" i="17"/>
  <c r="H23" i="17"/>
  <c r="L22" i="17"/>
  <c r="L23" i="17"/>
  <c r="C22" i="17"/>
  <c r="C23" i="17"/>
  <c r="K22" i="17"/>
  <c r="K23" i="17"/>
  <c r="O22" i="17"/>
  <c r="O23" i="17"/>
  <c r="R22" i="17"/>
  <c r="R23" i="17"/>
  <c r="G22" i="17"/>
  <c r="G23" i="17"/>
  <c r="D22" i="17"/>
  <c r="D23" i="17"/>
  <c r="J22" i="17"/>
  <c r="J23" i="17"/>
  <c r="N22" i="17"/>
  <c r="N23" i="17"/>
  <c r="E22" i="17"/>
  <c r="E23" i="17"/>
  <c r="A30" i="19"/>
  <c r="A29" i="19"/>
  <c r="A27" i="19"/>
  <c r="A26" i="19"/>
  <c r="A25" i="19"/>
  <c r="A24" i="19"/>
  <c r="A23" i="19"/>
  <c r="A22" i="19"/>
  <c r="AD2" i="19"/>
  <c r="AC2" i="19"/>
  <c r="AB2" i="19"/>
  <c r="Z2" i="19"/>
  <c r="Y2" i="19"/>
  <c r="C2" i="19"/>
  <c r="B2" i="19"/>
  <c r="A2" i="19"/>
  <c r="A1" i="19"/>
  <c r="F37" i="18"/>
  <c r="A37" i="18"/>
  <c r="A36" i="18"/>
  <c r="A12" i="18"/>
  <c r="L11" i="18"/>
  <c r="K11" i="18"/>
  <c r="I11" i="18"/>
  <c r="H11" i="18"/>
  <c r="F11" i="18"/>
  <c r="L7" i="18"/>
  <c r="I7" i="18"/>
  <c r="F7" i="18"/>
  <c r="D7" i="18"/>
  <c r="J5" i="18"/>
  <c r="G5" i="18"/>
  <c r="A5" i="18"/>
  <c r="A2" i="18"/>
  <c r="E1" i="18"/>
  <c r="E1" i="12" l="1"/>
  <c r="E1" i="10"/>
  <c r="E1" i="8"/>
  <c r="E1" i="1"/>
  <c r="A30" i="13" l="1"/>
  <c r="A29" i="13"/>
  <c r="A27" i="13"/>
  <c r="A26" i="13"/>
  <c r="A25" i="13"/>
  <c r="A24" i="13"/>
  <c r="A23" i="13"/>
  <c r="A22" i="13"/>
  <c r="A30" i="11"/>
  <c r="A29" i="11"/>
  <c r="A27" i="11"/>
  <c r="A26" i="11"/>
  <c r="A25" i="11"/>
  <c r="A24" i="11"/>
  <c r="A23" i="11"/>
  <c r="A22" i="11"/>
  <c r="A30" i="9" l="1"/>
  <c r="A29" i="9"/>
  <c r="A27" i="9"/>
  <c r="A26" i="9"/>
  <c r="A25" i="9"/>
  <c r="A24" i="9"/>
  <c r="A23" i="9"/>
  <c r="A22" i="9"/>
  <c r="B25" i="21" l="1"/>
  <c r="B30" i="21"/>
  <c r="B23" i="21"/>
  <c r="B29" i="21"/>
  <c r="B22" i="21"/>
  <c r="B26" i="21"/>
  <c r="B24" i="21"/>
  <c r="B27" i="21"/>
  <c r="AE4" i="17"/>
  <c r="A30" i="17"/>
  <c r="A29" i="17"/>
  <c r="A27" i="17"/>
  <c r="A26" i="17"/>
  <c r="A25" i="17"/>
  <c r="A24" i="17"/>
  <c r="A23" i="17"/>
  <c r="A22" i="17"/>
  <c r="AF3" i="17" l="1"/>
  <c r="AF5" i="17" s="1"/>
  <c r="Z3" i="17"/>
  <c r="AC3" i="17"/>
  <c r="AC5" i="17" s="1"/>
  <c r="AB3" i="17"/>
  <c r="AB5" i="17" s="1"/>
  <c r="AD3" i="17"/>
  <c r="AD5" i="17" s="1"/>
  <c r="AD2" i="13"/>
  <c r="AC2" i="13"/>
  <c r="AB2" i="13"/>
  <c r="AF2" i="9"/>
  <c r="AD2" i="9"/>
  <c r="AC2" i="9"/>
  <c r="AB2" i="9"/>
  <c r="AF2" i="17" l="1"/>
  <c r="AD2" i="17"/>
  <c r="AC2" i="17"/>
  <c r="AB2" i="17"/>
  <c r="G36" i="1"/>
  <c r="Z2" i="17" l="1"/>
  <c r="Y2" i="17"/>
  <c r="C2" i="17"/>
  <c r="B2" i="17"/>
  <c r="A2" i="17"/>
  <c r="A1" i="17"/>
  <c r="A4" i="17"/>
  <c r="A5" i="17"/>
  <c r="A1" i="13" l="1"/>
  <c r="A1" i="11"/>
  <c r="A1" i="9"/>
  <c r="A36" i="12"/>
  <c r="A37" i="12"/>
  <c r="J5" i="12"/>
  <c r="G5" i="12"/>
  <c r="A5" i="12"/>
  <c r="J5" i="10"/>
  <c r="G5" i="10"/>
  <c r="A5" i="10"/>
  <c r="A36" i="10"/>
  <c r="A37" i="10"/>
  <c r="A36" i="8"/>
  <c r="A37" i="8"/>
  <c r="J5" i="8"/>
  <c r="G5" i="8"/>
  <c r="A5" i="8"/>
  <c r="A37" i="1"/>
  <c r="A36" i="1"/>
  <c r="G5" i="1"/>
  <c r="A5" i="1"/>
  <c r="Y2" i="9"/>
  <c r="Y2" i="11"/>
  <c r="Y2" i="13"/>
  <c r="Z2" i="9" l="1"/>
  <c r="Z2" i="11"/>
  <c r="C2" i="9"/>
  <c r="B2" i="9"/>
  <c r="A2" i="9"/>
  <c r="C2" i="11"/>
  <c r="B2" i="11"/>
  <c r="A2" i="11"/>
  <c r="C2" i="13"/>
  <c r="B2" i="13"/>
  <c r="A2" i="13"/>
  <c r="Z2" i="13"/>
  <c r="F37" i="1"/>
  <c r="F37" i="8"/>
  <c r="F37" i="10"/>
  <c r="A12" i="1"/>
  <c r="L11" i="1"/>
  <c r="K11" i="1"/>
  <c r="I11" i="1"/>
  <c r="H11" i="1"/>
  <c r="F11" i="1"/>
  <c r="A12" i="8"/>
  <c r="L11" i="8"/>
  <c r="I11" i="8"/>
  <c r="H11" i="8"/>
  <c r="F11" i="8"/>
  <c r="A12" i="10"/>
  <c r="L11" i="10"/>
  <c r="I11" i="10"/>
  <c r="H11" i="10"/>
  <c r="F11" i="10"/>
  <c r="L7" i="1"/>
  <c r="I7" i="1"/>
  <c r="F7" i="1"/>
  <c r="D7" i="1"/>
  <c r="L7" i="8"/>
  <c r="I7" i="8"/>
  <c r="F7" i="8"/>
  <c r="D7" i="8"/>
  <c r="L7" i="10"/>
  <c r="I7" i="10"/>
  <c r="F7" i="10"/>
  <c r="D7" i="10"/>
  <c r="A2" i="1"/>
  <c r="A2" i="8"/>
  <c r="A2" i="10"/>
  <c r="F37" i="12"/>
  <c r="L11" i="12"/>
  <c r="I11" i="12"/>
  <c r="H11" i="12"/>
  <c r="F11" i="12"/>
  <c r="A12" i="12"/>
  <c r="L7" i="12"/>
  <c r="I7" i="12"/>
  <c r="F7" i="12"/>
  <c r="D7" i="12"/>
  <c r="A2" i="12"/>
  <c r="B25" i="13" l="1"/>
  <c r="B22" i="13"/>
  <c r="B23" i="13"/>
  <c r="B30" i="13"/>
  <c r="B27" i="13"/>
  <c r="B24" i="13"/>
  <c r="B29" i="13"/>
  <c r="B26" i="13"/>
  <c r="Z4" i="17"/>
  <c r="N4" i="17"/>
  <c r="T22" i="9"/>
  <c r="E22" i="9"/>
  <c r="B29" i="17"/>
  <c r="Q4" i="17"/>
  <c r="J4" i="17"/>
  <c r="H4" i="17"/>
  <c r="B27" i="9"/>
  <c r="U22" i="9"/>
  <c r="L4" i="17"/>
  <c r="Y4" i="17"/>
  <c r="H22" i="9"/>
  <c r="B22" i="9"/>
  <c r="P22" i="9"/>
  <c r="B27" i="17"/>
  <c r="J22" i="9"/>
  <c r="AF4" i="17"/>
  <c r="G22" i="9"/>
  <c r="W22" i="9"/>
  <c r="B24" i="17"/>
  <c r="C22" i="9"/>
  <c r="AD4" i="17"/>
  <c r="AC4" i="17"/>
  <c r="R22" i="9"/>
  <c r="B24" i="9"/>
  <c r="M22" i="9"/>
  <c r="O22" i="9"/>
  <c r="I4" i="17"/>
  <c r="D4" i="17"/>
  <c r="G4" i="17"/>
  <c r="B29" i="9"/>
  <c r="S22" i="9"/>
  <c r="M4" i="17"/>
  <c r="R4" i="17"/>
  <c r="B23" i="17"/>
  <c r="F22" i="9"/>
  <c r="K22" i="9"/>
  <c r="N22" i="9"/>
  <c r="B26" i="9"/>
  <c r="D22" i="9"/>
  <c r="B25" i="9"/>
  <c r="B30" i="9"/>
  <c r="B22" i="17"/>
  <c r="Y22" i="9"/>
  <c r="B26" i="17"/>
  <c r="V22" i="9"/>
  <c r="B25" i="17"/>
  <c r="C4" i="17"/>
  <c r="P4" i="17"/>
  <c r="I22" i="9"/>
  <c r="L22" i="9"/>
  <c r="AB4" i="17"/>
  <c r="F4" i="17"/>
  <c r="B30" i="17"/>
  <c r="Q22" i="9"/>
  <c r="O4" i="17"/>
  <c r="K4" i="17"/>
  <c r="B23" i="9"/>
  <c r="E4" i="17"/>
  <c r="Z5" i="17" l="1"/>
  <c r="C5" i="17"/>
  <c r="D5" i="17"/>
  <c r="L5" i="17"/>
  <c r="N5" i="17"/>
  <c r="M5" i="17"/>
  <c r="J5" i="17"/>
  <c r="G5" i="17"/>
  <c r="Y5" i="17"/>
  <c r="Q5" i="17"/>
  <c r="K5" i="17"/>
  <c r="I5" i="17"/>
  <c r="F5" i="17"/>
  <c r="R5" i="17"/>
  <c r="H5" i="17"/>
  <c r="E5" i="17"/>
  <c r="O5" i="17"/>
  <c r="P5" i="17"/>
</calcChain>
</file>

<file path=xl/sharedStrings.xml><?xml version="1.0" encoding="utf-8"?>
<sst xmlns="http://schemas.openxmlformats.org/spreadsheetml/2006/main" count="461" uniqueCount="238">
  <si>
    <t>Nage no kata</t>
  </si>
  <si>
    <t>Nachname</t>
  </si>
  <si>
    <t>Vorname</t>
  </si>
  <si>
    <t>Verein</t>
  </si>
  <si>
    <t>Land</t>
  </si>
  <si>
    <t>Technik vergessen</t>
  </si>
  <si>
    <t>Technik</t>
  </si>
  <si>
    <t>Angrüßen</t>
  </si>
  <si>
    <t>Te-waza</t>
  </si>
  <si>
    <t>Uki otoshi</t>
  </si>
  <si>
    <t>Seoi nage</t>
  </si>
  <si>
    <t>Kata guruma</t>
  </si>
  <si>
    <t>Koshi-waza</t>
  </si>
  <si>
    <t>Uki goshi</t>
  </si>
  <si>
    <t>Harai goshi</t>
  </si>
  <si>
    <t>Tsuri komi goshi</t>
  </si>
  <si>
    <t>Ashi-waza</t>
  </si>
  <si>
    <t>Okuri ashi barai</t>
  </si>
  <si>
    <t>Sasae tsuri komi ashi</t>
  </si>
  <si>
    <t>Uchi mata</t>
  </si>
  <si>
    <t>Ma-sutemi-w.</t>
  </si>
  <si>
    <t>Tomoe nage</t>
  </si>
  <si>
    <t>Ura nage</t>
  </si>
  <si>
    <t>Sumi gaeshi</t>
  </si>
  <si>
    <t>Yoko-sutemi-w.</t>
  </si>
  <si>
    <t>Yoko gake</t>
  </si>
  <si>
    <t>Yoko guruma</t>
  </si>
  <si>
    <t>Uki waza</t>
  </si>
  <si>
    <t>Abgrüßen</t>
  </si>
  <si>
    <t>Tori</t>
  </si>
  <si>
    <t>Uke</t>
  </si>
  <si>
    <t>Bogen:</t>
  </si>
  <si>
    <t>Auswertung:</t>
  </si>
  <si>
    <t>Logik für die Auswertung eines Paares (bester/schlechstester streichen usw.)</t>
  </si>
  <si>
    <t>Doku: Diese Seite.</t>
  </si>
  <si>
    <t>Im Bogen:</t>
  </si>
  <si>
    <t>Felder für den Generator:</t>
  </si>
  <si>
    <t>Bewerternamen</t>
  </si>
  <si>
    <t>Datum der Meisterschaft</t>
  </si>
  <si>
    <t>Paar Nummer (Startnummer)</t>
  </si>
  <si>
    <t>Position des Bewerters (WR1-WR5, H1-H2, Springer, Ersatz)</t>
  </si>
  <si>
    <t>Gesamt</t>
  </si>
  <si>
    <t>Position</t>
  </si>
  <si>
    <t>Name</t>
  </si>
  <si>
    <t>In der Auswertung:</t>
  </si>
  <si>
    <t>Gesetzt werden vom Generator die Blattnamen in der Spalte A ab Zeile 7</t>
  </si>
  <si>
    <t>Katame no kata</t>
  </si>
  <si>
    <t>Osae Komi Waza</t>
  </si>
  <si>
    <t>Kesa gatame</t>
  </si>
  <si>
    <t>Kata gatame</t>
  </si>
  <si>
    <t>Kami shiho gatame</t>
  </si>
  <si>
    <t>Yoko shiho gatame</t>
  </si>
  <si>
    <t>Kuzure kami shiho gatame</t>
  </si>
  <si>
    <t>Shime Waza</t>
  </si>
  <si>
    <t>Kata juji jime</t>
  </si>
  <si>
    <t>Hadaka jime</t>
  </si>
  <si>
    <t>Okuri eri jime</t>
  </si>
  <si>
    <t>Kata ha jime</t>
  </si>
  <si>
    <t>Gyaku juji jime</t>
  </si>
  <si>
    <t>Kansetsu Waza</t>
  </si>
  <si>
    <t>Ude garami</t>
  </si>
  <si>
    <t>Udehishigi juji gatame</t>
  </si>
  <si>
    <t>Udehishigi ude gatame</t>
  </si>
  <si>
    <t>Udehishigi hiza gatame</t>
  </si>
  <si>
    <t>Ashi garami</t>
  </si>
  <si>
    <t>Großer Fehler</t>
  </si>
  <si>
    <t>Mittlerer Fehler</t>
  </si>
  <si>
    <t>Kleiner Fehler</t>
  </si>
  <si>
    <t>Ju no kata</t>
  </si>
  <si>
    <t>Ikkyo</t>
  </si>
  <si>
    <t>Tsuki Dashi</t>
  </si>
  <si>
    <t>Kata oshi</t>
  </si>
  <si>
    <t>Ryo te dori</t>
  </si>
  <si>
    <t>Kata mawashi</t>
  </si>
  <si>
    <t>Ago oshi</t>
  </si>
  <si>
    <t>Nikyo</t>
  </si>
  <si>
    <t>Kiri oroshi</t>
  </si>
  <si>
    <t>Ryo kata oshi</t>
  </si>
  <si>
    <t>Naname uchi</t>
  </si>
  <si>
    <t>Kata te dori</t>
  </si>
  <si>
    <t>Kata te age</t>
  </si>
  <si>
    <t>Sankyo</t>
  </si>
  <si>
    <t>Obi tori</t>
  </si>
  <si>
    <t>Mune oshi</t>
  </si>
  <si>
    <t>Tsuki age</t>
  </si>
  <si>
    <t>Uchi oroshi</t>
  </si>
  <si>
    <t>Ryogan tsuki</t>
  </si>
  <si>
    <t>Kime no kata</t>
  </si>
  <si>
    <t>Idori</t>
  </si>
  <si>
    <t>ohne Waffen</t>
  </si>
  <si>
    <t>Ryote dori</t>
  </si>
  <si>
    <t>Tsukkake</t>
  </si>
  <si>
    <t>Suri age</t>
  </si>
  <si>
    <t>Yoko uchi</t>
  </si>
  <si>
    <t>Ushiro dori</t>
  </si>
  <si>
    <t>Messer</t>
  </si>
  <si>
    <t>Tsukkomi</t>
  </si>
  <si>
    <t>Kiri komi</t>
  </si>
  <si>
    <t>Yoko tsuki</t>
  </si>
  <si>
    <t>Tachiai</t>
  </si>
  <si>
    <t>Sode dori</t>
  </si>
  <si>
    <t>Ke age</t>
  </si>
  <si>
    <t>Schwert</t>
  </si>
  <si>
    <t>Nuki gake</t>
  </si>
  <si>
    <t>Kodokan goshin jutsu</t>
  </si>
  <si>
    <t>Halten und Würgen</t>
  </si>
  <si>
    <t>Hidari eri dori</t>
  </si>
  <si>
    <t>Migi eri dori</t>
  </si>
  <si>
    <t>Kata ude dori</t>
  </si>
  <si>
    <t>Ushiro eri dori</t>
  </si>
  <si>
    <t>Ushiro jime</t>
  </si>
  <si>
    <t>Kakae dori</t>
  </si>
  <si>
    <t>Schlagen und treten</t>
  </si>
  <si>
    <t>Ago tsuki</t>
  </si>
  <si>
    <t>Ganmen tsuki</t>
  </si>
  <si>
    <t>Mae geri</t>
  </si>
  <si>
    <t>Yoko geri</t>
  </si>
  <si>
    <t>Choku tsuki</t>
  </si>
  <si>
    <t>Naname tsuki</t>
  </si>
  <si>
    <t>Stock</t>
  </si>
  <si>
    <t>Furi age</t>
  </si>
  <si>
    <t>Furi oroshi</t>
  </si>
  <si>
    <t>Morote tsuki</t>
  </si>
  <si>
    <t>Pistole</t>
  </si>
  <si>
    <t>Shomen zuke</t>
  </si>
  <si>
    <t>Koshi gamae</t>
  </si>
  <si>
    <t>Haimen zuke</t>
  </si>
  <si>
    <t>Koshiki no kata</t>
  </si>
  <si>
    <t>Omote</t>
  </si>
  <si>
    <t>Tai</t>
  </si>
  <si>
    <t>Yume no uchi</t>
  </si>
  <si>
    <t>Ryoku hi</t>
  </si>
  <si>
    <t>Mizu guruma</t>
  </si>
  <si>
    <t>Mizu nagare</t>
  </si>
  <si>
    <t>Hiki otoshi</t>
  </si>
  <si>
    <t>Ko daore</t>
  </si>
  <si>
    <t>Uchi kudaki</t>
  </si>
  <si>
    <t>Tani otoshi</t>
  </si>
  <si>
    <t>Kuruma daore</t>
  </si>
  <si>
    <t>Shikoro dori</t>
  </si>
  <si>
    <t>Shikoro gaeshi</t>
  </si>
  <si>
    <t>Yu dachi</t>
  </si>
  <si>
    <t>Taki otoshi</t>
  </si>
  <si>
    <t>Ura</t>
  </si>
  <si>
    <t>Mi kudaki</t>
  </si>
  <si>
    <t>Kuruma gaeshi</t>
  </si>
  <si>
    <t>Mizu iri</t>
  </si>
  <si>
    <t>Ryu setsu</t>
  </si>
  <si>
    <t>Saka otoshi</t>
  </si>
  <si>
    <t>Yuki ore</t>
  </si>
  <si>
    <t>Iwa nami</t>
  </si>
  <si>
    <t>Uchi kodaki</t>
  </si>
  <si>
    <t>Kuruma daoshi</t>
  </si>
  <si>
    <t>Shikoro daeshi</t>
  </si>
  <si>
    <t>Yudachi</t>
  </si>
  <si>
    <t>Championship Type</t>
  </si>
  <si>
    <t>Chamionship Name</t>
  </si>
  <si>
    <t xml:space="preserve">Judge </t>
  </si>
  <si>
    <t>Bewerter</t>
  </si>
  <si>
    <t>ChampionshipDate</t>
  </si>
  <si>
    <t>Datum</t>
  </si>
  <si>
    <t>The following fields - descriptors and values - will be set by the generator:</t>
  </si>
  <si>
    <t>Startnummer</t>
  </si>
  <si>
    <t>Surename</t>
  </si>
  <si>
    <t>Given name</t>
  </si>
  <si>
    <t>Club</t>
  </si>
  <si>
    <t>Affiliation</t>
  </si>
  <si>
    <t>Technique</t>
  </si>
  <si>
    <t>small</t>
  </si>
  <si>
    <t>medium</t>
  </si>
  <si>
    <t>big</t>
  </si>
  <si>
    <t>omit</t>
  </si>
  <si>
    <t>score</t>
  </si>
  <si>
    <t>sum</t>
  </si>
  <si>
    <t>Summe Fehler und Punkte</t>
  </si>
  <si>
    <t>Judge position</t>
  </si>
  <si>
    <t>Transcript checked</t>
  </si>
  <si>
    <t>Übertrag ok?</t>
  </si>
  <si>
    <t>Pair</t>
  </si>
  <si>
    <t>Paarung</t>
  </si>
  <si>
    <t>Average</t>
  </si>
  <si>
    <t>Mittelwert</t>
  </si>
  <si>
    <t>StdDev</t>
  </si>
  <si>
    <t>Standardabweichung</t>
  </si>
  <si>
    <t>Span</t>
  </si>
  <si>
    <t>Spannweite</t>
  </si>
  <si>
    <t>JudgeDesignation</t>
  </si>
  <si>
    <t>Opening</t>
  </si>
  <si>
    <t>Closing</t>
  </si>
  <si>
    <t>Paar Nr</t>
  </si>
  <si>
    <t>Blanko-Seite als Template für den Generator. Die Parameter unten werden vom Generator überschrieben.</t>
  </si>
  <si>
    <t>Prozentuale Abweichung</t>
  </si>
  <si>
    <t>Abweichungstabelle</t>
  </si>
  <si>
    <t>Meisterschaftsname</t>
  </si>
  <si>
    <t>Ausrichter</t>
  </si>
  <si>
    <t>E5</t>
  </si>
  <si>
    <t>Leere Zeilen oder Spalten sind vorhanden (und ausgeblendet) um das Zellen-Layout über alle Kata gleich  zu halten. Insbesondere, um  unterschiedliche Anzahl von Techniken zu kompensieren.</t>
  </si>
  <si>
    <t>E1</t>
  </si>
  <si>
    <t>Name der Meisterschaft</t>
  </si>
  <si>
    <t>A2</t>
  </si>
  <si>
    <t>H5</t>
  </si>
  <si>
    <t>K5</t>
  </si>
  <si>
    <t>D8 .. K9</t>
  </si>
  <si>
    <t>Tori &amp; Uke Daten</t>
  </si>
  <si>
    <t>E37</t>
  </si>
  <si>
    <t>Korrektur</t>
  </si>
  <si>
    <t>correction</t>
  </si>
  <si>
    <t>x</t>
  </si>
  <si>
    <t>+</t>
  </si>
  <si>
    <t>-</t>
  </si>
  <si>
    <t>Korrektur +0,5</t>
  </si>
  <si>
    <t>Korrektur -0,5</t>
  </si>
  <si>
    <t>Fehler/vergessene Technik:</t>
  </si>
  <si>
    <t>Jugendpokal</t>
  </si>
  <si>
    <t>Uki otoshi Rechts</t>
  </si>
  <si>
    <t>Uki otoshi Links</t>
  </si>
  <si>
    <t>Seoi nage Rechts</t>
  </si>
  <si>
    <t>Seoi nage Links</t>
  </si>
  <si>
    <t>Kata guruma Rechts</t>
  </si>
  <si>
    <t>Kata guruma Links</t>
  </si>
  <si>
    <t>Uki goshi Rechts</t>
  </si>
  <si>
    <t>Uki goshi Links</t>
  </si>
  <si>
    <t>Harai Goshi Rechts</t>
  </si>
  <si>
    <t>Harai Goshi Links</t>
  </si>
  <si>
    <t>Tsuri komi goshi Rechts</t>
  </si>
  <si>
    <t>Tsuri komi goshi Links</t>
  </si>
  <si>
    <t>Okuri ashi barai Rechts</t>
  </si>
  <si>
    <t>Okuri ashi barai Links</t>
  </si>
  <si>
    <t>Sasae tsuri komi ashi Rechts</t>
  </si>
  <si>
    <t>Sasae tsuri komi ashi Links</t>
  </si>
  <si>
    <t>Uchi Mata Rechts</t>
  </si>
  <si>
    <t>Uchi Mata Links</t>
  </si>
  <si>
    <t>Gesamt:</t>
  </si>
  <si>
    <t>Tsuki dashi</t>
  </si>
  <si>
    <t>Uchi mata Rechts</t>
  </si>
  <si>
    <t>Uchi mata Links</t>
  </si>
  <si>
    <t>Harai goshi Rechts</t>
  </si>
  <si>
    <t>Harai goshi Links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</si>
</sst>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42" x14ac:knownFonts="1"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b/>
      <sz val="20"/>
      <name val="Calibri"/>
      <family val="2"/>
      <scheme val="minor"/>
    </font>
    <font>
      <i/>
      <sz val="18"/>
      <name val="Calibri"/>
      <family val="2"/>
      <scheme val="minor"/>
    </font>
    <font>
      <i/>
      <sz val="15"/>
      <name val="Calibri"/>
      <family val="2"/>
      <scheme val="minor"/>
    </font>
    <font>
      <b/>
      <sz val="11"/>
      <name val="Calibri"/>
      <family val="2"/>
      <scheme val="minor"/>
    </font>
    <font>
      <sz val="14"/>
      <name val="Calibri"/>
      <family val="2"/>
      <scheme val="minor"/>
    </font>
    <font>
      <b/>
      <sz val="14"/>
      <name val="Calibri"/>
      <family val="2"/>
      <scheme val="minor"/>
    </font>
    <font>
      <b/>
      <sz val="16"/>
      <name val="Calibri"/>
      <family val="2"/>
      <scheme val="minor"/>
    </font>
    <font>
      <sz val="16"/>
      <name val="Calibri"/>
      <family val="2"/>
      <scheme val="minor"/>
    </font>
    <font>
      <sz val="16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24"/>
      <name val="Calibri"/>
      <family val="2"/>
      <scheme val="minor"/>
    </font>
    <font>
      <b/>
      <sz val="10"/>
      <name val="Calibri"/>
      <family val="2"/>
      <scheme val="minor"/>
    </font>
    <font>
      <b/>
      <i/>
      <sz val="36"/>
      <name val="Calibri"/>
      <family val="2"/>
      <scheme val="minor"/>
    </font>
    <font>
      <sz val="22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3"/>
      <name val="Calibri"/>
      <family val="2"/>
      <scheme val="minor"/>
    </font>
    <font>
      <sz val="10"/>
      <name val="Arial"/>
      <family val="2"/>
    </font>
    <font>
      <b/>
      <i/>
      <sz val="24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name val="Calibri"/>
      <family val="2"/>
      <scheme val="minor"/>
    </font>
    <font>
      <b/>
      <i/>
      <sz val="28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8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1"/>
      <name val="Lucida Console"/>
      <family val="3"/>
    </font>
    <font>
      <sz val="10"/>
      <color theme="1"/>
      <name val="Lucida Console"/>
      <family val="3"/>
    </font>
    <font>
      <sz val="10"/>
      <color theme="1"/>
      <name val="Calibri"/>
      <family val="2"/>
    </font>
    <font>
      <b/>
      <sz val="10"/>
      <color rgb="FF3366FF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9"/>
      <color theme="1"/>
      <name val="Lucida Console"/>
      <family val="3"/>
    </font>
    <font>
      <b/>
      <sz val="9"/>
      <color theme="1"/>
      <name val="Lucida Console"/>
      <family val="3"/>
    </font>
    <font>
      <b/>
      <sz val="9"/>
      <color rgb="FF3366FF"/>
      <name val="Lucida Console"/>
      <family val="3"/>
    </font>
    <font>
      <sz val="9"/>
      <color theme="1" tint="0.499984740745262"/>
      <name val="Lucida Console"/>
      <family val="3"/>
    </font>
    <font>
      <sz val="9"/>
      <color theme="1"/>
      <name val="Calibri"/>
      <family val="2"/>
      <scheme val="minor"/>
    </font>
    <font>
      <b/>
      <sz val="18"/>
      <color theme="0" tint="-0.249977111117893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</fills>
  <borders count="9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/>
      <diagonal/>
    </border>
    <border>
      <left style="thick">
        <color indexed="64"/>
      </left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hair">
        <color indexed="64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ck">
        <color indexed="64"/>
      </right>
      <top style="medium">
        <color indexed="64"/>
      </top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/>
      <bottom style="hair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hair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 style="thick">
        <color indexed="64"/>
      </right>
      <top style="hair">
        <color indexed="64"/>
      </top>
      <bottom/>
      <diagonal/>
    </border>
    <border>
      <left style="thick">
        <color indexed="64"/>
      </left>
      <right style="thick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22" fillId="0" borderId="0"/>
    <xf numFmtId="9" fontId="28" fillId="0" borderId="0" applyFont="0" applyFill="0" applyBorder="0" applyAlignment="0" applyProtection="0"/>
  </cellStyleXfs>
  <cellXfs count="390">
    <xf numFmtId="0" fontId="0" fillId="0" borderId="0" xfId="0"/>
    <xf numFmtId="0" fontId="1" fillId="0" borderId="0" xfId="0" applyFont="1" applyAlignment="1" applyProtection="1">
      <alignment vertical="center"/>
      <protection hidden="1"/>
    </xf>
    <xf numFmtId="0" fontId="2" fillId="0" borderId="0" xfId="0" applyFont="1" applyAlignment="1" applyProtection="1">
      <alignment vertical="center"/>
      <protection hidden="1"/>
    </xf>
    <xf numFmtId="0" fontId="2" fillId="0" borderId="0" xfId="0" applyFont="1" applyAlignment="1" applyProtection="1">
      <alignment horizontal="left" vertical="center"/>
      <protection hidden="1"/>
    </xf>
    <xf numFmtId="0" fontId="6" fillId="0" borderId="0" xfId="0" applyFont="1" applyAlignment="1" applyProtection="1">
      <alignment vertical="center"/>
      <protection hidden="1"/>
    </xf>
    <xf numFmtId="0" fontId="7" fillId="2" borderId="23" xfId="0" applyFont="1" applyFill="1" applyBorder="1" applyAlignment="1" applyProtection="1">
      <alignment horizontal="center" vertical="center"/>
      <protection hidden="1"/>
    </xf>
    <xf numFmtId="0" fontId="7" fillId="2" borderId="27" xfId="0" applyFont="1" applyFill="1" applyBorder="1" applyAlignment="1" applyProtection="1">
      <alignment horizontal="center" vertical="center"/>
      <protection hidden="1"/>
    </xf>
    <xf numFmtId="0" fontId="7" fillId="2" borderId="30" xfId="0" applyFont="1" applyFill="1" applyBorder="1" applyAlignment="1" applyProtection="1">
      <alignment horizontal="center" vertical="center"/>
      <protection hidden="1"/>
    </xf>
    <xf numFmtId="0" fontId="7" fillId="2" borderId="32" xfId="0" applyFont="1" applyFill="1" applyBorder="1" applyAlignment="1" applyProtection="1">
      <alignment horizontal="center" vertical="center"/>
      <protection hidden="1"/>
    </xf>
    <xf numFmtId="0" fontId="7" fillId="2" borderId="33" xfId="0" applyFont="1" applyFill="1" applyBorder="1" applyAlignment="1" applyProtection="1">
      <alignment horizontal="center" vertical="center"/>
      <protection hidden="1"/>
    </xf>
    <xf numFmtId="0" fontId="7" fillId="2" borderId="34" xfId="0" applyFont="1" applyFill="1" applyBorder="1" applyAlignment="1" applyProtection="1">
      <alignment horizontal="center" vertical="center"/>
      <protection hidden="1"/>
    </xf>
    <xf numFmtId="0" fontId="10" fillId="0" borderId="0" xfId="0" applyFont="1" applyAlignment="1" applyProtection="1">
      <alignment vertical="center"/>
      <protection hidden="1"/>
    </xf>
    <xf numFmtId="0" fontId="9" fillId="2" borderId="5" xfId="0" applyFont="1" applyFill="1" applyBorder="1" applyAlignment="1" applyProtection="1">
      <alignment horizontal="center" vertical="center" wrapText="1"/>
      <protection hidden="1"/>
    </xf>
    <xf numFmtId="0" fontId="13" fillId="0" borderId="0" xfId="0" applyFont="1" applyAlignment="1" applyProtection="1">
      <alignment vertical="center"/>
      <protection hidden="1"/>
    </xf>
    <xf numFmtId="0" fontId="13" fillId="0" borderId="0" xfId="0" applyFont="1" applyAlignment="1" applyProtection="1">
      <alignment horizontal="center" vertical="center"/>
      <protection hidden="1"/>
    </xf>
    <xf numFmtId="0" fontId="9" fillId="0" borderId="0" xfId="0" applyFont="1" applyAlignment="1" applyProtection="1">
      <alignment vertical="center"/>
      <protection hidden="1"/>
    </xf>
    <xf numFmtId="0" fontId="9" fillId="0" borderId="0" xfId="0" applyFont="1" applyAlignment="1" applyProtection="1">
      <alignment horizontal="right" vertical="center"/>
      <protection hidden="1"/>
    </xf>
    <xf numFmtId="0" fontId="4" fillId="0" borderId="10" xfId="0" applyFont="1" applyBorder="1" applyAlignment="1" applyProtection="1">
      <alignment horizontal="center" vertical="center"/>
      <protection locked="0" hidden="1"/>
    </xf>
    <xf numFmtId="0" fontId="4" fillId="0" borderId="15" xfId="0" applyFont="1" applyBorder="1" applyAlignment="1" applyProtection="1">
      <alignment horizontal="center" vertical="center"/>
      <protection locked="0" hidden="1"/>
    </xf>
    <xf numFmtId="0" fontId="12" fillId="0" borderId="0" xfId="0" applyFont="1"/>
    <xf numFmtId="0" fontId="11" fillId="0" borderId="0" xfId="0" applyFont="1"/>
    <xf numFmtId="0" fontId="17" fillId="0" borderId="0" xfId="0" applyFont="1"/>
    <xf numFmtId="0" fontId="9" fillId="0" borderId="0" xfId="0" applyFont="1" applyAlignment="1" applyProtection="1">
      <alignment vertical="center"/>
      <protection locked="0" hidden="1"/>
    </xf>
    <xf numFmtId="0" fontId="18" fillId="0" borderId="0" xfId="0" applyFont="1"/>
    <xf numFmtId="0" fontId="10" fillId="0" borderId="0" xfId="0" applyFont="1"/>
    <xf numFmtId="0" fontId="19" fillId="0" borderId="0" xfId="0" applyFont="1"/>
    <xf numFmtId="0" fontId="3" fillId="3" borderId="25" xfId="0" applyFont="1" applyFill="1" applyBorder="1" applyAlignment="1" applyProtection="1">
      <alignment horizontal="center" vertical="center"/>
      <protection locked="0" hidden="1"/>
    </xf>
    <xf numFmtId="0" fontId="20" fillId="0" borderId="0" xfId="0" applyFont="1"/>
    <xf numFmtId="0" fontId="19" fillId="0" borderId="0" xfId="0" applyFont="1" applyAlignment="1">
      <alignment textRotation="90"/>
    </xf>
    <xf numFmtId="0" fontId="0" fillId="0" borderId="0" xfId="0" applyAlignment="1">
      <alignment horizontal="left"/>
    </xf>
    <xf numFmtId="0" fontId="3" fillId="5" borderId="25" xfId="0" applyFont="1" applyFill="1" applyBorder="1" applyAlignment="1" applyProtection="1">
      <alignment horizontal="center" vertical="center"/>
      <protection hidden="1"/>
    </xf>
    <xf numFmtId="0" fontId="3" fillId="5" borderId="48" xfId="0" applyFont="1" applyFill="1" applyBorder="1" applyAlignment="1" applyProtection="1">
      <alignment horizontal="center" vertical="center"/>
      <protection locked="0" hidden="1"/>
    </xf>
    <xf numFmtId="0" fontId="2" fillId="4" borderId="35" xfId="0" applyFont="1" applyFill="1" applyBorder="1" applyAlignment="1" applyProtection="1">
      <alignment vertical="center"/>
      <protection hidden="1"/>
    </xf>
    <xf numFmtId="0" fontId="2" fillId="4" borderId="54" xfId="0" applyFont="1" applyFill="1" applyBorder="1" applyAlignment="1" applyProtection="1">
      <alignment vertical="center"/>
      <protection hidden="1"/>
    </xf>
    <xf numFmtId="0" fontId="7" fillId="2" borderId="55" xfId="0" applyFont="1" applyFill="1" applyBorder="1" applyAlignment="1" applyProtection="1">
      <alignment horizontal="center" vertical="center"/>
      <protection hidden="1"/>
    </xf>
    <xf numFmtId="0" fontId="7" fillId="2" borderId="56" xfId="0" applyFont="1" applyFill="1" applyBorder="1" applyAlignment="1" applyProtection="1">
      <alignment horizontal="center" vertical="center"/>
      <protection hidden="1"/>
    </xf>
    <xf numFmtId="0" fontId="7" fillId="2" borderId="58" xfId="0" applyFont="1" applyFill="1" applyBorder="1" applyAlignment="1" applyProtection="1">
      <alignment horizontal="center" vertical="center"/>
      <protection hidden="1"/>
    </xf>
    <xf numFmtId="0" fontId="2" fillId="0" borderId="0" xfId="0" applyFont="1" applyAlignment="1" applyProtection="1">
      <alignment horizontal="center" vertical="center"/>
      <protection hidden="1"/>
    </xf>
    <xf numFmtId="0" fontId="7" fillId="2" borderId="62" xfId="0" applyFont="1" applyFill="1" applyBorder="1" applyAlignment="1" applyProtection="1">
      <alignment horizontal="center" vertical="center"/>
      <protection hidden="1"/>
    </xf>
    <xf numFmtId="0" fontId="16" fillId="4" borderId="40" xfId="0" applyFont="1" applyFill="1" applyBorder="1" applyAlignment="1" applyProtection="1">
      <alignment horizontal="center" vertical="center"/>
      <protection locked="0" hidden="1"/>
    </xf>
    <xf numFmtId="0" fontId="2" fillId="6" borderId="0" xfId="0" applyFont="1" applyFill="1" applyAlignment="1" applyProtection="1">
      <alignment horizontal="center" vertical="center"/>
      <protection hidden="1"/>
    </xf>
    <xf numFmtId="0" fontId="7" fillId="4" borderId="23" xfId="0" applyFont="1" applyFill="1" applyBorder="1" applyAlignment="1" applyProtection="1">
      <alignment horizontal="center" vertical="center"/>
      <protection hidden="1"/>
    </xf>
    <xf numFmtId="0" fontId="7" fillId="2" borderId="72" xfId="0" applyFont="1" applyFill="1" applyBorder="1" applyAlignment="1" applyProtection="1">
      <alignment horizontal="center" vertical="center"/>
      <protection hidden="1"/>
    </xf>
    <xf numFmtId="0" fontId="7" fillId="4" borderId="34" xfId="0" applyFont="1" applyFill="1" applyBorder="1" applyAlignment="1" applyProtection="1">
      <alignment horizontal="center" vertical="center"/>
      <protection hidden="1"/>
    </xf>
    <xf numFmtId="0" fontId="7" fillId="4" borderId="38" xfId="0" applyFont="1" applyFill="1" applyBorder="1" applyAlignment="1" applyProtection="1">
      <alignment vertical="center"/>
      <protection hidden="1"/>
    </xf>
    <xf numFmtId="0" fontId="24" fillId="0" borderId="0" xfId="0" applyFont="1"/>
    <xf numFmtId="0" fontId="7" fillId="2" borderId="21" xfId="0" applyFont="1" applyFill="1" applyBorder="1" applyAlignment="1" applyProtection="1">
      <alignment horizontal="center" vertical="center"/>
      <protection hidden="1"/>
    </xf>
    <xf numFmtId="0" fontId="7" fillId="2" borderId="67" xfId="0" applyFont="1" applyFill="1" applyBorder="1" applyAlignment="1" applyProtection="1">
      <alignment horizontal="center" vertical="center"/>
      <protection hidden="1"/>
    </xf>
    <xf numFmtId="0" fontId="7" fillId="2" borderId="64" xfId="0" applyFont="1" applyFill="1" applyBorder="1" applyAlignment="1" applyProtection="1">
      <alignment horizontal="center" vertical="center"/>
      <protection hidden="1"/>
    </xf>
    <xf numFmtId="0" fontId="7" fillId="2" borderId="22" xfId="0" applyFont="1" applyFill="1" applyBorder="1" applyAlignment="1" applyProtection="1">
      <alignment horizontal="center" vertical="center"/>
      <protection hidden="1"/>
    </xf>
    <xf numFmtId="0" fontId="7" fillId="2" borderId="26" xfId="0" applyFont="1" applyFill="1" applyBorder="1" applyAlignment="1" applyProtection="1">
      <alignment horizontal="center" vertical="center"/>
      <protection hidden="1"/>
    </xf>
    <xf numFmtId="0" fontId="7" fillId="2" borderId="76" xfId="0" applyFont="1" applyFill="1" applyBorder="1" applyAlignment="1" applyProtection="1">
      <alignment horizontal="center" vertical="center"/>
      <protection hidden="1"/>
    </xf>
    <xf numFmtId="0" fontId="7" fillId="2" borderId="68" xfId="0" applyFont="1" applyFill="1" applyBorder="1" applyAlignment="1" applyProtection="1">
      <alignment horizontal="center" vertical="center"/>
      <protection hidden="1"/>
    </xf>
    <xf numFmtId="0" fontId="28" fillId="0" borderId="0" xfId="0" applyFont="1"/>
    <xf numFmtId="0" fontId="3" fillId="5" borderId="28" xfId="0" applyFont="1" applyFill="1" applyBorder="1" applyAlignment="1" applyProtection="1">
      <alignment horizontal="center" vertical="center"/>
      <protection hidden="1"/>
    </xf>
    <xf numFmtId="0" fontId="3" fillId="3" borderId="28" xfId="0" applyFont="1" applyFill="1" applyBorder="1" applyAlignment="1" applyProtection="1">
      <alignment horizontal="center" vertical="center"/>
      <protection locked="0" hidden="1"/>
    </xf>
    <xf numFmtId="0" fontId="3" fillId="5" borderId="46" xfId="0" applyFont="1" applyFill="1" applyBorder="1" applyAlignment="1" applyProtection="1">
      <alignment horizontal="center" vertical="center"/>
      <protection locked="0" hidden="1"/>
    </xf>
    <xf numFmtId="0" fontId="3" fillId="5" borderId="29" xfId="0" applyFont="1" applyFill="1" applyBorder="1" applyAlignment="1" applyProtection="1">
      <alignment horizontal="center" vertical="center"/>
      <protection hidden="1"/>
    </xf>
    <xf numFmtId="0" fontId="3" fillId="3" borderId="29" xfId="0" applyFont="1" applyFill="1" applyBorder="1" applyAlignment="1" applyProtection="1">
      <alignment horizontal="center" vertical="center"/>
      <protection locked="0" hidden="1"/>
    </xf>
    <xf numFmtId="0" fontId="3" fillId="5" borderId="47" xfId="0" applyFont="1" applyFill="1" applyBorder="1" applyAlignment="1" applyProtection="1">
      <alignment horizontal="center" vertical="center"/>
      <protection locked="0" hidden="1"/>
    </xf>
    <xf numFmtId="0" fontId="14" fillId="2" borderId="83" xfId="0" applyFont="1" applyFill="1" applyBorder="1" applyAlignment="1" applyProtection="1">
      <alignment horizontal="center" vertical="center" wrapText="1"/>
      <protection hidden="1"/>
    </xf>
    <xf numFmtId="0" fontId="9" fillId="2" borderId="26" xfId="0" applyFont="1" applyFill="1" applyBorder="1" applyAlignment="1" applyProtection="1">
      <alignment horizontal="center" vertical="center"/>
      <protection hidden="1"/>
    </xf>
    <xf numFmtId="0" fontId="3" fillId="5" borderId="26" xfId="0" applyFont="1" applyFill="1" applyBorder="1" applyAlignment="1" applyProtection="1">
      <alignment horizontal="center" vertical="center"/>
      <protection hidden="1"/>
    </xf>
    <xf numFmtId="0" fontId="3" fillId="3" borderId="26" xfId="0" applyFont="1" applyFill="1" applyBorder="1" applyAlignment="1" applyProtection="1">
      <alignment horizontal="center" vertical="center"/>
      <protection locked="0" hidden="1"/>
    </xf>
    <xf numFmtId="0" fontId="3" fillId="5" borderId="71" xfId="0" applyFont="1" applyFill="1" applyBorder="1" applyAlignment="1" applyProtection="1">
      <alignment horizontal="center" vertical="center"/>
      <protection locked="0" hidden="1"/>
    </xf>
    <xf numFmtId="49" fontId="9" fillId="0" borderId="0" xfId="0" applyNumberFormat="1" applyFont="1" applyAlignment="1" applyProtection="1">
      <alignment vertical="center"/>
      <protection locked="0" hidden="1"/>
    </xf>
    <xf numFmtId="2" fontId="3" fillId="0" borderId="0" xfId="0" applyNumberFormat="1" applyFont="1" applyAlignment="1" applyProtection="1">
      <alignment vertical="center"/>
      <protection hidden="1"/>
    </xf>
    <xf numFmtId="2" fontId="3" fillId="0" borderId="0" xfId="0" applyNumberFormat="1" applyFont="1" applyAlignment="1" applyProtection="1">
      <alignment horizontal="center" vertical="center"/>
      <protection hidden="1"/>
    </xf>
    <xf numFmtId="0" fontId="14" fillId="2" borderId="20" xfId="0" applyFont="1" applyFill="1" applyBorder="1" applyAlignment="1" applyProtection="1">
      <alignment horizontal="center" vertical="center" wrapText="1"/>
      <protection hidden="1"/>
    </xf>
    <xf numFmtId="164" fontId="29" fillId="0" borderId="39" xfId="0" applyNumberFormat="1" applyFont="1" applyBorder="1" applyAlignment="1" applyProtection="1">
      <alignment horizontal="center" vertical="center"/>
      <protection hidden="1"/>
    </xf>
    <xf numFmtId="164" fontId="29" fillId="5" borderId="36" xfId="0" applyNumberFormat="1" applyFont="1" applyFill="1" applyBorder="1" applyAlignment="1" applyProtection="1">
      <alignment horizontal="center" vertical="center"/>
      <protection locked="0" hidden="1"/>
    </xf>
    <xf numFmtId="0" fontId="29" fillId="4" borderId="40" xfId="0" applyFont="1" applyFill="1" applyBorder="1" applyAlignment="1" applyProtection="1">
      <alignment horizontal="center" vertical="center"/>
      <protection hidden="1"/>
    </xf>
    <xf numFmtId="0" fontId="29" fillId="4" borderId="40" xfId="0" applyFont="1" applyFill="1" applyBorder="1" applyAlignment="1" applyProtection="1">
      <alignment horizontal="center" vertical="center"/>
      <protection locked="0" hidden="1"/>
    </xf>
    <xf numFmtId="164" fontId="29" fillId="3" borderId="82" xfId="0" applyNumberFormat="1" applyFont="1" applyFill="1" applyBorder="1" applyAlignment="1" applyProtection="1">
      <alignment horizontal="center" vertical="center"/>
      <protection locked="0" hidden="1"/>
    </xf>
    <xf numFmtId="164" fontId="29" fillId="5" borderId="47" xfId="0" applyNumberFormat="1" applyFont="1" applyFill="1" applyBorder="1" applyAlignment="1" applyProtection="1">
      <alignment horizontal="center" vertical="center"/>
      <protection locked="0" hidden="1"/>
    </xf>
    <xf numFmtId="164" fontId="29" fillId="5" borderId="29" xfId="0" applyNumberFormat="1" applyFont="1" applyFill="1" applyBorder="1" applyAlignment="1" applyProtection="1">
      <alignment horizontal="center" vertical="center"/>
      <protection hidden="1"/>
    </xf>
    <xf numFmtId="164" fontId="29" fillId="3" borderId="29" xfId="0" applyNumberFormat="1" applyFont="1" applyFill="1" applyBorder="1" applyAlignment="1" applyProtection="1">
      <alignment horizontal="center" vertical="center"/>
      <protection locked="0" hidden="1"/>
    </xf>
    <xf numFmtId="164" fontId="29" fillId="5" borderId="29" xfId="0" applyNumberFormat="1" applyFont="1" applyFill="1" applyBorder="1" applyAlignment="1" applyProtection="1">
      <alignment horizontal="center" vertical="center"/>
      <protection locked="0" hidden="1"/>
    </xf>
    <xf numFmtId="164" fontId="29" fillId="3" borderId="47" xfId="0" applyNumberFormat="1" applyFont="1" applyFill="1" applyBorder="1" applyAlignment="1" applyProtection="1">
      <alignment horizontal="center" vertical="center"/>
      <protection locked="0" hidden="1"/>
    </xf>
    <xf numFmtId="164" fontId="29" fillId="5" borderId="82" xfId="0" applyNumberFormat="1" applyFont="1" applyFill="1" applyBorder="1" applyAlignment="1" applyProtection="1">
      <alignment horizontal="center" vertical="center"/>
      <protection locked="0" hidden="1"/>
    </xf>
    <xf numFmtId="164" fontId="29" fillId="3" borderId="60" xfId="0" applyNumberFormat="1" applyFont="1" applyFill="1" applyBorder="1" applyAlignment="1" applyProtection="1">
      <alignment horizontal="center" vertical="center"/>
      <protection locked="0" hidden="1"/>
    </xf>
    <xf numFmtId="164" fontId="29" fillId="5" borderId="66" xfId="0" applyNumberFormat="1" applyFont="1" applyFill="1" applyBorder="1" applyAlignment="1" applyProtection="1">
      <alignment horizontal="center" vertical="center"/>
      <protection locked="0" hidden="1"/>
    </xf>
    <xf numFmtId="164" fontId="29" fillId="0" borderId="47" xfId="0" applyNumberFormat="1" applyFont="1" applyBorder="1" applyAlignment="1" applyProtection="1">
      <alignment horizontal="center" vertical="center"/>
      <protection locked="0" hidden="1"/>
    </xf>
    <xf numFmtId="164" fontId="29" fillId="3" borderId="89" xfId="0" applyNumberFormat="1" applyFont="1" applyFill="1" applyBorder="1" applyAlignment="1" applyProtection="1">
      <alignment horizontal="center" vertical="center"/>
      <protection locked="0" hidden="1"/>
    </xf>
    <xf numFmtId="164" fontId="29" fillId="0" borderId="29" xfId="0" applyNumberFormat="1" applyFont="1" applyBorder="1" applyAlignment="1" applyProtection="1">
      <alignment horizontal="center" vertical="center"/>
      <protection locked="0" hidden="1"/>
    </xf>
    <xf numFmtId="164" fontId="29" fillId="0" borderId="82" xfId="0" applyNumberFormat="1" applyFont="1" applyBorder="1" applyAlignment="1" applyProtection="1">
      <alignment horizontal="center" vertical="center"/>
      <protection locked="0" hidden="1"/>
    </xf>
    <xf numFmtId="164" fontId="29" fillId="0" borderId="36" xfId="0" applyNumberFormat="1" applyFont="1" applyBorder="1" applyAlignment="1" applyProtection="1">
      <alignment horizontal="center" vertical="center"/>
      <protection locked="0" hidden="1"/>
    </xf>
    <xf numFmtId="164" fontId="29" fillId="0" borderId="24" xfId="0" applyNumberFormat="1" applyFont="1" applyBorder="1" applyAlignment="1" applyProtection="1">
      <alignment horizontal="center" vertical="center"/>
      <protection hidden="1"/>
    </xf>
    <xf numFmtId="164" fontId="29" fillId="3" borderId="44" xfId="0" applyNumberFormat="1" applyFont="1" applyFill="1" applyBorder="1" applyAlignment="1" applyProtection="1">
      <alignment horizontal="center" vertical="center"/>
      <protection hidden="1"/>
    </xf>
    <xf numFmtId="164" fontId="29" fillId="0" borderId="47" xfId="0" applyNumberFormat="1" applyFont="1" applyBorder="1" applyAlignment="1" applyProtection="1">
      <alignment horizontal="center" vertical="center"/>
      <protection hidden="1"/>
    </xf>
    <xf numFmtId="164" fontId="29" fillId="3" borderId="47" xfId="0" applyNumberFormat="1" applyFont="1" applyFill="1" applyBorder="1" applyAlignment="1" applyProtection="1">
      <alignment horizontal="center" vertical="center"/>
      <protection hidden="1"/>
    </xf>
    <xf numFmtId="164" fontId="29" fillId="0" borderId="29" xfId="0" applyNumberFormat="1" applyFont="1" applyBorder="1" applyAlignment="1" applyProtection="1">
      <alignment horizontal="center" vertical="center"/>
      <protection hidden="1"/>
    </xf>
    <xf numFmtId="164" fontId="29" fillId="0" borderId="60" xfId="0" applyNumberFormat="1" applyFont="1" applyBorder="1" applyAlignment="1" applyProtection="1">
      <alignment horizontal="center" vertical="center"/>
      <protection hidden="1"/>
    </xf>
    <xf numFmtId="164" fontId="29" fillId="0" borderId="44" xfId="0" applyNumberFormat="1" applyFont="1" applyBorder="1" applyAlignment="1" applyProtection="1">
      <alignment horizontal="center" vertical="center"/>
      <protection hidden="1"/>
    </xf>
    <xf numFmtId="164" fontId="29" fillId="3" borderId="74" xfId="0" applyNumberFormat="1" applyFont="1" applyFill="1" applyBorder="1" applyAlignment="1" applyProtection="1">
      <alignment horizontal="center" vertical="center"/>
      <protection hidden="1"/>
    </xf>
    <xf numFmtId="164" fontId="29" fillId="3" borderId="60" xfId="0" applyNumberFormat="1" applyFont="1" applyFill="1" applyBorder="1" applyAlignment="1" applyProtection="1">
      <alignment horizontal="center" vertical="center"/>
      <protection hidden="1"/>
    </xf>
    <xf numFmtId="164" fontId="29" fillId="0" borderId="74" xfId="0" applyNumberFormat="1" applyFont="1" applyBorder="1" applyAlignment="1" applyProtection="1">
      <alignment horizontal="center" vertical="center"/>
      <protection hidden="1"/>
    </xf>
    <xf numFmtId="49" fontId="9" fillId="0" borderId="0" xfId="0" applyNumberFormat="1" applyFont="1" applyAlignment="1" applyProtection="1">
      <alignment horizontal="left" vertical="center"/>
      <protection locked="0" hidden="1"/>
    </xf>
    <xf numFmtId="0" fontId="30" fillId="0" borderId="0" xfId="0" applyFont="1" applyAlignment="1">
      <alignment textRotation="90"/>
    </xf>
    <xf numFmtId="1" fontId="31" fillId="0" borderId="0" xfId="0" applyNumberFormat="1" applyFont="1" applyAlignment="1">
      <alignment horizontal="right"/>
    </xf>
    <xf numFmtId="0" fontId="32" fillId="0" borderId="0" xfId="0" applyFont="1" applyAlignment="1">
      <alignment horizontal="right"/>
    </xf>
    <xf numFmtId="0" fontId="20" fillId="0" borderId="0" xfId="0" applyFont="1" applyAlignment="1">
      <alignment horizontal="left"/>
    </xf>
    <xf numFmtId="0" fontId="20" fillId="0" borderId="94" xfId="0" applyFont="1" applyBorder="1"/>
    <xf numFmtId="0" fontId="33" fillId="0" borderId="0" xfId="0" applyFont="1"/>
    <xf numFmtId="0" fontId="30" fillId="0" borderId="0" xfId="0" applyFont="1"/>
    <xf numFmtId="0" fontId="30" fillId="0" borderId="94" xfId="0" applyFont="1" applyBorder="1" applyAlignment="1">
      <alignment textRotation="90"/>
    </xf>
    <xf numFmtId="0" fontId="34" fillId="0" borderId="8" xfId="0" applyFont="1" applyBorder="1"/>
    <xf numFmtId="0" fontId="20" fillId="0" borderId="77" xfId="0" applyFont="1" applyBorder="1"/>
    <xf numFmtId="0" fontId="35" fillId="0" borderId="41" xfId="0" applyFont="1" applyBorder="1"/>
    <xf numFmtId="0" fontId="35" fillId="0" borderId="0" xfId="0" applyFont="1"/>
    <xf numFmtId="0" fontId="20" fillId="0" borderId="53" xfId="0" applyFont="1" applyBorder="1"/>
    <xf numFmtId="0" fontId="30" fillId="0" borderId="53" xfId="0" applyFont="1" applyBorder="1" applyAlignment="1">
      <alignment textRotation="90"/>
    </xf>
    <xf numFmtId="164" fontId="36" fillId="0" borderId="0" xfId="0" applyNumberFormat="1" applyFont="1" applyAlignment="1">
      <alignment horizontal="right"/>
    </xf>
    <xf numFmtId="1" fontId="36" fillId="0" borderId="0" xfId="0" applyNumberFormat="1" applyFont="1" applyAlignment="1">
      <alignment horizontal="right"/>
    </xf>
    <xf numFmtId="164" fontId="36" fillId="0" borderId="94" xfId="0" applyNumberFormat="1" applyFont="1" applyBorder="1" applyAlignment="1">
      <alignment horizontal="right"/>
    </xf>
    <xf numFmtId="1" fontId="36" fillId="0" borderId="94" xfId="0" applyNumberFormat="1" applyFont="1" applyBorder="1" applyAlignment="1">
      <alignment horizontal="right"/>
    </xf>
    <xf numFmtId="0" fontId="36" fillId="0" borderId="0" xfId="0" applyFont="1" applyAlignment="1">
      <alignment horizontal="right"/>
    </xf>
    <xf numFmtId="0" fontId="36" fillId="0" borderId="94" xfId="0" applyFont="1" applyBorder="1" applyAlignment="1">
      <alignment horizontal="right"/>
    </xf>
    <xf numFmtId="164" fontId="38" fillId="0" borderId="8" xfId="0" applyNumberFormat="1" applyFont="1" applyBorder="1" applyAlignment="1">
      <alignment horizontal="right"/>
    </xf>
    <xf numFmtId="1" fontId="38" fillId="0" borderId="8" xfId="0" applyNumberFormat="1" applyFont="1" applyBorder="1" applyAlignment="1">
      <alignment horizontal="right"/>
    </xf>
    <xf numFmtId="1" fontId="38" fillId="0" borderId="6" xfId="0" applyNumberFormat="1" applyFont="1" applyBorder="1" applyAlignment="1">
      <alignment horizontal="right"/>
    </xf>
    <xf numFmtId="9" fontId="36" fillId="0" borderId="93" xfId="2" applyFont="1" applyBorder="1" applyAlignment="1">
      <alignment horizontal="right"/>
    </xf>
    <xf numFmtId="9" fontId="36" fillId="0" borderId="94" xfId="2" applyFont="1" applyBorder="1" applyAlignment="1">
      <alignment horizontal="right"/>
    </xf>
    <xf numFmtId="164" fontId="36" fillId="0" borderId="77" xfId="0" applyNumberFormat="1" applyFont="1" applyBorder="1" applyAlignment="1">
      <alignment horizontal="right"/>
    </xf>
    <xf numFmtId="1" fontId="36" fillId="0" borderId="77" xfId="0" applyNumberFormat="1" applyFont="1" applyBorder="1" applyAlignment="1">
      <alignment horizontal="right"/>
    </xf>
    <xf numFmtId="164" fontId="39" fillId="0" borderId="41" xfId="0" applyNumberFormat="1" applyFont="1" applyBorder="1" applyAlignment="1">
      <alignment horizontal="right"/>
    </xf>
    <xf numFmtId="1" fontId="39" fillId="0" borderId="41" xfId="0" applyNumberFormat="1" applyFont="1" applyBorder="1" applyAlignment="1">
      <alignment horizontal="right"/>
    </xf>
    <xf numFmtId="9" fontId="39" fillId="0" borderId="95" xfId="2" applyFont="1" applyBorder="1" applyAlignment="1">
      <alignment horizontal="right"/>
    </xf>
    <xf numFmtId="164" fontId="39" fillId="0" borderId="0" xfId="0" applyNumberFormat="1" applyFont="1" applyAlignment="1">
      <alignment horizontal="right"/>
    </xf>
    <xf numFmtId="0" fontId="40" fillId="0" borderId="0" xfId="0" applyFont="1"/>
    <xf numFmtId="0" fontId="40" fillId="0" borderId="94" xfId="0" applyFont="1" applyBorder="1"/>
    <xf numFmtId="1" fontId="39" fillId="0" borderId="0" xfId="0" applyNumberFormat="1" applyFont="1" applyAlignment="1">
      <alignment horizontal="right"/>
    </xf>
    <xf numFmtId="9" fontId="39" fillId="0" borderId="94" xfId="2" applyFont="1" applyBorder="1" applyAlignment="1">
      <alignment horizontal="right"/>
    </xf>
    <xf numFmtId="0" fontId="29" fillId="5" borderId="25" xfId="0" applyFont="1" applyFill="1" applyBorder="1" applyAlignment="1" applyProtection="1">
      <alignment horizontal="center" vertical="center"/>
      <protection hidden="1"/>
    </xf>
    <xf numFmtId="0" fontId="29" fillId="5" borderId="28" xfId="0" applyFont="1" applyFill="1" applyBorder="1" applyAlignment="1" applyProtection="1">
      <alignment horizontal="center" vertical="center"/>
      <protection hidden="1"/>
    </xf>
    <xf numFmtId="0" fontId="29" fillId="5" borderId="26" xfId="0" applyFont="1" applyFill="1" applyBorder="1" applyAlignment="1" applyProtection="1">
      <alignment horizontal="center" vertical="center"/>
      <protection hidden="1"/>
    </xf>
    <xf numFmtId="0" fontId="29" fillId="5" borderId="29" xfId="0" applyFont="1" applyFill="1" applyBorder="1" applyAlignment="1" applyProtection="1">
      <alignment horizontal="center" vertical="center"/>
      <protection hidden="1"/>
    </xf>
    <xf numFmtId="0" fontId="29" fillId="3" borderId="25" xfId="0" applyFont="1" applyFill="1" applyBorder="1" applyAlignment="1" applyProtection="1">
      <alignment horizontal="center" vertical="center"/>
      <protection locked="0" hidden="1"/>
    </xf>
    <xf numFmtId="0" fontId="29" fillId="3" borderId="28" xfId="0" applyFont="1" applyFill="1" applyBorder="1" applyAlignment="1" applyProtection="1">
      <alignment horizontal="center" vertical="center"/>
      <protection locked="0" hidden="1"/>
    </xf>
    <xf numFmtId="0" fontId="29" fillId="3" borderId="26" xfId="0" applyFont="1" applyFill="1" applyBorder="1" applyAlignment="1" applyProtection="1">
      <alignment horizontal="center" vertical="center"/>
      <protection locked="0" hidden="1"/>
    </xf>
    <xf numFmtId="0" fontId="29" fillId="3" borderId="29" xfId="0" applyFont="1" applyFill="1" applyBorder="1" applyAlignment="1" applyProtection="1">
      <alignment horizontal="center" vertical="center"/>
      <protection locked="0" hidden="1"/>
    </xf>
    <xf numFmtId="0" fontId="29" fillId="5" borderId="48" xfId="0" applyFont="1" applyFill="1" applyBorder="1" applyAlignment="1" applyProtection="1">
      <alignment horizontal="center" vertical="center"/>
      <protection locked="0" hidden="1"/>
    </xf>
    <xf numFmtId="0" fontId="29" fillId="5" borderId="46" xfId="0" applyFont="1" applyFill="1" applyBorder="1" applyAlignment="1" applyProtection="1">
      <alignment horizontal="center" vertical="center"/>
      <protection locked="0" hidden="1"/>
    </xf>
    <xf numFmtId="0" fontId="29" fillId="5" borderId="71" xfId="0" applyFont="1" applyFill="1" applyBorder="1" applyAlignment="1" applyProtection="1">
      <alignment horizontal="center" vertical="center"/>
      <protection locked="0" hidden="1"/>
    </xf>
    <xf numFmtId="0" fontId="29" fillId="5" borderId="47" xfId="0" applyFont="1" applyFill="1" applyBorder="1" applyAlignment="1" applyProtection="1">
      <alignment horizontal="center" vertical="center"/>
      <protection locked="0" hidden="1"/>
    </xf>
    <xf numFmtId="0" fontId="29" fillId="3" borderId="45" xfId="0" applyFont="1" applyFill="1" applyBorder="1" applyAlignment="1" applyProtection="1">
      <alignment horizontal="center" vertical="center"/>
      <protection locked="0" hidden="1"/>
    </xf>
    <xf numFmtId="0" fontId="29" fillId="3" borderId="80" xfId="0" applyFont="1" applyFill="1" applyBorder="1" applyAlignment="1" applyProtection="1">
      <alignment horizontal="center" vertical="center"/>
      <protection locked="0" hidden="1"/>
    </xf>
    <xf numFmtId="0" fontId="29" fillId="3" borderId="84" xfId="0" applyFont="1" applyFill="1" applyBorder="1" applyAlignment="1" applyProtection="1">
      <alignment horizontal="center" vertical="center"/>
      <protection locked="0" hidden="1"/>
    </xf>
    <xf numFmtId="0" fontId="29" fillId="3" borderId="82" xfId="0" applyFont="1" applyFill="1" applyBorder="1" applyAlignment="1" applyProtection="1">
      <alignment horizontal="center" vertical="center"/>
      <protection locked="0" hidden="1"/>
    </xf>
    <xf numFmtId="0" fontId="29" fillId="5" borderId="25" xfId="0" applyFont="1" applyFill="1" applyBorder="1" applyAlignment="1" applyProtection="1">
      <alignment horizontal="center" vertical="center"/>
      <protection locked="0" hidden="1"/>
    </xf>
    <xf numFmtId="0" fontId="29" fillId="5" borderId="28" xfId="0" applyFont="1" applyFill="1" applyBorder="1" applyAlignment="1" applyProtection="1">
      <alignment horizontal="center" vertical="center"/>
      <protection locked="0" hidden="1"/>
    </xf>
    <xf numFmtId="0" fontId="29" fillId="5" borderId="26" xfId="0" applyFont="1" applyFill="1" applyBorder="1" applyAlignment="1" applyProtection="1">
      <alignment horizontal="center" vertical="center"/>
      <protection locked="0" hidden="1"/>
    </xf>
    <xf numFmtId="0" fontId="29" fillId="5" borderId="29" xfId="0" applyFont="1" applyFill="1" applyBorder="1" applyAlignment="1" applyProtection="1">
      <alignment horizontal="center" vertical="center"/>
      <protection locked="0" hidden="1"/>
    </xf>
    <xf numFmtId="0" fontId="29" fillId="3" borderId="48" xfId="0" applyFont="1" applyFill="1" applyBorder="1" applyAlignment="1" applyProtection="1">
      <alignment horizontal="center" vertical="center"/>
      <protection locked="0" hidden="1"/>
    </xf>
    <xf numFmtId="0" fontId="29" fillId="3" borderId="46" xfId="0" applyFont="1" applyFill="1" applyBorder="1" applyAlignment="1" applyProtection="1">
      <alignment horizontal="center" vertical="center"/>
      <protection locked="0" hidden="1"/>
    </xf>
    <xf numFmtId="0" fontId="29" fillId="3" borderId="71" xfId="0" applyFont="1" applyFill="1" applyBorder="1" applyAlignment="1" applyProtection="1">
      <alignment horizontal="center" vertical="center"/>
      <protection locked="0" hidden="1"/>
    </xf>
    <xf numFmtId="0" fontId="29" fillId="3" borderId="47" xfId="0" applyFont="1" applyFill="1" applyBorder="1" applyAlignment="1" applyProtection="1">
      <alignment horizontal="center" vertical="center"/>
      <protection locked="0" hidden="1"/>
    </xf>
    <xf numFmtId="0" fontId="29" fillId="5" borderId="45" xfId="0" applyFont="1" applyFill="1" applyBorder="1" applyAlignment="1" applyProtection="1">
      <alignment horizontal="center" vertical="center"/>
      <protection locked="0" hidden="1"/>
    </xf>
    <xf numFmtId="0" fontId="29" fillId="5" borderId="80" xfId="0" applyFont="1" applyFill="1" applyBorder="1" applyAlignment="1" applyProtection="1">
      <alignment horizontal="center" vertical="center"/>
      <protection locked="0" hidden="1"/>
    </xf>
    <xf numFmtId="0" fontId="29" fillId="5" borderId="84" xfId="0" applyFont="1" applyFill="1" applyBorder="1" applyAlignment="1" applyProtection="1">
      <alignment horizontal="center" vertical="center"/>
      <protection locked="0" hidden="1"/>
    </xf>
    <xf numFmtId="0" fontId="29" fillId="5" borderId="82" xfId="0" applyFont="1" applyFill="1" applyBorder="1" applyAlignment="1" applyProtection="1">
      <alignment horizontal="center" vertical="center"/>
      <protection locked="0" hidden="1"/>
    </xf>
    <xf numFmtId="0" fontId="29" fillId="3" borderId="49" xfId="0" applyFont="1" applyFill="1" applyBorder="1" applyAlignment="1" applyProtection="1">
      <alignment horizontal="center" vertical="center"/>
      <protection locked="0" hidden="1"/>
    </xf>
    <xf numFmtId="0" fontId="29" fillId="3" borderId="59" xfId="0" applyFont="1" applyFill="1" applyBorder="1" applyAlignment="1" applyProtection="1">
      <alignment horizontal="center" vertical="center"/>
      <protection locked="0" hidden="1"/>
    </xf>
    <xf numFmtId="0" fontId="29" fillId="3" borderId="22" xfId="0" applyFont="1" applyFill="1" applyBorder="1" applyAlignment="1" applyProtection="1">
      <alignment horizontal="center" vertical="center"/>
      <protection locked="0" hidden="1"/>
    </xf>
    <xf numFmtId="0" fontId="29" fillId="3" borderId="60" xfId="0" applyFont="1" applyFill="1" applyBorder="1" applyAlignment="1" applyProtection="1">
      <alignment horizontal="center" vertical="center"/>
      <protection locked="0" hidden="1"/>
    </xf>
    <xf numFmtId="0" fontId="29" fillId="5" borderId="35" xfId="0" applyFont="1" applyFill="1" applyBorder="1" applyAlignment="1" applyProtection="1">
      <alignment horizontal="center" vertical="center"/>
      <protection locked="0" hidden="1"/>
    </xf>
    <xf numFmtId="0" fontId="29" fillId="5" borderId="81" xfId="0" applyFont="1" applyFill="1" applyBorder="1" applyAlignment="1" applyProtection="1">
      <alignment horizontal="center" vertical="center"/>
      <protection locked="0" hidden="1"/>
    </xf>
    <xf numFmtId="0" fontId="29" fillId="5" borderId="34" xfId="0" applyFont="1" applyFill="1" applyBorder="1" applyAlignment="1" applyProtection="1">
      <alignment horizontal="center" vertical="center"/>
      <protection locked="0" hidden="1"/>
    </xf>
    <xf numFmtId="0" fontId="29" fillId="5" borderId="36" xfId="0" applyFont="1" applyFill="1" applyBorder="1" applyAlignment="1" applyProtection="1">
      <alignment horizontal="center" vertical="center"/>
      <protection locked="0" hidden="1"/>
    </xf>
    <xf numFmtId="0" fontId="41" fillId="0" borderId="40" xfId="0" applyFont="1" applyBorder="1" applyAlignment="1" applyProtection="1">
      <alignment horizontal="center" vertical="center"/>
      <protection hidden="1"/>
    </xf>
    <xf numFmtId="0" fontId="41" fillId="0" borderId="39" xfId="0" applyFont="1" applyBorder="1" applyAlignment="1" applyProtection="1">
      <alignment horizontal="center" vertical="center"/>
      <protection hidden="1"/>
    </xf>
    <xf numFmtId="164" fontId="41" fillId="0" borderId="40" xfId="0" applyNumberFormat="1" applyFont="1" applyBorder="1" applyAlignment="1" applyProtection="1">
      <alignment horizontal="center" vertical="center"/>
      <protection hidden="1"/>
    </xf>
    <xf numFmtId="0" fontId="29" fillId="5" borderId="57" xfId="0" applyFont="1" applyFill="1" applyBorder="1" applyAlignment="1" applyProtection="1">
      <alignment horizontal="center" vertical="center"/>
      <protection locked="0" hidden="1"/>
    </xf>
    <xf numFmtId="0" fontId="29" fillId="5" borderId="66" xfId="0" applyFont="1" applyFill="1" applyBorder="1" applyAlignment="1" applyProtection="1">
      <alignment horizontal="center" vertical="center"/>
      <protection locked="0" hidden="1"/>
    </xf>
    <xf numFmtId="0" fontId="29" fillId="0" borderId="25" xfId="0" applyFont="1" applyBorder="1" applyAlignment="1" applyProtection="1">
      <alignment horizontal="center" vertical="center"/>
      <protection locked="0" hidden="1"/>
    </xf>
    <xf numFmtId="0" fontId="29" fillId="0" borderId="28" xfId="0" applyFont="1" applyBorder="1" applyAlignment="1" applyProtection="1">
      <alignment horizontal="center" vertical="center"/>
      <protection locked="0" hidden="1"/>
    </xf>
    <xf numFmtId="0" fontId="29" fillId="0" borderId="26" xfId="0" applyFont="1" applyBorder="1" applyAlignment="1" applyProtection="1">
      <alignment horizontal="center" vertical="center"/>
      <protection locked="0" hidden="1"/>
    </xf>
    <xf numFmtId="0" fontId="29" fillId="0" borderId="29" xfId="0" applyFont="1" applyBorder="1" applyAlignment="1" applyProtection="1">
      <alignment horizontal="center" vertical="center"/>
      <protection locked="0" hidden="1"/>
    </xf>
    <xf numFmtId="0" fontId="29" fillId="0" borderId="48" xfId="0" applyFont="1" applyBorder="1" applyAlignment="1" applyProtection="1">
      <alignment horizontal="center" vertical="center"/>
      <protection locked="0" hidden="1"/>
    </xf>
    <xf numFmtId="0" fontId="29" fillId="0" borderId="46" xfId="0" applyFont="1" applyBorder="1" applyAlignment="1" applyProtection="1">
      <alignment horizontal="center" vertical="center"/>
      <protection locked="0" hidden="1"/>
    </xf>
    <xf numFmtId="0" fontId="29" fillId="0" borderId="71" xfId="0" applyFont="1" applyBorder="1" applyAlignment="1" applyProtection="1">
      <alignment horizontal="center" vertical="center"/>
      <protection locked="0" hidden="1"/>
    </xf>
    <xf numFmtId="0" fontId="29" fillId="0" borderId="47" xfId="0" applyFont="1" applyBorder="1" applyAlignment="1" applyProtection="1">
      <alignment horizontal="center" vertical="center"/>
      <protection locked="0" hidden="1"/>
    </xf>
    <xf numFmtId="0" fontId="29" fillId="3" borderId="61" xfId="0" applyFont="1" applyFill="1" applyBorder="1" applyAlignment="1" applyProtection="1">
      <alignment horizontal="center" vertical="center"/>
      <protection locked="0" hidden="1"/>
    </xf>
    <xf numFmtId="0" fontId="29" fillId="3" borderId="88" xfId="0" applyFont="1" applyFill="1" applyBorder="1" applyAlignment="1" applyProtection="1">
      <alignment horizontal="center" vertical="center"/>
      <protection locked="0" hidden="1"/>
    </xf>
    <xf numFmtId="0" fontId="29" fillId="3" borderId="90" xfId="0" applyFont="1" applyFill="1" applyBorder="1" applyAlignment="1" applyProtection="1">
      <alignment horizontal="center" vertical="center"/>
      <protection locked="0" hidden="1"/>
    </xf>
    <xf numFmtId="0" fontId="29" fillId="3" borderId="89" xfId="0" applyFont="1" applyFill="1" applyBorder="1" applyAlignment="1" applyProtection="1">
      <alignment horizontal="center" vertical="center"/>
      <protection locked="0" hidden="1"/>
    </xf>
    <xf numFmtId="0" fontId="29" fillId="0" borderId="45" xfId="0" applyFont="1" applyBorder="1" applyAlignment="1" applyProtection="1">
      <alignment horizontal="center" vertical="center"/>
      <protection locked="0" hidden="1"/>
    </xf>
    <xf numFmtId="0" fontId="29" fillId="0" borderId="80" xfId="0" applyFont="1" applyBorder="1" applyAlignment="1" applyProtection="1">
      <alignment horizontal="center" vertical="center"/>
      <protection locked="0" hidden="1"/>
    </xf>
    <xf numFmtId="0" fontId="29" fillId="0" borderId="84" xfId="0" applyFont="1" applyBorder="1" applyAlignment="1" applyProtection="1">
      <alignment horizontal="center" vertical="center"/>
      <protection locked="0" hidden="1"/>
    </xf>
    <xf numFmtId="0" fontId="29" fillId="0" borderId="82" xfId="0" applyFont="1" applyBorder="1" applyAlignment="1" applyProtection="1">
      <alignment horizontal="center" vertical="center"/>
      <protection locked="0" hidden="1"/>
    </xf>
    <xf numFmtId="0" fontId="29" fillId="0" borderId="35" xfId="0" applyFont="1" applyBorder="1" applyAlignment="1" applyProtection="1">
      <alignment horizontal="center" vertical="center"/>
      <protection locked="0" hidden="1"/>
    </xf>
    <xf numFmtId="0" fontId="29" fillId="0" borderId="81" xfId="0" applyFont="1" applyBorder="1" applyAlignment="1" applyProtection="1">
      <alignment horizontal="center" vertical="center"/>
      <protection locked="0" hidden="1"/>
    </xf>
    <xf numFmtId="0" fontId="29" fillId="0" borderId="34" xfId="0" applyFont="1" applyBorder="1" applyAlignment="1" applyProtection="1">
      <alignment horizontal="center" vertical="center"/>
      <protection locked="0" hidden="1"/>
    </xf>
    <xf numFmtId="0" fontId="29" fillId="0" borderId="36" xfId="0" applyFont="1" applyBorder="1" applyAlignment="1" applyProtection="1">
      <alignment horizontal="center" vertical="center"/>
      <protection locked="0" hidden="1"/>
    </xf>
    <xf numFmtId="0" fontId="29" fillId="0" borderId="70" xfId="0" applyFont="1" applyBorder="1" applyAlignment="1" applyProtection="1">
      <alignment horizontal="center" vertical="center"/>
      <protection locked="0" hidden="1"/>
    </xf>
    <xf numFmtId="0" fontId="29" fillId="0" borderId="86" xfId="0" applyFont="1" applyBorder="1" applyAlignment="1" applyProtection="1">
      <alignment horizontal="center" vertical="center"/>
      <protection locked="0" hidden="1"/>
    </xf>
    <xf numFmtId="0" fontId="29" fillId="0" borderId="85" xfId="0" applyFont="1" applyBorder="1" applyAlignment="1" applyProtection="1">
      <alignment horizontal="center" vertical="center"/>
      <protection locked="0" hidden="1"/>
    </xf>
    <xf numFmtId="0" fontId="29" fillId="0" borderId="54" xfId="0" applyFont="1" applyBorder="1" applyAlignment="1" applyProtection="1">
      <alignment horizontal="center" vertical="center"/>
      <protection locked="0" hidden="1"/>
    </xf>
    <xf numFmtId="0" fontId="29" fillId="0" borderId="91" xfId="0" applyFont="1" applyBorder="1" applyAlignment="1" applyProtection="1">
      <alignment horizontal="center" vertical="center"/>
      <protection locked="0" hidden="1"/>
    </xf>
    <xf numFmtId="0" fontId="29" fillId="0" borderId="23" xfId="0" applyFont="1" applyBorder="1" applyAlignment="1" applyProtection="1">
      <alignment horizontal="center" vertical="center"/>
      <protection locked="0" hidden="1"/>
    </xf>
    <xf numFmtId="0" fontId="29" fillId="0" borderId="24" xfId="0" applyFont="1" applyBorder="1" applyAlignment="1" applyProtection="1">
      <alignment horizontal="center" vertical="center"/>
      <protection locked="0" hidden="1"/>
    </xf>
    <xf numFmtId="0" fontId="29" fillId="3" borderId="31" xfId="0" applyFont="1" applyFill="1" applyBorder="1" applyAlignment="1" applyProtection="1">
      <alignment horizontal="center" vertical="center"/>
      <protection locked="0" hidden="1"/>
    </xf>
    <xf numFmtId="0" fontId="29" fillId="3" borderId="43" xfId="0" applyFont="1" applyFill="1" applyBorder="1" applyAlignment="1" applyProtection="1">
      <alignment horizontal="center" vertical="center"/>
      <protection locked="0" hidden="1"/>
    </xf>
    <xf numFmtId="0" fontId="29" fillId="3" borderId="62" xfId="0" applyFont="1" applyFill="1" applyBorder="1" applyAlignment="1" applyProtection="1">
      <alignment horizontal="center" vertical="center"/>
      <protection locked="0" hidden="1"/>
    </xf>
    <xf numFmtId="164" fontId="29" fillId="0" borderId="71" xfId="0" applyNumberFormat="1" applyFont="1" applyBorder="1" applyAlignment="1" applyProtection="1">
      <alignment horizontal="center" vertical="center"/>
      <protection locked="0" hidden="1"/>
    </xf>
    <xf numFmtId="164" fontId="29" fillId="3" borderId="71" xfId="0" applyNumberFormat="1" applyFont="1" applyFill="1" applyBorder="1" applyAlignment="1" applyProtection="1">
      <alignment horizontal="center" vertical="center"/>
      <protection locked="0" hidden="1"/>
    </xf>
    <xf numFmtId="164" fontId="29" fillId="3" borderId="22" xfId="0" applyNumberFormat="1" applyFont="1" applyFill="1" applyBorder="1" applyAlignment="1" applyProtection="1">
      <alignment horizontal="center" vertical="center"/>
      <protection locked="0" hidden="1"/>
    </xf>
    <xf numFmtId="0" fontId="29" fillId="0" borderId="31" xfId="0" applyFont="1" applyBorder="1" applyAlignment="1" applyProtection="1">
      <alignment horizontal="center" vertical="center"/>
      <protection locked="0" hidden="1"/>
    </xf>
    <xf numFmtId="0" fontId="29" fillId="0" borderId="43" xfId="0" applyFont="1" applyBorder="1" applyAlignment="1" applyProtection="1">
      <alignment horizontal="center" vertical="center"/>
      <protection locked="0" hidden="1"/>
    </xf>
    <xf numFmtId="0" fontId="29" fillId="0" borderId="62" xfId="0" applyFont="1" applyBorder="1" applyAlignment="1" applyProtection="1">
      <alignment horizontal="center" vertical="center"/>
      <protection locked="0" hidden="1"/>
    </xf>
    <xf numFmtId="0" fontId="29" fillId="0" borderId="44" xfId="0" applyFont="1" applyBorder="1" applyAlignment="1" applyProtection="1">
      <alignment horizontal="center" vertical="center"/>
      <protection locked="0" hidden="1"/>
    </xf>
    <xf numFmtId="164" fontId="29" fillId="0" borderId="62" xfId="0" applyNumberFormat="1" applyFont="1" applyBorder="1" applyAlignment="1" applyProtection="1">
      <alignment horizontal="center" vertical="center"/>
      <protection locked="0" hidden="1"/>
    </xf>
    <xf numFmtId="0" fontId="29" fillId="0" borderId="49" xfId="0" applyFont="1" applyBorder="1" applyAlignment="1" applyProtection="1">
      <alignment horizontal="center" vertical="center"/>
      <protection locked="0" hidden="1"/>
    </xf>
    <xf numFmtId="0" fontId="29" fillId="0" borderId="59" xfId="0" applyFont="1" applyBorder="1" applyAlignment="1" applyProtection="1">
      <alignment horizontal="center" vertical="center"/>
      <protection locked="0" hidden="1"/>
    </xf>
    <xf numFmtId="0" fontId="29" fillId="0" borderId="22" xfId="0" applyFont="1" applyBorder="1" applyAlignment="1" applyProtection="1">
      <alignment horizontal="center" vertical="center"/>
      <protection locked="0" hidden="1"/>
    </xf>
    <xf numFmtId="0" fontId="29" fillId="0" borderId="60" xfId="0" applyFont="1" applyBorder="1" applyAlignment="1" applyProtection="1">
      <alignment horizontal="center" vertical="center"/>
      <protection locked="0" hidden="1"/>
    </xf>
    <xf numFmtId="164" fontId="29" fillId="0" borderId="22" xfId="0" applyNumberFormat="1" applyFont="1" applyBorder="1" applyAlignment="1" applyProtection="1">
      <alignment horizontal="center" vertical="center"/>
      <protection locked="0" hidden="1"/>
    </xf>
    <xf numFmtId="0" fontId="29" fillId="0" borderId="57" xfId="0" applyFont="1" applyBorder="1" applyAlignment="1" applyProtection="1">
      <alignment horizontal="center" vertical="center"/>
      <protection locked="0" hidden="1"/>
    </xf>
    <xf numFmtId="0" fontId="29" fillId="0" borderId="78" xfId="0" applyFont="1" applyBorder="1" applyAlignment="1" applyProtection="1">
      <alignment horizontal="center" vertical="center"/>
      <protection locked="0" hidden="1"/>
    </xf>
    <xf numFmtId="0" fontId="29" fillId="0" borderId="87" xfId="0" applyFont="1" applyBorder="1" applyAlignment="1" applyProtection="1">
      <alignment horizontal="center" vertical="center"/>
      <protection locked="0" hidden="1"/>
    </xf>
    <xf numFmtId="0" fontId="29" fillId="0" borderId="66" xfId="0" applyFont="1" applyBorder="1" applyAlignment="1" applyProtection="1">
      <alignment horizontal="center" vertical="center"/>
      <protection locked="0" hidden="1"/>
    </xf>
    <xf numFmtId="164" fontId="29" fillId="0" borderId="87" xfId="0" applyNumberFormat="1" applyFont="1" applyBorder="1" applyAlignment="1" applyProtection="1">
      <alignment horizontal="center" vertical="center"/>
      <protection locked="0" hidden="1"/>
    </xf>
    <xf numFmtId="0" fontId="29" fillId="0" borderId="69" xfId="0" applyFont="1" applyBorder="1" applyAlignment="1" applyProtection="1">
      <alignment horizontal="center" vertical="center"/>
      <protection locked="0" hidden="1"/>
    </xf>
    <xf numFmtId="164" fontId="29" fillId="0" borderId="85" xfId="0" applyNumberFormat="1" applyFont="1" applyBorder="1" applyAlignment="1" applyProtection="1">
      <alignment horizontal="center" vertical="center"/>
      <protection locked="0" hidden="1"/>
    </xf>
    <xf numFmtId="0" fontId="29" fillId="0" borderId="54" xfId="0" applyFont="1" applyBorder="1" applyAlignment="1" applyProtection="1">
      <alignment horizontal="center" vertical="center"/>
      <protection hidden="1"/>
    </xf>
    <xf numFmtId="0" fontId="29" fillId="0" borderId="91" xfId="0" applyFont="1" applyBorder="1" applyAlignment="1" applyProtection="1">
      <alignment horizontal="center" vertical="center"/>
      <protection hidden="1"/>
    </xf>
    <xf numFmtId="0" fontId="29" fillId="0" borderId="23" xfId="0" applyFont="1" applyBorder="1" applyAlignment="1" applyProtection="1">
      <alignment horizontal="center" vertical="center"/>
      <protection hidden="1"/>
    </xf>
    <xf numFmtId="0" fontId="29" fillId="0" borderId="24" xfId="0" applyFont="1" applyBorder="1" applyAlignment="1" applyProtection="1">
      <alignment horizontal="center" vertical="center"/>
      <protection hidden="1"/>
    </xf>
    <xf numFmtId="0" fontId="29" fillId="3" borderId="31" xfId="0" applyFont="1" applyFill="1" applyBorder="1" applyAlignment="1" applyProtection="1">
      <alignment horizontal="center" vertical="center"/>
      <protection hidden="1"/>
    </xf>
    <xf numFmtId="0" fontId="29" fillId="3" borderId="43" xfId="0" applyFont="1" applyFill="1" applyBorder="1" applyAlignment="1" applyProtection="1">
      <alignment horizontal="center" vertical="center"/>
      <protection hidden="1"/>
    </xf>
    <xf numFmtId="0" fontId="29" fillId="3" borderId="62" xfId="0" applyFont="1" applyFill="1" applyBorder="1" applyAlignment="1" applyProtection="1">
      <alignment horizontal="center" vertical="center"/>
      <protection hidden="1"/>
    </xf>
    <xf numFmtId="0" fontId="29" fillId="3" borderId="44" xfId="0" applyFont="1" applyFill="1" applyBorder="1" applyAlignment="1" applyProtection="1">
      <alignment horizontal="center" vertical="center"/>
      <protection hidden="1"/>
    </xf>
    <xf numFmtId="0" fontId="29" fillId="0" borderId="48" xfId="0" applyFont="1" applyBorder="1" applyAlignment="1" applyProtection="1">
      <alignment horizontal="center" vertical="center"/>
      <protection hidden="1"/>
    </xf>
    <xf numFmtId="0" fontId="29" fillId="0" borderId="46" xfId="0" applyFont="1" applyBorder="1" applyAlignment="1" applyProtection="1">
      <alignment horizontal="center" vertical="center"/>
      <protection hidden="1"/>
    </xf>
    <xf numFmtId="0" fontId="29" fillId="0" borderId="71" xfId="0" applyFont="1" applyBorder="1" applyAlignment="1" applyProtection="1">
      <alignment horizontal="center" vertical="center"/>
      <protection hidden="1"/>
    </xf>
    <xf numFmtId="0" fontId="29" fillId="0" borderId="47" xfId="0" applyFont="1" applyBorder="1" applyAlignment="1" applyProtection="1">
      <alignment horizontal="center" vertical="center"/>
      <protection hidden="1"/>
    </xf>
    <xf numFmtId="0" fontId="29" fillId="3" borderId="48" xfId="0" applyFont="1" applyFill="1" applyBorder="1" applyAlignment="1" applyProtection="1">
      <alignment horizontal="center" vertical="center"/>
      <protection hidden="1"/>
    </xf>
    <xf numFmtId="0" fontId="29" fillId="3" borderId="46" xfId="0" applyFont="1" applyFill="1" applyBorder="1" applyAlignment="1" applyProtection="1">
      <alignment horizontal="center" vertical="center"/>
      <protection hidden="1"/>
    </xf>
    <xf numFmtId="0" fontId="29" fillId="3" borderId="71" xfId="0" applyFont="1" applyFill="1" applyBorder="1" applyAlignment="1" applyProtection="1">
      <alignment horizontal="center" vertical="center"/>
      <protection hidden="1"/>
    </xf>
    <xf numFmtId="0" fontId="29" fillId="3" borderId="47" xfId="0" applyFont="1" applyFill="1" applyBorder="1" applyAlignment="1" applyProtection="1">
      <alignment horizontal="center" vertical="center"/>
      <protection hidden="1"/>
    </xf>
    <xf numFmtId="0" fontId="29" fillId="0" borderId="25" xfId="0" applyFont="1" applyBorder="1" applyAlignment="1" applyProtection="1">
      <alignment horizontal="center" vertical="center"/>
      <protection hidden="1"/>
    </xf>
    <xf numFmtId="0" fontId="29" fillId="0" borderId="28" xfId="0" applyFont="1" applyBorder="1" applyAlignment="1" applyProtection="1">
      <alignment horizontal="center" vertical="center"/>
      <protection hidden="1"/>
    </xf>
    <xf numFmtId="0" fontId="29" fillId="0" borderId="26" xfId="0" applyFont="1" applyBorder="1" applyAlignment="1" applyProtection="1">
      <alignment horizontal="center" vertical="center"/>
      <protection hidden="1"/>
    </xf>
    <xf numFmtId="0" fontId="29" fillId="0" borderId="29" xfId="0" applyFont="1" applyBorder="1" applyAlignment="1" applyProtection="1">
      <alignment horizontal="center" vertical="center"/>
      <protection hidden="1"/>
    </xf>
    <xf numFmtId="0" fontId="29" fillId="0" borderId="49" xfId="0" applyFont="1" applyBorder="1" applyAlignment="1" applyProtection="1">
      <alignment horizontal="center" vertical="center"/>
      <protection hidden="1"/>
    </xf>
    <xf numFmtId="0" fontId="29" fillId="0" borderId="59" xfId="0" applyFont="1" applyBorder="1" applyAlignment="1" applyProtection="1">
      <alignment horizontal="center" vertical="center"/>
      <protection hidden="1"/>
    </xf>
    <xf numFmtId="0" fontId="29" fillId="0" borderId="22" xfId="0" applyFont="1" applyBorder="1" applyAlignment="1" applyProtection="1">
      <alignment horizontal="center" vertical="center"/>
      <protection hidden="1"/>
    </xf>
    <xf numFmtId="0" fontId="29" fillId="0" borderId="60" xfId="0" applyFont="1" applyBorder="1" applyAlignment="1" applyProtection="1">
      <alignment horizontal="center" vertical="center"/>
      <protection hidden="1"/>
    </xf>
    <xf numFmtId="0" fontId="29" fillId="0" borderId="31" xfId="0" applyFont="1" applyBorder="1" applyAlignment="1" applyProtection="1">
      <alignment horizontal="center" vertical="center"/>
      <protection hidden="1"/>
    </xf>
    <xf numFmtId="0" fontId="29" fillId="0" borderId="43" xfId="0" applyFont="1" applyBorder="1" applyAlignment="1" applyProtection="1">
      <alignment horizontal="center" vertical="center"/>
      <protection hidden="1"/>
    </xf>
    <xf numFmtId="0" fontId="29" fillId="0" borderId="62" xfId="0" applyFont="1" applyBorder="1" applyAlignment="1" applyProtection="1">
      <alignment horizontal="center" vertical="center"/>
      <protection hidden="1"/>
    </xf>
    <xf numFmtId="0" fontId="29" fillId="0" borderId="44" xfId="0" applyFont="1" applyBorder="1" applyAlignment="1" applyProtection="1">
      <alignment horizontal="center" vertical="center"/>
      <protection hidden="1"/>
    </xf>
    <xf numFmtId="0" fontId="29" fillId="3" borderId="75" xfId="0" applyFont="1" applyFill="1" applyBorder="1" applyAlignment="1" applyProtection="1">
      <alignment horizontal="center" vertical="center"/>
      <protection hidden="1"/>
    </xf>
    <xf numFmtId="0" fontId="29" fillId="3" borderId="92" xfId="0" applyFont="1" applyFill="1" applyBorder="1" applyAlignment="1" applyProtection="1">
      <alignment horizontal="center" vertical="center"/>
      <protection hidden="1"/>
    </xf>
    <xf numFmtId="0" fontId="29" fillId="3" borderId="56" xfId="0" applyFont="1" applyFill="1" applyBorder="1" applyAlignment="1" applyProtection="1">
      <alignment horizontal="center" vertical="center"/>
      <protection hidden="1"/>
    </xf>
    <xf numFmtId="0" fontId="29" fillId="3" borderId="74" xfId="0" applyFont="1" applyFill="1" applyBorder="1" applyAlignment="1" applyProtection="1">
      <alignment horizontal="center" vertical="center"/>
      <protection hidden="1"/>
    </xf>
    <xf numFmtId="0" fontId="29" fillId="3" borderId="49" xfId="0" applyFont="1" applyFill="1" applyBorder="1" applyAlignment="1" applyProtection="1">
      <alignment horizontal="center" vertical="center"/>
      <protection hidden="1"/>
    </xf>
    <xf numFmtId="0" fontId="29" fillId="3" borderId="59" xfId="0" applyFont="1" applyFill="1" applyBorder="1" applyAlignment="1" applyProtection="1">
      <alignment horizontal="center" vertical="center"/>
      <protection hidden="1"/>
    </xf>
    <xf numFmtId="0" fontId="29" fillId="3" borderId="22" xfId="0" applyFont="1" applyFill="1" applyBorder="1" applyAlignment="1" applyProtection="1">
      <alignment horizontal="center" vertical="center"/>
      <protection hidden="1"/>
    </xf>
    <xf numFmtId="0" fontId="29" fillId="3" borderId="60" xfId="0" applyFont="1" applyFill="1" applyBorder="1" applyAlignment="1" applyProtection="1">
      <alignment horizontal="center" vertical="center"/>
      <protection hidden="1"/>
    </xf>
    <xf numFmtId="0" fontId="29" fillId="0" borderId="75" xfId="0" applyFont="1" applyBorder="1" applyAlignment="1" applyProtection="1">
      <alignment horizontal="center" vertical="center"/>
      <protection hidden="1"/>
    </xf>
    <xf numFmtId="0" fontId="29" fillId="0" borderId="92" xfId="0" applyFont="1" applyBorder="1" applyAlignment="1" applyProtection="1">
      <alignment horizontal="center" vertical="center"/>
      <protection hidden="1"/>
    </xf>
    <xf numFmtId="0" fontId="29" fillId="0" borderId="56" xfId="0" applyFont="1" applyBorder="1" applyAlignment="1" applyProtection="1">
      <alignment horizontal="center" vertical="center"/>
      <protection hidden="1"/>
    </xf>
    <xf numFmtId="0" fontId="29" fillId="0" borderId="74" xfId="0" applyFont="1" applyBorder="1" applyAlignment="1" applyProtection="1">
      <alignment horizontal="center" vertical="center"/>
      <protection hidden="1"/>
    </xf>
    <xf numFmtId="164" fontId="37" fillId="0" borderId="0" xfId="0" applyNumberFormat="1" applyFont="1" applyAlignment="1">
      <alignment horizontal="right"/>
    </xf>
    <xf numFmtId="1" fontId="37" fillId="0" borderId="0" xfId="0" applyNumberFormat="1" applyFont="1" applyAlignment="1">
      <alignment horizontal="right"/>
    </xf>
    <xf numFmtId="1" fontId="37" fillId="0" borderId="94" xfId="0" applyNumberFormat="1" applyFont="1" applyBorder="1" applyAlignment="1">
      <alignment horizontal="right"/>
    </xf>
    <xf numFmtId="0" fontId="14" fillId="2" borderId="16" xfId="0" applyFont="1" applyFill="1" applyBorder="1" applyAlignment="1" applyProtection="1">
      <alignment horizontal="center" vertical="center" wrapText="1"/>
      <protection hidden="1"/>
    </xf>
    <xf numFmtId="0" fontId="14" fillId="2" borderId="79" xfId="0" applyFont="1" applyFill="1" applyBorder="1" applyAlignment="1" applyProtection="1">
      <alignment horizontal="center" vertical="center" wrapText="1"/>
      <protection hidden="1"/>
    </xf>
    <xf numFmtId="0" fontId="4" fillId="0" borderId="52" xfId="0" applyFont="1" applyBorder="1" applyAlignment="1" applyProtection="1">
      <alignment horizontal="left" vertical="center" indent="1"/>
      <protection locked="0" hidden="1"/>
    </xf>
    <xf numFmtId="0" fontId="4" fillId="0" borderId="14" xfId="0" applyFont="1" applyBorder="1" applyAlignment="1" applyProtection="1">
      <alignment horizontal="left" vertical="center" indent="1"/>
      <protection locked="0" hidden="1"/>
    </xf>
    <xf numFmtId="2" fontId="3" fillId="0" borderId="0" xfId="0" applyNumberFormat="1" applyFont="1" applyAlignment="1" applyProtection="1">
      <alignment horizontal="center" vertical="center"/>
      <protection hidden="1"/>
    </xf>
    <xf numFmtId="0" fontId="9" fillId="0" borderId="0" xfId="0" applyFont="1" applyAlignment="1" applyProtection="1">
      <alignment horizontal="center" vertical="center"/>
      <protection hidden="1"/>
    </xf>
    <xf numFmtId="0" fontId="9" fillId="2" borderId="2" xfId="0" applyFont="1" applyFill="1" applyBorder="1" applyAlignment="1" applyProtection="1">
      <alignment horizontal="center" vertical="center" wrapText="1"/>
      <protection hidden="1"/>
    </xf>
    <xf numFmtId="0" fontId="9" fillId="2" borderId="3" xfId="0" applyFont="1" applyFill="1" applyBorder="1" applyAlignment="1" applyProtection="1">
      <alignment horizontal="center" vertical="center" wrapText="1"/>
      <protection hidden="1"/>
    </xf>
    <xf numFmtId="0" fontId="9" fillId="2" borderId="4" xfId="0" applyFont="1" applyFill="1" applyBorder="1" applyAlignment="1" applyProtection="1">
      <alignment horizontal="center" vertical="center" wrapText="1"/>
      <protection hidden="1"/>
    </xf>
    <xf numFmtId="0" fontId="9" fillId="2" borderId="1" xfId="0" applyFont="1" applyFill="1" applyBorder="1" applyAlignment="1" applyProtection="1">
      <alignment horizontal="center" vertical="center" wrapText="1"/>
      <protection hidden="1"/>
    </xf>
    <xf numFmtId="0" fontId="4" fillId="0" borderId="7" xfId="0" applyFont="1" applyBorder="1" applyAlignment="1" applyProtection="1">
      <alignment horizontal="left" vertical="center" indent="1"/>
      <protection locked="0" hidden="1"/>
    </xf>
    <xf numFmtId="0" fontId="4" fillId="0" borderId="8" xfId="0" applyFont="1" applyBorder="1" applyAlignment="1" applyProtection="1">
      <alignment horizontal="left" vertical="center" indent="1"/>
      <protection locked="0" hidden="1"/>
    </xf>
    <xf numFmtId="0" fontId="4" fillId="0" borderId="9" xfId="0" applyFont="1" applyBorder="1" applyAlignment="1" applyProtection="1">
      <alignment horizontal="left" vertical="center" indent="1"/>
      <protection locked="0" hidden="1"/>
    </xf>
    <xf numFmtId="0" fontId="5" fillId="0" borderId="6" xfId="0" applyFont="1" applyBorder="1" applyAlignment="1" applyProtection="1">
      <alignment horizontal="left" vertical="center" indent="1"/>
      <protection locked="0" hidden="1"/>
    </xf>
    <xf numFmtId="0" fontId="9" fillId="2" borderId="50" xfId="0" applyFont="1" applyFill="1" applyBorder="1" applyAlignment="1" applyProtection="1">
      <alignment horizontal="center" vertical="center" wrapText="1"/>
      <protection hidden="1"/>
    </xf>
    <xf numFmtId="0" fontId="4" fillId="0" borderId="51" xfId="0" applyFont="1" applyBorder="1" applyAlignment="1" applyProtection="1">
      <alignment horizontal="left" vertical="center" indent="1"/>
      <protection locked="0" hidden="1"/>
    </xf>
    <xf numFmtId="0" fontId="2" fillId="0" borderId="0" xfId="0" applyFont="1" applyAlignment="1" applyProtection="1">
      <alignment horizontal="left" vertical="center"/>
      <protection hidden="1"/>
    </xf>
    <xf numFmtId="2" fontId="25" fillId="0" borderId="0" xfId="0" applyNumberFormat="1" applyFont="1" applyAlignment="1" applyProtection="1">
      <alignment horizontal="center" vertical="center"/>
      <protection hidden="1"/>
    </xf>
    <xf numFmtId="2" fontId="15" fillId="0" borderId="0" xfId="0" applyNumberFormat="1" applyFont="1" applyAlignment="1" applyProtection="1">
      <alignment horizontal="center" vertical="center"/>
      <protection hidden="1"/>
    </xf>
    <xf numFmtId="14" fontId="9" fillId="0" borderId="0" xfId="0" applyNumberFormat="1" applyFont="1" applyAlignment="1" applyProtection="1">
      <alignment horizontal="center" vertical="center"/>
      <protection locked="0" hidden="1"/>
    </xf>
    <xf numFmtId="14" fontId="9" fillId="0" borderId="0" xfId="0" applyNumberFormat="1" applyFont="1" applyAlignment="1" applyProtection="1">
      <alignment horizontal="right" vertical="center"/>
      <protection hidden="1"/>
    </xf>
    <xf numFmtId="0" fontId="4" fillId="0" borderId="12" xfId="0" applyFont="1" applyBorder="1" applyAlignment="1" applyProtection="1">
      <alignment horizontal="left" vertical="center" indent="1"/>
      <protection locked="0" hidden="1"/>
    </xf>
    <xf numFmtId="0" fontId="4" fillId="0" borderId="13" xfId="0" applyFont="1" applyBorder="1" applyAlignment="1" applyProtection="1">
      <alignment horizontal="left" vertical="center" indent="1"/>
      <protection locked="0" hidden="1"/>
    </xf>
    <xf numFmtId="0" fontId="5" fillId="0" borderId="11" xfId="0" applyFont="1" applyBorder="1" applyAlignment="1" applyProtection="1">
      <alignment horizontal="left" vertical="center" indent="1"/>
      <protection locked="0" hidden="1"/>
    </xf>
    <xf numFmtId="0" fontId="6" fillId="4" borderId="17" xfId="0" applyFont="1" applyFill="1" applyBorder="1" applyAlignment="1" applyProtection="1">
      <alignment horizontal="center" vertical="center" wrapText="1"/>
      <protection hidden="1"/>
    </xf>
    <xf numFmtId="0" fontId="6" fillId="4" borderId="22" xfId="0" applyFont="1" applyFill="1" applyBorder="1" applyAlignment="1" applyProtection="1">
      <alignment horizontal="center" vertical="center" wrapText="1"/>
      <protection hidden="1"/>
    </xf>
    <xf numFmtId="0" fontId="7" fillId="4" borderId="37" xfId="0" applyFont="1" applyFill="1" applyBorder="1" applyAlignment="1" applyProtection="1">
      <alignment horizontal="right" vertical="center" indent="1"/>
      <protection hidden="1"/>
    </xf>
    <xf numFmtId="0" fontId="7" fillId="4" borderId="38" xfId="0" applyFont="1" applyFill="1" applyBorder="1" applyAlignment="1" applyProtection="1">
      <alignment horizontal="right" vertical="center" indent="1"/>
      <protection hidden="1"/>
    </xf>
    <xf numFmtId="0" fontId="7" fillId="4" borderId="39" xfId="0" applyFont="1" applyFill="1" applyBorder="1" applyAlignment="1" applyProtection="1">
      <alignment horizontal="right" vertical="center" indent="1"/>
      <protection hidden="1"/>
    </xf>
    <xf numFmtId="0" fontId="7" fillId="5" borderId="41" xfId="0" applyFont="1" applyFill="1" applyBorder="1" applyAlignment="1" applyProtection="1">
      <alignment horizontal="right" vertical="center" indent="1"/>
      <protection hidden="1"/>
    </xf>
    <xf numFmtId="0" fontId="7" fillId="5" borderId="24" xfId="0" applyFont="1" applyFill="1" applyBorder="1" applyAlignment="1" applyProtection="1">
      <alignment horizontal="right" vertical="center" indent="1"/>
      <protection hidden="1"/>
    </xf>
    <xf numFmtId="0" fontId="1" fillId="2" borderId="25" xfId="0" applyFont="1" applyFill="1" applyBorder="1" applyAlignment="1" applyProtection="1">
      <alignment horizontal="center" vertical="center" textRotation="90"/>
      <protection hidden="1"/>
    </xf>
    <xf numFmtId="0" fontId="1" fillId="2" borderId="31" xfId="0" applyFont="1" applyFill="1" applyBorder="1" applyAlignment="1" applyProtection="1">
      <alignment horizontal="center" vertical="center" textRotation="90"/>
      <protection hidden="1"/>
    </xf>
    <xf numFmtId="0" fontId="7" fillId="3" borderId="28" xfId="0" applyFont="1" applyFill="1" applyBorder="1" applyAlignment="1" applyProtection="1">
      <alignment horizontal="right" vertical="center" indent="1"/>
      <protection hidden="1"/>
    </xf>
    <xf numFmtId="0" fontId="7" fillId="3" borderId="29" xfId="0" applyFont="1" applyFill="1" applyBorder="1" applyAlignment="1" applyProtection="1">
      <alignment horizontal="right" vertical="center" indent="1"/>
      <protection hidden="1"/>
    </xf>
    <xf numFmtId="0" fontId="7" fillId="5" borderId="46" xfId="0" applyFont="1" applyFill="1" applyBorder="1" applyAlignment="1" applyProtection="1">
      <alignment horizontal="right" vertical="center" indent="1"/>
      <protection hidden="1"/>
    </xf>
    <xf numFmtId="0" fontId="7" fillId="5" borderId="47" xfId="0" applyFont="1" applyFill="1" applyBorder="1" applyAlignment="1" applyProtection="1">
      <alignment horizontal="right" vertical="center" indent="1"/>
      <protection hidden="1"/>
    </xf>
    <xf numFmtId="0" fontId="7" fillId="3" borderId="43" xfId="0" applyFont="1" applyFill="1" applyBorder="1" applyAlignment="1" applyProtection="1">
      <alignment horizontal="right" vertical="center" indent="1"/>
      <protection hidden="1"/>
    </xf>
    <xf numFmtId="0" fontId="7" fillId="3" borderId="44" xfId="0" applyFont="1" applyFill="1" applyBorder="1" applyAlignment="1" applyProtection="1">
      <alignment horizontal="right" vertical="center" indent="1"/>
      <protection hidden="1"/>
    </xf>
    <xf numFmtId="0" fontId="7" fillId="5" borderId="28" xfId="0" applyFont="1" applyFill="1" applyBorder="1" applyAlignment="1" applyProtection="1">
      <alignment horizontal="right" vertical="center" indent="1"/>
      <protection hidden="1"/>
    </xf>
    <xf numFmtId="0" fontId="7" fillId="5" borderId="29" xfId="0" applyFont="1" applyFill="1" applyBorder="1" applyAlignment="1" applyProtection="1">
      <alignment horizontal="right" vertical="center" indent="1"/>
      <protection hidden="1"/>
    </xf>
    <xf numFmtId="0" fontId="7" fillId="3" borderId="46" xfId="0" applyFont="1" applyFill="1" applyBorder="1" applyAlignment="1" applyProtection="1">
      <alignment horizontal="right" vertical="center" indent="1"/>
      <protection hidden="1"/>
    </xf>
    <xf numFmtId="0" fontId="7" fillId="3" borderId="47" xfId="0" applyFont="1" applyFill="1" applyBorder="1" applyAlignment="1" applyProtection="1">
      <alignment horizontal="right" vertical="center" indent="1"/>
      <protection hidden="1"/>
    </xf>
    <xf numFmtId="0" fontId="7" fillId="5" borderId="43" xfId="0" applyFont="1" applyFill="1" applyBorder="1" applyAlignment="1" applyProtection="1">
      <alignment horizontal="right" vertical="center" indent="1"/>
      <protection hidden="1"/>
    </xf>
    <xf numFmtId="0" fontId="7" fillId="5" borderId="44" xfId="0" applyFont="1" applyFill="1" applyBorder="1" applyAlignment="1" applyProtection="1">
      <alignment horizontal="right" vertical="center" indent="1"/>
      <protection hidden="1"/>
    </xf>
    <xf numFmtId="0" fontId="7" fillId="4" borderId="37" xfId="0" applyFont="1" applyFill="1" applyBorder="1" applyAlignment="1" applyProtection="1">
      <alignment horizontal="center" vertical="center"/>
      <protection hidden="1"/>
    </xf>
    <xf numFmtId="0" fontId="7" fillId="4" borderId="38" xfId="0" applyFont="1" applyFill="1" applyBorder="1" applyAlignment="1" applyProtection="1">
      <alignment horizontal="center" vertical="center"/>
      <protection hidden="1"/>
    </xf>
    <xf numFmtId="0" fontId="41" fillId="0" borderId="37" xfId="0" applyFont="1" applyBorder="1" applyAlignment="1" applyProtection="1">
      <alignment horizontal="center" vertical="center"/>
      <protection hidden="1"/>
    </xf>
    <xf numFmtId="0" fontId="41" fillId="0" borderId="38" xfId="0" applyFont="1" applyBorder="1" applyAlignment="1" applyProtection="1">
      <alignment horizontal="center" vertical="center"/>
      <protection hidden="1"/>
    </xf>
    <xf numFmtId="0" fontId="10" fillId="2" borderId="18" xfId="0" applyFont="1" applyFill="1" applyBorder="1" applyAlignment="1" applyProtection="1">
      <alignment horizontal="center" vertical="center"/>
      <protection hidden="1"/>
    </xf>
    <xf numFmtId="0" fontId="10" fillId="2" borderId="19" xfId="0" applyFont="1" applyFill="1" applyBorder="1" applyAlignment="1" applyProtection="1">
      <alignment horizontal="center" vertical="center"/>
      <protection hidden="1"/>
    </xf>
    <xf numFmtId="0" fontId="10" fillId="2" borderId="20" xfId="0" applyFont="1" applyFill="1" applyBorder="1" applyAlignment="1" applyProtection="1">
      <alignment horizontal="center" vertical="center"/>
      <protection hidden="1"/>
    </xf>
    <xf numFmtId="0" fontId="9" fillId="2" borderId="21" xfId="0" applyFont="1" applyFill="1" applyBorder="1" applyAlignment="1" applyProtection="1">
      <alignment horizontal="center" vertical="center"/>
      <protection hidden="1"/>
    </xf>
    <xf numFmtId="0" fontId="9" fillId="2" borderId="41" xfId="0" applyFont="1" applyFill="1" applyBorder="1" applyAlignment="1" applyProtection="1">
      <alignment horizontal="center" vertical="center"/>
      <protection hidden="1"/>
    </xf>
    <xf numFmtId="0" fontId="8" fillId="0" borderId="37" xfId="0" applyFont="1" applyBorder="1" applyAlignment="1" applyProtection="1">
      <alignment horizontal="center" vertical="center" wrapText="1"/>
      <protection hidden="1"/>
    </xf>
    <xf numFmtId="0" fontId="8" fillId="0" borderId="38" xfId="0" applyFont="1" applyBorder="1" applyAlignment="1" applyProtection="1">
      <alignment horizontal="center" vertical="center" wrapText="1"/>
      <protection hidden="1"/>
    </xf>
    <xf numFmtId="0" fontId="8" fillId="0" borderId="39" xfId="0" applyFont="1" applyBorder="1" applyAlignment="1" applyProtection="1">
      <alignment horizontal="center" vertical="center" wrapText="1"/>
      <protection hidden="1"/>
    </xf>
    <xf numFmtId="0" fontId="7" fillId="5" borderId="42" xfId="0" applyFont="1" applyFill="1" applyBorder="1" applyAlignment="1" applyProtection="1">
      <alignment horizontal="right" vertical="center" indent="1"/>
      <protection hidden="1"/>
    </xf>
    <xf numFmtId="0" fontId="7" fillId="5" borderId="36" xfId="0" applyFont="1" applyFill="1" applyBorder="1" applyAlignment="1" applyProtection="1">
      <alignment horizontal="right" vertical="center" indent="1"/>
      <protection hidden="1"/>
    </xf>
    <xf numFmtId="0" fontId="1" fillId="2" borderId="49" xfId="0" applyFont="1" applyFill="1" applyBorder="1" applyAlignment="1" applyProtection="1">
      <alignment horizontal="center" vertical="center" textRotation="90"/>
      <protection hidden="1"/>
    </xf>
    <xf numFmtId="0" fontId="21" fillId="3" borderId="28" xfId="0" applyFont="1" applyFill="1" applyBorder="1" applyAlignment="1" applyProtection="1">
      <alignment horizontal="right" vertical="center" indent="1"/>
      <protection hidden="1"/>
    </xf>
    <xf numFmtId="0" fontId="21" fillId="3" borderId="29" xfId="0" applyFont="1" applyFill="1" applyBorder="1" applyAlignment="1" applyProtection="1">
      <alignment horizontal="right" vertical="center" indent="1"/>
      <protection hidden="1"/>
    </xf>
    <xf numFmtId="0" fontId="21" fillId="5" borderId="46" xfId="0" applyFont="1" applyFill="1" applyBorder="1" applyAlignment="1" applyProtection="1">
      <alignment horizontal="right" vertical="center" indent="1"/>
      <protection hidden="1"/>
    </xf>
    <xf numFmtId="0" fontId="21" fillId="5" borderId="47" xfId="0" applyFont="1" applyFill="1" applyBorder="1" applyAlignment="1" applyProtection="1">
      <alignment horizontal="right" vertical="center" indent="1"/>
      <protection hidden="1"/>
    </xf>
    <xf numFmtId="0" fontId="21" fillId="3" borderId="46" xfId="0" applyFont="1" applyFill="1" applyBorder="1" applyAlignment="1" applyProtection="1">
      <alignment horizontal="right" vertical="center" indent="1"/>
      <protection hidden="1"/>
    </xf>
    <xf numFmtId="0" fontId="21" fillId="3" borderId="47" xfId="0" applyFont="1" applyFill="1" applyBorder="1" applyAlignment="1" applyProtection="1">
      <alignment horizontal="right" vertical="center" indent="1"/>
      <protection hidden="1"/>
    </xf>
    <xf numFmtId="0" fontId="21" fillId="3" borderId="43" xfId="0" applyFont="1" applyFill="1" applyBorder="1" applyAlignment="1" applyProtection="1">
      <alignment horizontal="right" vertical="center" indent="1"/>
      <protection hidden="1"/>
    </xf>
    <xf numFmtId="0" fontId="21" fillId="3" borderId="44" xfId="0" applyFont="1" applyFill="1" applyBorder="1" applyAlignment="1" applyProtection="1">
      <alignment horizontal="right" vertical="center" indent="1"/>
      <protection hidden="1"/>
    </xf>
    <xf numFmtId="0" fontId="21" fillId="5" borderId="28" xfId="0" applyFont="1" applyFill="1" applyBorder="1" applyAlignment="1" applyProtection="1">
      <alignment horizontal="right" vertical="center" indent="1"/>
      <protection hidden="1"/>
    </xf>
    <xf numFmtId="0" fontId="21" fillId="5" borderId="29" xfId="0" applyFont="1" applyFill="1" applyBorder="1" applyAlignment="1" applyProtection="1">
      <alignment horizontal="right" vertical="center" indent="1"/>
      <protection hidden="1"/>
    </xf>
    <xf numFmtId="0" fontId="21" fillId="5" borderId="59" xfId="0" applyFont="1" applyFill="1" applyBorder="1" applyAlignment="1" applyProtection="1">
      <alignment horizontal="right" vertical="center" indent="1"/>
      <protection hidden="1"/>
    </xf>
    <xf numFmtId="0" fontId="21" fillId="5" borderId="60" xfId="0" applyFont="1" applyFill="1" applyBorder="1" applyAlignment="1" applyProtection="1">
      <alignment horizontal="right" vertical="center" indent="1"/>
      <protection hidden="1"/>
    </xf>
    <xf numFmtId="0" fontId="21" fillId="3" borderId="59" xfId="0" applyFont="1" applyFill="1" applyBorder="1" applyAlignment="1" applyProtection="1">
      <alignment horizontal="right" vertical="center" indent="1"/>
      <protection hidden="1"/>
    </xf>
    <xf numFmtId="0" fontId="21" fillId="3" borderId="60" xfId="0" applyFont="1" applyFill="1" applyBorder="1" applyAlignment="1" applyProtection="1">
      <alignment horizontal="right" vertical="center" indent="1"/>
      <protection hidden="1"/>
    </xf>
    <xf numFmtId="0" fontId="7" fillId="0" borderId="42" xfId="0" applyFont="1" applyBorder="1" applyAlignment="1" applyProtection="1">
      <alignment horizontal="right" vertical="center" indent="1"/>
      <protection hidden="1"/>
    </xf>
    <xf numFmtId="0" fontId="7" fillId="0" borderId="36" xfId="0" applyFont="1" applyBorder="1" applyAlignment="1" applyProtection="1">
      <alignment horizontal="right" vertical="center" indent="1"/>
      <protection hidden="1"/>
    </xf>
    <xf numFmtId="0" fontId="7" fillId="0" borderId="46" xfId="0" applyFont="1" applyBorder="1" applyAlignment="1" applyProtection="1">
      <alignment horizontal="right" vertical="center" indent="1"/>
      <protection hidden="1"/>
    </xf>
    <xf numFmtId="0" fontId="7" fillId="0" borderId="47" xfId="0" applyFont="1" applyBorder="1" applyAlignment="1" applyProtection="1">
      <alignment horizontal="right" vertical="center" indent="1"/>
      <protection hidden="1"/>
    </xf>
    <xf numFmtId="0" fontId="7" fillId="3" borderId="59" xfId="0" applyFont="1" applyFill="1" applyBorder="1" applyAlignment="1" applyProtection="1">
      <alignment horizontal="right" vertical="center" indent="1"/>
      <protection hidden="1"/>
    </xf>
    <xf numFmtId="0" fontId="7" fillId="3" borderId="60" xfId="0" applyFont="1" applyFill="1" applyBorder="1" applyAlignment="1" applyProtection="1">
      <alignment horizontal="right" vertical="center" indent="1"/>
      <protection hidden="1"/>
    </xf>
    <xf numFmtId="0" fontId="7" fillId="0" borderId="28" xfId="0" applyFont="1" applyBorder="1" applyAlignment="1" applyProtection="1">
      <alignment horizontal="right" vertical="center" indent="1"/>
      <protection hidden="1"/>
    </xf>
    <xf numFmtId="0" fontId="7" fillId="0" borderId="29" xfId="0" applyFont="1" applyBorder="1" applyAlignment="1" applyProtection="1">
      <alignment horizontal="right" vertical="center" indent="1"/>
      <protection hidden="1"/>
    </xf>
    <xf numFmtId="0" fontId="7" fillId="0" borderId="59" xfId="0" applyFont="1" applyBorder="1" applyAlignment="1" applyProtection="1">
      <alignment horizontal="right" vertical="center" indent="1"/>
      <protection hidden="1"/>
    </xf>
    <xf numFmtId="0" fontId="7" fillId="0" borderId="60" xfId="0" applyFont="1" applyBorder="1" applyAlignment="1" applyProtection="1">
      <alignment horizontal="right" vertical="center" indent="1"/>
      <protection hidden="1"/>
    </xf>
    <xf numFmtId="0" fontId="7" fillId="0" borderId="41" xfId="0" applyFont="1" applyBorder="1" applyAlignment="1" applyProtection="1">
      <alignment horizontal="right" vertical="center" indent="1"/>
      <protection hidden="1"/>
    </xf>
    <xf numFmtId="0" fontId="7" fillId="0" borderId="24" xfId="0" applyFont="1" applyBorder="1" applyAlignment="1" applyProtection="1">
      <alignment horizontal="right" vertical="center" indent="1"/>
      <protection hidden="1"/>
    </xf>
    <xf numFmtId="0" fontId="7" fillId="4" borderId="67" xfId="0" applyFont="1" applyFill="1" applyBorder="1" applyAlignment="1" applyProtection="1">
      <alignment horizontal="center" vertical="center"/>
      <protection hidden="1"/>
    </xf>
    <xf numFmtId="0" fontId="7" fillId="4" borderId="36" xfId="0" applyFont="1" applyFill="1" applyBorder="1" applyAlignment="1" applyProtection="1">
      <alignment horizontal="center" vertical="center"/>
      <protection hidden="1"/>
    </xf>
    <xf numFmtId="0" fontId="7" fillId="5" borderId="68" xfId="0" applyFont="1" applyFill="1" applyBorder="1" applyAlignment="1" applyProtection="1">
      <alignment horizontal="right" vertical="center" indent="1"/>
      <protection hidden="1"/>
    </xf>
    <xf numFmtId="0" fontId="7" fillId="5" borderId="69" xfId="0" applyFont="1" applyFill="1" applyBorder="1" applyAlignment="1" applyProtection="1">
      <alignment horizontal="right" vertical="center" indent="1"/>
      <protection hidden="1"/>
    </xf>
    <xf numFmtId="0" fontId="7" fillId="3" borderId="64" xfId="0" applyFont="1" applyFill="1" applyBorder="1" applyAlignment="1" applyProtection="1">
      <alignment horizontal="right" vertical="center" indent="1"/>
      <protection hidden="1"/>
    </xf>
    <xf numFmtId="0" fontId="7" fillId="0" borderId="65" xfId="0" applyFont="1" applyBorder="1" applyAlignment="1" applyProtection="1">
      <alignment horizontal="right" vertical="center" indent="1"/>
      <protection hidden="1"/>
    </xf>
    <xf numFmtId="0" fontId="7" fillId="0" borderId="66" xfId="0" applyFont="1" applyBorder="1" applyAlignment="1" applyProtection="1">
      <alignment horizontal="right" vertical="center" indent="1"/>
      <protection hidden="1"/>
    </xf>
    <xf numFmtId="0" fontId="7" fillId="3" borderId="27" xfId="0" applyFont="1" applyFill="1" applyBorder="1" applyAlignment="1" applyProtection="1">
      <alignment horizontal="right" vertical="center" indent="1"/>
      <protection hidden="1"/>
    </xf>
    <xf numFmtId="0" fontId="7" fillId="0" borderId="63" xfId="0" applyFont="1" applyBorder="1" applyAlignment="1" applyProtection="1">
      <alignment horizontal="right" vertical="center" indent="1"/>
      <protection hidden="1"/>
    </xf>
    <xf numFmtId="0" fontId="7" fillId="3" borderId="63" xfId="0" applyFont="1" applyFill="1" applyBorder="1" applyAlignment="1" applyProtection="1">
      <alignment horizontal="right" vertical="center" indent="1"/>
      <protection hidden="1"/>
    </xf>
    <xf numFmtId="0" fontId="1" fillId="2" borderId="26" xfId="0" applyFont="1" applyFill="1" applyBorder="1" applyAlignment="1" applyProtection="1">
      <alignment horizontal="center" vertical="center" textRotation="90"/>
      <protection hidden="1"/>
    </xf>
    <xf numFmtId="0" fontId="1" fillId="2" borderId="62" xfId="0" applyFont="1" applyFill="1" applyBorder="1" applyAlignment="1" applyProtection="1">
      <alignment horizontal="center" vertical="center" textRotation="90"/>
      <protection hidden="1"/>
    </xf>
    <xf numFmtId="0" fontId="1" fillId="2" borderId="22" xfId="0" applyFont="1" applyFill="1" applyBorder="1" applyAlignment="1" applyProtection="1">
      <alignment horizontal="center" vertical="center" textRotation="90"/>
      <protection hidden="1"/>
    </xf>
    <xf numFmtId="0" fontId="18" fillId="2" borderId="26" xfId="0" applyFont="1" applyFill="1" applyBorder="1" applyAlignment="1" applyProtection="1">
      <alignment horizontal="center" vertical="center" textRotation="90"/>
      <protection hidden="1"/>
    </xf>
    <xf numFmtId="0" fontId="18" fillId="2" borderId="62" xfId="0" applyFont="1" applyFill="1" applyBorder="1" applyAlignment="1" applyProtection="1">
      <alignment horizontal="center" vertical="center" textRotation="90"/>
      <protection hidden="1"/>
    </xf>
    <xf numFmtId="0" fontId="18" fillId="2" borderId="22" xfId="0" applyFont="1" applyFill="1" applyBorder="1" applyAlignment="1" applyProtection="1">
      <alignment horizontal="center" vertical="center" textRotation="90"/>
      <protection hidden="1"/>
    </xf>
    <xf numFmtId="0" fontId="7" fillId="0" borderId="27" xfId="0" applyFont="1" applyBorder="1" applyAlignment="1" applyProtection="1">
      <alignment horizontal="right" vertical="center" indent="1"/>
      <protection hidden="1"/>
    </xf>
    <xf numFmtId="0" fontId="7" fillId="0" borderId="44" xfId="0" applyFont="1" applyBorder="1" applyAlignment="1" applyProtection="1">
      <alignment horizontal="right" vertical="center" indent="1"/>
      <protection hidden="1"/>
    </xf>
    <xf numFmtId="0" fontId="7" fillId="4" borderId="21" xfId="0" applyFont="1" applyFill="1" applyBorder="1" applyAlignment="1" applyProtection="1">
      <alignment horizontal="center" vertical="center"/>
      <protection hidden="1"/>
    </xf>
    <xf numFmtId="0" fontId="7" fillId="4" borderId="24" xfId="0" applyFont="1" applyFill="1" applyBorder="1" applyAlignment="1" applyProtection="1">
      <alignment horizontal="center" vertical="center"/>
      <protection hidden="1"/>
    </xf>
    <xf numFmtId="0" fontId="7" fillId="0" borderId="64" xfId="0" applyFont="1" applyBorder="1" applyAlignment="1" applyProtection="1">
      <alignment horizontal="right" vertical="center" indent="1"/>
      <protection hidden="1"/>
    </xf>
    <xf numFmtId="2" fontId="23" fillId="0" borderId="0" xfId="0" applyNumberFormat="1" applyFont="1" applyAlignment="1" applyProtection="1">
      <alignment horizontal="center" vertical="center"/>
      <protection hidden="1"/>
    </xf>
    <xf numFmtId="0" fontId="7" fillId="0" borderId="72" xfId="0" applyFont="1" applyBorder="1" applyAlignment="1" applyProtection="1">
      <alignment horizontal="right" vertical="center" indent="1"/>
      <protection hidden="1"/>
    </xf>
    <xf numFmtId="0" fontId="7" fillId="3" borderId="73" xfId="0" applyFont="1" applyFill="1" applyBorder="1" applyAlignment="1" applyProtection="1">
      <alignment horizontal="right" vertical="center" indent="1"/>
      <protection hidden="1"/>
    </xf>
    <xf numFmtId="0" fontId="7" fillId="3" borderId="74" xfId="0" applyFont="1" applyFill="1" applyBorder="1" applyAlignment="1" applyProtection="1">
      <alignment horizontal="right" vertical="center" indent="1"/>
      <protection hidden="1"/>
    </xf>
    <xf numFmtId="0" fontId="7" fillId="0" borderId="73" xfId="0" applyFont="1" applyBorder="1" applyAlignment="1" applyProtection="1">
      <alignment horizontal="right" vertical="center" indent="1"/>
      <protection hidden="1"/>
    </xf>
    <xf numFmtId="0" fontId="7" fillId="0" borderId="74" xfId="0" applyFont="1" applyBorder="1" applyAlignment="1" applyProtection="1">
      <alignment horizontal="right" vertical="center" indent="1"/>
      <protection hidden="1"/>
    </xf>
    <xf numFmtId="0" fontId="26" fillId="0" borderId="0" xfId="0" applyFont="1" applyAlignment="1">
      <alignment horizontal="center" vertical="center"/>
    </xf>
    <xf numFmtId="0" fontId="1" fillId="3" borderId="28" xfId="0" applyFont="1" applyFill="1" applyBorder="1" applyAlignment="1" applyProtection="1">
      <alignment horizontal="right" vertical="center" indent="1"/>
      <protection hidden="1"/>
    </xf>
    <xf numFmtId="0" fontId="1" fillId="3" borderId="29" xfId="0" applyFont="1" applyFill="1" applyBorder="1" applyAlignment="1" applyProtection="1">
      <alignment horizontal="right" vertical="center" indent="1"/>
      <protection hidden="1"/>
    </xf>
    <xf numFmtId="0" fontId="1" fillId="5" borderId="46" xfId="0" applyFont="1" applyFill="1" applyBorder="1" applyAlignment="1" applyProtection="1">
      <alignment horizontal="right" vertical="center" indent="1"/>
      <protection hidden="1"/>
    </xf>
    <xf numFmtId="0" fontId="1" fillId="5" borderId="47" xfId="0" applyFont="1" applyFill="1" applyBorder="1" applyAlignment="1" applyProtection="1">
      <alignment horizontal="right" vertical="center" indent="1"/>
      <protection hidden="1"/>
    </xf>
    <xf numFmtId="0" fontId="1" fillId="5" borderId="41" xfId="0" applyFont="1" applyFill="1" applyBorder="1" applyAlignment="1" applyProtection="1">
      <alignment horizontal="right" vertical="center" indent="1"/>
      <protection hidden="1"/>
    </xf>
    <xf numFmtId="0" fontId="1" fillId="5" borderId="24" xfId="0" applyFont="1" applyFill="1" applyBorder="1" applyAlignment="1" applyProtection="1">
      <alignment horizontal="right" vertical="center" indent="1"/>
      <protection hidden="1"/>
    </xf>
    <xf numFmtId="14" fontId="9" fillId="0" borderId="0" xfId="0" applyNumberFormat="1" applyFont="1" applyAlignment="1" applyProtection="1">
      <alignment horizontal="center" vertical="center"/>
      <protection hidden="1"/>
    </xf>
    <xf numFmtId="0" fontId="30" fillId="0" borderId="0" xfId="0" applyFont="1" applyAlignment="1">
      <alignment horizontal="right" indent="1"/>
    </xf>
    <xf numFmtId="0" fontId="20" fillId="0" borderId="0" xfId="0" applyFont="1" applyAlignment="1">
      <alignment horizontal="right" indent="1"/>
    </xf>
  </cellXfs>
  <cellStyles count="3">
    <cellStyle name="Prozent" xfId="2" builtinId="5"/>
    <cellStyle name="Standard" xfId="0" builtinId="0"/>
    <cellStyle name="Standard 2" xfId="1" xr:uid="{00000000-0005-0000-0000-000002000000}"/>
  </cellStyles>
  <dxfs count="86"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FF00"/>
      <color rgb="FFFFA015"/>
      <color rgb="FFFF0000"/>
      <color rgb="FF3366FF"/>
      <color rgb="FFFF5050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4</xdr:col>
      <xdr:colOff>347349</xdr:colOff>
      <xdr:row>3</xdr:row>
      <xdr:rowOff>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229364" cy="1066799"/>
        </a:xfrm>
        <a:prstGeom prst="rect">
          <a:avLst/>
        </a:prstGeom>
      </xdr:spPr>
    </xdr:pic>
    <xdr:clientData/>
  </xdr:twoCellAnchor>
  <xdr:twoCellAnchor>
    <xdr:from>
      <xdr:col>10</xdr:col>
      <xdr:colOff>276225</xdr:colOff>
      <xdr:row>0</xdr:row>
      <xdr:rowOff>1</xdr:rowOff>
    </xdr:from>
    <xdr:to>
      <xdr:col>12</xdr:col>
      <xdr:colOff>650</xdr:colOff>
      <xdr:row>3</xdr:row>
      <xdr:rowOff>6209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6350" y="1"/>
          <a:ext cx="886475" cy="107300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552451</xdr:colOff>
      <xdr:row>0</xdr:row>
      <xdr:rowOff>9525</xdr:rowOff>
    </xdr:from>
    <xdr:to>
      <xdr:col>12</xdr:col>
      <xdr:colOff>650</xdr:colOff>
      <xdr:row>3</xdr:row>
      <xdr:rowOff>4620</xdr:rowOff>
    </xdr:to>
    <xdr:pic>
      <xdr:nvPicPr>
        <xdr:cNvPr id="2" name="Grafik 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81551" y="9525"/>
          <a:ext cx="1191274" cy="10638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347349</xdr:colOff>
      <xdr:row>3</xdr:row>
      <xdr:rowOff>1344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44604" cy="106814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347349</xdr:colOff>
      <xdr:row>3</xdr:row>
      <xdr:rowOff>1344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44604" cy="1068144"/>
        </a:xfrm>
        <a:prstGeom prst="rect">
          <a:avLst/>
        </a:prstGeom>
      </xdr:spPr>
    </xdr:pic>
    <xdr:clientData/>
  </xdr:twoCellAnchor>
  <xdr:twoCellAnchor editAs="oneCell">
    <xdr:from>
      <xdr:col>10</xdr:col>
      <xdr:colOff>455083</xdr:colOff>
      <xdr:row>0</xdr:row>
      <xdr:rowOff>0</xdr:rowOff>
    </xdr:from>
    <xdr:to>
      <xdr:col>12</xdr:col>
      <xdr:colOff>650</xdr:colOff>
      <xdr:row>3</xdr:row>
      <xdr:rowOff>3675</xdr:rowOff>
    </xdr:to>
    <xdr:pic>
      <xdr:nvPicPr>
        <xdr:cNvPr id="3" name="Grafik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5208" y="0"/>
          <a:ext cx="707617" cy="1080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111129</xdr:colOff>
      <xdr:row>3</xdr:row>
      <xdr:rowOff>1904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48414" cy="1068704"/>
        </a:xfrm>
        <a:prstGeom prst="rect">
          <a:avLst/>
        </a:prstGeom>
      </xdr:spPr>
    </xdr:pic>
    <xdr:clientData/>
  </xdr:twoCellAnchor>
  <xdr:twoCellAnchor editAs="oneCell">
    <xdr:from>
      <xdr:col>9</xdr:col>
      <xdr:colOff>552450</xdr:colOff>
      <xdr:row>0</xdr:row>
      <xdr:rowOff>1</xdr:rowOff>
    </xdr:from>
    <xdr:to>
      <xdr:col>11</xdr:col>
      <xdr:colOff>575734</xdr:colOff>
      <xdr:row>2</xdr:row>
      <xdr:rowOff>490671</xdr:rowOff>
    </xdr:to>
    <xdr:pic>
      <xdr:nvPicPr>
        <xdr:cNvPr id="3" name="Grafik 6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81550" y="1"/>
          <a:ext cx="1187239" cy="103931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349254</xdr:colOff>
      <xdr:row>3</xdr:row>
      <xdr:rowOff>1904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44604" cy="1068704"/>
        </a:xfrm>
        <a:prstGeom prst="rect">
          <a:avLst/>
        </a:prstGeom>
      </xdr:spPr>
    </xdr:pic>
    <xdr:clientData/>
  </xdr:twoCellAnchor>
  <xdr:twoCellAnchor editAs="oneCell">
    <xdr:from>
      <xdr:col>9</xdr:col>
      <xdr:colOff>362954</xdr:colOff>
      <xdr:row>0</xdr:row>
      <xdr:rowOff>1</xdr:rowOff>
    </xdr:from>
    <xdr:to>
      <xdr:col>12</xdr:col>
      <xdr:colOff>3296</xdr:colOff>
      <xdr:row>2</xdr:row>
      <xdr:rowOff>419100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9629" y="1"/>
          <a:ext cx="1383417" cy="98107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349254</xdr:colOff>
      <xdr:row>3</xdr:row>
      <xdr:rowOff>1904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44604" cy="1068704"/>
        </a:xfrm>
        <a:prstGeom prst="rect">
          <a:avLst/>
        </a:prstGeom>
      </xdr:spPr>
    </xdr:pic>
    <xdr:clientData/>
  </xdr:twoCellAnchor>
  <xdr:twoCellAnchor editAs="oneCell">
    <xdr:from>
      <xdr:col>9</xdr:col>
      <xdr:colOff>285924</xdr:colOff>
      <xdr:row>0</xdr:row>
      <xdr:rowOff>4554</xdr:rowOff>
    </xdr:from>
    <xdr:to>
      <xdr:col>11</xdr:col>
      <xdr:colOff>575082</xdr:colOff>
      <xdr:row>2</xdr:row>
      <xdr:rowOff>310515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62599" y="4554"/>
          <a:ext cx="1453113" cy="87174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4</xdr:col>
      <xdr:colOff>347349</xdr:colOff>
      <xdr:row>3</xdr:row>
      <xdr:rowOff>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229364" cy="1066799"/>
        </a:xfrm>
        <a:prstGeom prst="rect">
          <a:avLst/>
        </a:prstGeom>
      </xdr:spPr>
    </xdr:pic>
    <xdr:clientData/>
  </xdr:twoCellAnchor>
  <xdr:twoCellAnchor>
    <xdr:from>
      <xdr:col>10</xdr:col>
      <xdr:colOff>276225</xdr:colOff>
      <xdr:row>0</xdr:row>
      <xdr:rowOff>1</xdr:rowOff>
    </xdr:from>
    <xdr:to>
      <xdr:col>12</xdr:col>
      <xdr:colOff>650</xdr:colOff>
      <xdr:row>3</xdr:row>
      <xdr:rowOff>6209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6350" y="1"/>
          <a:ext cx="886475" cy="1073008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</xdr:colOff>
          <xdr:row>3</xdr:row>
          <xdr:rowOff>66675</xdr:rowOff>
        </xdr:from>
        <xdr:to>
          <xdr:col>6</xdr:col>
          <xdr:colOff>657225</xdr:colOff>
          <xdr:row>4</xdr:row>
          <xdr:rowOff>152400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E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Blanko Sheets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>
    <pageSetUpPr fitToPage="1"/>
  </sheetPr>
  <dimension ref="A1:AG40"/>
  <sheetViews>
    <sheetView tabSelected="1" zoomScaleNormal="100" workbookViewId="0"/>
  </sheetViews>
  <sheetFormatPr baseColWidth="10" defaultColWidth="11.42578125" defaultRowHeight="15" x14ac:dyDescent="0.25"/>
  <cols>
    <col min="1" max="1" width="3.7109375" customWidth="1"/>
    <col min="2" max="2" width="3.7109375" hidden="1" customWidth="1"/>
    <col min="3" max="3" width="3.7109375" customWidth="1"/>
    <col min="4" max="4" width="5.7109375" customWidth="1"/>
    <col min="5" max="5" width="23.42578125" customWidth="1"/>
    <col min="6" max="7" width="4.7109375" customWidth="1"/>
    <col min="8" max="12" width="8.7109375" customWidth="1"/>
  </cols>
  <sheetData>
    <row r="1" spans="1:33" s="19" customFormat="1" ht="24.95" customHeight="1" x14ac:dyDescent="0.5">
      <c r="A1" s="66"/>
      <c r="B1" s="66"/>
      <c r="C1" s="66"/>
      <c r="D1" s="66"/>
      <c r="E1" s="271" t="str">
        <f>Doku!B28</f>
        <v>Meisterschaftsname</v>
      </c>
      <c r="F1" s="271"/>
      <c r="G1" s="271"/>
      <c r="H1" s="271"/>
      <c r="I1" s="271"/>
      <c r="J1" s="67"/>
      <c r="K1" s="66"/>
      <c r="L1" s="66"/>
    </row>
    <row r="2" spans="1:33" s="21" customFormat="1" ht="20.100000000000001" customHeight="1" x14ac:dyDescent="0.45">
      <c r="A2" s="284" t="str">
        <f>Doku!B29</f>
        <v>Ausrichter</v>
      </c>
      <c r="B2" s="284"/>
      <c r="C2" s="284"/>
      <c r="D2" s="284"/>
      <c r="E2" s="284"/>
      <c r="F2" s="284"/>
      <c r="G2" s="284"/>
      <c r="H2" s="284"/>
      <c r="I2" s="284"/>
      <c r="J2" s="284"/>
      <c r="K2" s="284"/>
      <c r="L2" s="284"/>
    </row>
    <row r="3" spans="1:33" s="19" customFormat="1" ht="39.950000000000003" customHeight="1" x14ac:dyDescent="0.5">
      <c r="A3" s="285" t="s">
        <v>0</v>
      </c>
      <c r="B3" s="285"/>
      <c r="C3" s="285"/>
      <c r="D3" s="285"/>
      <c r="E3" s="285"/>
      <c r="F3" s="285"/>
      <c r="G3" s="285"/>
      <c r="H3" s="285"/>
      <c r="I3" s="285"/>
      <c r="J3" s="285"/>
      <c r="K3" s="285"/>
      <c r="L3" s="285"/>
    </row>
    <row r="4" spans="1:33" s="19" customFormat="1" ht="12" customHeight="1" x14ac:dyDescent="0.5">
      <c r="A4" s="13"/>
      <c r="B4" s="13"/>
      <c r="C4" s="13"/>
      <c r="D4" s="13"/>
      <c r="E4" s="13"/>
      <c r="F4" s="14"/>
      <c r="G4" s="14"/>
      <c r="H4" s="14"/>
      <c r="I4" s="14"/>
      <c r="J4" s="14"/>
      <c r="K4" s="14"/>
    </row>
    <row r="5" spans="1:33" ht="21.95" customHeight="1" x14ac:dyDescent="0.25">
      <c r="A5" s="272" t="str">
        <f>Doku!B31&amp;":"</f>
        <v>Bewerter:</v>
      </c>
      <c r="B5" s="272"/>
      <c r="C5" s="272"/>
      <c r="D5" s="272"/>
      <c r="E5" s="22"/>
      <c r="F5" s="15"/>
      <c r="G5" s="16" t="str">
        <f>Doku!B30&amp;":"</f>
        <v>Datum:</v>
      </c>
      <c r="H5" s="286"/>
      <c r="I5" s="286"/>
      <c r="J5" s="287" t="str">
        <f>Doku!B32&amp;":"</f>
        <v>Paar Nr:</v>
      </c>
      <c r="K5" s="287"/>
      <c r="L5" s="97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3"/>
      <c r="AG5" s="23"/>
    </row>
    <row r="6" spans="1:33" ht="12" customHeight="1" thickBot="1" x14ac:dyDescent="0.55000000000000004">
      <c r="A6" s="1"/>
      <c r="B6" s="1"/>
      <c r="C6" s="2"/>
      <c r="D6" s="2"/>
      <c r="E6" s="2"/>
      <c r="F6" s="37"/>
      <c r="G6" s="37"/>
      <c r="H6" s="283"/>
      <c r="I6" s="283"/>
      <c r="J6" s="283"/>
      <c r="K6" s="283"/>
      <c r="L6" s="19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</row>
    <row r="7" spans="1:33" s="20" customFormat="1" ht="20.100000000000001" customHeight="1" x14ac:dyDescent="0.35">
      <c r="A7" s="11"/>
      <c r="B7" s="11"/>
      <c r="C7" s="11"/>
      <c r="D7" s="281" t="str">
        <f>Doku!B33</f>
        <v>Nachname</v>
      </c>
      <c r="E7" s="275"/>
      <c r="F7" s="273" t="str">
        <f>Doku!B34</f>
        <v>Vorname</v>
      </c>
      <c r="G7" s="274"/>
      <c r="H7" s="275"/>
      <c r="I7" s="276" t="str">
        <f>Doku!B35</f>
        <v>Verein</v>
      </c>
      <c r="J7" s="276"/>
      <c r="K7" s="276"/>
      <c r="L7" s="12" t="str">
        <f>Doku!B36</f>
        <v>Land</v>
      </c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  <c r="AA7" s="24"/>
      <c r="AB7" s="24"/>
      <c r="AC7" s="24"/>
      <c r="AD7" s="24"/>
      <c r="AE7" s="24"/>
      <c r="AF7" s="24"/>
      <c r="AG7" s="24"/>
    </row>
    <row r="8" spans="1:33" ht="21.95" customHeight="1" x14ac:dyDescent="0.25">
      <c r="A8" s="15" t="s">
        <v>29</v>
      </c>
      <c r="B8" s="15"/>
      <c r="C8" s="15"/>
      <c r="D8" s="282"/>
      <c r="E8" s="279"/>
      <c r="F8" s="277"/>
      <c r="G8" s="278"/>
      <c r="H8" s="279"/>
      <c r="I8" s="280"/>
      <c r="J8" s="280"/>
      <c r="K8" s="280"/>
      <c r="L8" s="17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</row>
    <row r="9" spans="1:33" ht="21.95" customHeight="1" thickBot="1" x14ac:dyDescent="0.3">
      <c r="A9" s="15" t="s">
        <v>30</v>
      </c>
      <c r="B9" s="15"/>
      <c r="C9" s="15"/>
      <c r="D9" s="269"/>
      <c r="E9" s="270"/>
      <c r="F9" s="288"/>
      <c r="G9" s="289"/>
      <c r="H9" s="270"/>
      <c r="I9" s="290"/>
      <c r="J9" s="290"/>
      <c r="K9" s="290"/>
      <c r="L9" s="18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</row>
    <row r="10" spans="1:33" ht="12" customHeight="1" thickBot="1" x14ac:dyDescent="0.3">
      <c r="A10" s="1"/>
      <c r="B10" s="1"/>
      <c r="C10" s="2"/>
      <c r="D10" s="2"/>
      <c r="E10" s="3"/>
      <c r="F10" s="3"/>
      <c r="G10" s="3"/>
      <c r="H10" s="3"/>
      <c r="I10" s="3"/>
      <c r="J10" s="3"/>
      <c r="K10" s="3"/>
      <c r="L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</row>
    <row r="11" spans="1:33" ht="39.75" customHeight="1" thickTop="1" thickBot="1" x14ac:dyDescent="0.3">
      <c r="A11" s="4"/>
      <c r="B11" s="4"/>
      <c r="C11" s="4"/>
      <c r="D11" s="4"/>
      <c r="E11" s="4"/>
      <c r="F11" s="267" t="str">
        <f>Doku!B38</f>
        <v>Kleiner Fehler</v>
      </c>
      <c r="G11" s="268"/>
      <c r="H11" s="60" t="str">
        <f>Doku!B39</f>
        <v>Mittlerer Fehler</v>
      </c>
      <c r="I11" s="60" t="str">
        <f>Doku!B40</f>
        <v>Großer Fehler</v>
      </c>
      <c r="J11" s="68" t="s">
        <v>205</v>
      </c>
      <c r="K11" s="68" t="str">
        <f>Doku!B41</f>
        <v>Technik vergessen</v>
      </c>
      <c r="L11" s="291" t="str">
        <f>Doku!B42</f>
        <v>Gesamt</v>
      </c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</row>
    <row r="12" spans="1:33" s="20" customFormat="1" ht="20.100000000000001" customHeight="1" thickTop="1" thickBot="1" x14ac:dyDescent="0.4">
      <c r="A12" s="316" t="str">
        <f>Doku!B37</f>
        <v>Technik</v>
      </c>
      <c r="B12" s="317"/>
      <c r="C12" s="317"/>
      <c r="D12" s="317"/>
      <c r="E12" s="318"/>
      <c r="F12" s="319">
        <v>1</v>
      </c>
      <c r="G12" s="320"/>
      <c r="H12" s="61">
        <v>3</v>
      </c>
      <c r="I12" s="61">
        <v>5</v>
      </c>
      <c r="J12" s="61">
        <v>0.5</v>
      </c>
      <c r="K12" s="61">
        <v>10</v>
      </c>
      <c r="L12" s="292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</row>
    <row r="13" spans="1:33" ht="27" customHeight="1" thickBot="1" x14ac:dyDescent="0.3">
      <c r="A13" s="5">
        <v>1</v>
      </c>
      <c r="B13" s="46"/>
      <c r="C13" s="33"/>
      <c r="D13" s="296" t="s">
        <v>7</v>
      </c>
      <c r="E13" s="297"/>
      <c r="F13" s="133"/>
      <c r="G13" s="134"/>
      <c r="H13" s="135"/>
      <c r="I13" s="135"/>
      <c r="J13" s="136"/>
      <c r="K13" s="136"/>
      <c r="L13" s="75" t="str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/>
      </c>
      <c r="N13" s="23" t="s">
        <v>212</v>
      </c>
      <c r="O13" s="23"/>
      <c r="P13" s="23" t="s">
        <v>207</v>
      </c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</row>
    <row r="14" spans="1:33" ht="27" customHeight="1" x14ac:dyDescent="0.25">
      <c r="A14" s="6">
        <v>2</v>
      </c>
      <c r="B14" s="6"/>
      <c r="C14" s="298" t="s">
        <v>8</v>
      </c>
      <c r="D14" s="300" t="s">
        <v>9</v>
      </c>
      <c r="E14" s="301"/>
      <c r="F14" s="137"/>
      <c r="G14" s="138"/>
      <c r="H14" s="139"/>
      <c r="I14" s="139"/>
      <c r="J14" s="140"/>
      <c r="K14" s="140"/>
      <c r="L14" s="76" t="str">
        <f t="shared" ref="L14:L28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/>
      </c>
      <c r="N14" s="23" t="s">
        <v>210</v>
      </c>
      <c r="O14" s="23"/>
      <c r="P14" s="23" t="s">
        <v>208</v>
      </c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3"/>
      <c r="AG14" s="23"/>
    </row>
    <row r="15" spans="1:33" ht="27" customHeight="1" x14ac:dyDescent="0.25">
      <c r="A15" s="7">
        <v>3</v>
      </c>
      <c r="B15" s="6"/>
      <c r="C15" s="299"/>
      <c r="D15" s="302" t="s">
        <v>10</v>
      </c>
      <c r="E15" s="303"/>
      <c r="F15" s="141"/>
      <c r="G15" s="142"/>
      <c r="H15" s="143"/>
      <c r="I15" s="143"/>
      <c r="J15" s="144"/>
      <c r="K15" s="144"/>
      <c r="L15" s="74" t="str">
        <f t="shared" si="0"/>
        <v/>
      </c>
      <c r="N15" s="23" t="s">
        <v>211</v>
      </c>
      <c r="O15" s="23"/>
      <c r="P15" s="23" t="s">
        <v>209</v>
      </c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</row>
    <row r="16" spans="1:33" ht="27" customHeight="1" thickBot="1" x14ac:dyDescent="0.3">
      <c r="A16" s="8">
        <v>4</v>
      </c>
      <c r="B16" s="6"/>
      <c r="C16" s="299"/>
      <c r="D16" s="304" t="s">
        <v>11</v>
      </c>
      <c r="E16" s="305"/>
      <c r="F16" s="145"/>
      <c r="G16" s="146"/>
      <c r="H16" s="147"/>
      <c r="I16" s="147"/>
      <c r="J16" s="148"/>
      <c r="K16" s="148"/>
      <c r="L16" s="73" t="str">
        <f t="shared" si="0"/>
        <v/>
      </c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3"/>
      <c r="AG16" s="23"/>
    </row>
    <row r="17" spans="1:33" ht="27" customHeight="1" x14ac:dyDescent="0.25">
      <c r="A17" s="6">
        <v>5</v>
      </c>
      <c r="B17" s="6"/>
      <c r="C17" s="298" t="s">
        <v>12</v>
      </c>
      <c r="D17" s="306" t="s">
        <v>13</v>
      </c>
      <c r="E17" s="307"/>
      <c r="F17" s="149"/>
      <c r="G17" s="150"/>
      <c r="H17" s="151"/>
      <c r="I17" s="151"/>
      <c r="J17" s="152"/>
      <c r="K17" s="152"/>
      <c r="L17" s="77" t="str">
        <f t="shared" si="0"/>
        <v/>
      </c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3"/>
      <c r="AG17" s="23"/>
    </row>
    <row r="18" spans="1:33" ht="27" customHeight="1" x14ac:dyDescent="0.25">
      <c r="A18" s="7">
        <v>6</v>
      </c>
      <c r="B18" s="6"/>
      <c r="C18" s="299"/>
      <c r="D18" s="308" t="s">
        <v>14</v>
      </c>
      <c r="E18" s="309"/>
      <c r="F18" s="153"/>
      <c r="G18" s="154"/>
      <c r="H18" s="155"/>
      <c r="I18" s="155"/>
      <c r="J18" s="156"/>
      <c r="K18" s="156"/>
      <c r="L18" s="78" t="str">
        <f t="shared" si="0"/>
        <v/>
      </c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</row>
    <row r="19" spans="1:33" ht="27" customHeight="1" thickBot="1" x14ac:dyDescent="0.3">
      <c r="A19" s="8">
        <v>7</v>
      </c>
      <c r="B19" s="6"/>
      <c r="C19" s="299"/>
      <c r="D19" s="310" t="s">
        <v>15</v>
      </c>
      <c r="E19" s="311"/>
      <c r="F19" s="157"/>
      <c r="G19" s="158"/>
      <c r="H19" s="159"/>
      <c r="I19" s="159"/>
      <c r="J19" s="160"/>
      <c r="K19" s="160"/>
      <c r="L19" s="79" t="str">
        <f t="shared" si="0"/>
        <v/>
      </c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3"/>
      <c r="AG19" s="23"/>
    </row>
    <row r="20" spans="1:33" ht="27" customHeight="1" x14ac:dyDescent="0.25">
      <c r="A20" s="9">
        <v>8</v>
      </c>
      <c r="B20" s="42"/>
      <c r="C20" s="298" t="s">
        <v>16</v>
      </c>
      <c r="D20" s="300" t="s">
        <v>17</v>
      </c>
      <c r="E20" s="301"/>
      <c r="F20" s="137"/>
      <c r="G20" s="138"/>
      <c r="H20" s="139"/>
      <c r="I20" s="139"/>
      <c r="J20" s="140"/>
      <c r="K20" s="140"/>
      <c r="L20" s="76" t="str">
        <f t="shared" si="0"/>
        <v/>
      </c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</row>
    <row r="21" spans="1:33" ht="27" customHeight="1" x14ac:dyDescent="0.25">
      <c r="A21" s="7">
        <v>9</v>
      </c>
      <c r="B21" s="6"/>
      <c r="C21" s="299"/>
      <c r="D21" s="302" t="s">
        <v>18</v>
      </c>
      <c r="E21" s="303"/>
      <c r="F21" s="141"/>
      <c r="G21" s="142"/>
      <c r="H21" s="143"/>
      <c r="I21" s="143"/>
      <c r="J21" s="144"/>
      <c r="K21" s="144"/>
      <c r="L21" s="74" t="str">
        <f t="shared" si="0"/>
        <v/>
      </c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3"/>
      <c r="AG21" s="23"/>
    </row>
    <row r="22" spans="1:33" ht="27" customHeight="1" thickBot="1" x14ac:dyDescent="0.3">
      <c r="A22" s="8">
        <v>10</v>
      </c>
      <c r="B22" s="6"/>
      <c r="C22" s="299"/>
      <c r="D22" s="304" t="s">
        <v>19</v>
      </c>
      <c r="E22" s="305"/>
      <c r="F22" s="145"/>
      <c r="G22" s="146"/>
      <c r="H22" s="147"/>
      <c r="I22" s="147"/>
      <c r="J22" s="148"/>
      <c r="K22" s="148"/>
      <c r="L22" s="73" t="str">
        <f t="shared" si="0"/>
        <v/>
      </c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3"/>
      <c r="AE22" s="23"/>
      <c r="AF22" s="23"/>
      <c r="AG22" s="23"/>
    </row>
    <row r="23" spans="1:33" ht="27" customHeight="1" x14ac:dyDescent="0.25">
      <c r="A23" s="9">
        <v>11</v>
      </c>
      <c r="B23" s="42"/>
      <c r="C23" s="298" t="s">
        <v>20</v>
      </c>
      <c r="D23" s="306" t="s">
        <v>21</v>
      </c>
      <c r="E23" s="307"/>
      <c r="F23" s="149"/>
      <c r="G23" s="150"/>
      <c r="H23" s="151"/>
      <c r="I23" s="151"/>
      <c r="J23" s="152"/>
      <c r="K23" s="152"/>
      <c r="L23" s="77" t="str">
        <f t="shared" si="0"/>
        <v/>
      </c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3"/>
      <c r="AE23" s="23"/>
      <c r="AF23" s="23"/>
      <c r="AG23" s="23"/>
    </row>
    <row r="24" spans="1:33" ht="27" customHeight="1" x14ac:dyDescent="0.25">
      <c r="A24" s="7">
        <v>12</v>
      </c>
      <c r="B24" s="6"/>
      <c r="C24" s="299"/>
      <c r="D24" s="308" t="s">
        <v>22</v>
      </c>
      <c r="E24" s="309"/>
      <c r="F24" s="153"/>
      <c r="G24" s="154"/>
      <c r="H24" s="155"/>
      <c r="I24" s="155"/>
      <c r="J24" s="156"/>
      <c r="K24" s="156"/>
      <c r="L24" s="78" t="str">
        <f t="shared" si="0"/>
        <v/>
      </c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</row>
    <row r="25" spans="1:33" ht="27" customHeight="1" thickBot="1" x14ac:dyDescent="0.3">
      <c r="A25" s="8">
        <v>13</v>
      </c>
      <c r="B25" s="6"/>
      <c r="C25" s="299"/>
      <c r="D25" s="310" t="s">
        <v>23</v>
      </c>
      <c r="E25" s="311"/>
      <c r="F25" s="157"/>
      <c r="G25" s="158"/>
      <c r="H25" s="159"/>
      <c r="I25" s="159"/>
      <c r="J25" s="160"/>
      <c r="K25" s="160"/>
      <c r="L25" s="79" t="str">
        <f t="shared" si="0"/>
        <v/>
      </c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3"/>
      <c r="AF25" s="23"/>
      <c r="AG25" s="23"/>
    </row>
    <row r="26" spans="1:33" ht="27" customHeight="1" x14ac:dyDescent="0.25">
      <c r="A26" s="9">
        <v>14</v>
      </c>
      <c r="B26" s="42"/>
      <c r="C26" s="298" t="s">
        <v>24</v>
      </c>
      <c r="D26" s="300" t="s">
        <v>25</v>
      </c>
      <c r="E26" s="301"/>
      <c r="F26" s="137"/>
      <c r="G26" s="138"/>
      <c r="H26" s="139"/>
      <c r="I26" s="139"/>
      <c r="J26" s="140"/>
      <c r="K26" s="140"/>
      <c r="L26" s="76" t="str">
        <f t="shared" si="0"/>
        <v/>
      </c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3"/>
      <c r="AF26" s="23"/>
      <c r="AG26" s="23"/>
    </row>
    <row r="27" spans="1:33" ht="27" customHeight="1" x14ac:dyDescent="0.25">
      <c r="A27" s="6">
        <v>15</v>
      </c>
      <c r="B27" s="6"/>
      <c r="C27" s="299"/>
      <c r="D27" s="302" t="s">
        <v>26</v>
      </c>
      <c r="E27" s="303"/>
      <c r="F27" s="141"/>
      <c r="G27" s="142"/>
      <c r="H27" s="143"/>
      <c r="I27" s="143"/>
      <c r="J27" s="144"/>
      <c r="K27" s="144"/>
      <c r="L27" s="74" t="str">
        <f t="shared" si="0"/>
        <v/>
      </c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</row>
    <row r="28" spans="1:33" ht="27" customHeight="1" thickBot="1" x14ac:dyDescent="0.3">
      <c r="A28" s="8">
        <v>16</v>
      </c>
      <c r="B28" s="6"/>
      <c r="C28" s="299"/>
      <c r="D28" s="304" t="s">
        <v>27</v>
      </c>
      <c r="E28" s="305"/>
      <c r="F28" s="161"/>
      <c r="G28" s="162"/>
      <c r="H28" s="163"/>
      <c r="I28" s="163"/>
      <c r="J28" s="164"/>
      <c r="K28" s="164"/>
      <c r="L28" s="80" t="str">
        <f t="shared" si="0"/>
        <v/>
      </c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3"/>
    </row>
    <row r="29" spans="1:33" ht="27" hidden="1" customHeight="1" x14ac:dyDescent="0.25">
      <c r="A29" s="23"/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</row>
    <row r="30" spans="1:33" ht="27" hidden="1" customHeight="1" x14ac:dyDescent="0.25">
      <c r="A30" s="23"/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</row>
    <row r="31" spans="1:33" ht="27" hidden="1" customHeight="1" x14ac:dyDescent="0.25">
      <c r="A31" s="23"/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3"/>
      <c r="AF31" s="23"/>
      <c r="AG31" s="23"/>
    </row>
    <row r="32" spans="1:33" ht="27" hidden="1" customHeight="1" x14ac:dyDescent="0.25">
      <c r="A32" s="23"/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</row>
    <row r="33" spans="1:33" ht="27" hidden="1" customHeight="1" x14ac:dyDescent="0.25">
      <c r="A33" s="23"/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</row>
    <row r="34" spans="1:33" ht="27" hidden="1" customHeight="1" thickBot="1" x14ac:dyDescent="0.3">
      <c r="A34" s="23"/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</row>
    <row r="35" spans="1:33" ht="27" customHeight="1" thickBot="1" x14ac:dyDescent="0.3">
      <c r="A35" s="10">
        <v>17</v>
      </c>
      <c r="B35" s="47"/>
      <c r="C35" s="32"/>
      <c r="D35" s="324" t="s">
        <v>28</v>
      </c>
      <c r="E35" s="325"/>
      <c r="F35" s="165"/>
      <c r="G35" s="166"/>
      <c r="H35" s="167"/>
      <c r="I35" s="167"/>
      <c r="J35" s="168"/>
      <c r="K35" s="168"/>
      <c r="L35" s="70" t="str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/>
      </c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</row>
    <row r="36" spans="1:33" ht="21.95" customHeight="1" thickTop="1" thickBot="1" x14ac:dyDescent="0.3">
      <c r="A36" s="321" t="str">
        <f>Doku!B43&amp;":"</f>
        <v>Summe Fehler und Punkte:</v>
      </c>
      <c r="B36" s="322"/>
      <c r="C36" s="322"/>
      <c r="D36" s="322"/>
      <c r="E36" s="323"/>
      <c r="F36" s="314" t="str">
        <f>IF($L$37&lt;&gt;"",SUMPRODUCT(--(TRIM(F13:G35)&lt;&gt;"")),"")</f>
        <v/>
      </c>
      <c r="G36" s="315" t="b">
        <f t="shared" ref="G36" si="2">IF($L$37&lt;&gt;"",COUNTIF(G13:G29,"x"))</f>
        <v>0</v>
      </c>
      <c r="H36" s="169" t="str">
        <f>IF($L$37&lt;&gt;"",SUMPRODUCT(--(TRIM(H13:H35)&lt;&gt;"")),"")</f>
        <v/>
      </c>
      <c r="I36" s="169" t="str">
        <f>IF($L$37&lt;&gt;"",SUMPRODUCT(--(TRIM(I13:I35)&lt;&gt;"")),"")</f>
        <v/>
      </c>
      <c r="J36" s="171" t="str">
        <f>IF($L$37&lt;&gt;"",(COUNTIFS(J13:J35,"+")-COUNTIFS(J13:J35,"-"))*0.5,"")</f>
        <v/>
      </c>
      <c r="K36" s="170" t="str">
        <f>IF($L$37&lt;&gt;"",SUMPRODUCT(--(TRIM(K13:K35)&lt;&gt;"")),"")</f>
        <v/>
      </c>
      <c r="L36" s="69" t="str">
        <f>IF(L37&lt;&gt;"",IF(K36&lt;1,SUM(L13:L35),IF(K36&gt;=1,ROUNDUP(SUM(L13:L35)/2,0),"")),"")</f>
        <v/>
      </c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</row>
    <row r="37" spans="1:33" ht="20.100000000000001" customHeight="1" thickTop="1" thickBot="1" x14ac:dyDescent="0.3">
      <c r="A37" s="312" t="str">
        <f>Doku!B44&amp;":"</f>
        <v>Position:</v>
      </c>
      <c r="B37" s="313"/>
      <c r="C37" s="313"/>
      <c r="D37" s="313"/>
      <c r="E37" s="44"/>
      <c r="F37" s="293" t="str">
        <f>Doku!B45</f>
        <v>Übertrag ok?</v>
      </c>
      <c r="G37" s="294"/>
      <c r="H37" s="294"/>
      <c r="I37" s="294"/>
      <c r="J37" s="294"/>
      <c r="K37" s="295"/>
      <c r="L37" s="71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</row>
    <row r="38" spans="1:33" ht="15.75" thickTop="1" x14ac:dyDescent="0.25"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</row>
    <row r="39" spans="1:33" x14ac:dyDescent="0.25"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</row>
    <row r="40" spans="1:33" x14ac:dyDescent="0.25"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23"/>
      <c r="AG40" s="23"/>
    </row>
  </sheetData>
  <mergeCells count="46">
    <mergeCell ref="A37:D37"/>
    <mergeCell ref="F36:G36"/>
    <mergeCell ref="A12:E12"/>
    <mergeCell ref="F12:G12"/>
    <mergeCell ref="A36:E36"/>
    <mergeCell ref="C17:C19"/>
    <mergeCell ref="D17:E17"/>
    <mergeCell ref="D18:E18"/>
    <mergeCell ref="D19:E19"/>
    <mergeCell ref="C20:C22"/>
    <mergeCell ref="D20:E20"/>
    <mergeCell ref="D21:E21"/>
    <mergeCell ref="D22:E22"/>
    <mergeCell ref="D35:E35"/>
    <mergeCell ref="I9:K9"/>
    <mergeCell ref="L11:L12"/>
    <mergeCell ref="F37:K37"/>
    <mergeCell ref="D13:E13"/>
    <mergeCell ref="C14:C16"/>
    <mergeCell ref="D14:E14"/>
    <mergeCell ref="D15:E15"/>
    <mergeCell ref="D16:E16"/>
    <mergeCell ref="C23:C25"/>
    <mergeCell ref="D23:E23"/>
    <mergeCell ref="D24:E24"/>
    <mergeCell ref="D25:E25"/>
    <mergeCell ref="C26:C28"/>
    <mergeCell ref="D26:E26"/>
    <mergeCell ref="D27:E27"/>
    <mergeCell ref="D28:E28"/>
    <mergeCell ref="F11:G11"/>
    <mergeCell ref="D9:E9"/>
    <mergeCell ref="E1:I1"/>
    <mergeCell ref="A5:D5"/>
    <mergeCell ref="F7:H7"/>
    <mergeCell ref="I7:K7"/>
    <mergeCell ref="F8:H8"/>
    <mergeCell ref="I8:K8"/>
    <mergeCell ref="D7:E7"/>
    <mergeCell ref="D8:E8"/>
    <mergeCell ref="H6:K6"/>
    <mergeCell ref="A2:L2"/>
    <mergeCell ref="A3:L3"/>
    <mergeCell ref="H5:I5"/>
    <mergeCell ref="J5:K5"/>
    <mergeCell ref="F9:H9"/>
  </mergeCells>
  <dataValidations count="3">
    <dataValidation type="textLength" allowBlank="1" showInputMessage="1" showErrorMessage="1" sqref="F29:K34" xr:uid="{00000000-0002-0000-0000-000000000000}">
      <formula1>1</formula1>
      <formula2>1</formula2>
    </dataValidation>
    <dataValidation type="list" allowBlank="1" showDropDown="1" showInputMessage="1" showErrorMessage="1" sqref="J35 J13:J28" xr:uid="{206E9115-2FE8-41ED-8719-0A43AE44980A}">
      <formula1>$P$14:$P$15</formula1>
    </dataValidation>
    <dataValidation type="list" allowBlank="1" showDropDown="1" showInputMessage="1" showErrorMessage="1" sqref="K13:K28 K35 F35:I35 F13:I28" xr:uid="{1E5F6C37-DCFF-453A-9879-EA3516074A9A}">
      <formula1>$P$13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4"/>
  <dimension ref="A1:AG40"/>
  <sheetViews>
    <sheetView zoomScaleNormal="100" workbookViewId="0"/>
  </sheetViews>
  <sheetFormatPr baseColWidth="10" defaultColWidth="11.42578125" defaultRowHeight="15" x14ac:dyDescent="0.25"/>
  <cols>
    <col min="1" max="1" width="3.7109375" customWidth="1"/>
    <col min="2" max="2" width="3.7109375" hidden="1" customWidth="1"/>
    <col min="3" max="3" width="3.7109375" customWidth="1"/>
    <col min="4" max="4" width="5.7109375" customWidth="1"/>
    <col min="5" max="5" width="23.42578125" customWidth="1"/>
    <col min="6" max="7" width="4.7109375" customWidth="1"/>
    <col min="8" max="12" width="8.7109375" customWidth="1"/>
  </cols>
  <sheetData>
    <row r="1" spans="1:33" s="19" customFormat="1" ht="24.95" customHeight="1" x14ac:dyDescent="0.5">
      <c r="A1" s="66"/>
      <c r="B1" s="66"/>
      <c r="C1" s="66"/>
      <c r="D1" s="66"/>
      <c r="E1" s="271" t="str">
        <f>Doku!B28</f>
        <v>Meisterschaftsname</v>
      </c>
      <c r="F1" s="271"/>
      <c r="G1" s="271"/>
      <c r="H1" s="271"/>
      <c r="I1" s="271"/>
      <c r="J1" s="67"/>
      <c r="K1" s="66"/>
      <c r="L1" s="66"/>
    </row>
    <row r="2" spans="1:33" s="21" customFormat="1" ht="20.100000000000001" customHeight="1" x14ac:dyDescent="0.45">
      <c r="A2" s="284" t="str">
        <f>Doku!B29</f>
        <v>Ausrichter</v>
      </c>
      <c r="B2" s="284"/>
      <c r="C2" s="284"/>
      <c r="D2" s="284"/>
      <c r="E2" s="284"/>
      <c r="F2" s="284"/>
      <c r="G2" s="284"/>
      <c r="H2" s="284"/>
      <c r="I2" s="284"/>
      <c r="J2" s="284"/>
      <c r="K2" s="284"/>
      <c r="L2" s="284"/>
    </row>
    <row r="3" spans="1:33" s="19" customFormat="1" ht="39.950000000000003" customHeight="1" x14ac:dyDescent="0.5">
      <c r="A3" s="285" t="s">
        <v>46</v>
      </c>
      <c r="B3" s="285"/>
      <c r="C3" s="285"/>
      <c r="D3" s="285"/>
      <c r="E3" s="285"/>
      <c r="F3" s="285"/>
      <c r="G3" s="285"/>
      <c r="H3" s="285"/>
      <c r="I3" s="285"/>
      <c r="J3" s="285"/>
      <c r="K3" s="285"/>
      <c r="L3" s="285"/>
    </row>
    <row r="4" spans="1:33" s="19" customFormat="1" ht="12" customHeight="1" x14ac:dyDescent="0.5">
      <c r="A4" s="13"/>
      <c r="B4" s="13"/>
      <c r="C4" s="13"/>
      <c r="D4" s="13"/>
      <c r="E4" s="13"/>
      <c r="F4" s="14"/>
      <c r="G4" s="14"/>
      <c r="H4" s="14"/>
      <c r="I4" s="14"/>
      <c r="J4" s="14"/>
      <c r="K4" s="14"/>
    </row>
    <row r="5" spans="1:33" ht="21.95" customHeight="1" x14ac:dyDescent="0.25">
      <c r="A5" s="272" t="str">
        <f>Doku!B31&amp;":"</f>
        <v>Bewerter:</v>
      </c>
      <c r="B5" s="272"/>
      <c r="C5" s="272"/>
      <c r="D5" s="272"/>
      <c r="E5" s="22"/>
      <c r="F5" s="15"/>
      <c r="G5" s="16" t="str">
        <f>Doku!B30&amp;":"</f>
        <v>Datum:</v>
      </c>
      <c r="H5" s="286"/>
      <c r="I5" s="286"/>
      <c r="J5" s="287" t="str">
        <f>Doku!B32&amp;":"</f>
        <v>Paar Nr:</v>
      </c>
      <c r="K5" s="287"/>
      <c r="L5" s="97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3"/>
      <c r="AG5" s="23"/>
    </row>
    <row r="6" spans="1:33" ht="12" customHeight="1" thickBot="1" x14ac:dyDescent="0.55000000000000004">
      <c r="A6" s="1"/>
      <c r="B6" s="1"/>
      <c r="C6" s="2"/>
      <c r="D6" s="2"/>
      <c r="E6" s="2"/>
      <c r="F6" s="37"/>
      <c r="G6" s="37"/>
      <c r="H6" s="283"/>
      <c r="I6" s="283"/>
      <c r="J6" s="283"/>
      <c r="K6" s="283"/>
      <c r="L6" s="19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</row>
    <row r="7" spans="1:33" s="20" customFormat="1" ht="20.100000000000001" customHeight="1" x14ac:dyDescent="0.35">
      <c r="A7" s="11"/>
      <c r="B7" s="11"/>
      <c r="C7" s="11"/>
      <c r="D7" s="281" t="str">
        <f>Doku!B33</f>
        <v>Nachname</v>
      </c>
      <c r="E7" s="275"/>
      <c r="F7" s="273" t="str">
        <f>Doku!B34</f>
        <v>Vorname</v>
      </c>
      <c r="G7" s="274"/>
      <c r="H7" s="275"/>
      <c r="I7" s="276" t="str">
        <f>Doku!B35</f>
        <v>Verein</v>
      </c>
      <c r="J7" s="276"/>
      <c r="K7" s="276"/>
      <c r="L7" s="12" t="str">
        <f>Doku!B36</f>
        <v>Land</v>
      </c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  <c r="AA7" s="24"/>
      <c r="AB7" s="24"/>
      <c r="AC7" s="24"/>
      <c r="AD7" s="24"/>
      <c r="AE7" s="24"/>
      <c r="AF7" s="24"/>
      <c r="AG7" s="24"/>
    </row>
    <row r="8" spans="1:33" ht="21.95" customHeight="1" x14ac:dyDescent="0.25">
      <c r="A8" s="15" t="s">
        <v>29</v>
      </c>
      <c r="B8" s="15"/>
      <c r="C8" s="15"/>
      <c r="D8" s="282"/>
      <c r="E8" s="279"/>
      <c r="F8" s="277"/>
      <c r="G8" s="278"/>
      <c r="H8" s="279"/>
      <c r="I8" s="280"/>
      <c r="J8" s="280"/>
      <c r="K8" s="280"/>
      <c r="L8" s="17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</row>
    <row r="9" spans="1:33" ht="21.95" customHeight="1" thickBot="1" x14ac:dyDescent="0.3">
      <c r="A9" s="15" t="s">
        <v>30</v>
      </c>
      <c r="B9" s="15"/>
      <c r="C9" s="15"/>
      <c r="D9" s="269"/>
      <c r="E9" s="270"/>
      <c r="F9" s="288"/>
      <c r="G9" s="289"/>
      <c r="H9" s="270"/>
      <c r="I9" s="290"/>
      <c r="J9" s="290"/>
      <c r="K9" s="290"/>
      <c r="L9" s="18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</row>
    <row r="10" spans="1:33" ht="12" customHeight="1" thickBot="1" x14ac:dyDescent="0.3">
      <c r="A10" s="1"/>
      <c r="B10" s="1"/>
      <c r="C10" s="2"/>
      <c r="D10" s="2"/>
      <c r="E10" s="3"/>
      <c r="F10" s="3"/>
      <c r="G10" s="3"/>
      <c r="H10" s="3"/>
      <c r="I10" s="3"/>
      <c r="J10" s="3"/>
      <c r="K10" s="3"/>
      <c r="L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</row>
    <row r="11" spans="1:33" ht="39.75" customHeight="1" thickTop="1" thickBot="1" x14ac:dyDescent="0.3">
      <c r="A11" s="4"/>
      <c r="B11" s="4"/>
      <c r="C11" s="4"/>
      <c r="D11" s="4"/>
      <c r="E11" s="4"/>
      <c r="F11" s="267" t="str">
        <f>Doku!B38</f>
        <v>Kleiner Fehler</v>
      </c>
      <c r="G11" s="268"/>
      <c r="H11" s="60" t="str">
        <f>Doku!B39</f>
        <v>Mittlerer Fehler</v>
      </c>
      <c r="I11" s="60" t="str">
        <f>Doku!B40</f>
        <v>Großer Fehler</v>
      </c>
      <c r="J11" s="60" t="s">
        <v>205</v>
      </c>
      <c r="K11" s="60" t="str">
        <f>Doku!B41</f>
        <v>Technik vergessen</v>
      </c>
      <c r="L11" s="291" t="str">
        <f>Doku!B42</f>
        <v>Gesamt</v>
      </c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</row>
    <row r="12" spans="1:33" s="20" customFormat="1" ht="20.100000000000001" customHeight="1" thickTop="1" thickBot="1" x14ac:dyDescent="0.4">
      <c r="A12" s="316" t="str">
        <f>Doku!B37</f>
        <v>Technik</v>
      </c>
      <c r="B12" s="317"/>
      <c r="C12" s="317"/>
      <c r="D12" s="317"/>
      <c r="E12" s="318"/>
      <c r="F12" s="319">
        <v>1</v>
      </c>
      <c r="G12" s="320"/>
      <c r="H12" s="61">
        <v>3</v>
      </c>
      <c r="I12" s="61">
        <v>5</v>
      </c>
      <c r="J12" s="61">
        <v>0.5</v>
      </c>
      <c r="K12" s="61">
        <v>10</v>
      </c>
      <c r="L12" s="292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</row>
    <row r="13" spans="1:33" ht="27" customHeight="1" thickBot="1" x14ac:dyDescent="0.3">
      <c r="A13" s="5">
        <v>1</v>
      </c>
      <c r="B13" s="46"/>
      <c r="C13" s="33"/>
      <c r="D13" s="296" t="s">
        <v>7</v>
      </c>
      <c r="E13" s="297"/>
      <c r="F13" s="149"/>
      <c r="G13" s="152"/>
      <c r="H13" s="152"/>
      <c r="I13" s="152"/>
      <c r="J13" s="152"/>
      <c r="K13" s="152"/>
      <c r="L13" s="75" t="str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/>
      </c>
      <c r="N13" s="23" t="s">
        <v>212</v>
      </c>
      <c r="O13" s="23"/>
      <c r="P13" s="23" t="s">
        <v>207</v>
      </c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</row>
    <row r="14" spans="1:33" ht="27" customHeight="1" x14ac:dyDescent="0.25">
      <c r="A14" s="6">
        <v>2</v>
      </c>
      <c r="B14" s="6"/>
      <c r="C14" s="298" t="s">
        <v>47</v>
      </c>
      <c r="D14" s="327" t="s">
        <v>48</v>
      </c>
      <c r="E14" s="328"/>
      <c r="F14" s="137"/>
      <c r="G14" s="140"/>
      <c r="H14" s="140"/>
      <c r="I14" s="140"/>
      <c r="J14" s="140"/>
      <c r="K14" s="140"/>
      <c r="L14" s="76" t="str">
        <f t="shared" ref="L14:L34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/>
      </c>
      <c r="N14" s="23" t="s">
        <v>210</v>
      </c>
      <c r="O14" s="23"/>
      <c r="P14" s="23" t="s">
        <v>208</v>
      </c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3"/>
      <c r="AG14" s="23"/>
    </row>
    <row r="15" spans="1:33" ht="27" customHeight="1" x14ac:dyDescent="0.25">
      <c r="A15" s="7">
        <v>3</v>
      </c>
      <c r="B15" s="6"/>
      <c r="C15" s="299"/>
      <c r="D15" s="329" t="s">
        <v>49</v>
      </c>
      <c r="E15" s="330"/>
      <c r="F15" s="141"/>
      <c r="G15" s="144"/>
      <c r="H15" s="144"/>
      <c r="I15" s="144"/>
      <c r="J15" s="144"/>
      <c r="K15" s="144"/>
      <c r="L15" s="74" t="str">
        <f t="shared" si="0"/>
        <v/>
      </c>
      <c r="N15" s="23" t="s">
        <v>211</v>
      </c>
      <c r="O15" s="23"/>
      <c r="P15" s="23" t="s">
        <v>209</v>
      </c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</row>
    <row r="16" spans="1:33" ht="27" customHeight="1" x14ac:dyDescent="0.25">
      <c r="A16" s="34">
        <v>4</v>
      </c>
      <c r="B16" s="6"/>
      <c r="C16" s="299"/>
      <c r="D16" s="331" t="s">
        <v>50</v>
      </c>
      <c r="E16" s="332"/>
      <c r="F16" s="145"/>
      <c r="G16" s="148"/>
      <c r="H16" s="148"/>
      <c r="I16" s="148"/>
      <c r="J16" s="148"/>
      <c r="K16" s="148"/>
      <c r="L16" s="73" t="str">
        <f t="shared" si="0"/>
        <v/>
      </c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3"/>
      <c r="AG16" s="23"/>
    </row>
    <row r="17" spans="1:33" ht="27" customHeight="1" x14ac:dyDescent="0.25">
      <c r="A17" s="7">
        <v>5</v>
      </c>
      <c r="B17" s="6"/>
      <c r="C17" s="299"/>
      <c r="D17" s="329" t="s">
        <v>51</v>
      </c>
      <c r="E17" s="330"/>
      <c r="F17" s="141"/>
      <c r="G17" s="144"/>
      <c r="H17" s="144"/>
      <c r="I17" s="144"/>
      <c r="J17" s="144"/>
      <c r="K17" s="144"/>
      <c r="L17" s="74" t="str">
        <f t="shared" si="0"/>
        <v/>
      </c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3"/>
      <c r="AG17" s="23"/>
    </row>
    <row r="18" spans="1:33" ht="27" customHeight="1" thickBot="1" x14ac:dyDescent="0.3">
      <c r="A18" s="8">
        <v>6</v>
      </c>
      <c r="B18" s="48"/>
      <c r="C18" s="326"/>
      <c r="D18" s="333" t="s">
        <v>52</v>
      </c>
      <c r="E18" s="334"/>
      <c r="F18" s="145"/>
      <c r="G18" s="148"/>
      <c r="H18" s="148"/>
      <c r="I18" s="148"/>
      <c r="J18" s="148"/>
      <c r="K18" s="148"/>
      <c r="L18" s="73" t="str">
        <f t="shared" si="0"/>
        <v/>
      </c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</row>
    <row r="19" spans="1:33" ht="27" customHeight="1" x14ac:dyDescent="0.25">
      <c r="A19" s="35">
        <v>7</v>
      </c>
      <c r="B19" s="6"/>
      <c r="C19" s="299" t="s">
        <v>53</v>
      </c>
      <c r="D19" s="335" t="s">
        <v>54</v>
      </c>
      <c r="E19" s="336"/>
      <c r="F19" s="172"/>
      <c r="G19" s="173"/>
      <c r="H19" s="173"/>
      <c r="I19" s="173"/>
      <c r="J19" s="173"/>
      <c r="K19" s="173"/>
      <c r="L19" s="81" t="str">
        <f t="shared" si="0"/>
        <v/>
      </c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3"/>
      <c r="AG19" s="23"/>
    </row>
    <row r="20" spans="1:33" ht="27" customHeight="1" x14ac:dyDescent="0.25">
      <c r="A20" s="35">
        <v>8</v>
      </c>
      <c r="B20" s="6"/>
      <c r="C20" s="299"/>
      <c r="D20" s="331" t="s">
        <v>55</v>
      </c>
      <c r="E20" s="332"/>
      <c r="F20" s="145"/>
      <c r="G20" s="148"/>
      <c r="H20" s="148"/>
      <c r="I20" s="148"/>
      <c r="J20" s="148"/>
      <c r="K20" s="148"/>
      <c r="L20" s="73" t="str">
        <f t="shared" si="0"/>
        <v/>
      </c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</row>
    <row r="21" spans="1:33" ht="27" customHeight="1" x14ac:dyDescent="0.25">
      <c r="A21" s="7">
        <v>9</v>
      </c>
      <c r="B21" s="6"/>
      <c r="C21" s="299"/>
      <c r="D21" s="329" t="s">
        <v>56</v>
      </c>
      <c r="E21" s="330"/>
      <c r="F21" s="141"/>
      <c r="G21" s="144"/>
      <c r="H21" s="144"/>
      <c r="I21" s="144"/>
      <c r="J21" s="144"/>
      <c r="K21" s="144"/>
      <c r="L21" s="74" t="str">
        <f t="shared" si="0"/>
        <v/>
      </c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3"/>
      <c r="AG21" s="23"/>
    </row>
    <row r="22" spans="1:33" ht="27" customHeight="1" x14ac:dyDescent="0.25">
      <c r="A22" s="36">
        <v>10</v>
      </c>
      <c r="B22" s="6"/>
      <c r="C22" s="299"/>
      <c r="D22" s="331" t="s">
        <v>57</v>
      </c>
      <c r="E22" s="332"/>
      <c r="F22" s="145"/>
      <c r="G22" s="148"/>
      <c r="H22" s="148"/>
      <c r="I22" s="148"/>
      <c r="J22" s="148"/>
      <c r="K22" s="148"/>
      <c r="L22" s="73" t="str">
        <f t="shared" si="0"/>
        <v/>
      </c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3"/>
      <c r="AE22" s="23"/>
      <c r="AF22" s="23"/>
      <c r="AG22" s="23"/>
    </row>
    <row r="23" spans="1:33" ht="27" customHeight="1" thickBot="1" x14ac:dyDescent="0.3">
      <c r="A23" s="8">
        <v>11</v>
      </c>
      <c r="B23" s="48"/>
      <c r="C23" s="326"/>
      <c r="D23" s="337" t="s">
        <v>58</v>
      </c>
      <c r="E23" s="338"/>
      <c r="F23" s="157"/>
      <c r="G23" s="160"/>
      <c r="H23" s="160"/>
      <c r="I23" s="160"/>
      <c r="J23" s="160"/>
      <c r="K23" s="160"/>
      <c r="L23" s="79" t="str">
        <f t="shared" si="0"/>
        <v/>
      </c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3"/>
      <c r="AE23" s="23"/>
      <c r="AF23" s="23"/>
      <c r="AG23" s="23"/>
    </row>
    <row r="24" spans="1:33" ht="27" customHeight="1" x14ac:dyDescent="0.25">
      <c r="A24" s="6">
        <v>12</v>
      </c>
      <c r="B24" s="6"/>
      <c r="C24" s="299" t="s">
        <v>59</v>
      </c>
      <c r="D24" s="333" t="s">
        <v>60</v>
      </c>
      <c r="E24" s="334"/>
      <c r="F24" s="137"/>
      <c r="G24" s="140"/>
      <c r="H24" s="140"/>
      <c r="I24" s="140"/>
      <c r="J24" s="140"/>
      <c r="K24" s="140"/>
      <c r="L24" s="76" t="str">
        <f t="shared" si="0"/>
        <v/>
      </c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</row>
    <row r="25" spans="1:33" ht="27" customHeight="1" x14ac:dyDescent="0.25">
      <c r="A25" s="34">
        <v>13</v>
      </c>
      <c r="B25" s="6"/>
      <c r="C25" s="299"/>
      <c r="D25" s="329" t="s">
        <v>61</v>
      </c>
      <c r="E25" s="330"/>
      <c r="F25" s="141"/>
      <c r="G25" s="144"/>
      <c r="H25" s="144"/>
      <c r="I25" s="144"/>
      <c r="J25" s="144"/>
      <c r="K25" s="144"/>
      <c r="L25" s="74" t="str">
        <f t="shared" si="0"/>
        <v/>
      </c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3"/>
      <c r="AF25" s="23"/>
      <c r="AG25" s="23"/>
    </row>
    <row r="26" spans="1:33" ht="27" customHeight="1" x14ac:dyDescent="0.25">
      <c r="A26" s="35">
        <v>14</v>
      </c>
      <c r="B26" s="6"/>
      <c r="C26" s="299"/>
      <c r="D26" s="333" t="s">
        <v>62</v>
      </c>
      <c r="E26" s="334"/>
      <c r="F26" s="145"/>
      <c r="G26" s="148"/>
      <c r="H26" s="148"/>
      <c r="I26" s="148"/>
      <c r="J26" s="148"/>
      <c r="K26" s="148"/>
      <c r="L26" s="73" t="str">
        <f t="shared" si="0"/>
        <v/>
      </c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3"/>
      <c r="AF26" s="23"/>
      <c r="AG26" s="23"/>
    </row>
    <row r="27" spans="1:33" ht="27" customHeight="1" x14ac:dyDescent="0.25">
      <c r="A27" s="6">
        <v>15</v>
      </c>
      <c r="B27" s="6"/>
      <c r="C27" s="299"/>
      <c r="D27" s="329" t="s">
        <v>63</v>
      </c>
      <c r="E27" s="330"/>
      <c r="F27" s="141"/>
      <c r="G27" s="144"/>
      <c r="H27" s="144"/>
      <c r="I27" s="144"/>
      <c r="J27" s="144"/>
      <c r="K27" s="144"/>
      <c r="L27" s="74" t="str">
        <f t="shared" si="0"/>
        <v/>
      </c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</row>
    <row r="28" spans="1:33" ht="27" customHeight="1" thickBot="1" x14ac:dyDescent="0.3">
      <c r="A28" s="8">
        <v>16</v>
      </c>
      <c r="B28" s="48"/>
      <c r="C28" s="326"/>
      <c r="D28" s="339" t="s">
        <v>64</v>
      </c>
      <c r="E28" s="340"/>
      <c r="F28" s="161"/>
      <c r="G28" s="164"/>
      <c r="H28" s="164"/>
      <c r="I28" s="164"/>
      <c r="J28" s="164"/>
      <c r="K28" s="164"/>
      <c r="L28" s="80" t="str">
        <f t="shared" si="0"/>
        <v/>
      </c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3"/>
    </row>
    <row r="29" spans="1:33" ht="27" hidden="1" customHeight="1" x14ac:dyDescent="0.25">
      <c r="A29" s="23"/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 t="str">
        <f t="shared" ref="L29" si="1">IF($L$37&lt;&gt;"",IF(SUMPRODUCT(--(TRIM(K29)&lt;&gt;""))&lt;&gt;0,0,MIN(10,MAX(1,10-5*(SUMPRODUCT(--(TRIM(I29)&lt;&gt;"")))-3*(SUMPRODUCT(--(TRIM(H29)&lt;&gt;"")))-1*SUMPRODUCT(--(TRIM(F29:G29)&lt;&gt;""))+IF(TRIM(J29)="-",-0.5,IF(TRIM(J29)="+",0.5,0))))),"")</f>
        <v/>
      </c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</row>
    <row r="30" spans="1:33" ht="27" hidden="1" customHeight="1" x14ac:dyDescent="0.25">
      <c r="A30" s="23"/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 t="str">
        <f t="shared" si="0"/>
        <v/>
      </c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</row>
    <row r="31" spans="1:33" ht="27" hidden="1" customHeight="1" x14ac:dyDescent="0.25">
      <c r="A31" s="23"/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 t="str">
        <f t="shared" si="0"/>
        <v/>
      </c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3"/>
      <c r="AF31" s="23"/>
      <c r="AG31" s="23"/>
    </row>
    <row r="32" spans="1:33" ht="27" hidden="1" customHeight="1" x14ac:dyDescent="0.25">
      <c r="A32" s="23"/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 t="str">
        <f t="shared" si="0"/>
        <v/>
      </c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</row>
    <row r="33" spans="1:33" ht="27" hidden="1" customHeight="1" x14ac:dyDescent="0.25">
      <c r="A33" s="23"/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 t="str">
        <f t="shared" si="0"/>
        <v/>
      </c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</row>
    <row r="34" spans="1:33" ht="27" hidden="1" customHeight="1" thickBot="1" x14ac:dyDescent="0.3">
      <c r="A34" s="23"/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 t="str">
        <f t="shared" si="0"/>
        <v/>
      </c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</row>
    <row r="35" spans="1:33" ht="27" customHeight="1" thickBot="1" x14ac:dyDescent="0.3">
      <c r="A35" s="10">
        <v>17</v>
      </c>
      <c r="B35" s="47"/>
      <c r="C35" s="32"/>
      <c r="D35" s="324" t="s">
        <v>28</v>
      </c>
      <c r="E35" s="325"/>
      <c r="F35" s="165"/>
      <c r="G35" s="168"/>
      <c r="H35" s="168"/>
      <c r="I35" s="168"/>
      <c r="J35" s="168"/>
      <c r="K35" s="168"/>
      <c r="L35" s="70" t="str">
        <f t="shared" ref="L35" si="2">IF($L$37&lt;&gt;"",IF(SUMPRODUCT(--(TRIM(K35)&lt;&gt;""))&lt;&gt;0,0,MIN(10,MAX(1,10-5*(SUMPRODUCT(--(TRIM(I35)&lt;&gt;"")))-3*(SUMPRODUCT(--(TRIM(H35)&lt;&gt;"")))-1*SUMPRODUCT(--(TRIM(F35:G35)&lt;&gt;""))+IF(TRIM(J35)="-",-0.5,IF(TRIM(J35)="+",0.5,0))))),"")</f>
        <v/>
      </c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</row>
    <row r="36" spans="1:33" ht="21.95" customHeight="1" thickTop="1" thickBot="1" x14ac:dyDescent="0.3">
      <c r="A36" s="321" t="str">
        <f>Doku!B43&amp;":"</f>
        <v>Summe Fehler und Punkte:</v>
      </c>
      <c r="B36" s="322"/>
      <c r="C36" s="322"/>
      <c r="D36" s="322"/>
      <c r="E36" s="323"/>
      <c r="F36" s="314" t="str">
        <f>IF($L$37&lt;&gt;"",SUMPRODUCT(--(TRIM(F13:G35)&lt;&gt;"")),"")</f>
        <v/>
      </c>
      <c r="G36" s="315" t="b">
        <f t="shared" ref="G36" si="3">IF($L$37&lt;&gt;"",COUNTIF(G13:G29,"x"))</f>
        <v>0</v>
      </c>
      <c r="H36" s="169" t="str">
        <f>IF($L$37&lt;&gt;"",SUMPRODUCT(--(TRIM(H13:H35)&lt;&gt;"")),"")</f>
        <v/>
      </c>
      <c r="I36" s="169" t="str">
        <f>IF($L$37&lt;&gt;"",SUMPRODUCT(--(TRIM(I13:I35)&lt;&gt;"")),"")</f>
        <v/>
      </c>
      <c r="J36" s="171" t="str">
        <f>IF($L$37&lt;&gt;"",(COUNTIFS(J13:J35,"+")-COUNTIFS(J13:J35,"-"))*0.5,"")</f>
        <v/>
      </c>
      <c r="K36" s="170" t="str">
        <f>IF($L$37&lt;&gt;"",SUMPRODUCT(--(TRIM(K13:K35)&lt;&gt;"")),"")</f>
        <v/>
      </c>
      <c r="L36" s="69" t="str">
        <f>IF(L37&lt;&gt;"",IF(K36&lt;1,SUM(L13:L35),IF(K36&gt;=1,ROUNDUP(SUM(L13:L35)/2,0),"")),"")</f>
        <v/>
      </c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</row>
    <row r="37" spans="1:33" ht="20.100000000000001" customHeight="1" thickTop="1" thickBot="1" x14ac:dyDescent="0.3">
      <c r="A37" s="312" t="str">
        <f>Doku!B44&amp;":"</f>
        <v>Position:</v>
      </c>
      <c r="B37" s="313"/>
      <c r="C37" s="313"/>
      <c r="D37" s="313"/>
      <c r="E37" s="44"/>
      <c r="F37" s="293" t="str">
        <f>Doku!B45</f>
        <v>Übertrag ok?</v>
      </c>
      <c r="G37" s="294"/>
      <c r="H37" s="294"/>
      <c r="I37" s="294"/>
      <c r="J37" s="294"/>
      <c r="K37" s="295"/>
      <c r="L37" s="72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</row>
    <row r="38" spans="1:33" ht="15.75" thickTop="1" x14ac:dyDescent="0.25"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</row>
    <row r="39" spans="1:33" x14ac:dyDescent="0.25"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</row>
    <row r="40" spans="1:33" x14ac:dyDescent="0.25"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23"/>
      <c r="AG40" s="23"/>
    </row>
  </sheetData>
  <mergeCells count="44">
    <mergeCell ref="A36:E36"/>
    <mergeCell ref="F36:G36"/>
    <mergeCell ref="A37:D37"/>
    <mergeCell ref="F37:K37"/>
    <mergeCell ref="D35:E35"/>
    <mergeCell ref="C24:C28"/>
    <mergeCell ref="D24:E24"/>
    <mergeCell ref="D25:E25"/>
    <mergeCell ref="D26:E26"/>
    <mergeCell ref="D27:E27"/>
    <mergeCell ref="D28:E28"/>
    <mergeCell ref="C19:C23"/>
    <mergeCell ref="D19:E19"/>
    <mergeCell ref="D20:E20"/>
    <mergeCell ref="D21:E21"/>
    <mergeCell ref="D22:E22"/>
    <mergeCell ref="D23:E23"/>
    <mergeCell ref="L11:L12"/>
    <mergeCell ref="A12:E12"/>
    <mergeCell ref="F12:G12"/>
    <mergeCell ref="C14:C18"/>
    <mergeCell ref="D14:E14"/>
    <mergeCell ref="D15:E15"/>
    <mergeCell ref="D16:E16"/>
    <mergeCell ref="D17:E17"/>
    <mergeCell ref="D18:E18"/>
    <mergeCell ref="D13:E13"/>
    <mergeCell ref="F11:G11"/>
    <mergeCell ref="D8:E8"/>
    <mergeCell ref="F8:H8"/>
    <mergeCell ref="I8:K8"/>
    <mergeCell ref="D9:E9"/>
    <mergeCell ref="F9:H9"/>
    <mergeCell ref="I9:K9"/>
    <mergeCell ref="D7:E7"/>
    <mergeCell ref="F7:H7"/>
    <mergeCell ref="I7:K7"/>
    <mergeCell ref="E1:I1"/>
    <mergeCell ref="A2:L2"/>
    <mergeCell ref="A3:L3"/>
    <mergeCell ref="A5:D5"/>
    <mergeCell ref="H6:K6"/>
    <mergeCell ref="H5:I5"/>
    <mergeCell ref="J5:K5"/>
  </mergeCells>
  <dataValidations count="3">
    <dataValidation type="textLength" allowBlank="1" showInputMessage="1" showErrorMessage="1" sqref="F29:K34" xr:uid="{00000000-0002-0000-0200-000000000000}">
      <formula1>1</formula1>
      <formula2>1</formula2>
    </dataValidation>
    <dataValidation type="list" allowBlank="1" showDropDown="1" showInputMessage="1" showErrorMessage="1" sqref="K13:K28 K35 F35:I35 F13:I28" xr:uid="{2F26DBD5-6A70-46BF-BC90-9F024582B1D2}">
      <formula1>$P$13</formula1>
    </dataValidation>
    <dataValidation type="list" allowBlank="1" showDropDown="1" showInputMessage="1" showErrorMessage="1" sqref="J35 J13:J28" xr:uid="{5C1CA5BB-6E68-42CC-9F55-7F0B060AE00B}">
      <formula1>$P$14:$P$15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16"/>
  <dimension ref="A1:AG40"/>
  <sheetViews>
    <sheetView workbookViewId="0"/>
  </sheetViews>
  <sheetFormatPr baseColWidth="10" defaultColWidth="11.42578125" defaultRowHeight="15" x14ac:dyDescent="0.25"/>
  <cols>
    <col min="1" max="1" width="3.7109375" customWidth="1"/>
    <col min="2" max="2" width="3.7109375" hidden="1" customWidth="1"/>
    <col min="3" max="3" width="3.7109375" customWidth="1"/>
    <col min="4" max="4" width="5.7109375" customWidth="1"/>
    <col min="5" max="5" width="23.42578125" customWidth="1"/>
    <col min="6" max="7" width="4.7109375" customWidth="1"/>
    <col min="8" max="12" width="8.7109375" customWidth="1"/>
  </cols>
  <sheetData>
    <row r="1" spans="1:33" s="19" customFormat="1" ht="24.95" customHeight="1" x14ac:dyDescent="0.5">
      <c r="A1" s="66"/>
      <c r="B1" s="66"/>
      <c r="C1" s="66"/>
      <c r="D1" s="66"/>
      <c r="E1" s="271" t="str">
        <f>Doku!B28</f>
        <v>Meisterschaftsname</v>
      </c>
      <c r="F1" s="271"/>
      <c r="G1" s="271"/>
      <c r="H1" s="271"/>
      <c r="I1" s="271"/>
      <c r="J1" s="67"/>
      <c r="K1" s="66"/>
      <c r="L1" s="66"/>
    </row>
    <row r="2" spans="1:33" s="21" customFormat="1" ht="20.100000000000001" customHeight="1" x14ac:dyDescent="0.45">
      <c r="A2" s="284" t="str">
        <f>Doku!B29</f>
        <v>Ausrichter</v>
      </c>
      <c r="B2" s="284"/>
      <c r="C2" s="284"/>
      <c r="D2" s="284"/>
      <c r="E2" s="284"/>
      <c r="F2" s="284"/>
      <c r="G2" s="284"/>
      <c r="H2" s="284"/>
      <c r="I2" s="284"/>
      <c r="J2" s="284"/>
      <c r="K2" s="284"/>
      <c r="L2" s="284"/>
    </row>
    <row r="3" spans="1:33" s="19" customFormat="1" ht="39.950000000000003" customHeight="1" x14ac:dyDescent="0.5">
      <c r="A3" s="285" t="s">
        <v>68</v>
      </c>
      <c r="B3" s="285"/>
      <c r="C3" s="285"/>
      <c r="D3" s="285"/>
      <c r="E3" s="285"/>
      <c r="F3" s="285"/>
      <c r="G3" s="285"/>
      <c r="H3" s="285"/>
      <c r="I3" s="285"/>
      <c r="J3" s="285"/>
      <c r="K3" s="285"/>
      <c r="L3" s="285"/>
    </row>
    <row r="4" spans="1:33" s="19" customFormat="1" ht="12" customHeight="1" x14ac:dyDescent="0.5">
      <c r="A4" s="13"/>
      <c r="B4" s="13"/>
      <c r="C4" s="13"/>
      <c r="D4" s="13"/>
      <c r="E4" s="13"/>
      <c r="F4" s="14"/>
      <c r="G4" s="14"/>
      <c r="H4" s="14"/>
      <c r="I4" s="14"/>
      <c r="J4" s="14"/>
      <c r="K4" s="14"/>
    </row>
    <row r="5" spans="1:33" ht="21.95" customHeight="1" x14ac:dyDescent="0.25">
      <c r="A5" s="272" t="str">
        <f>Doku!B31&amp;":"</f>
        <v>Bewerter:</v>
      </c>
      <c r="B5" s="272"/>
      <c r="C5" s="272"/>
      <c r="D5" s="272"/>
      <c r="E5" s="22"/>
      <c r="F5" s="15"/>
      <c r="G5" s="16" t="str">
        <f>Doku!B30&amp;":"</f>
        <v>Datum:</v>
      </c>
      <c r="H5" s="286"/>
      <c r="I5" s="286"/>
      <c r="J5" s="287" t="str">
        <f>Doku!B32&amp;":"</f>
        <v>Paar Nr:</v>
      </c>
      <c r="K5" s="287"/>
      <c r="L5" s="97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3"/>
      <c r="AG5" s="23"/>
    </row>
    <row r="6" spans="1:33" ht="12" customHeight="1" thickBot="1" x14ac:dyDescent="0.55000000000000004">
      <c r="A6" s="1"/>
      <c r="B6" s="1"/>
      <c r="C6" s="2"/>
      <c r="D6" s="2"/>
      <c r="E6" s="2"/>
      <c r="F6" s="37"/>
      <c r="G6" s="37"/>
      <c r="H6" s="283"/>
      <c r="I6" s="283"/>
      <c r="J6" s="283"/>
      <c r="K6" s="283"/>
      <c r="L6" s="19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</row>
    <row r="7" spans="1:33" s="20" customFormat="1" ht="20.100000000000001" customHeight="1" x14ac:dyDescent="0.35">
      <c r="A7" s="11"/>
      <c r="B7" s="11"/>
      <c r="C7" s="11"/>
      <c r="D7" s="281" t="str">
        <f>Doku!B33</f>
        <v>Nachname</v>
      </c>
      <c r="E7" s="275"/>
      <c r="F7" s="273" t="str">
        <f>Doku!B34</f>
        <v>Vorname</v>
      </c>
      <c r="G7" s="274"/>
      <c r="H7" s="275"/>
      <c r="I7" s="276" t="str">
        <f>Doku!B35</f>
        <v>Verein</v>
      </c>
      <c r="J7" s="276"/>
      <c r="K7" s="276"/>
      <c r="L7" s="12" t="str">
        <f>Doku!B36</f>
        <v>Land</v>
      </c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  <c r="AA7" s="24"/>
      <c r="AB7" s="24"/>
      <c r="AC7" s="24"/>
      <c r="AD7" s="24"/>
      <c r="AE7" s="24"/>
      <c r="AF7" s="24"/>
      <c r="AG7" s="24"/>
    </row>
    <row r="8" spans="1:33" ht="21.95" customHeight="1" x14ac:dyDescent="0.25">
      <c r="A8" s="15" t="s">
        <v>29</v>
      </c>
      <c r="B8" s="15"/>
      <c r="C8" s="15"/>
      <c r="D8" s="282"/>
      <c r="E8" s="279"/>
      <c r="F8" s="277"/>
      <c r="G8" s="278"/>
      <c r="H8" s="279"/>
      <c r="I8" s="280"/>
      <c r="J8" s="280"/>
      <c r="K8" s="280"/>
      <c r="L8" s="17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</row>
    <row r="9" spans="1:33" ht="21.95" customHeight="1" thickBot="1" x14ac:dyDescent="0.3">
      <c r="A9" s="15" t="s">
        <v>30</v>
      </c>
      <c r="B9" s="15"/>
      <c r="C9" s="15"/>
      <c r="D9" s="269"/>
      <c r="E9" s="270"/>
      <c r="F9" s="288"/>
      <c r="G9" s="289"/>
      <c r="H9" s="270"/>
      <c r="I9" s="290"/>
      <c r="J9" s="290"/>
      <c r="K9" s="290"/>
      <c r="L9" s="18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</row>
    <row r="10" spans="1:33" ht="12" customHeight="1" thickBot="1" x14ac:dyDescent="0.3">
      <c r="A10" s="1"/>
      <c r="B10" s="1"/>
      <c r="C10" s="2"/>
      <c r="D10" s="2"/>
      <c r="E10" s="3"/>
      <c r="F10" s="3"/>
      <c r="G10" s="3"/>
      <c r="H10" s="3"/>
      <c r="I10" s="3"/>
      <c r="J10" s="3"/>
      <c r="K10" s="3"/>
      <c r="L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</row>
    <row r="11" spans="1:33" ht="39.75" customHeight="1" thickTop="1" thickBot="1" x14ac:dyDescent="0.3">
      <c r="A11" s="4"/>
      <c r="B11" s="4"/>
      <c r="C11" s="4"/>
      <c r="D11" s="4"/>
      <c r="E11" s="4"/>
      <c r="F11" s="267" t="str">
        <f>Doku!B38</f>
        <v>Kleiner Fehler</v>
      </c>
      <c r="G11" s="268"/>
      <c r="H11" s="60" t="str">
        <f>Doku!B39</f>
        <v>Mittlerer Fehler</v>
      </c>
      <c r="I11" s="60" t="str">
        <f>Doku!B40</f>
        <v>Großer Fehler</v>
      </c>
      <c r="J11" s="60" t="s">
        <v>205</v>
      </c>
      <c r="K11" s="60" t="str">
        <f>Doku!B41</f>
        <v>Technik vergessen</v>
      </c>
      <c r="L11" s="291" t="str">
        <f>Doku!B42</f>
        <v>Gesamt</v>
      </c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</row>
    <row r="12" spans="1:33" s="20" customFormat="1" ht="20.100000000000001" customHeight="1" thickTop="1" thickBot="1" x14ac:dyDescent="0.4">
      <c r="A12" s="316" t="str">
        <f>Doku!B37</f>
        <v>Technik</v>
      </c>
      <c r="B12" s="317"/>
      <c r="C12" s="317"/>
      <c r="D12" s="317"/>
      <c r="E12" s="318"/>
      <c r="F12" s="319">
        <v>1</v>
      </c>
      <c r="G12" s="320"/>
      <c r="H12" s="61">
        <v>3</v>
      </c>
      <c r="I12" s="61">
        <v>5</v>
      </c>
      <c r="J12" s="61">
        <v>0.5</v>
      </c>
      <c r="K12" s="61">
        <v>10</v>
      </c>
      <c r="L12" s="292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</row>
    <row r="13" spans="1:33" ht="27" customHeight="1" thickBot="1" x14ac:dyDescent="0.3">
      <c r="A13" s="5">
        <v>1</v>
      </c>
      <c r="B13" s="46"/>
      <c r="C13" s="33"/>
      <c r="D13" s="351" t="s">
        <v>7</v>
      </c>
      <c r="E13" s="352"/>
      <c r="F13" s="174"/>
      <c r="G13" s="175"/>
      <c r="H13" s="176"/>
      <c r="I13" s="176"/>
      <c r="J13" s="152"/>
      <c r="K13" s="177"/>
      <c r="L13" s="75" t="str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/>
      </c>
      <c r="N13" s="23" t="s">
        <v>212</v>
      </c>
      <c r="O13" s="23"/>
      <c r="P13" s="23" t="s">
        <v>207</v>
      </c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</row>
    <row r="14" spans="1:33" ht="27" customHeight="1" x14ac:dyDescent="0.25">
      <c r="A14" s="6">
        <v>2</v>
      </c>
      <c r="B14" s="6"/>
      <c r="C14" s="298" t="s">
        <v>69</v>
      </c>
      <c r="D14" s="300" t="s">
        <v>233</v>
      </c>
      <c r="E14" s="301"/>
      <c r="F14" s="137"/>
      <c r="G14" s="138"/>
      <c r="H14" s="139"/>
      <c r="I14" s="139"/>
      <c r="J14" s="140"/>
      <c r="K14" s="140"/>
      <c r="L14" s="76" t="str">
        <f t="shared" ref="L14:L28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/>
      </c>
      <c r="N14" s="23" t="s">
        <v>210</v>
      </c>
      <c r="O14" s="23"/>
      <c r="P14" s="23" t="s">
        <v>208</v>
      </c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3"/>
      <c r="AG14" s="23"/>
    </row>
    <row r="15" spans="1:33" ht="27" customHeight="1" x14ac:dyDescent="0.25">
      <c r="A15" s="7">
        <v>3</v>
      </c>
      <c r="B15" s="6"/>
      <c r="C15" s="299"/>
      <c r="D15" s="343" t="s">
        <v>71</v>
      </c>
      <c r="E15" s="344"/>
      <c r="F15" s="178"/>
      <c r="G15" s="179"/>
      <c r="H15" s="180"/>
      <c r="I15" s="180"/>
      <c r="J15" s="144"/>
      <c r="K15" s="181"/>
      <c r="L15" s="82" t="str">
        <f t="shared" si="0"/>
        <v/>
      </c>
      <c r="N15" s="23" t="s">
        <v>211</v>
      </c>
      <c r="O15" s="23"/>
      <c r="P15" s="23" t="s">
        <v>209</v>
      </c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</row>
    <row r="16" spans="1:33" ht="27" customHeight="1" x14ac:dyDescent="0.25">
      <c r="A16" s="34">
        <v>4</v>
      </c>
      <c r="B16" s="6"/>
      <c r="C16" s="299"/>
      <c r="D16" s="308" t="s">
        <v>72</v>
      </c>
      <c r="E16" s="309"/>
      <c r="F16" s="182"/>
      <c r="G16" s="183"/>
      <c r="H16" s="184"/>
      <c r="I16" s="184"/>
      <c r="J16" s="148"/>
      <c r="K16" s="185"/>
      <c r="L16" s="83" t="str">
        <f t="shared" si="0"/>
        <v/>
      </c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3"/>
      <c r="AG16" s="23"/>
    </row>
    <row r="17" spans="1:33" ht="27" customHeight="1" x14ac:dyDescent="0.25">
      <c r="A17" s="7">
        <v>5</v>
      </c>
      <c r="B17" s="6"/>
      <c r="C17" s="299"/>
      <c r="D17" s="343" t="s">
        <v>73</v>
      </c>
      <c r="E17" s="344"/>
      <c r="F17" s="178"/>
      <c r="G17" s="179"/>
      <c r="H17" s="180"/>
      <c r="I17" s="180"/>
      <c r="J17" s="144"/>
      <c r="K17" s="181"/>
      <c r="L17" s="82" t="str">
        <f t="shared" si="0"/>
        <v/>
      </c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3"/>
      <c r="AG17" s="23"/>
    </row>
    <row r="18" spans="1:33" ht="27" customHeight="1" thickBot="1" x14ac:dyDescent="0.3">
      <c r="A18" s="8">
        <v>6</v>
      </c>
      <c r="B18" s="48"/>
      <c r="C18" s="326"/>
      <c r="D18" s="345" t="s">
        <v>74</v>
      </c>
      <c r="E18" s="346"/>
      <c r="F18" s="145"/>
      <c r="G18" s="146"/>
      <c r="H18" s="147"/>
      <c r="I18" s="147"/>
      <c r="J18" s="148"/>
      <c r="K18" s="148"/>
      <c r="L18" s="73" t="str">
        <f t="shared" si="0"/>
        <v/>
      </c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</row>
    <row r="19" spans="1:33" ht="27" customHeight="1" x14ac:dyDescent="0.25">
      <c r="A19" s="35">
        <v>7</v>
      </c>
      <c r="B19" s="6"/>
      <c r="C19" s="299" t="s">
        <v>75</v>
      </c>
      <c r="D19" s="347" t="s">
        <v>76</v>
      </c>
      <c r="E19" s="348"/>
      <c r="F19" s="174"/>
      <c r="G19" s="175"/>
      <c r="H19" s="176"/>
      <c r="I19" s="176"/>
      <c r="J19" s="173"/>
      <c r="K19" s="177"/>
      <c r="L19" s="84" t="str">
        <f t="shared" si="0"/>
        <v/>
      </c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3"/>
      <c r="AG19" s="23"/>
    </row>
    <row r="20" spans="1:33" ht="27" customHeight="1" x14ac:dyDescent="0.25">
      <c r="A20" s="35">
        <v>8</v>
      </c>
      <c r="B20" s="6"/>
      <c r="C20" s="299"/>
      <c r="D20" s="308" t="s">
        <v>77</v>
      </c>
      <c r="E20" s="309"/>
      <c r="F20" s="153"/>
      <c r="G20" s="154"/>
      <c r="H20" s="155"/>
      <c r="I20" s="155"/>
      <c r="J20" s="148"/>
      <c r="K20" s="156"/>
      <c r="L20" s="78" t="str">
        <f t="shared" si="0"/>
        <v/>
      </c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</row>
    <row r="21" spans="1:33" ht="27" customHeight="1" x14ac:dyDescent="0.25">
      <c r="A21" s="7">
        <v>9</v>
      </c>
      <c r="B21" s="6"/>
      <c r="C21" s="299"/>
      <c r="D21" s="343" t="s">
        <v>78</v>
      </c>
      <c r="E21" s="344"/>
      <c r="F21" s="178"/>
      <c r="G21" s="179"/>
      <c r="H21" s="180"/>
      <c r="I21" s="180"/>
      <c r="J21" s="144"/>
      <c r="K21" s="181"/>
      <c r="L21" s="82" t="str">
        <f t="shared" si="0"/>
        <v/>
      </c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3"/>
      <c r="AG21" s="23"/>
    </row>
    <row r="22" spans="1:33" ht="27" customHeight="1" x14ac:dyDescent="0.25">
      <c r="A22" s="36">
        <v>10</v>
      </c>
      <c r="B22" s="6"/>
      <c r="C22" s="299"/>
      <c r="D22" s="308" t="s">
        <v>79</v>
      </c>
      <c r="E22" s="309"/>
      <c r="F22" s="145"/>
      <c r="G22" s="146"/>
      <c r="H22" s="147"/>
      <c r="I22" s="147"/>
      <c r="J22" s="148"/>
      <c r="K22" s="148"/>
      <c r="L22" s="73" t="str">
        <f t="shared" si="0"/>
        <v/>
      </c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3"/>
      <c r="AE22" s="23"/>
      <c r="AF22" s="23"/>
      <c r="AG22" s="23"/>
    </row>
    <row r="23" spans="1:33" ht="27" customHeight="1" thickBot="1" x14ac:dyDescent="0.3">
      <c r="A23" s="8">
        <v>11</v>
      </c>
      <c r="B23" s="48"/>
      <c r="C23" s="326"/>
      <c r="D23" s="349" t="s">
        <v>80</v>
      </c>
      <c r="E23" s="350"/>
      <c r="F23" s="186"/>
      <c r="G23" s="187"/>
      <c r="H23" s="188"/>
      <c r="I23" s="188"/>
      <c r="J23" s="160"/>
      <c r="K23" s="189"/>
      <c r="L23" s="85" t="str">
        <f t="shared" si="0"/>
        <v/>
      </c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3"/>
      <c r="AE23" s="23"/>
      <c r="AF23" s="23"/>
      <c r="AG23" s="23"/>
    </row>
    <row r="24" spans="1:33" ht="27" customHeight="1" x14ac:dyDescent="0.25">
      <c r="A24" s="6">
        <v>12</v>
      </c>
      <c r="B24" s="6"/>
      <c r="C24" s="299" t="s">
        <v>81</v>
      </c>
      <c r="D24" s="300" t="s">
        <v>82</v>
      </c>
      <c r="E24" s="301"/>
      <c r="F24" s="137"/>
      <c r="G24" s="138"/>
      <c r="H24" s="139"/>
      <c r="I24" s="139"/>
      <c r="J24" s="140"/>
      <c r="K24" s="140"/>
      <c r="L24" s="76" t="str">
        <f t="shared" si="0"/>
        <v/>
      </c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</row>
    <row r="25" spans="1:33" ht="27" customHeight="1" x14ac:dyDescent="0.25">
      <c r="A25" s="34">
        <v>13</v>
      </c>
      <c r="B25" s="6"/>
      <c r="C25" s="299"/>
      <c r="D25" s="343" t="s">
        <v>83</v>
      </c>
      <c r="E25" s="344"/>
      <c r="F25" s="178"/>
      <c r="G25" s="179"/>
      <c r="H25" s="180"/>
      <c r="I25" s="180"/>
      <c r="J25" s="144"/>
      <c r="K25" s="181"/>
      <c r="L25" s="82" t="str">
        <f t="shared" si="0"/>
        <v/>
      </c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3"/>
      <c r="AF25" s="23"/>
      <c r="AG25" s="23"/>
    </row>
    <row r="26" spans="1:33" ht="27" customHeight="1" x14ac:dyDescent="0.25">
      <c r="A26" s="35">
        <v>14</v>
      </c>
      <c r="B26" s="6"/>
      <c r="C26" s="299"/>
      <c r="D26" s="308" t="s">
        <v>84</v>
      </c>
      <c r="E26" s="309"/>
      <c r="F26" s="145"/>
      <c r="G26" s="146"/>
      <c r="H26" s="147"/>
      <c r="I26" s="147"/>
      <c r="J26" s="148"/>
      <c r="K26" s="148"/>
      <c r="L26" s="73" t="str">
        <f t="shared" si="0"/>
        <v/>
      </c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3"/>
      <c r="AF26" s="23"/>
      <c r="AG26" s="23"/>
    </row>
    <row r="27" spans="1:33" ht="27" customHeight="1" x14ac:dyDescent="0.25">
      <c r="A27" s="6">
        <v>15</v>
      </c>
      <c r="B27" s="6"/>
      <c r="C27" s="299"/>
      <c r="D27" s="343" t="s">
        <v>85</v>
      </c>
      <c r="E27" s="344"/>
      <c r="F27" s="178"/>
      <c r="G27" s="179"/>
      <c r="H27" s="180"/>
      <c r="I27" s="180"/>
      <c r="J27" s="144"/>
      <c r="K27" s="181"/>
      <c r="L27" s="82" t="str">
        <f t="shared" si="0"/>
        <v/>
      </c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</row>
    <row r="28" spans="1:33" ht="27" customHeight="1" thickBot="1" x14ac:dyDescent="0.3">
      <c r="A28" s="8">
        <v>16</v>
      </c>
      <c r="B28" s="48"/>
      <c r="C28" s="326"/>
      <c r="D28" s="345" t="s">
        <v>86</v>
      </c>
      <c r="E28" s="346"/>
      <c r="F28" s="161"/>
      <c r="G28" s="162"/>
      <c r="H28" s="163"/>
      <c r="I28" s="163"/>
      <c r="J28" s="164"/>
      <c r="K28" s="164"/>
      <c r="L28" s="80" t="str">
        <f t="shared" si="0"/>
        <v/>
      </c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3"/>
    </row>
    <row r="29" spans="1:33" ht="27" hidden="1" customHeight="1" x14ac:dyDescent="0.25">
      <c r="A29" s="23"/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</row>
    <row r="30" spans="1:33" ht="27" hidden="1" customHeight="1" x14ac:dyDescent="0.25">
      <c r="A30" s="23"/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</row>
    <row r="31" spans="1:33" ht="27" hidden="1" customHeight="1" x14ac:dyDescent="0.25">
      <c r="A31" s="23"/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3"/>
      <c r="AF31" s="23"/>
      <c r="AG31" s="23"/>
    </row>
    <row r="32" spans="1:33" ht="27" hidden="1" customHeight="1" x14ac:dyDescent="0.25">
      <c r="A32" s="23"/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</row>
    <row r="33" spans="1:33" ht="27" hidden="1" customHeight="1" x14ac:dyDescent="0.25">
      <c r="A33" s="23"/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</row>
    <row r="34" spans="1:33" ht="27" hidden="1" customHeight="1" thickBot="1" x14ac:dyDescent="0.3">
      <c r="A34" s="23"/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</row>
    <row r="35" spans="1:33" ht="27" customHeight="1" thickBot="1" x14ac:dyDescent="0.3">
      <c r="A35" s="8">
        <v>17</v>
      </c>
      <c r="B35" s="6"/>
      <c r="C35" s="32"/>
      <c r="D35" s="341" t="s">
        <v>28</v>
      </c>
      <c r="E35" s="342"/>
      <c r="F35" s="190"/>
      <c r="G35" s="191"/>
      <c r="H35" s="192"/>
      <c r="I35" s="192"/>
      <c r="J35" s="168"/>
      <c r="K35" s="193"/>
      <c r="L35" s="86" t="str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/>
      </c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</row>
    <row r="36" spans="1:33" ht="21.95" customHeight="1" thickTop="1" thickBot="1" x14ac:dyDescent="0.3">
      <c r="A36" s="321" t="str">
        <f>Doku!B43&amp;":"</f>
        <v>Summe Fehler und Punkte:</v>
      </c>
      <c r="B36" s="322"/>
      <c r="C36" s="322"/>
      <c r="D36" s="322"/>
      <c r="E36" s="323"/>
      <c r="F36" s="314" t="str">
        <f>IF($L$37&lt;&gt;"",SUMPRODUCT(--(TRIM(F13:G35)&lt;&gt;"")),"")</f>
        <v/>
      </c>
      <c r="G36" s="315" t="b">
        <f t="shared" ref="G36" si="2">IF($L$37&lt;&gt;"",COUNTIF(G13:G29,"x"))</f>
        <v>0</v>
      </c>
      <c r="H36" s="169" t="str">
        <f>IF($L$37&lt;&gt;"",SUMPRODUCT(--(TRIM(H13:H35)&lt;&gt;"")),"")</f>
        <v/>
      </c>
      <c r="I36" s="169" t="str">
        <f>IF($L$37&lt;&gt;"",SUMPRODUCT(--(TRIM(I13:I35)&lt;&gt;"")),"")</f>
        <v/>
      </c>
      <c r="J36" s="171" t="str">
        <f>IF($L$37&lt;&gt;"",(COUNTIFS(J13:J35,"+")-COUNTIFS(J13:J35,"-"))*0.5,"")</f>
        <v/>
      </c>
      <c r="K36" s="170" t="str">
        <f>IF($L$37&lt;&gt;"",SUMPRODUCT(--(TRIM(K13:K35)&lt;&gt;"")),"")</f>
        <v/>
      </c>
      <c r="L36" s="69" t="str">
        <f>IF(L37&lt;&gt;"",IF(K36&lt;1,SUM(L13:L35),IF(K36&gt;=1,ROUNDUP(SUM(L13:L35)/2,0),"")),"")</f>
        <v/>
      </c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</row>
    <row r="37" spans="1:33" ht="20.100000000000001" customHeight="1" thickTop="1" thickBot="1" x14ac:dyDescent="0.3">
      <c r="A37" s="312" t="str">
        <f>Doku!B44&amp;":"</f>
        <v>Position:</v>
      </c>
      <c r="B37" s="313"/>
      <c r="C37" s="313"/>
      <c r="D37" s="313"/>
      <c r="E37" s="44"/>
      <c r="F37" s="293" t="str">
        <f>Doku!B45</f>
        <v>Übertrag ok?</v>
      </c>
      <c r="G37" s="294"/>
      <c r="H37" s="294"/>
      <c r="I37" s="294"/>
      <c r="J37" s="294"/>
      <c r="K37" s="295"/>
      <c r="L37" s="72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</row>
    <row r="38" spans="1:33" ht="15.75" thickTop="1" x14ac:dyDescent="0.25"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</row>
    <row r="39" spans="1:33" x14ac:dyDescent="0.25"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</row>
    <row r="40" spans="1:33" x14ac:dyDescent="0.25"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23"/>
      <c r="AG40" s="23"/>
    </row>
  </sheetData>
  <mergeCells count="44">
    <mergeCell ref="D7:E7"/>
    <mergeCell ref="F7:H7"/>
    <mergeCell ref="I7:K7"/>
    <mergeCell ref="E1:I1"/>
    <mergeCell ref="A2:L2"/>
    <mergeCell ref="A3:L3"/>
    <mergeCell ref="A5:D5"/>
    <mergeCell ref="H6:K6"/>
    <mergeCell ref="H5:I5"/>
    <mergeCell ref="J5:K5"/>
    <mergeCell ref="D8:E8"/>
    <mergeCell ref="F8:H8"/>
    <mergeCell ref="I8:K8"/>
    <mergeCell ref="D9:E9"/>
    <mergeCell ref="F9:H9"/>
    <mergeCell ref="I9:K9"/>
    <mergeCell ref="L11:L12"/>
    <mergeCell ref="A12:E12"/>
    <mergeCell ref="F12:G12"/>
    <mergeCell ref="C14:C18"/>
    <mergeCell ref="D14:E14"/>
    <mergeCell ref="D15:E15"/>
    <mergeCell ref="D16:E16"/>
    <mergeCell ref="D17:E17"/>
    <mergeCell ref="D18:E18"/>
    <mergeCell ref="D13:E13"/>
    <mergeCell ref="F11:G11"/>
    <mergeCell ref="C19:C23"/>
    <mergeCell ref="D19:E19"/>
    <mergeCell ref="D20:E20"/>
    <mergeCell ref="D21:E21"/>
    <mergeCell ref="D22:E22"/>
    <mergeCell ref="D23:E23"/>
    <mergeCell ref="C24:C28"/>
    <mergeCell ref="D24:E24"/>
    <mergeCell ref="D25:E25"/>
    <mergeCell ref="D26:E26"/>
    <mergeCell ref="D27:E27"/>
    <mergeCell ref="D28:E28"/>
    <mergeCell ref="A36:E36"/>
    <mergeCell ref="F36:G36"/>
    <mergeCell ref="A37:D37"/>
    <mergeCell ref="F37:K37"/>
    <mergeCell ref="D35:E35"/>
  </mergeCells>
  <dataValidations count="3">
    <dataValidation type="textLength" allowBlank="1" showInputMessage="1" showErrorMessage="1" sqref="F29:K34" xr:uid="{00000000-0002-0000-0500-000000000000}">
      <formula1>1</formula1>
      <formula2>1</formula2>
    </dataValidation>
    <dataValidation type="list" allowBlank="1" showDropDown="1" showInputMessage="1" showErrorMessage="1" sqref="K13:K28 K35 F35:I35 F13:I28" xr:uid="{CB346E8F-03D7-4E95-8B12-B6A7BA86203A}">
      <formula1>$P$13</formula1>
    </dataValidation>
    <dataValidation type="list" allowBlank="1" showDropDown="1" showInputMessage="1" showErrorMessage="1" sqref="J35 J13:J28" xr:uid="{11425A65-F6B4-439E-A2AA-253EB8E62634}">
      <formula1>$P$14:$P$15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8"/>
  <dimension ref="A1:P38"/>
  <sheetViews>
    <sheetView workbookViewId="0"/>
  </sheetViews>
  <sheetFormatPr baseColWidth="10" defaultColWidth="11.42578125" defaultRowHeight="15" x14ac:dyDescent="0.25"/>
  <cols>
    <col min="1" max="3" width="3.7109375" customWidth="1"/>
    <col min="4" max="4" width="5.7109375" customWidth="1"/>
    <col min="5" max="5" width="19.7109375" customWidth="1"/>
    <col min="6" max="7" width="4.7109375" customWidth="1"/>
    <col min="8" max="12" width="8.7109375" customWidth="1"/>
  </cols>
  <sheetData>
    <row r="1" spans="1:16" s="19" customFormat="1" ht="24.95" customHeight="1" x14ac:dyDescent="0.5">
      <c r="A1" s="66"/>
      <c r="B1" s="66"/>
      <c r="C1" s="66"/>
      <c r="D1" s="66"/>
      <c r="E1" s="271" t="str">
        <f>Doku!B28</f>
        <v>Meisterschaftsname</v>
      </c>
      <c r="F1" s="271"/>
      <c r="G1" s="271"/>
      <c r="H1" s="271"/>
      <c r="I1" s="271"/>
      <c r="J1" s="67"/>
      <c r="K1" s="66"/>
      <c r="L1" s="66"/>
    </row>
    <row r="2" spans="1:16" s="19" customFormat="1" ht="20.100000000000001" customHeight="1" x14ac:dyDescent="0.5">
      <c r="A2" s="284" t="str">
        <f>Doku!B29</f>
        <v>Ausrichter</v>
      </c>
      <c r="B2" s="284"/>
      <c r="C2" s="284"/>
      <c r="D2" s="284"/>
      <c r="E2" s="284"/>
      <c r="F2" s="284"/>
      <c r="G2" s="284"/>
      <c r="H2" s="284"/>
      <c r="I2" s="284"/>
      <c r="J2" s="284"/>
      <c r="K2" s="284"/>
      <c r="L2" s="284"/>
    </row>
    <row r="3" spans="1:16" s="19" customFormat="1" ht="39.950000000000003" customHeight="1" x14ac:dyDescent="0.5">
      <c r="A3" s="285" t="s">
        <v>87</v>
      </c>
      <c r="B3" s="285"/>
      <c r="C3" s="285"/>
      <c r="D3" s="285"/>
      <c r="E3" s="285"/>
      <c r="F3" s="285"/>
      <c r="G3" s="285"/>
      <c r="H3" s="285"/>
      <c r="I3" s="285"/>
      <c r="J3" s="285"/>
      <c r="K3" s="285"/>
      <c r="L3" s="285"/>
    </row>
    <row r="4" spans="1:16" s="19" customFormat="1" ht="7.9" customHeight="1" x14ac:dyDescent="0.5">
      <c r="A4" s="13"/>
      <c r="B4" s="13"/>
      <c r="C4" s="13"/>
      <c r="D4" s="13"/>
      <c r="E4" s="13"/>
      <c r="F4" s="14"/>
      <c r="G4" s="14"/>
      <c r="H4" s="14"/>
      <c r="I4" s="14"/>
      <c r="J4" s="14"/>
      <c r="K4" s="14"/>
      <c r="L4" s="20"/>
    </row>
    <row r="5" spans="1:16" ht="21.95" customHeight="1" x14ac:dyDescent="0.25">
      <c r="A5" s="272" t="str">
        <f>Doku!B31&amp;":"</f>
        <v>Bewerter:</v>
      </c>
      <c r="B5" s="272"/>
      <c r="C5" s="272"/>
      <c r="D5" s="272"/>
      <c r="E5" s="22"/>
      <c r="F5" s="15"/>
      <c r="G5" s="16" t="str">
        <f>Doku!B30&amp;":"</f>
        <v>Datum:</v>
      </c>
      <c r="H5" s="286"/>
      <c r="I5" s="286"/>
      <c r="J5" s="287" t="str">
        <f>Doku!B32&amp;":"</f>
        <v>Paar Nr:</v>
      </c>
      <c r="K5" s="287"/>
      <c r="L5" s="65"/>
    </row>
    <row r="6" spans="1:16" ht="7.9" customHeight="1" thickBot="1" x14ac:dyDescent="0.55000000000000004">
      <c r="A6" s="1"/>
      <c r="B6" s="1"/>
      <c r="C6" s="2"/>
      <c r="D6" s="2"/>
      <c r="E6" s="2"/>
      <c r="F6" s="37"/>
      <c r="G6" s="37"/>
      <c r="H6" s="283"/>
      <c r="I6" s="283"/>
      <c r="J6" s="283"/>
      <c r="K6" s="283"/>
      <c r="L6" s="19"/>
    </row>
    <row r="7" spans="1:16" s="20" customFormat="1" ht="20.100000000000001" customHeight="1" x14ac:dyDescent="0.35">
      <c r="A7" s="11"/>
      <c r="B7" s="11"/>
      <c r="C7" s="11"/>
      <c r="D7" s="281" t="str">
        <f>Doku!B33</f>
        <v>Nachname</v>
      </c>
      <c r="E7" s="275"/>
      <c r="F7" s="273" t="str">
        <f>Doku!B34</f>
        <v>Vorname</v>
      </c>
      <c r="G7" s="274"/>
      <c r="H7" s="275"/>
      <c r="I7" s="276" t="str">
        <f>Doku!B35</f>
        <v>Verein</v>
      </c>
      <c r="J7" s="276"/>
      <c r="K7" s="276"/>
      <c r="L7" s="12" t="str">
        <f>Doku!B36</f>
        <v>Land</v>
      </c>
    </row>
    <row r="8" spans="1:16" ht="21.95" customHeight="1" x14ac:dyDescent="0.25">
      <c r="A8" s="15" t="s">
        <v>29</v>
      </c>
      <c r="B8" s="15"/>
      <c r="C8" s="15"/>
      <c r="D8" s="282"/>
      <c r="E8" s="279"/>
      <c r="F8" s="277"/>
      <c r="G8" s="278"/>
      <c r="H8" s="279"/>
      <c r="I8" s="280"/>
      <c r="J8" s="280"/>
      <c r="K8" s="280"/>
      <c r="L8" s="17"/>
    </row>
    <row r="9" spans="1:16" ht="21.95" customHeight="1" thickBot="1" x14ac:dyDescent="0.3">
      <c r="A9" s="15" t="s">
        <v>30</v>
      </c>
      <c r="B9" s="15"/>
      <c r="C9" s="15"/>
      <c r="D9" s="269"/>
      <c r="E9" s="270"/>
      <c r="F9" s="288"/>
      <c r="G9" s="289"/>
      <c r="H9" s="270"/>
      <c r="I9" s="290"/>
      <c r="J9" s="290"/>
      <c r="K9" s="290"/>
      <c r="L9" s="18"/>
    </row>
    <row r="10" spans="1:16" ht="7.9" customHeight="1" thickBot="1" x14ac:dyDescent="0.4">
      <c r="A10" s="1"/>
      <c r="B10" s="1"/>
      <c r="C10" s="2"/>
      <c r="D10" s="2"/>
      <c r="E10" s="3"/>
      <c r="F10" s="3"/>
      <c r="G10" s="3"/>
      <c r="H10" s="3"/>
      <c r="I10" s="3"/>
      <c r="J10" s="3"/>
      <c r="K10" s="3"/>
      <c r="L10" s="20"/>
    </row>
    <row r="11" spans="1:16" ht="39.75" customHeight="1" thickTop="1" thickBot="1" x14ac:dyDescent="0.3">
      <c r="A11" s="4"/>
      <c r="B11" s="4"/>
      <c r="C11" s="4"/>
      <c r="D11" s="4"/>
      <c r="E11" s="4"/>
      <c r="F11" s="267" t="str">
        <f>Doku!B38</f>
        <v>Kleiner Fehler</v>
      </c>
      <c r="G11" s="268"/>
      <c r="H11" s="60" t="str">
        <f>Doku!B39</f>
        <v>Mittlerer Fehler</v>
      </c>
      <c r="I11" s="60" t="str">
        <f>Doku!B40</f>
        <v>Großer Fehler</v>
      </c>
      <c r="J11" s="60" t="s">
        <v>205</v>
      </c>
      <c r="K11" s="60" t="s">
        <v>5</v>
      </c>
      <c r="L11" s="291" t="str">
        <f>Doku!B42</f>
        <v>Gesamt</v>
      </c>
    </row>
    <row r="12" spans="1:16" s="20" customFormat="1" ht="20.100000000000001" customHeight="1" thickTop="1" thickBot="1" x14ac:dyDescent="0.4">
      <c r="A12" s="316" t="str">
        <f>Doku!B37</f>
        <v>Technik</v>
      </c>
      <c r="B12" s="317"/>
      <c r="C12" s="317"/>
      <c r="D12" s="317"/>
      <c r="E12" s="318"/>
      <c r="F12" s="319">
        <v>1</v>
      </c>
      <c r="G12" s="320"/>
      <c r="H12" s="61">
        <v>3</v>
      </c>
      <c r="I12" s="61">
        <v>5</v>
      </c>
      <c r="J12" s="61">
        <v>0.5</v>
      </c>
      <c r="K12" s="61">
        <v>10</v>
      </c>
      <c r="L12" s="292"/>
    </row>
    <row r="13" spans="1:16" ht="21" customHeight="1" thickBot="1" x14ac:dyDescent="0.3">
      <c r="A13" s="5">
        <v>1</v>
      </c>
      <c r="B13" s="371"/>
      <c r="C13" s="372"/>
      <c r="D13" s="351" t="s">
        <v>7</v>
      </c>
      <c r="E13" s="352"/>
      <c r="F13" s="197"/>
      <c r="G13" s="198"/>
      <c r="H13" s="199"/>
      <c r="I13" s="199"/>
      <c r="J13" s="199"/>
      <c r="K13" s="200"/>
      <c r="L13" s="75" t="str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/>
      </c>
      <c r="N13" s="23" t="s">
        <v>212</v>
      </c>
      <c r="O13" s="23"/>
      <c r="P13" s="23" t="s">
        <v>207</v>
      </c>
    </row>
    <row r="14" spans="1:16" ht="21" customHeight="1" x14ac:dyDescent="0.25">
      <c r="A14" s="6">
        <v>2</v>
      </c>
      <c r="B14" s="363" t="s">
        <v>88</v>
      </c>
      <c r="C14" s="366" t="s">
        <v>89</v>
      </c>
      <c r="D14" s="360" t="s">
        <v>90</v>
      </c>
      <c r="E14" s="305"/>
      <c r="F14" s="201"/>
      <c r="G14" s="202"/>
      <c r="H14" s="203"/>
      <c r="I14" s="203"/>
      <c r="J14" s="203"/>
      <c r="K14" s="140"/>
      <c r="L14" s="76" t="str">
        <f t="shared" ref="L14:L33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/>
      </c>
      <c r="N14" s="23" t="s">
        <v>210</v>
      </c>
      <c r="O14" s="23"/>
      <c r="P14" s="23" t="s">
        <v>208</v>
      </c>
    </row>
    <row r="15" spans="1:16" ht="21" customHeight="1" x14ac:dyDescent="0.25">
      <c r="A15" s="7">
        <v>3</v>
      </c>
      <c r="B15" s="364"/>
      <c r="C15" s="367"/>
      <c r="D15" s="361" t="s">
        <v>91</v>
      </c>
      <c r="E15" s="344"/>
      <c r="F15" s="178"/>
      <c r="G15" s="179"/>
      <c r="H15" s="180"/>
      <c r="I15" s="180"/>
      <c r="J15" s="180"/>
      <c r="K15" s="181"/>
      <c r="L15" s="204" t="str">
        <f t="shared" si="0"/>
        <v/>
      </c>
      <c r="N15" s="23" t="s">
        <v>211</v>
      </c>
      <c r="O15" s="23"/>
      <c r="P15" s="23" t="s">
        <v>209</v>
      </c>
    </row>
    <row r="16" spans="1:16" ht="21" customHeight="1" x14ac:dyDescent="0.25">
      <c r="A16" s="34">
        <v>4</v>
      </c>
      <c r="B16" s="364"/>
      <c r="C16" s="367"/>
      <c r="D16" s="362" t="s">
        <v>92</v>
      </c>
      <c r="E16" s="309"/>
      <c r="F16" s="153"/>
      <c r="G16" s="154"/>
      <c r="H16" s="155"/>
      <c r="I16" s="155"/>
      <c r="J16" s="155"/>
      <c r="K16" s="156"/>
      <c r="L16" s="205" t="str">
        <f t="shared" si="0"/>
        <v/>
      </c>
    </row>
    <row r="17" spans="1:12" ht="21" customHeight="1" x14ac:dyDescent="0.25">
      <c r="A17" s="7">
        <v>5</v>
      </c>
      <c r="B17" s="364"/>
      <c r="C17" s="367"/>
      <c r="D17" s="361" t="s">
        <v>93</v>
      </c>
      <c r="E17" s="344"/>
      <c r="F17" s="178"/>
      <c r="G17" s="179"/>
      <c r="H17" s="180"/>
      <c r="I17" s="180"/>
      <c r="J17" s="180"/>
      <c r="K17" s="181"/>
      <c r="L17" s="204" t="str">
        <f t="shared" si="0"/>
        <v/>
      </c>
    </row>
    <row r="18" spans="1:12" ht="21" customHeight="1" thickBot="1" x14ac:dyDescent="0.3">
      <c r="A18" s="7">
        <v>6</v>
      </c>
      <c r="B18" s="364"/>
      <c r="C18" s="367"/>
      <c r="D18" s="357" t="s">
        <v>94</v>
      </c>
      <c r="E18" s="346"/>
      <c r="F18" s="161"/>
      <c r="G18" s="162"/>
      <c r="H18" s="163"/>
      <c r="I18" s="163"/>
      <c r="J18" s="163"/>
      <c r="K18" s="164"/>
      <c r="L18" s="206" t="str">
        <f t="shared" si="0"/>
        <v/>
      </c>
    </row>
    <row r="19" spans="1:12" ht="21" customHeight="1" x14ac:dyDescent="0.25">
      <c r="A19" s="34">
        <v>7</v>
      </c>
      <c r="B19" s="364"/>
      <c r="C19" s="366" t="s">
        <v>95</v>
      </c>
      <c r="D19" s="369" t="s">
        <v>96</v>
      </c>
      <c r="E19" s="370"/>
      <c r="F19" s="207"/>
      <c r="G19" s="208"/>
      <c r="H19" s="209"/>
      <c r="I19" s="209"/>
      <c r="J19" s="209"/>
      <c r="K19" s="210"/>
      <c r="L19" s="211" t="str">
        <f t="shared" si="0"/>
        <v/>
      </c>
    </row>
    <row r="20" spans="1:12" ht="21" customHeight="1" x14ac:dyDescent="0.25">
      <c r="A20" s="34">
        <v>8</v>
      </c>
      <c r="B20" s="364"/>
      <c r="C20" s="367"/>
      <c r="D20" s="362" t="s">
        <v>97</v>
      </c>
      <c r="E20" s="309"/>
      <c r="F20" s="153"/>
      <c r="G20" s="154"/>
      <c r="H20" s="155"/>
      <c r="I20" s="155"/>
      <c r="J20" s="155"/>
      <c r="K20" s="156"/>
      <c r="L20" s="205" t="str">
        <f t="shared" si="0"/>
        <v/>
      </c>
    </row>
    <row r="21" spans="1:12" ht="21" customHeight="1" thickBot="1" x14ac:dyDescent="0.3">
      <c r="A21" s="8">
        <v>9</v>
      </c>
      <c r="B21" s="365"/>
      <c r="C21" s="368"/>
      <c r="D21" s="373" t="s">
        <v>98</v>
      </c>
      <c r="E21" s="350"/>
      <c r="F21" s="212"/>
      <c r="G21" s="213"/>
      <c r="H21" s="214"/>
      <c r="I21" s="214"/>
      <c r="J21" s="214"/>
      <c r="K21" s="215"/>
      <c r="L21" s="216" t="str">
        <f t="shared" si="0"/>
        <v/>
      </c>
    </row>
    <row r="22" spans="1:12" ht="21" customHeight="1" x14ac:dyDescent="0.25">
      <c r="A22" s="35">
        <v>10</v>
      </c>
      <c r="B22" s="363" t="s">
        <v>99</v>
      </c>
      <c r="C22" s="366" t="s">
        <v>89</v>
      </c>
      <c r="D22" s="369" t="s">
        <v>90</v>
      </c>
      <c r="E22" s="370"/>
      <c r="F22" s="207"/>
      <c r="G22" s="208"/>
      <c r="H22" s="209"/>
      <c r="I22" s="209"/>
      <c r="J22" s="209"/>
      <c r="K22" s="210"/>
      <c r="L22" s="211" t="str">
        <f t="shared" si="0"/>
        <v/>
      </c>
    </row>
    <row r="23" spans="1:12" ht="21" customHeight="1" x14ac:dyDescent="0.25">
      <c r="A23" s="34">
        <v>11</v>
      </c>
      <c r="B23" s="364"/>
      <c r="C23" s="367"/>
      <c r="D23" s="362" t="s">
        <v>100</v>
      </c>
      <c r="E23" s="309"/>
      <c r="F23" s="153"/>
      <c r="G23" s="154"/>
      <c r="H23" s="155"/>
      <c r="I23" s="155"/>
      <c r="J23" s="155"/>
      <c r="K23" s="156"/>
      <c r="L23" s="205" t="str">
        <f t="shared" si="0"/>
        <v/>
      </c>
    </row>
    <row r="24" spans="1:12" ht="21" customHeight="1" x14ac:dyDescent="0.25">
      <c r="A24" s="34">
        <v>12</v>
      </c>
      <c r="B24" s="364"/>
      <c r="C24" s="367"/>
      <c r="D24" s="361" t="s">
        <v>91</v>
      </c>
      <c r="E24" s="344"/>
      <c r="F24" s="178"/>
      <c r="G24" s="179"/>
      <c r="H24" s="180"/>
      <c r="I24" s="180"/>
      <c r="J24" s="180"/>
      <c r="K24" s="181"/>
      <c r="L24" s="204" t="str">
        <f t="shared" si="0"/>
        <v/>
      </c>
    </row>
    <row r="25" spans="1:12" ht="21" customHeight="1" x14ac:dyDescent="0.25">
      <c r="A25" s="34">
        <v>13</v>
      </c>
      <c r="B25" s="364"/>
      <c r="C25" s="367"/>
      <c r="D25" s="362" t="s">
        <v>84</v>
      </c>
      <c r="E25" s="309"/>
      <c r="F25" s="153"/>
      <c r="G25" s="154"/>
      <c r="H25" s="155"/>
      <c r="I25" s="155"/>
      <c r="J25" s="155"/>
      <c r="K25" s="156"/>
      <c r="L25" s="205" t="str">
        <f t="shared" si="0"/>
        <v/>
      </c>
    </row>
    <row r="26" spans="1:12" ht="21" customHeight="1" x14ac:dyDescent="0.25">
      <c r="A26" s="34">
        <v>14</v>
      </c>
      <c r="B26" s="364"/>
      <c r="C26" s="367"/>
      <c r="D26" s="361" t="s">
        <v>92</v>
      </c>
      <c r="E26" s="344"/>
      <c r="F26" s="178"/>
      <c r="G26" s="179"/>
      <c r="H26" s="180"/>
      <c r="I26" s="180"/>
      <c r="J26" s="180"/>
      <c r="K26" s="181"/>
      <c r="L26" s="204" t="str">
        <f t="shared" si="0"/>
        <v/>
      </c>
    </row>
    <row r="27" spans="1:12" ht="21" customHeight="1" x14ac:dyDescent="0.25">
      <c r="A27" s="34">
        <v>15</v>
      </c>
      <c r="B27" s="364"/>
      <c r="C27" s="367"/>
      <c r="D27" s="362" t="s">
        <v>93</v>
      </c>
      <c r="E27" s="309"/>
      <c r="F27" s="153"/>
      <c r="G27" s="154"/>
      <c r="H27" s="155"/>
      <c r="I27" s="155"/>
      <c r="J27" s="155"/>
      <c r="K27" s="156"/>
      <c r="L27" s="205" t="str">
        <f t="shared" si="0"/>
        <v/>
      </c>
    </row>
    <row r="28" spans="1:12" ht="21" customHeight="1" x14ac:dyDescent="0.25">
      <c r="A28" s="34">
        <v>16</v>
      </c>
      <c r="B28" s="364"/>
      <c r="C28" s="367"/>
      <c r="D28" s="361" t="s">
        <v>101</v>
      </c>
      <c r="E28" s="344"/>
      <c r="F28" s="178"/>
      <c r="G28" s="179"/>
      <c r="H28" s="180"/>
      <c r="I28" s="180"/>
      <c r="J28" s="180"/>
      <c r="K28" s="181"/>
      <c r="L28" s="204" t="str">
        <f t="shared" si="0"/>
        <v/>
      </c>
    </row>
    <row r="29" spans="1:12" ht="21" customHeight="1" thickBot="1" x14ac:dyDescent="0.3">
      <c r="A29" s="34">
        <v>17</v>
      </c>
      <c r="B29" s="364"/>
      <c r="C29" s="368"/>
      <c r="D29" s="357" t="s">
        <v>94</v>
      </c>
      <c r="E29" s="346"/>
      <c r="F29" s="161"/>
      <c r="G29" s="162"/>
      <c r="H29" s="163"/>
      <c r="I29" s="163"/>
      <c r="J29" s="163"/>
      <c r="K29" s="164"/>
      <c r="L29" s="206" t="str">
        <f t="shared" si="0"/>
        <v/>
      </c>
    </row>
    <row r="30" spans="1:12" ht="21" customHeight="1" x14ac:dyDescent="0.25">
      <c r="A30" s="34">
        <v>18</v>
      </c>
      <c r="B30" s="364"/>
      <c r="C30" s="366" t="s">
        <v>95</v>
      </c>
      <c r="D30" s="358" t="s">
        <v>96</v>
      </c>
      <c r="E30" s="359"/>
      <c r="F30" s="217"/>
      <c r="G30" s="218"/>
      <c r="H30" s="219"/>
      <c r="I30" s="219"/>
      <c r="J30" s="219"/>
      <c r="K30" s="220"/>
      <c r="L30" s="221" t="str">
        <f t="shared" si="0"/>
        <v/>
      </c>
    </row>
    <row r="31" spans="1:12" ht="21" customHeight="1" thickBot="1" x14ac:dyDescent="0.3">
      <c r="A31" s="34">
        <v>19</v>
      </c>
      <c r="B31" s="364"/>
      <c r="C31" s="368"/>
      <c r="D31" s="357" t="s">
        <v>97</v>
      </c>
      <c r="E31" s="346"/>
      <c r="F31" s="161"/>
      <c r="G31" s="162"/>
      <c r="H31" s="163"/>
      <c r="I31" s="163"/>
      <c r="J31" s="163"/>
      <c r="K31" s="164"/>
      <c r="L31" s="206" t="str">
        <f t="shared" si="0"/>
        <v/>
      </c>
    </row>
    <row r="32" spans="1:12" ht="21" customHeight="1" x14ac:dyDescent="0.25">
      <c r="A32" s="34">
        <v>20</v>
      </c>
      <c r="B32" s="364"/>
      <c r="C32" s="367" t="s">
        <v>102</v>
      </c>
      <c r="D32" s="358" t="s">
        <v>103</v>
      </c>
      <c r="E32" s="359"/>
      <c r="F32" s="217"/>
      <c r="G32" s="218"/>
      <c r="H32" s="219"/>
      <c r="I32" s="219"/>
      <c r="J32" s="219"/>
      <c r="K32" s="220"/>
      <c r="L32" s="221" t="str">
        <f t="shared" si="0"/>
        <v/>
      </c>
    </row>
    <row r="33" spans="1:12" ht="21" customHeight="1" thickBot="1" x14ac:dyDescent="0.3">
      <c r="A33" s="8">
        <v>21</v>
      </c>
      <c r="B33" s="365"/>
      <c r="C33" s="368"/>
      <c r="D33" s="357" t="s">
        <v>76</v>
      </c>
      <c r="E33" s="346"/>
      <c r="F33" s="161"/>
      <c r="G33" s="162"/>
      <c r="H33" s="163"/>
      <c r="I33" s="163"/>
      <c r="J33" s="163"/>
      <c r="K33" s="164"/>
      <c r="L33" s="206" t="str">
        <f t="shared" si="0"/>
        <v/>
      </c>
    </row>
    <row r="34" spans="1:12" ht="21" hidden="1" customHeight="1" thickBot="1" x14ac:dyDescent="0.3"/>
    <row r="35" spans="1:12" ht="21" customHeight="1" thickBot="1" x14ac:dyDescent="0.3">
      <c r="A35" s="38">
        <v>22</v>
      </c>
      <c r="B35" s="353"/>
      <c r="C35" s="354"/>
      <c r="D35" s="355" t="s">
        <v>28</v>
      </c>
      <c r="E35" s="356"/>
      <c r="F35" s="194"/>
      <c r="G35" s="195"/>
      <c r="H35" s="196"/>
      <c r="I35" s="196"/>
      <c r="J35" s="196"/>
      <c r="K35" s="222"/>
      <c r="L35" s="223" t="str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/>
      </c>
    </row>
    <row r="36" spans="1:12" ht="21.95" customHeight="1" thickTop="1" thickBot="1" x14ac:dyDescent="0.3">
      <c r="A36" s="321" t="str">
        <f>Doku!B43&amp;":"</f>
        <v>Summe Fehler und Punkte:</v>
      </c>
      <c r="B36" s="322"/>
      <c r="C36" s="322"/>
      <c r="D36" s="322"/>
      <c r="E36" s="323"/>
      <c r="F36" s="314" t="str">
        <f>IF($L$37&lt;&gt;"",SUMPRODUCT(--(TRIM(F13:G35)&lt;&gt;"")),"")</f>
        <v/>
      </c>
      <c r="G36" s="315" t="b">
        <f t="shared" ref="G36" si="2">IF($L$37&lt;&gt;"",COUNTIF(G13:G29,"x"))</f>
        <v>0</v>
      </c>
      <c r="H36" s="169" t="str">
        <f>IF($L$37&lt;&gt;"",SUMPRODUCT(--(TRIM(H13:H35)&lt;&gt;"")),"")</f>
        <v/>
      </c>
      <c r="I36" s="169" t="str">
        <f>IF($L$37&lt;&gt;"",SUMPRODUCT(--(TRIM(I13:I35)&lt;&gt;"")),"")</f>
        <v/>
      </c>
      <c r="J36" s="171" t="str">
        <f>IF($L$37&lt;&gt;"",(COUNTIFS(J13:J35,"+")-COUNTIFS(J13:J35,"-"))*0.5,"")</f>
        <v/>
      </c>
      <c r="K36" s="170" t="str">
        <f>IF($L$37&lt;&gt;"",SUMPRODUCT(--(TRIM(K13:K35)&lt;&gt;"")),"")</f>
        <v/>
      </c>
      <c r="L36" s="69" t="str">
        <f>IF(L37&lt;&gt;"",IF(K36&lt;1,SUM(L13:L35),IF(K36&gt;=1,ROUNDUP(SUM(L13:L35)/2,0),"")),"")</f>
        <v/>
      </c>
    </row>
    <row r="37" spans="1:12" ht="20.100000000000001" customHeight="1" thickTop="1" thickBot="1" x14ac:dyDescent="0.3">
      <c r="A37" s="312" t="str">
        <f>Doku!B44&amp;":"</f>
        <v>Position:</v>
      </c>
      <c r="B37" s="313"/>
      <c r="C37" s="313"/>
      <c r="D37" s="313"/>
      <c r="E37" s="44"/>
      <c r="F37" s="293" t="str">
        <f>Doku!B45</f>
        <v>Übertrag ok?</v>
      </c>
      <c r="G37" s="294"/>
      <c r="H37" s="294"/>
      <c r="I37" s="294"/>
      <c r="J37" s="294"/>
      <c r="K37" s="295"/>
      <c r="L37" s="39"/>
    </row>
    <row r="38" spans="1:12" ht="15.75" thickTop="1" x14ac:dyDescent="0.25"/>
  </sheetData>
  <mergeCells count="55">
    <mergeCell ref="B13:C13"/>
    <mergeCell ref="D13:E13"/>
    <mergeCell ref="B14:B21"/>
    <mergeCell ref="D21:E21"/>
    <mergeCell ref="D18:E18"/>
    <mergeCell ref="C19:C21"/>
    <mergeCell ref="D19:E19"/>
    <mergeCell ref="A2:L2"/>
    <mergeCell ref="A3:L3"/>
    <mergeCell ref="A5:D5"/>
    <mergeCell ref="H6:K6"/>
    <mergeCell ref="L11:L12"/>
    <mergeCell ref="A12:E12"/>
    <mergeCell ref="F12:G12"/>
    <mergeCell ref="H5:I5"/>
    <mergeCell ref="J5:K5"/>
    <mergeCell ref="I9:K9"/>
    <mergeCell ref="F11:G11"/>
    <mergeCell ref="D7:E7"/>
    <mergeCell ref="F7:H7"/>
    <mergeCell ref="I7:K7"/>
    <mergeCell ref="D8:E8"/>
    <mergeCell ref="F8:H8"/>
    <mergeCell ref="E1:I1"/>
    <mergeCell ref="B22:B33"/>
    <mergeCell ref="C22:C29"/>
    <mergeCell ref="D22:E22"/>
    <mergeCell ref="D28:E28"/>
    <mergeCell ref="D25:E25"/>
    <mergeCell ref="D26:E26"/>
    <mergeCell ref="D27:E27"/>
    <mergeCell ref="D23:E23"/>
    <mergeCell ref="D24:E24"/>
    <mergeCell ref="C30:C31"/>
    <mergeCell ref="D30:E30"/>
    <mergeCell ref="C32:C33"/>
    <mergeCell ref="C14:C18"/>
    <mergeCell ref="D9:E9"/>
    <mergeCell ref="F9:H9"/>
    <mergeCell ref="I8:K8"/>
    <mergeCell ref="B35:C35"/>
    <mergeCell ref="D35:E35"/>
    <mergeCell ref="F37:K37"/>
    <mergeCell ref="D29:E29"/>
    <mergeCell ref="A37:D37"/>
    <mergeCell ref="D33:E33"/>
    <mergeCell ref="A36:E36"/>
    <mergeCell ref="F36:G36"/>
    <mergeCell ref="D32:E32"/>
    <mergeCell ref="D14:E14"/>
    <mergeCell ref="D15:E15"/>
    <mergeCell ref="D16:E16"/>
    <mergeCell ref="D17:E17"/>
    <mergeCell ref="D20:E20"/>
    <mergeCell ref="D31:E31"/>
  </mergeCells>
  <dataValidations count="2">
    <dataValidation type="list" allowBlank="1" showDropDown="1" showInputMessage="1" showErrorMessage="1" sqref="F13:I35 K13:K35" xr:uid="{7ECE2E3E-F251-4EF4-90EE-175AF3D86AA4}">
      <formula1>$P$13</formula1>
    </dataValidation>
    <dataValidation type="list" allowBlank="1" showDropDown="1" showInputMessage="1" showErrorMessage="1" sqref="J13:J35" xr:uid="{AAC6AAF7-0D57-4D42-8E45-2E3A90810F6A}">
      <formula1>$P$14:$P$15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10"/>
  <dimension ref="A1:P38"/>
  <sheetViews>
    <sheetView workbookViewId="0"/>
  </sheetViews>
  <sheetFormatPr baseColWidth="10" defaultColWidth="11.42578125" defaultRowHeight="15" x14ac:dyDescent="0.25"/>
  <cols>
    <col min="1" max="1" width="3.7109375" customWidth="1"/>
    <col min="2" max="2" width="3.7109375" hidden="1" customWidth="1"/>
    <col min="3" max="3" width="3.7109375" customWidth="1"/>
    <col min="4" max="4" width="5.7109375" customWidth="1"/>
    <col min="5" max="5" width="18.140625" customWidth="1"/>
    <col min="6" max="7" width="4.7109375" customWidth="1"/>
    <col min="8" max="12" width="8.7109375" customWidth="1"/>
  </cols>
  <sheetData>
    <row r="1" spans="1:16" s="19" customFormat="1" ht="24.95" customHeight="1" x14ac:dyDescent="0.5">
      <c r="A1" s="66"/>
      <c r="B1" s="66"/>
      <c r="C1" s="66"/>
      <c r="D1" s="66"/>
      <c r="E1" s="271" t="str">
        <f>Doku!B28</f>
        <v>Meisterschaftsname</v>
      </c>
      <c r="F1" s="271"/>
      <c r="G1" s="271"/>
      <c r="H1" s="271"/>
      <c r="I1" s="271"/>
      <c r="J1" s="67"/>
      <c r="K1" s="66"/>
      <c r="L1" s="66"/>
    </row>
    <row r="2" spans="1:16" s="19" customFormat="1" ht="20.100000000000001" customHeight="1" x14ac:dyDescent="0.5">
      <c r="A2" s="284" t="str">
        <f>Doku!B29</f>
        <v>Ausrichter</v>
      </c>
      <c r="B2" s="284"/>
      <c r="C2" s="284"/>
      <c r="D2" s="284"/>
      <c r="E2" s="284"/>
      <c r="F2" s="284"/>
      <c r="G2" s="284"/>
      <c r="H2" s="284"/>
      <c r="I2" s="284"/>
      <c r="J2" s="284"/>
      <c r="K2" s="284"/>
      <c r="L2" s="284"/>
    </row>
    <row r="3" spans="1:16" s="19" customFormat="1" ht="39.950000000000003" customHeight="1" x14ac:dyDescent="0.5">
      <c r="A3" s="374" t="s">
        <v>104</v>
      </c>
      <c r="B3" s="374"/>
      <c r="C3" s="374"/>
      <c r="D3" s="374"/>
      <c r="E3" s="374"/>
      <c r="F3" s="374"/>
      <c r="G3" s="374"/>
      <c r="H3" s="374"/>
      <c r="I3" s="374"/>
      <c r="J3" s="374"/>
      <c r="K3" s="374"/>
      <c r="L3" s="374"/>
    </row>
    <row r="4" spans="1:16" s="19" customFormat="1" ht="11.1" customHeight="1" x14ac:dyDescent="0.5">
      <c r="A4" s="13"/>
      <c r="B4" s="13"/>
      <c r="C4" s="13"/>
      <c r="D4" s="13"/>
      <c r="E4" s="13"/>
      <c r="F4" s="14"/>
      <c r="G4" s="14"/>
      <c r="H4" s="14"/>
      <c r="I4" s="14"/>
      <c r="J4" s="14"/>
      <c r="K4" s="14"/>
    </row>
    <row r="5" spans="1:16" ht="21.95" customHeight="1" x14ac:dyDescent="0.25">
      <c r="A5" s="272" t="str">
        <f>Doku!B31&amp;":"</f>
        <v>Bewerter:</v>
      </c>
      <c r="B5" s="272"/>
      <c r="C5" s="272"/>
      <c r="D5" s="272"/>
      <c r="E5" s="22"/>
      <c r="F5" s="15"/>
      <c r="G5" s="16" t="str">
        <f>Doku!B30&amp;":"</f>
        <v>Datum:</v>
      </c>
      <c r="H5" s="286"/>
      <c r="I5" s="286"/>
      <c r="J5" s="287" t="str">
        <f>Doku!B32&amp;":"</f>
        <v>Paar Nr:</v>
      </c>
      <c r="K5" s="287"/>
      <c r="L5" s="97"/>
    </row>
    <row r="6" spans="1:16" ht="11.1" customHeight="1" thickBot="1" x14ac:dyDescent="0.55000000000000004">
      <c r="A6" s="1"/>
      <c r="B6" s="1"/>
      <c r="C6" s="2"/>
      <c r="D6" s="2"/>
      <c r="E6" s="2"/>
      <c r="F6" s="37"/>
      <c r="G6" s="37"/>
      <c r="H6" s="283"/>
      <c r="I6" s="283"/>
      <c r="J6" s="283"/>
      <c r="K6" s="283"/>
      <c r="L6" s="19"/>
    </row>
    <row r="7" spans="1:16" s="20" customFormat="1" ht="20.100000000000001" customHeight="1" x14ac:dyDescent="0.35">
      <c r="A7" s="11"/>
      <c r="B7" s="11"/>
      <c r="C7" s="11"/>
      <c r="D7" s="281" t="str">
        <f>Doku!B33</f>
        <v>Nachname</v>
      </c>
      <c r="E7" s="275"/>
      <c r="F7" s="273" t="str">
        <f>Doku!B34</f>
        <v>Vorname</v>
      </c>
      <c r="G7" s="274"/>
      <c r="H7" s="275"/>
      <c r="I7" s="276" t="str">
        <f>Doku!B35</f>
        <v>Verein</v>
      </c>
      <c r="J7" s="276"/>
      <c r="K7" s="276"/>
      <c r="L7" s="12" t="str">
        <f>Doku!B36</f>
        <v>Land</v>
      </c>
    </row>
    <row r="8" spans="1:16" ht="21.95" customHeight="1" x14ac:dyDescent="0.25">
      <c r="A8" s="15" t="s">
        <v>29</v>
      </c>
      <c r="B8" s="15"/>
      <c r="C8" s="15"/>
      <c r="D8" s="282"/>
      <c r="E8" s="279"/>
      <c r="F8" s="277"/>
      <c r="G8" s="278"/>
      <c r="H8" s="279"/>
      <c r="I8" s="280"/>
      <c r="J8" s="280"/>
      <c r="K8" s="280"/>
      <c r="L8" s="17"/>
    </row>
    <row r="9" spans="1:16" ht="21.95" customHeight="1" thickBot="1" x14ac:dyDescent="0.3">
      <c r="A9" s="15" t="s">
        <v>30</v>
      </c>
      <c r="B9" s="15"/>
      <c r="C9" s="15"/>
      <c r="D9" s="269"/>
      <c r="E9" s="270"/>
      <c r="F9" s="288"/>
      <c r="G9" s="289"/>
      <c r="H9" s="270"/>
      <c r="I9" s="290"/>
      <c r="J9" s="290"/>
      <c r="K9" s="290"/>
      <c r="L9" s="18"/>
    </row>
    <row r="10" spans="1:16" ht="11.1" customHeight="1" thickBot="1" x14ac:dyDescent="0.3">
      <c r="A10" s="1"/>
      <c r="B10" s="1"/>
      <c r="C10" s="2"/>
      <c r="D10" s="2"/>
      <c r="E10" s="3"/>
      <c r="F10" s="3"/>
      <c r="G10" s="3"/>
      <c r="H10" s="3"/>
      <c r="I10" s="3"/>
      <c r="J10" s="3"/>
      <c r="K10" s="3"/>
      <c r="L10" s="40"/>
    </row>
    <row r="11" spans="1:16" ht="39.75" customHeight="1" thickTop="1" thickBot="1" x14ac:dyDescent="0.3">
      <c r="A11" s="4"/>
      <c r="B11" s="4"/>
      <c r="C11" s="4"/>
      <c r="D11" s="4"/>
      <c r="E11" s="4"/>
      <c r="F11" s="267" t="str">
        <f>Doku!B38</f>
        <v>Kleiner Fehler</v>
      </c>
      <c r="G11" s="268"/>
      <c r="H11" s="60" t="str">
        <f>Doku!B39</f>
        <v>Mittlerer Fehler</v>
      </c>
      <c r="I11" s="60" t="str">
        <f>Doku!B40</f>
        <v>Großer Fehler</v>
      </c>
      <c r="J11" s="60" t="s">
        <v>205</v>
      </c>
      <c r="K11" s="60" t="str">
        <f>Doku!B41</f>
        <v>Technik vergessen</v>
      </c>
      <c r="L11" s="291" t="str">
        <f>Doku!B42</f>
        <v>Gesamt</v>
      </c>
    </row>
    <row r="12" spans="1:16" s="20" customFormat="1" ht="20.100000000000001" customHeight="1" thickTop="1" thickBot="1" x14ac:dyDescent="0.4">
      <c r="A12" s="316" t="str">
        <f>Doku!B37</f>
        <v>Technik</v>
      </c>
      <c r="B12" s="317"/>
      <c r="C12" s="317"/>
      <c r="D12" s="317"/>
      <c r="E12" s="318"/>
      <c r="F12" s="319">
        <v>1</v>
      </c>
      <c r="G12" s="320"/>
      <c r="H12" s="61">
        <v>3</v>
      </c>
      <c r="I12" s="61">
        <v>5</v>
      </c>
      <c r="J12" s="61">
        <v>0.5</v>
      </c>
      <c r="K12" s="61">
        <v>10</v>
      </c>
      <c r="L12" s="292"/>
    </row>
    <row r="13" spans="1:16" ht="19.899999999999999" customHeight="1" thickBot="1" x14ac:dyDescent="0.3">
      <c r="A13" s="5">
        <v>1</v>
      </c>
      <c r="B13" s="5"/>
      <c r="C13" s="41"/>
      <c r="D13" s="351" t="s">
        <v>7</v>
      </c>
      <c r="E13" s="352"/>
      <c r="F13" s="224"/>
      <c r="G13" s="225"/>
      <c r="H13" s="226"/>
      <c r="I13" s="226"/>
      <c r="J13" s="226"/>
      <c r="K13" s="227"/>
      <c r="L13" s="87" t="str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/>
      </c>
      <c r="N13" s="23" t="s">
        <v>212</v>
      </c>
      <c r="O13" s="23"/>
      <c r="P13" s="23" t="s">
        <v>207</v>
      </c>
    </row>
    <row r="14" spans="1:16" ht="19.899999999999999" customHeight="1" x14ac:dyDescent="0.25">
      <c r="A14" s="6">
        <v>2</v>
      </c>
      <c r="B14" s="6"/>
      <c r="C14" s="363" t="s">
        <v>105</v>
      </c>
      <c r="D14" s="360" t="s">
        <v>90</v>
      </c>
      <c r="E14" s="305"/>
      <c r="F14" s="228"/>
      <c r="G14" s="229"/>
      <c r="H14" s="230"/>
      <c r="I14" s="230"/>
      <c r="J14" s="230"/>
      <c r="K14" s="231"/>
      <c r="L14" s="88" t="str">
        <f t="shared" ref="L14:L35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/>
      </c>
      <c r="N14" s="23" t="s">
        <v>210</v>
      </c>
      <c r="O14" s="23"/>
      <c r="P14" s="23" t="s">
        <v>208</v>
      </c>
    </row>
    <row r="15" spans="1:16" ht="19.899999999999999" customHeight="1" x14ac:dyDescent="0.25">
      <c r="A15" s="7">
        <v>3</v>
      </c>
      <c r="B15" s="6"/>
      <c r="C15" s="364"/>
      <c r="D15" s="361" t="s">
        <v>106</v>
      </c>
      <c r="E15" s="344"/>
      <c r="F15" s="232"/>
      <c r="G15" s="233"/>
      <c r="H15" s="234"/>
      <c r="I15" s="234"/>
      <c r="J15" s="234"/>
      <c r="K15" s="235"/>
      <c r="L15" s="89" t="str">
        <f t="shared" si="0"/>
        <v/>
      </c>
      <c r="N15" s="23" t="s">
        <v>211</v>
      </c>
      <c r="O15" s="23"/>
      <c r="P15" s="23" t="s">
        <v>209</v>
      </c>
    </row>
    <row r="16" spans="1:16" ht="19.899999999999999" customHeight="1" x14ac:dyDescent="0.25">
      <c r="A16" s="34">
        <v>4</v>
      </c>
      <c r="B16" s="38"/>
      <c r="C16" s="364"/>
      <c r="D16" s="362" t="s">
        <v>107</v>
      </c>
      <c r="E16" s="309"/>
      <c r="F16" s="236"/>
      <c r="G16" s="237"/>
      <c r="H16" s="238"/>
      <c r="I16" s="238"/>
      <c r="J16" s="238"/>
      <c r="K16" s="239"/>
      <c r="L16" s="90" t="str">
        <f t="shared" si="0"/>
        <v/>
      </c>
    </row>
    <row r="17" spans="1:12" ht="19.899999999999999" customHeight="1" x14ac:dyDescent="0.25">
      <c r="A17" s="7">
        <v>5</v>
      </c>
      <c r="B17" s="6"/>
      <c r="C17" s="364"/>
      <c r="D17" s="361" t="s">
        <v>108</v>
      </c>
      <c r="E17" s="344"/>
      <c r="F17" s="232"/>
      <c r="G17" s="233"/>
      <c r="H17" s="234"/>
      <c r="I17" s="234"/>
      <c r="J17" s="234"/>
      <c r="K17" s="235"/>
      <c r="L17" s="89" t="str">
        <f t="shared" si="0"/>
        <v/>
      </c>
    </row>
    <row r="18" spans="1:12" ht="19.899999999999999" customHeight="1" x14ac:dyDescent="0.25">
      <c r="A18" s="7">
        <v>6</v>
      </c>
      <c r="B18" s="6"/>
      <c r="C18" s="364"/>
      <c r="D18" s="362" t="s">
        <v>109</v>
      </c>
      <c r="E18" s="309"/>
      <c r="F18" s="236"/>
      <c r="G18" s="237"/>
      <c r="H18" s="238"/>
      <c r="I18" s="238"/>
      <c r="J18" s="238"/>
      <c r="K18" s="239"/>
      <c r="L18" s="90" t="str">
        <f t="shared" si="0"/>
        <v/>
      </c>
    </row>
    <row r="19" spans="1:12" ht="19.899999999999999" customHeight="1" x14ac:dyDescent="0.25">
      <c r="A19" s="7">
        <v>7</v>
      </c>
      <c r="B19" s="6"/>
      <c r="C19" s="364"/>
      <c r="D19" s="361" t="s">
        <v>110</v>
      </c>
      <c r="E19" s="344"/>
      <c r="F19" s="232"/>
      <c r="G19" s="233"/>
      <c r="H19" s="234"/>
      <c r="I19" s="234"/>
      <c r="J19" s="234"/>
      <c r="K19" s="235"/>
      <c r="L19" s="89" t="str">
        <f t="shared" si="0"/>
        <v/>
      </c>
    </row>
    <row r="20" spans="1:12" ht="19.899999999999999" customHeight="1" thickBot="1" x14ac:dyDescent="0.3">
      <c r="A20" s="7">
        <v>8</v>
      </c>
      <c r="B20" s="6"/>
      <c r="C20" s="364"/>
      <c r="D20" s="360" t="s">
        <v>111</v>
      </c>
      <c r="E20" s="305"/>
      <c r="F20" s="228"/>
      <c r="G20" s="229"/>
      <c r="H20" s="230"/>
      <c r="I20" s="230"/>
      <c r="J20" s="230"/>
      <c r="K20" s="231"/>
      <c r="L20" s="88" t="str">
        <f t="shared" si="0"/>
        <v/>
      </c>
    </row>
    <row r="21" spans="1:12" ht="19.899999999999999" customHeight="1" x14ac:dyDescent="0.25">
      <c r="A21" s="42">
        <v>9</v>
      </c>
      <c r="B21" s="42"/>
      <c r="C21" s="363" t="s">
        <v>112</v>
      </c>
      <c r="D21" s="375" t="s">
        <v>78</v>
      </c>
      <c r="E21" s="348"/>
      <c r="F21" s="240"/>
      <c r="G21" s="241"/>
      <c r="H21" s="242"/>
      <c r="I21" s="242"/>
      <c r="J21" s="242"/>
      <c r="K21" s="243"/>
      <c r="L21" s="91" t="str">
        <f t="shared" si="0"/>
        <v/>
      </c>
    </row>
    <row r="22" spans="1:12" ht="19.899999999999999" customHeight="1" x14ac:dyDescent="0.25">
      <c r="A22" s="7">
        <v>10</v>
      </c>
      <c r="B22" s="6"/>
      <c r="C22" s="364"/>
      <c r="D22" s="362" t="s">
        <v>113</v>
      </c>
      <c r="E22" s="309"/>
      <c r="F22" s="236"/>
      <c r="G22" s="237"/>
      <c r="H22" s="238"/>
      <c r="I22" s="238"/>
      <c r="J22" s="238"/>
      <c r="K22" s="239"/>
      <c r="L22" s="90" t="str">
        <f t="shared" si="0"/>
        <v/>
      </c>
    </row>
    <row r="23" spans="1:12" ht="19.899999999999999" customHeight="1" x14ac:dyDescent="0.25">
      <c r="A23" s="7">
        <v>11</v>
      </c>
      <c r="B23" s="6"/>
      <c r="C23" s="364"/>
      <c r="D23" s="361" t="s">
        <v>114</v>
      </c>
      <c r="E23" s="344"/>
      <c r="F23" s="232"/>
      <c r="G23" s="233"/>
      <c r="H23" s="234"/>
      <c r="I23" s="234"/>
      <c r="J23" s="234"/>
      <c r="K23" s="235"/>
      <c r="L23" s="89" t="str">
        <f t="shared" si="0"/>
        <v/>
      </c>
    </row>
    <row r="24" spans="1:12" ht="19.899999999999999" customHeight="1" x14ac:dyDescent="0.25">
      <c r="A24" s="34">
        <v>12</v>
      </c>
      <c r="B24" s="38"/>
      <c r="C24" s="364"/>
      <c r="D24" s="362" t="s">
        <v>115</v>
      </c>
      <c r="E24" s="309"/>
      <c r="F24" s="236"/>
      <c r="G24" s="237"/>
      <c r="H24" s="238"/>
      <c r="I24" s="238"/>
      <c r="J24" s="238"/>
      <c r="K24" s="239"/>
      <c r="L24" s="90" t="str">
        <f t="shared" si="0"/>
        <v/>
      </c>
    </row>
    <row r="25" spans="1:12" ht="19.899999999999999" customHeight="1" thickBot="1" x14ac:dyDescent="0.3">
      <c r="A25" s="8">
        <v>13</v>
      </c>
      <c r="B25" s="49"/>
      <c r="C25" s="365"/>
      <c r="D25" s="373" t="s">
        <v>116</v>
      </c>
      <c r="E25" s="350"/>
      <c r="F25" s="244"/>
      <c r="G25" s="245"/>
      <c r="H25" s="246"/>
      <c r="I25" s="246"/>
      <c r="J25" s="246"/>
      <c r="K25" s="247"/>
      <c r="L25" s="92" t="str">
        <f t="shared" si="0"/>
        <v/>
      </c>
    </row>
    <row r="26" spans="1:12" ht="19.899999999999999" customHeight="1" x14ac:dyDescent="0.25">
      <c r="A26" s="35">
        <v>14</v>
      </c>
      <c r="B26" s="38"/>
      <c r="C26" s="364" t="s">
        <v>95</v>
      </c>
      <c r="D26" s="369" t="s">
        <v>91</v>
      </c>
      <c r="E26" s="370"/>
      <c r="F26" s="248"/>
      <c r="G26" s="249"/>
      <c r="H26" s="250"/>
      <c r="I26" s="250"/>
      <c r="J26" s="250"/>
      <c r="K26" s="251"/>
      <c r="L26" s="93" t="str">
        <f t="shared" si="0"/>
        <v/>
      </c>
    </row>
    <row r="27" spans="1:12" ht="19.899999999999999" customHeight="1" x14ac:dyDescent="0.25">
      <c r="A27" s="34">
        <v>15</v>
      </c>
      <c r="B27" s="38"/>
      <c r="C27" s="364"/>
      <c r="D27" s="362" t="s">
        <v>117</v>
      </c>
      <c r="E27" s="309"/>
      <c r="F27" s="236"/>
      <c r="G27" s="237"/>
      <c r="H27" s="238"/>
      <c r="I27" s="238"/>
      <c r="J27" s="238"/>
      <c r="K27" s="239"/>
      <c r="L27" s="90" t="str">
        <f t="shared" si="0"/>
        <v/>
      </c>
    </row>
    <row r="28" spans="1:12" ht="19.899999999999999" customHeight="1" thickBot="1" x14ac:dyDescent="0.3">
      <c r="A28" s="8">
        <v>16</v>
      </c>
      <c r="B28" s="49"/>
      <c r="C28" s="365"/>
      <c r="D28" s="373" t="s">
        <v>118</v>
      </c>
      <c r="E28" s="350"/>
      <c r="F28" s="244"/>
      <c r="G28" s="245"/>
      <c r="H28" s="246"/>
      <c r="I28" s="246"/>
      <c r="J28" s="246"/>
      <c r="K28" s="247"/>
      <c r="L28" s="92" t="str">
        <f t="shared" si="0"/>
        <v/>
      </c>
    </row>
    <row r="29" spans="1:12" ht="19.899999999999999" customHeight="1" x14ac:dyDescent="0.25">
      <c r="A29" s="35">
        <v>17</v>
      </c>
      <c r="B29" s="38"/>
      <c r="C29" s="364" t="s">
        <v>119</v>
      </c>
      <c r="D29" s="369" t="s">
        <v>120</v>
      </c>
      <c r="E29" s="370"/>
      <c r="F29" s="248"/>
      <c r="G29" s="249"/>
      <c r="H29" s="250"/>
      <c r="I29" s="250"/>
      <c r="J29" s="250"/>
      <c r="K29" s="251"/>
      <c r="L29" s="93" t="str">
        <f t="shared" si="0"/>
        <v/>
      </c>
    </row>
    <row r="30" spans="1:12" ht="19.899999999999999" customHeight="1" x14ac:dyDescent="0.25">
      <c r="A30" s="34">
        <v>18</v>
      </c>
      <c r="B30" s="38"/>
      <c r="C30" s="364"/>
      <c r="D30" s="362" t="s">
        <v>121</v>
      </c>
      <c r="E30" s="309"/>
      <c r="F30" s="236"/>
      <c r="G30" s="237"/>
      <c r="H30" s="238"/>
      <c r="I30" s="238"/>
      <c r="J30" s="238"/>
      <c r="K30" s="239"/>
      <c r="L30" s="90" t="str">
        <f t="shared" si="0"/>
        <v/>
      </c>
    </row>
    <row r="31" spans="1:12" ht="19.899999999999999" customHeight="1" thickBot="1" x14ac:dyDescent="0.3">
      <c r="A31" s="8">
        <v>19</v>
      </c>
      <c r="B31" s="49"/>
      <c r="C31" s="365"/>
      <c r="D31" s="373" t="s">
        <v>122</v>
      </c>
      <c r="E31" s="350"/>
      <c r="F31" s="244"/>
      <c r="G31" s="245"/>
      <c r="H31" s="246"/>
      <c r="I31" s="246"/>
      <c r="J31" s="246"/>
      <c r="K31" s="247"/>
      <c r="L31" s="92" t="str">
        <f t="shared" si="0"/>
        <v/>
      </c>
    </row>
    <row r="32" spans="1:12" ht="19.899999999999999" customHeight="1" x14ac:dyDescent="0.25">
      <c r="A32" s="35">
        <v>20</v>
      </c>
      <c r="B32" s="38"/>
      <c r="C32" s="364" t="s">
        <v>123</v>
      </c>
      <c r="D32" s="369" t="s">
        <v>124</v>
      </c>
      <c r="E32" s="370"/>
      <c r="F32" s="248"/>
      <c r="G32" s="249"/>
      <c r="H32" s="250"/>
      <c r="I32" s="250"/>
      <c r="J32" s="250"/>
      <c r="K32" s="251"/>
      <c r="L32" s="93" t="str">
        <f t="shared" si="0"/>
        <v/>
      </c>
    </row>
    <row r="33" spans="1:12" ht="19.899999999999999" customHeight="1" x14ac:dyDescent="0.25">
      <c r="A33" s="34">
        <v>21</v>
      </c>
      <c r="B33" s="38"/>
      <c r="C33" s="364"/>
      <c r="D33" s="362" t="s">
        <v>125</v>
      </c>
      <c r="E33" s="309"/>
      <c r="F33" s="236"/>
      <c r="G33" s="237"/>
      <c r="H33" s="238"/>
      <c r="I33" s="238"/>
      <c r="J33" s="238"/>
      <c r="K33" s="239"/>
      <c r="L33" s="90" t="str">
        <f t="shared" si="0"/>
        <v/>
      </c>
    </row>
    <row r="34" spans="1:12" ht="19.899999999999999" customHeight="1" thickBot="1" x14ac:dyDescent="0.3">
      <c r="A34" s="8">
        <v>22</v>
      </c>
      <c r="B34" s="49"/>
      <c r="C34" s="365"/>
      <c r="D34" s="373" t="s">
        <v>126</v>
      </c>
      <c r="E34" s="350"/>
      <c r="F34" s="244"/>
      <c r="G34" s="245"/>
      <c r="H34" s="246"/>
      <c r="I34" s="246"/>
      <c r="J34" s="246"/>
      <c r="K34" s="247"/>
      <c r="L34" s="92" t="str">
        <f t="shared" si="0"/>
        <v/>
      </c>
    </row>
    <row r="35" spans="1:12" ht="19.899999999999999" customHeight="1" thickBot="1" x14ac:dyDescent="0.3">
      <c r="A35" s="35">
        <v>23</v>
      </c>
      <c r="B35" s="38"/>
      <c r="C35" s="43"/>
      <c r="D35" s="376" t="s">
        <v>28</v>
      </c>
      <c r="E35" s="377"/>
      <c r="F35" s="252"/>
      <c r="G35" s="253"/>
      <c r="H35" s="254"/>
      <c r="I35" s="254"/>
      <c r="J35" s="254"/>
      <c r="K35" s="255"/>
      <c r="L35" s="94" t="str">
        <f t="shared" si="0"/>
        <v/>
      </c>
    </row>
    <row r="36" spans="1:12" ht="21.95" customHeight="1" thickTop="1" thickBot="1" x14ac:dyDescent="0.3">
      <c r="A36" s="321" t="str">
        <f>Doku!B43&amp;":"</f>
        <v>Summe Fehler und Punkte:</v>
      </c>
      <c r="B36" s="322"/>
      <c r="C36" s="322"/>
      <c r="D36" s="322"/>
      <c r="E36" s="323"/>
      <c r="F36" s="314" t="str">
        <f>IF($L$37&lt;&gt;"",SUMPRODUCT(--(TRIM(F13:G35)&lt;&gt;"")),"")</f>
        <v/>
      </c>
      <c r="G36" s="315" t="b">
        <f t="shared" ref="G36" si="1">IF($L$37&lt;&gt;"",COUNTIF(G13:G29,"x"))</f>
        <v>0</v>
      </c>
      <c r="H36" s="169" t="str">
        <f>IF($L$37&lt;&gt;"",SUMPRODUCT(--(TRIM(H13:H35)&lt;&gt;"")),"")</f>
        <v/>
      </c>
      <c r="I36" s="169" t="str">
        <f>IF($L$37&lt;&gt;"",SUMPRODUCT(--(TRIM(I13:I35)&lt;&gt;"")),"")</f>
        <v/>
      </c>
      <c r="J36" s="171" t="str">
        <f>IF($L$37&lt;&gt;"",(COUNTIFS(J13:J35,"+")-COUNTIFS(J13:J35,"-"))*0.5,"")</f>
        <v/>
      </c>
      <c r="K36" s="170" t="str">
        <f>IF($L$37&lt;&gt;"",SUMPRODUCT(--(TRIM(K13:K35)&lt;&gt;"")),"")</f>
        <v/>
      </c>
      <c r="L36" s="69" t="str">
        <f>IF(L37&lt;&gt;"",IF(K36&lt;1,SUM(L13:L35),IF(K36&gt;=1,ROUNDUP(SUM(L13:L35)/2,0),"")),"")</f>
        <v/>
      </c>
    </row>
    <row r="37" spans="1:12" s="45" customFormat="1" ht="20.100000000000001" customHeight="1" thickTop="1" thickBot="1" x14ac:dyDescent="0.35">
      <c r="A37" s="312" t="str">
        <f>Doku!B44&amp;":"</f>
        <v>Position:</v>
      </c>
      <c r="B37" s="313"/>
      <c r="C37" s="313"/>
      <c r="D37" s="313"/>
      <c r="E37" s="44"/>
      <c r="F37" s="293" t="str">
        <f>Doku!B45</f>
        <v>Übertrag ok?</v>
      </c>
      <c r="G37" s="294"/>
      <c r="H37" s="294"/>
      <c r="I37" s="294"/>
      <c r="J37" s="294"/>
      <c r="K37" s="295"/>
      <c r="L37" s="71"/>
    </row>
    <row r="38" spans="1:12" ht="15.75" thickTop="1" x14ac:dyDescent="0.25"/>
  </sheetData>
  <mergeCells count="52">
    <mergeCell ref="A37:D37"/>
    <mergeCell ref="F37:K37"/>
    <mergeCell ref="C32:C34"/>
    <mergeCell ref="D32:E32"/>
    <mergeCell ref="D33:E33"/>
    <mergeCell ref="D34:E34"/>
    <mergeCell ref="D35:E35"/>
    <mergeCell ref="A36:E36"/>
    <mergeCell ref="F36:G36"/>
    <mergeCell ref="C26:C28"/>
    <mergeCell ref="D26:E26"/>
    <mergeCell ref="D27:E27"/>
    <mergeCell ref="D28:E28"/>
    <mergeCell ref="C29:C31"/>
    <mergeCell ref="D29:E29"/>
    <mergeCell ref="D30:E30"/>
    <mergeCell ref="D31:E31"/>
    <mergeCell ref="C21:C25"/>
    <mergeCell ref="D21:E21"/>
    <mergeCell ref="D22:E22"/>
    <mergeCell ref="D23:E23"/>
    <mergeCell ref="D24:E24"/>
    <mergeCell ref="D25:E25"/>
    <mergeCell ref="L11:L12"/>
    <mergeCell ref="A12:E12"/>
    <mergeCell ref="F12:G12"/>
    <mergeCell ref="C14:C20"/>
    <mergeCell ref="D14:E14"/>
    <mergeCell ref="D15:E15"/>
    <mergeCell ref="D16:E16"/>
    <mergeCell ref="D17:E17"/>
    <mergeCell ref="D18:E18"/>
    <mergeCell ref="D19:E19"/>
    <mergeCell ref="D20:E20"/>
    <mergeCell ref="D13:E13"/>
    <mergeCell ref="F11:G11"/>
    <mergeCell ref="E1:I1"/>
    <mergeCell ref="D8:E8"/>
    <mergeCell ref="F8:H8"/>
    <mergeCell ref="I8:K8"/>
    <mergeCell ref="D9:E9"/>
    <mergeCell ref="F9:H9"/>
    <mergeCell ref="I9:K9"/>
    <mergeCell ref="D7:E7"/>
    <mergeCell ref="F7:H7"/>
    <mergeCell ref="I7:K7"/>
    <mergeCell ref="A2:L2"/>
    <mergeCell ref="A3:L3"/>
    <mergeCell ref="A5:D5"/>
    <mergeCell ref="H6:K6"/>
    <mergeCell ref="H5:I5"/>
    <mergeCell ref="J5:K5"/>
  </mergeCells>
  <dataValidations count="2">
    <dataValidation type="list" allowBlank="1" showDropDown="1" showInputMessage="1" showErrorMessage="1" sqref="F13:I35 K13:K35" xr:uid="{00000000-0002-0000-0900-000000000000}">
      <formula1>$P$13</formula1>
    </dataValidation>
    <dataValidation type="list" allowBlank="1" showDropDown="1" showInputMessage="1" showErrorMessage="1" sqref="J13:J35" xr:uid="{56C0A9CB-1870-460A-A9D6-503A23574864}">
      <formula1>$P$14:$P$15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12"/>
  <dimension ref="A1:P38"/>
  <sheetViews>
    <sheetView workbookViewId="0"/>
  </sheetViews>
  <sheetFormatPr baseColWidth="10" defaultColWidth="11.42578125" defaultRowHeight="15" x14ac:dyDescent="0.25"/>
  <cols>
    <col min="1" max="1" width="3.7109375" customWidth="1"/>
    <col min="2" max="2" width="3.7109375" hidden="1" customWidth="1"/>
    <col min="3" max="3" width="3.7109375" customWidth="1"/>
    <col min="4" max="4" width="5.7109375" customWidth="1"/>
    <col min="5" max="5" width="18.140625" customWidth="1"/>
    <col min="6" max="7" width="4.7109375" customWidth="1"/>
    <col min="8" max="12" width="8.7109375" customWidth="1"/>
  </cols>
  <sheetData>
    <row r="1" spans="1:16" s="19" customFormat="1" ht="24.95" customHeight="1" x14ac:dyDescent="0.5">
      <c r="A1" s="66"/>
      <c r="B1" s="66"/>
      <c r="C1" s="66"/>
      <c r="D1" s="66"/>
      <c r="E1" s="271" t="str">
        <f>Doku!B28</f>
        <v>Meisterschaftsname</v>
      </c>
      <c r="F1" s="271"/>
      <c r="G1" s="271"/>
      <c r="H1" s="271"/>
      <c r="I1" s="271"/>
      <c r="J1" s="67"/>
      <c r="K1" s="66"/>
      <c r="L1" s="66"/>
    </row>
    <row r="2" spans="1:16" s="19" customFormat="1" ht="20.100000000000001" customHeight="1" x14ac:dyDescent="0.5">
      <c r="A2" s="284" t="str">
        <f>Doku!B29</f>
        <v>Ausrichter</v>
      </c>
      <c r="B2" s="284"/>
      <c r="C2" s="284"/>
      <c r="D2" s="284"/>
      <c r="E2" s="284"/>
      <c r="F2" s="284"/>
      <c r="G2" s="284"/>
      <c r="H2" s="284"/>
      <c r="I2" s="284"/>
      <c r="J2" s="284"/>
      <c r="K2" s="284"/>
      <c r="L2" s="284"/>
    </row>
    <row r="3" spans="1:16" s="19" customFormat="1" ht="39.950000000000003" customHeight="1" x14ac:dyDescent="0.5">
      <c r="A3" s="380" t="s">
        <v>127</v>
      </c>
      <c r="B3" s="380"/>
      <c r="C3" s="380"/>
      <c r="D3" s="380"/>
      <c r="E3" s="380"/>
      <c r="F3" s="380"/>
      <c r="G3" s="380"/>
      <c r="H3" s="380"/>
      <c r="I3" s="380"/>
      <c r="J3" s="380"/>
      <c r="K3" s="380"/>
      <c r="L3" s="380"/>
    </row>
    <row r="4" spans="1:16" s="19" customFormat="1" ht="11.1" customHeight="1" x14ac:dyDescent="0.5">
      <c r="A4" s="13"/>
      <c r="B4" s="13"/>
      <c r="C4" s="13"/>
      <c r="D4" s="13"/>
      <c r="E4" s="13"/>
      <c r="F4" s="14"/>
      <c r="G4" s="14"/>
      <c r="H4" s="14"/>
      <c r="I4" s="14"/>
      <c r="J4" s="14"/>
      <c r="K4" s="14"/>
    </row>
    <row r="5" spans="1:16" ht="21.95" customHeight="1" x14ac:dyDescent="0.25">
      <c r="A5" s="272" t="str">
        <f>Doku!B31&amp;":"</f>
        <v>Bewerter:</v>
      </c>
      <c r="B5" s="272"/>
      <c r="C5" s="272"/>
      <c r="D5" s="272"/>
      <c r="E5" s="22"/>
      <c r="F5" s="15"/>
      <c r="G5" s="16" t="str">
        <f>Doku!B30&amp;":"</f>
        <v>Datum:</v>
      </c>
      <c r="H5" s="286"/>
      <c r="I5" s="286"/>
      <c r="J5" s="287" t="str">
        <f>Doku!B32&amp;":"</f>
        <v>Paar Nr:</v>
      </c>
      <c r="K5" s="287"/>
      <c r="L5" s="97"/>
    </row>
    <row r="6" spans="1:16" ht="11.1" customHeight="1" thickBot="1" x14ac:dyDescent="0.55000000000000004">
      <c r="A6" s="1"/>
      <c r="B6" s="1"/>
      <c r="C6" s="2"/>
      <c r="D6" s="2"/>
      <c r="E6" s="2"/>
      <c r="F6" s="37"/>
      <c r="G6" s="37"/>
      <c r="H6" s="283"/>
      <c r="I6" s="283"/>
      <c r="J6" s="283"/>
      <c r="K6" s="283"/>
      <c r="L6" s="19"/>
    </row>
    <row r="7" spans="1:16" s="20" customFormat="1" ht="20.100000000000001" customHeight="1" x14ac:dyDescent="0.35">
      <c r="A7" s="11"/>
      <c r="B7" s="11"/>
      <c r="C7" s="11"/>
      <c r="D7" s="281" t="str">
        <f>Doku!B33</f>
        <v>Nachname</v>
      </c>
      <c r="E7" s="275"/>
      <c r="F7" s="273" t="str">
        <f>Doku!B34</f>
        <v>Vorname</v>
      </c>
      <c r="G7" s="274"/>
      <c r="H7" s="275"/>
      <c r="I7" s="276" t="str">
        <f>Doku!B35</f>
        <v>Verein</v>
      </c>
      <c r="J7" s="276"/>
      <c r="K7" s="276"/>
      <c r="L7" s="12" t="str">
        <f>Doku!B36</f>
        <v>Land</v>
      </c>
    </row>
    <row r="8" spans="1:16" ht="21.95" customHeight="1" x14ac:dyDescent="0.25">
      <c r="A8" s="15" t="s">
        <v>29</v>
      </c>
      <c r="B8" s="15"/>
      <c r="C8" s="15"/>
      <c r="D8" s="282"/>
      <c r="E8" s="279"/>
      <c r="F8" s="277"/>
      <c r="G8" s="278"/>
      <c r="H8" s="279"/>
      <c r="I8" s="280"/>
      <c r="J8" s="280"/>
      <c r="K8" s="280"/>
      <c r="L8" s="17"/>
    </row>
    <row r="9" spans="1:16" ht="21.95" customHeight="1" thickBot="1" x14ac:dyDescent="0.55000000000000004">
      <c r="A9" s="15" t="s">
        <v>30</v>
      </c>
      <c r="B9" s="15"/>
      <c r="C9" s="15"/>
      <c r="D9" s="269"/>
      <c r="E9" s="270"/>
      <c r="F9" s="288"/>
      <c r="G9" s="289"/>
      <c r="H9" s="270"/>
      <c r="I9" s="290"/>
      <c r="J9" s="290"/>
      <c r="K9" s="290"/>
      <c r="L9" s="18"/>
      <c r="O9" s="19"/>
    </row>
    <row r="10" spans="1:16" ht="11.1" customHeight="1" thickBot="1" x14ac:dyDescent="0.55000000000000004">
      <c r="A10" s="1"/>
      <c r="B10" s="1"/>
      <c r="C10" s="2"/>
      <c r="D10" s="2"/>
      <c r="E10" s="3"/>
      <c r="F10" s="3"/>
      <c r="G10" s="3"/>
      <c r="H10" s="3"/>
      <c r="I10" s="3"/>
      <c r="J10" s="3"/>
      <c r="K10" s="3"/>
      <c r="L10" s="19"/>
    </row>
    <row r="11" spans="1:16" ht="27" customHeight="1" thickTop="1" thickBot="1" x14ac:dyDescent="0.3">
      <c r="A11" s="4"/>
      <c r="B11" s="4"/>
      <c r="C11" s="4"/>
      <c r="D11" s="4"/>
      <c r="E11" s="4"/>
      <c r="F11" s="267" t="str">
        <f>Doku!B38</f>
        <v>Kleiner Fehler</v>
      </c>
      <c r="G11" s="268"/>
      <c r="H11" s="60" t="str">
        <f>Doku!B39</f>
        <v>Mittlerer Fehler</v>
      </c>
      <c r="I11" s="60" t="str">
        <f>Doku!B40</f>
        <v>Großer Fehler</v>
      </c>
      <c r="J11" s="60" t="s">
        <v>205</v>
      </c>
      <c r="K11" s="60" t="str">
        <f>Doku!B41</f>
        <v>Technik vergessen</v>
      </c>
      <c r="L11" s="291" t="str">
        <f>Doku!B42</f>
        <v>Gesamt</v>
      </c>
    </row>
    <row r="12" spans="1:16" s="20" customFormat="1" ht="20.100000000000001" customHeight="1" thickTop="1" thickBot="1" x14ac:dyDescent="0.4">
      <c r="A12" s="316" t="str">
        <f>Doku!B37</f>
        <v>Technik</v>
      </c>
      <c r="B12" s="317"/>
      <c r="C12" s="317"/>
      <c r="D12" s="317"/>
      <c r="E12" s="318"/>
      <c r="F12" s="319">
        <v>1</v>
      </c>
      <c r="G12" s="320"/>
      <c r="H12" s="61">
        <v>3</v>
      </c>
      <c r="I12" s="61">
        <v>5</v>
      </c>
      <c r="J12" s="61">
        <v>0.5</v>
      </c>
      <c r="K12" s="61">
        <v>10</v>
      </c>
      <c r="L12" s="292"/>
    </row>
    <row r="13" spans="1:16" ht="19.899999999999999" customHeight="1" thickBot="1" x14ac:dyDescent="0.3">
      <c r="A13" s="5">
        <v>1</v>
      </c>
      <c r="B13" s="5"/>
      <c r="C13" s="41"/>
      <c r="D13" s="351" t="s">
        <v>7</v>
      </c>
      <c r="E13" s="352"/>
      <c r="F13" s="224"/>
      <c r="G13" s="225"/>
      <c r="H13" s="226"/>
      <c r="I13" s="226"/>
      <c r="J13" s="226"/>
      <c r="K13" s="227"/>
      <c r="L13" s="87" t="str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/>
      </c>
      <c r="N13" s="23" t="s">
        <v>212</v>
      </c>
      <c r="O13" s="23"/>
      <c r="P13" s="23" t="s">
        <v>207</v>
      </c>
    </row>
    <row r="14" spans="1:16" ht="19.899999999999999" customHeight="1" x14ac:dyDescent="0.25">
      <c r="A14" s="34">
        <v>2</v>
      </c>
      <c r="B14" s="38"/>
      <c r="C14" s="363" t="s">
        <v>128</v>
      </c>
      <c r="D14" s="360" t="s">
        <v>129</v>
      </c>
      <c r="E14" s="305"/>
      <c r="F14" s="228"/>
      <c r="G14" s="229"/>
      <c r="H14" s="230"/>
      <c r="I14" s="230"/>
      <c r="J14" s="230"/>
      <c r="K14" s="231"/>
      <c r="L14" s="88" t="str">
        <f t="shared" ref="L14:L35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/>
      </c>
      <c r="N14" s="23" t="s">
        <v>210</v>
      </c>
      <c r="O14" s="23"/>
      <c r="P14" s="23" t="s">
        <v>208</v>
      </c>
    </row>
    <row r="15" spans="1:16" ht="19.899999999999999" customHeight="1" x14ac:dyDescent="0.25">
      <c r="A15" s="34">
        <v>3</v>
      </c>
      <c r="B15" s="38"/>
      <c r="C15" s="364"/>
      <c r="D15" s="361" t="s">
        <v>130</v>
      </c>
      <c r="E15" s="344"/>
      <c r="F15" s="232"/>
      <c r="G15" s="233"/>
      <c r="H15" s="234"/>
      <c r="I15" s="234"/>
      <c r="J15" s="234"/>
      <c r="K15" s="235"/>
      <c r="L15" s="89" t="str">
        <f t="shared" si="0"/>
        <v/>
      </c>
      <c r="N15" s="23" t="s">
        <v>211</v>
      </c>
      <c r="O15" s="23"/>
      <c r="P15" s="23" t="s">
        <v>209</v>
      </c>
    </row>
    <row r="16" spans="1:16" ht="19.899999999999999" customHeight="1" x14ac:dyDescent="0.25">
      <c r="A16" s="34">
        <v>4</v>
      </c>
      <c r="B16" s="38"/>
      <c r="C16" s="364"/>
      <c r="D16" s="362" t="s">
        <v>131</v>
      </c>
      <c r="E16" s="309"/>
      <c r="F16" s="236"/>
      <c r="G16" s="237"/>
      <c r="H16" s="238"/>
      <c r="I16" s="238"/>
      <c r="J16" s="238"/>
      <c r="K16" s="239"/>
      <c r="L16" s="90" t="str">
        <f t="shared" si="0"/>
        <v/>
      </c>
      <c r="N16" s="25"/>
    </row>
    <row r="17" spans="1:14" ht="19.899999999999999" customHeight="1" x14ac:dyDescent="0.25">
      <c r="A17" s="34">
        <v>5</v>
      </c>
      <c r="B17" s="38"/>
      <c r="C17" s="364"/>
      <c r="D17" s="361" t="s">
        <v>132</v>
      </c>
      <c r="E17" s="344"/>
      <c r="F17" s="232"/>
      <c r="G17" s="233"/>
      <c r="H17" s="234"/>
      <c r="I17" s="234"/>
      <c r="J17" s="234"/>
      <c r="K17" s="235"/>
      <c r="L17" s="89" t="str">
        <f t="shared" si="0"/>
        <v/>
      </c>
      <c r="N17" s="25"/>
    </row>
    <row r="18" spans="1:14" ht="19.899999999999999" customHeight="1" x14ac:dyDescent="0.25">
      <c r="A18" s="34">
        <v>6</v>
      </c>
      <c r="B18" s="38"/>
      <c r="C18" s="364"/>
      <c r="D18" s="362" t="s">
        <v>133</v>
      </c>
      <c r="E18" s="309"/>
      <c r="F18" s="236"/>
      <c r="G18" s="237"/>
      <c r="H18" s="238"/>
      <c r="I18" s="238"/>
      <c r="J18" s="238"/>
      <c r="K18" s="239"/>
      <c r="L18" s="90" t="str">
        <f t="shared" si="0"/>
        <v/>
      </c>
      <c r="N18" s="25"/>
    </row>
    <row r="19" spans="1:14" ht="19.899999999999999" customHeight="1" x14ac:dyDescent="0.25">
      <c r="A19" s="34">
        <v>7</v>
      </c>
      <c r="B19" s="38"/>
      <c r="C19" s="364"/>
      <c r="D19" s="361" t="s">
        <v>134</v>
      </c>
      <c r="E19" s="344"/>
      <c r="F19" s="232"/>
      <c r="G19" s="233"/>
      <c r="H19" s="234"/>
      <c r="I19" s="234"/>
      <c r="J19" s="234"/>
      <c r="K19" s="235"/>
      <c r="L19" s="89" t="str">
        <f t="shared" si="0"/>
        <v/>
      </c>
      <c r="N19" s="25"/>
    </row>
    <row r="20" spans="1:14" ht="19.899999999999999" customHeight="1" x14ac:dyDescent="0.25">
      <c r="A20" s="34">
        <v>8</v>
      </c>
      <c r="B20" s="38"/>
      <c r="C20" s="364"/>
      <c r="D20" s="362" t="s">
        <v>135</v>
      </c>
      <c r="E20" s="309"/>
      <c r="F20" s="236"/>
      <c r="G20" s="237"/>
      <c r="H20" s="238"/>
      <c r="I20" s="238"/>
      <c r="J20" s="238"/>
      <c r="K20" s="239"/>
      <c r="L20" s="90" t="str">
        <f t="shared" si="0"/>
        <v/>
      </c>
      <c r="N20" s="25"/>
    </row>
    <row r="21" spans="1:14" ht="19.899999999999999" customHeight="1" x14ac:dyDescent="0.25">
      <c r="A21" s="34">
        <v>9</v>
      </c>
      <c r="B21" s="38"/>
      <c r="C21" s="364"/>
      <c r="D21" s="361" t="s">
        <v>136</v>
      </c>
      <c r="E21" s="344"/>
      <c r="F21" s="232"/>
      <c r="G21" s="233"/>
      <c r="H21" s="234"/>
      <c r="I21" s="234"/>
      <c r="J21" s="234"/>
      <c r="K21" s="235"/>
      <c r="L21" s="89" t="str">
        <f t="shared" si="0"/>
        <v/>
      </c>
      <c r="N21" s="25"/>
    </row>
    <row r="22" spans="1:14" ht="19.899999999999999" customHeight="1" x14ac:dyDescent="0.25">
      <c r="A22" s="34">
        <v>10</v>
      </c>
      <c r="B22" s="38"/>
      <c r="C22" s="364"/>
      <c r="D22" s="362" t="s">
        <v>137</v>
      </c>
      <c r="E22" s="309"/>
      <c r="F22" s="236"/>
      <c r="G22" s="237"/>
      <c r="H22" s="238"/>
      <c r="I22" s="238"/>
      <c r="J22" s="238"/>
      <c r="K22" s="239"/>
      <c r="L22" s="90" t="str">
        <f t="shared" si="0"/>
        <v/>
      </c>
      <c r="N22" s="25"/>
    </row>
    <row r="23" spans="1:14" ht="19.899999999999999" customHeight="1" x14ac:dyDescent="0.25">
      <c r="A23" s="34">
        <v>11</v>
      </c>
      <c r="B23" s="38"/>
      <c r="C23" s="364"/>
      <c r="D23" s="361" t="s">
        <v>138</v>
      </c>
      <c r="E23" s="344"/>
      <c r="F23" s="232"/>
      <c r="G23" s="233"/>
      <c r="H23" s="234"/>
      <c r="I23" s="234"/>
      <c r="J23" s="234"/>
      <c r="K23" s="235"/>
      <c r="L23" s="89" t="str">
        <f t="shared" si="0"/>
        <v/>
      </c>
      <c r="N23" s="25"/>
    </row>
    <row r="24" spans="1:14" ht="19.899999999999999" customHeight="1" x14ac:dyDescent="0.25">
      <c r="A24" s="34">
        <v>12</v>
      </c>
      <c r="B24" s="38"/>
      <c r="C24" s="364"/>
      <c r="D24" s="362" t="s">
        <v>139</v>
      </c>
      <c r="E24" s="309"/>
      <c r="F24" s="236"/>
      <c r="G24" s="237"/>
      <c r="H24" s="238"/>
      <c r="I24" s="238"/>
      <c r="J24" s="238"/>
      <c r="K24" s="239"/>
      <c r="L24" s="90" t="str">
        <f t="shared" si="0"/>
        <v/>
      </c>
      <c r="N24" s="25"/>
    </row>
    <row r="25" spans="1:14" ht="19.899999999999999" customHeight="1" x14ac:dyDescent="0.25">
      <c r="A25" s="34">
        <v>13</v>
      </c>
      <c r="B25" s="38"/>
      <c r="C25" s="364"/>
      <c r="D25" s="361" t="s">
        <v>140</v>
      </c>
      <c r="E25" s="344"/>
      <c r="F25" s="232"/>
      <c r="G25" s="233"/>
      <c r="H25" s="234"/>
      <c r="I25" s="234"/>
      <c r="J25" s="234"/>
      <c r="K25" s="235"/>
      <c r="L25" s="89" t="str">
        <f t="shared" si="0"/>
        <v/>
      </c>
      <c r="N25" s="25"/>
    </row>
    <row r="26" spans="1:14" ht="19.899999999999999" customHeight="1" x14ac:dyDescent="0.25">
      <c r="A26" s="34">
        <v>14</v>
      </c>
      <c r="B26" s="38"/>
      <c r="C26" s="364"/>
      <c r="D26" s="362" t="s">
        <v>141</v>
      </c>
      <c r="E26" s="309"/>
      <c r="F26" s="236"/>
      <c r="G26" s="237"/>
      <c r="H26" s="238"/>
      <c r="I26" s="238"/>
      <c r="J26" s="238"/>
      <c r="K26" s="239"/>
      <c r="L26" s="90" t="str">
        <f t="shared" si="0"/>
        <v/>
      </c>
      <c r="N26" s="25"/>
    </row>
    <row r="27" spans="1:14" ht="19.899999999999999" customHeight="1" thickBot="1" x14ac:dyDescent="0.3">
      <c r="A27" s="34">
        <v>15</v>
      </c>
      <c r="B27" s="38"/>
      <c r="C27" s="365"/>
      <c r="D27" s="373" t="s">
        <v>142</v>
      </c>
      <c r="E27" s="350"/>
      <c r="F27" s="244"/>
      <c r="G27" s="245"/>
      <c r="H27" s="246"/>
      <c r="I27" s="246"/>
      <c r="J27" s="246"/>
      <c r="K27" s="247"/>
      <c r="L27" s="92" t="str">
        <f t="shared" si="0"/>
        <v/>
      </c>
      <c r="N27" s="25"/>
    </row>
    <row r="28" spans="1:14" ht="19.899999999999999" customHeight="1" x14ac:dyDescent="0.25">
      <c r="A28" s="34">
        <v>16</v>
      </c>
      <c r="B28" s="38"/>
      <c r="C28" s="364" t="s">
        <v>143</v>
      </c>
      <c r="D28" s="360" t="s">
        <v>144</v>
      </c>
      <c r="E28" s="305"/>
      <c r="F28" s="228"/>
      <c r="G28" s="229"/>
      <c r="H28" s="230"/>
      <c r="I28" s="230"/>
      <c r="J28" s="230"/>
      <c r="K28" s="231"/>
      <c r="L28" s="88" t="str">
        <f t="shared" si="0"/>
        <v/>
      </c>
      <c r="N28" s="25"/>
    </row>
    <row r="29" spans="1:14" ht="19.899999999999999" customHeight="1" x14ac:dyDescent="0.25">
      <c r="A29" s="34">
        <v>17</v>
      </c>
      <c r="B29" s="38"/>
      <c r="C29" s="364"/>
      <c r="D29" s="361" t="s">
        <v>145</v>
      </c>
      <c r="E29" s="344"/>
      <c r="F29" s="232"/>
      <c r="G29" s="233"/>
      <c r="H29" s="234"/>
      <c r="I29" s="234"/>
      <c r="J29" s="234"/>
      <c r="K29" s="235"/>
      <c r="L29" s="89" t="str">
        <f t="shared" si="0"/>
        <v/>
      </c>
      <c r="N29" s="25"/>
    </row>
    <row r="30" spans="1:14" ht="19.899999999999999" customHeight="1" x14ac:dyDescent="0.25">
      <c r="A30" s="34">
        <v>18</v>
      </c>
      <c r="B30" s="38"/>
      <c r="C30" s="364"/>
      <c r="D30" s="362" t="s">
        <v>146</v>
      </c>
      <c r="E30" s="309"/>
      <c r="F30" s="236"/>
      <c r="G30" s="237"/>
      <c r="H30" s="238"/>
      <c r="I30" s="238"/>
      <c r="J30" s="238"/>
      <c r="K30" s="239"/>
      <c r="L30" s="90" t="str">
        <f t="shared" si="0"/>
        <v/>
      </c>
      <c r="N30" s="25"/>
    </row>
    <row r="31" spans="1:14" ht="19.899999999999999" customHeight="1" x14ac:dyDescent="0.25">
      <c r="A31" s="34">
        <v>19</v>
      </c>
      <c r="B31" s="38"/>
      <c r="C31" s="364"/>
      <c r="D31" s="361" t="s">
        <v>147</v>
      </c>
      <c r="E31" s="344"/>
      <c r="F31" s="232"/>
      <c r="G31" s="233"/>
      <c r="H31" s="234"/>
      <c r="I31" s="234"/>
      <c r="J31" s="234"/>
      <c r="K31" s="235"/>
      <c r="L31" s="89" t="str">
        <f t="shared" si="0"/>
        <v/>
      </c>
      <c r="N31" s="25"/>
    </row>
    <row r="32" spans="1:14" ht="19.899999999999999" customHeight="1" x14ac:dyDescent="0.25">
      <c r="A32" s="34">
        <v>20</v>
      </c>
      <c r="B32" s="38"/>
      <c r="C32" s="364"/>
      <c r="D32" s="362" t="s">
        <v>148</v>
      </c>
      <c r="E32" s="309"/>
      <c r="F32" s="236"/>
      <c r="G32" s="237"/>
      <c r="H32" s="238"/>
      <c r="I32" s="238"/>
      <c r="J32" s="238"/>
      <c r="K32" s="239"/>
      <c r="L32" s="90" t="str">
        <f t="shared" si="0"/>
        <v/>
      </c>
      <c r="N32" s="25"/>
    </row>
    <row r="33" spans="1:14" ht="19.899999999999999" customHeight="1" x14ac:dyDescent="0.25">
      <c r="A33" s="34">
        <v>21</v>
      </c>
      <c r="B33" s="38"/>
      <c r="C33" s="364"/>
      <c r="D33" s="361" t="s">
        <v>149</v>
      </c>
      <c r="E33" s="344"/>
      <c r="F33" s="232"/>
      <c r="G33" s="233"/>
      <c r="H33" s="234"/>
      <c r="I33" s="234"/>
      <c r="J33" s="234"/>
      <c r="K33" s="235"/>
      <c r="L33" s="89" t="str">
        <f t="shared" si="0"/>
        <v/>
      </c>
      <c r="N33" s="25"/>
    </row>
    <row r="34" spans="1:14" ht="19.899999999999999" customHeight="1" thickBot="1" x14ac:dyDescent="0.3">
      <c r="A34" s="34">
        <v>22</v>
      </c>
      <c r="B34" s="38"/>
      <c r="C34" s="365"/>
      <c r="D34" s="357" t="s">
        <v>150</v>
      </c>
      <c r="E34" s="346"/>
      <c r="F34" s="256"/>
      <c r="G34" s="257"/>
      <c r="H34" s="258"/>
      <c r="I34" s="258"/>
      <c r="J34" s="258"/>
      <c r="K34" s="259"/>
      <c r="L34" s="95" t="str">
        <f t="shared" si="0"/>
        <v/>
      </c>
      <c r="N34" s="25"/>
    </row>
    <row r="35" spans="1:14" ht="19.899999999999999" customHeight="1" thickBot="1" x14ac:dyDescent="0.3">
      <c r="A35" s="5">
        <v>23</v>
      </c>
      <c r="B35" s="50"/>
      <c r="C35" s="43"/>
      <c r="D35" s="378" t="s">
        <v>28</v>
      </c>
      <c r="E35" s="379"/>
      <c r="F35" s="260"/>
      <c r="G35" s="261"/>
      <c r="H35" s="262"/>
      <c r="I35" s="262"/>
      <c r="J35" s="262"/>
      <c r="K35" s="263"/>
      <c r="L35" s="96" t="str">
        <f t="shared" si="0"/>
        <v/>
      </c>
      <c r="N35" s="25"/>
    </row>
    <row r="36" spans="1:14" ht="21.95" customHeight="1" thickTop="1" thickBot="1" x14ac:dyDescent="0.3">
      <c r="A36" s="321" t="str">
        <f>Doku!B43&amp;":"</f>
        <v>Summe Fehler und Punkte:</v>
      </c>
      <c r="B36" s="322"/>
      <c r="C36" s="322"/>
      <c r="D36" s="322"/>
      <c r="E36" s="323"/>
      <c r="F36" s="314" t="str">
        <f>IF($L$37&lt;&gt;"",SUMPRODUCT(--(TRIM(F13:G35)&lt;&gt;"")),"")</f>
        <v/>
      </c>
      <c r="G36" s="315" t="b">
        <f t="shared" ref="G36" si="1">IF($L$37&lt;&gt;"",COUNTIF(G13:G29,"x"))</f>
        <v>0</v>
      </c>
      <c r="H36" s="169" t="str">
        <f>IF($L$37&lt;&gt;"",SUMPRODUCT(--(TRIM(H13:H35)&lt;&gt;"")),"")</f>
        <v/>
      </c>
      <c r="I36" s="169" t="str">
        <f>IF($L$37&lt;&gt;"",SUMPRODUCT(--(TRIM(I13:I35)&lt;&gt;"")),"")</f>
        <v/>
      </c>
      <c r="J36" s="171" t="str">
        <f>IF($L$37&lt;&gt;"",(COUNTIFS(J13:J35,"+")-COUNTIFS(J13:J35,"-"))*0.5,"")</f>
        <v/>
      </c>
      <c r="K36" s="170" t="str">
        <f>IF($L$37&lt;&gt;"",SUMPRODUCT(--(TRIM(K13:K35)&lt;&gt;"")),"")</f>
        <v/>
      </c>
      <c r="L36" s="69" t="str">
        <f>IF(L37&lt;&gt;"",IF(K36&lt;1,SUM(L13:L35),IF(K36&gt;=1,ROUNDUP(SUM(L13:L35)/2,0),"")),"")</f>
        <v/>
      </c>
    </row>
    <row r="37" spans="1:14" s="45" customFormat="1" ht="20.100000000000001" customHeight="1" thickTop="1" thickBot="1" x14ac:dyDescent="0.35">
      <c r="A37" s="312" t="str">
        <f>Doku!B44&amp;":"</f>
        <v>Position:</v>
      </c>
      <c r="B37" s="313"/>
      <c r="C37" s="313"/>
      <c r="D37" s="313"/>
      <c r="E37" s="44"/>
      <c r="F37" s="293" t="str">
        <f>Doku!B45</f>
        <v>Übertrag ok?</v>
      </c>
      <c r="G37" s="294"/>
      <c r="H37" s="294"/>
      <c r="I37" s="294"/>
      <c r="J37" s="294"/>
      <c r="K37" s="295"/>
      <c r="L37" s="71"/>
    </row>
    <row r="38" spans="1:14" ht="15.75" thickTop="1" x14ac:dyDescent="0.25"/>
  </sheetData>
  <mergeCells count="49">
    <mergeCell ref="E1:I1"/>
    <mergeCell ref="D7:E7"/>
    <mergeCell ref="F7:H7"/>
    <mergeCell ref="I7:K7"/>
    <mergeCell ref="A2:L2"/>
    <mergeCell ref="A3:L3"/>
    <mergeCell ref="A5:D5"/>
    <mergeCell ref="H6:K6"/>
    <mergeCell ref="H5:I5"/>
    <mergeCell ref="J5:K5"/>
    <mergeCell ref="D13:E13"/>
    <mergeCell ref="D8:E8"/>
    <mergeCell ref="F8:H8"/>
    <mergeCell ref="I8:K8"/>
    <mergeCell ref="D9:E9"/>
    <mergeCell ref="F9:H9"/>
    <mergeCell ref="I9:K9"/>
    <mergeCell ref="F11:G11"/>
    <mergeCell ref="L11:L12"/>
    <mergeCell ref="A12:E12"/>
    <mergeCell ref="F12:G12"/>
    <mergeCell ref="C14:C27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25:E25"/>
    <mergeCell ref="D26:E26"/>
    <mergeCell ref="D27:E27"/>
    <mergeCell ref="F37:K37"/>
    <mergeCell ref="D32:E32"/>
    <mergeCell ref="D33:E33"/>
    <mergeCell ref="D34:E34"/>
    <mergeCell ref="D35:E35"/>
    <mergeCell ref="A36:E36"/>
    <mergeCell ref="A37:D37"/>
    <mergeCell ref="C28:C34"/>
    <mergeCell ref="D28:E28"/>
    <mergeCell ref="D29:E29"/>
    <mergeCell ref="D30:E30"/>
    <mergeCell ref="D31:E31"/>
    <mergeCell ref="F36:G36"/>
  </mergeCells>
  <dataValidations count="2">
    <dataValidation type="list" allowBlank="1" showDropDown="1" showInputMessage="1" showErrorMessage="1" sqref="F13:I35 K13:K35" xr:uid="{00000000-0002-0000-0A00-000000000000}">
      <formula1>$P$13</formula1>
    </dataValidation>
    <dataValidation type="list" allowBlank="1" showDropDown="1" showInputMessage="1" showErrorMessage="1" sqref="J13:J35" xr:uid="{6376E869-89AC-4163-9E84-DD884C214E9C}">
      <formula1>$P$14:$P$15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7CE9A7-6BF8-45A6-9288-B92229F77375}">
  <sheetPr codeName="Tabelle2">
    <pageSetUpPr fitToPage="1"/>
  </sheetPr>
  <dimension ref="A1:AG40"/>
  <sheetViews>
    <sheetView zoomScaleNormal="100" workbookViewId="0"/>
  </sheetViews>
  <sheetFormatPr baseColWidth="10" defaultColWidth="11.42578125" defaultRowHeight="15" x14ac:dyDescent="0.25"/>
  <cols>
    <col min="1" max="1" width="3.7109375" customWidth="1"/>
    <col min="2" max="2" width="3.7109375" hidden="1" customWidth="1"/>
    <col min="3" max="3" width="3.7109375" customWidth="1"/>
    <col min="4" max="4" width="5.7109375" customWidth="1"/>
    <col min="5" max="5" width="23.42578125" customWidth="1"/>
    <col min="6" max="7" width="4.7109375" customWidth="1"/>
    <col min="8" max="12" width="8.7109375" customWidth="1"/>
  </cols>
  <sheetData>
    <row r="1" spans="1:33" s="19" customFormat="1" ht="24.95" customHeight="1" x14ac:dyDescent="0.5">
      <c r="A1" s="66"/>
      <c r="B1" s="66"/>
      <c r="C1" s="66"/>
      <c r="D1" s="66"/>
      <c r="E1" s="271" t="str">
        <f>Doku!B28</f>
        <v>Meisterschaftsname</v>
      </c>
      <c r="F1" s="271"/>
      <c r="G1" s="271"/>
      <c r="H1" s="271"/>
      <c r="I1" s="271"/>
      <c r="J1" s="67"/>
      <c r="K1" s="66"/>
      <c r="L1" s="66"/>
    </row>
    <row r="2" spans="1:33" s="21" customFormat="1" ht="20.100000000000001" customHeight="1" x14ac:dyDescent="0.45">
      <c r="A2" s="284" t="str">
        <f>Doku!B29</f>
        <v>Ausrichter</v>
      </c>
      <c r="B2" s="284"/>
      <c r="C2" s="284"/>
      <c r="D2" s="284"/>
      <c r="E2" s="284"/>
      <c r="F2" s="284"/>
      <c r="G2" s="284"/>
      <c r="H2" s="284"/>
      <c r="I2" s="284"/>
      <c r="J2" s="284"/>
      <c r="K2" s="284"/>
      <c r="L2" s="284"/>
    </row>
    <row r="3" spans="1:33" s="19" customFormat="1" ht="39.950000000000003" customHeight="1" x14ac:dyDescent="0.5">
      <c r="A3" s="285" t="s">
        <v>213</v>
      </c>
      <c r="B3" s="285"/>
      <c r="C3" s="285"/>
      <c r="D3" s="285"/>
      <c r="E3" s="285"/>
      <c r="F3" s="285"/>
      <c r="G3" s="285"/>
      <c r="H3" s="285"/>
      <c r="I3" s="285"/>
      <c r="J3" s="285"/>
      <c r="K3" s="285"/>
      <c r="L3" s="285"/>
    </row>
    <row r="4" spans="1:33" s="19" customFormat="1" ht="12" customHeight="1" x14ac:dyDescent="0.5">
      <c r="A4" s="13"/>
      <c r="B4" s="13"/>
      <c r="C4" s="13"/>
      <c r="D4" s="13"/>
      <c r="E4" s="13"/>
      <c r="F4" s="14"/>
      <c r="G4" s="14"/>
      <c r="H4" s="14"/>
      <c r="I4" s="14"/>
      <c r="J4" s="14"/>
      <c r="K4" s="14"/>
    </row>
    <row r="5" spans="1:33" ht="21.95" customHeight="1" x14ac:dyDescent="0.25">
      <c r="A5" s="272" t="str">
        <f>Doku!B31&amp;":"</f>
        <v>Bewerter:</v>
      </c>
      <c r="B5" s="272"/>
      <c r="C5" s="272"/>
      <c r="D5" s="272"/>
      <c r="E5" s="22"/>
      <c r="F5" s="15"/>
      <c r="G5" s="16" t="str">
        <f>Doku!B30&amp;":"</f>
        <v>Datum:</v>
      </c>
      <c r="H5" s="286"/>
      <c r="I5" s="286"/>
      <c r="J5" s="387" t="str">
        <f>Doku!B32&amp;":"</f>
        <v>Paar Nr:</v>
      </c>
      <c r="K5" s="387"/>
      <c r="L5" s="97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3"/>
      <c r="AG5" s="23"/>
    </row>
    <row r="6" spans="1:33" ht="12" customHeight="1" thickBot="1" x14ac:dyDescent="0.55000000000000004">
      <c r="A6" s="1"/>
      <c r="B6" s="1"/>
      <c r="C6" s="2"/>
      <c r="D6" s="2"/>
      <c r="E6" s="2"/>
      <c r="F6" s="37"/>
      <c r="G6" s="37"/>
      <c r="H6" s="283"/>
      <c r="I6" s="283"/>
      <c r="J6" s="283"/>
      <c r="K6" s="283"/>
      <c r="L6" s="19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</row>
    <row r="7" spans="1:33" s="20" customFormat="1" ht="20.100000000000001" customHeight="1" x14ac:dyDescent="0.35">
      <c r="A7" s="11"/>
      <c r="B7" s="11"/>
      <c r="C7" s="11"/>
      <c r="D7" s="281" t="str">
        <f>Doku!B33</f>
        <v>Nachname</v>
      </c>
      <c r="E7" s="275"/>
      <c r="F7" s="273" t="str">
        <f>Doku!B34</f>
        <v>Vorname</v>
      </c>
      <c r="G7" s="274"/>
      <c r="H7" s="275"/>
      <c r="I7" s="276" t="str">
        <f>Doku!B35</f>
        <v>Verein</v>
      </c>
      <c r="J7" s="276"/>
      <c r="K7" s="276"/>
      <c r="L7" s="12" t="str">
        <f>Doku!B36</f>
        <v>Land</v>
      </c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  <c r="AA7" s="24"/>
      <c r="AB7" s="24"/>
      <c r="AC7" s="24"/>
      <c r="AD7" s="24"/>
      <c r="AE7" s="24"/>
      <c r="AF7" s="24"/>
      <c r="AG7" s="24"/>
    </row>
    <row r="8" spans="1:33" ht="21.95" customHeight="1" x14ac:dyDescent="0.25">
      <c r="A8" s="15" t="s">
        <v>29</v>
      </c>
      <c r="B8" s="15"/>
      <c r="C8" s="15"/>
      <c r="D8" s="282"/>
      <c r="E8" s="279"/>
      <c r="F8" s="277"/>
      <c r="G8" s="278"/>
      <c r="H8" s="279"/>
      <c r="I8" s="280"/>
      <c r="J8" s="280"/>
      <c r="K8" s="280"/>
      <c r="L8" s="17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</row>
    <row r="9" spans="1:33" ht="21.95" customHeight="1" thickBot="1" x14ac:dyDescent="0.3">
      <c r="A9" s="15" t="s">
        <v>30</v>
      </c>
      <c r="B9" s="15"/>
      <c r="C9" s="15"/>
      <c r="D9" s="269"/>
      <c r="E9" s="270"/>
      <c r="F9" s="288"/>
      <c r="G9" s="289"/>
      <c r="H9" s="270"/>
      <c r="I9" s="290"/>
      <c r="J9" s="290"/>
      <c r="K9" s="290"/>
      <c r="L9" s="18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</row>
    <row r="10" spans="1:33" ht="12" customHeight="1" thickBot="1" x14ac:dyDescent="0.3">
      <c r="A10" s="1"/>
      <c r="B10" s="1"/>
      <c r="C10" s="2"/>
      <c r="D10" s="2"/>
      <c r="E10" s="3"/>
      <c r="F10" s="3"/>
      <c r="G10" s="3"/>
      <c r="H10" s="3"/>
      <c r="I10" s="3"/>
      <c r="J10" s="3"/>
      <c r="K10" s="3"/>
      <c r="L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</row>
    <row r="11" spans="1:33" ht="39.75" customHeight="1" thickTop="1" thickBot="1" x14ac:dyDescent="0.3">
      <c r="A11" s="4"/>
      <c r="B11" s="4"/>
      <c r="C11" s="4"/>
      <c r="D11" s="4"/>
      <c r="E11" s="4"/>
      <c r="F11" s="267" t="str">
        <f>Doku!B38</f>
        <v>Kleiner Fehler</v>
      </c>
      <c r="G11" s="268"/>
      <c r="H11" s="60" t="str">
        <f>Doku!B39</f>
        <v>Mittlerer Fehler</v>
      </c>
      <c r="I11" s="60" t="str">
        <f>Doku!B40</f>
        <v>Großer Fehler</v>
      </c>
      <c r="J11" s="68" t="s">
        <v>205</v>
      </c>
      <c r="K11" s="68" t="str">
        <f>Doku!B41</f>
        <v>Technik vergessen</v>
      </c>
      <c r="L11" s="291" t="str">
        <f>Doku!B42</f>
        <v>Gesamt</v>
      </c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</row>
    <row r="12" spans="1:33" s="20" customFormat="1" ht="20.100000000000001" customHeight="1" thickTop="1" thickBot="1" x14ac:dyDescent="0.4">
      <c r="A12" s="316" t="str">
        <f>Doku!B37</f>
        <v>Technik</v>
      </c>
      <c r="B12" s="317"/>
      <c r="C12" s="317"/>
      <c r="D12" s="317"/>
      <c r="E12" s="318"/>
      <c r="F12" s="319">
        <v>1</v>
      </c>
      <c r="G12" s="320"/>
      <c r="H12" s="61">
        <v>3</v>
      </c>
      <c r="I12" s="61">
        <v>5</v>
      </c>
      <c r="J12" s="61">
        <v>0.5</v>
      </c>
      <c r="K12" s="61">
        <v>10</v>
      </c>
      <c r="L12" s="292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</row>
    <row r="13" spans="1:33" ht="27" customHeight="1" thickBot="1" x14ac:dyDescent="0.3">
      <c r="A13" s="5">
        <v>1</v>
      </c>
      <c r="B13" s="46"/>
      <c r="C13" s="33"/>
      <c r="D13" s="385" t="s">
        <v>7</v>
      </c>
      <c r="E13" s="386"/>
      <c r="F13" s="30"/>
      <c r="G13" s="54"/>
      <c r="H13" s="62"/>
      <c r="I13" s="62"/>
      <c r="J13" s="57"/>
      <c r="K13" s="57"/>
      <c r="L13" s="75" t="str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/>
      </c>
      <c r="N13" s="23" t="s">
        <v>212</v>
      </c>
      <c r="O13" s="23"/>
      <c r="P13" s="23" t="s">
        <v>207</v>
      </c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</row>
    <row r="14" spans="1:33" ht="27" customHeight="1" x14ac:dyDescent="0.25">
      <c r="A14" s="6">
        <v>2</v>
      </c>
      <c r="B14" s="6"/>
      <c r="C14" s="298" t="s">
        <v>8</v>
      </c>
      <c r="D14" s="381" t="s">
        <v>214</v>
      </c>
      <c r="E14" s="382"/>
      <c r="F14" s="26"/>
      <c r="G14" s="55"/>
      <c r="H14" s="63"/>
      <c r="I14" s="63"/>
      <c r="J14" s="58"/>
      <c r="K14" s="58"/>
      <c r="L14" s="76" t="str">
        <f t="shared" ref="L14:L31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/>
      </c>
      <c r="N14" s="23" t="s">
        <v>210</v>
      </c>
      <c r="O14" s="23"/>
      <c r="P14" s="23" t="s">
        <v>208</v>
      </c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3"/>
      <c r="AG14" s="23"/>
    </row>
    <row r="15" spans="1:33" ht="27" customHeight="1" thickBot="1" x14ac:dyDescent="0.3">
      <c r="A15" s="7">
        <v>3</v>
      </c>
      <c r="B15" s="6"/>
      <c r="C15" s="299"/>
      <c r="D15" s="383" t="s">
        <v>215</v>
      </c>
      <c r="E15" s="384"/>
      <c r="F15" s="31"/>
      <c r="G15" s="56"/>
      <c r="H15" s="64"/>
      <c r="I15" s="64"/>
      <c r="J15" s="59"/>
      <c r="K15" s="59"/>
      <c r="L15" s="74" t="str">
        <f t="shared" si="0"/>
        <v/>
      </c>
      <c r="N15" s="23" t="s">
        <v>211</v>
      </c>
      <c r="O15" s="23"/>
      <c r="P15" s="23" t="s">
        <v>209</v>
      </c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</row>
    <row r="16" spans="1:33" ht="27" customHeight="1" thickBot="1" x14ac:dyDescent="0.3">
      <c r="A16" s="8">
        <v>4</v>
      </c>
      <c r="B16" s="6"/>
      <c r="C16" s="299"/>
      <c r="D16" s="381" t="s">
        <v>216</v>
      </c>
      <c r="E16" s="382"/>
      <c r="F16" s="26"/>
      <c r="G16" s="55"/>
      <c r="H16" s="63"/>
      <c r="I16" s="63"/>
      <c r="J16" s="58"/>
      <c r="K16" s="58"/>
      <c r="L16" s="76" t="str">
        <f t="shared" si="0"/>
        <v/>
      </c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3"/>
      <c r="AG16" s="23"/>
    </row>
    <row r="17" spans="1:33" ht="27" customHeight="1" thickBot="1" x14ac:dyDescent="0.3">
      <c r="A17" s="6">
        <v>5</v>
      </c>
      <c r="B17" s="6"/>
      <c r="C17" s="299"/>
      <c r="D17" s="383" t="s">
        <v>217</v>
      </c>
      <c r="E17" s="384"/>
      <c r="F17" s="31"/>
      <c r="G17" s="56"/>
      <c r="H17" s="64"/>
      <c r="I17" s="64"/>
      <c r="J17" s="59"/>
      <c r="K17" s="59"/>
      <c r="L17" s="74" t="str">
        <f t="shared" si="0"/>
        <v/>
      </c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3"/>
      <c r="AG17" s="23"/>
    </row>
    <row r="18" spans="1:33" ht="27" customHeight="1" x14ac:dyDescent="0.25">
      <c r="A18" s="7">
        <v>6</v>
      </c>
      <c r="B18" s="6"/>
      <c r="C18" s="299"/>
      <c r="D18" s="381" t="s">
        <v>218</v>
      </c>
      <c r="E18" s="382"/>
      <c r="F18" s="26"/>
      <c r="G18" s="55"/>
      <c r="H18" s="63"/>
      <c r="I18" s="63"/>
      <c r="J18" s="58"/>
      <c r="K18" s="58"/>
      <c r="L18" s="76" t="str">
        <f t="shared" si="0"/>
        <v/>
      </c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</row>
    <row r="19" spans="1:33" ht="27" customHeight="1" thickBot="1" x14ac:dyDescent="0.3">
      <c r="A19" s="8">
        <v>7</v>
      </c>
      <c r="B19" s="6"/>
      <c r="C19" s="326"/>
      <c r="D19" s="383" t="s">
        <v>219</v>
      </c>
      <c r="E19" s="384"/>
      <c r="F19" s="31"/>
      <c r="G19" s="56"/>
      <c r="H19" s="64"/>
      <c r="I19" s="64"/>
      <c r="J19" s="59"/>
      <c r="K19" s="59"/>
      <c r="L19" s="74" t="str">
        <f t="shared" si="0"/>
        <v/>
      </c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3"/>
      <c r="AG19" s="23"/>
    </row>
    <row r="20" spans="1:33" ht="27" customHeight="1" x14ac:dyDescent="0.25">
      <c r="A20" s="9">
        <v>8</v>
      </c>
      <c r="B20" s="42"/>
      <c r="C20" s="298" t="s">
        <v>12</v>
      </c>
      <c r="D20" s="381" t="s">
        <v>220</v>
      </c>
      <c r="E20" s="382"/>
      <c r="F20" s="26"/>
      <c r="G20" s="55"/>
      <c r="H20" s="63"/>
      <c r="I20" s="63"/>
      <c r="J20" s="58"/>
      <c r="K20" s="58"/>
      <c r="L20" s="76" t="str">
        <f t="shared" si="0"/>
        <v/>
      </c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</row>
    <row r="21" spans="1:33" ht="27" customHeight="1" thickBot="1" x14ac:dyDescent="0.3">
      <c r="A21" s="7">
        <v>9</v>
      </c>
      <c r="B21" s="6"/>
      <c r="C21" s="299"/>
      <c r="D21" s="383" t="s">
        <v>221</v>
      </c>
      <c r="E21" s="384"/>
      <c r="F21" s="31"/>
      <c r="G21" s="56"/>
      <c r="H21" s="64"/>
      <c r="I21" s="64"/>
      <c r="J21" s="59"/>
      <c r="K21" s="59"/>
      <c r="L21" s="74" t="str">
        <f t="shared" si="0"/>
        <v/>
      </c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3"/>
      <c r="AG21" s="23"/>
    </row>
    <row r="22" spans="1:33" ht="27" customHeight="1" thickBot="1" x14ac:dyDescent="0.3">
      <c r="A22" s="8">
        <v>10</v>
      </c>
      <c r="B22" s="6"/>
      <c r="C22" s="299"/>
      <c r="D22" s="381" t="s">
        <v>236</v>
      </c>
      <c r="E22" s="382"/>
      <c r="F22" s="26"/>
      <c r="G22" s="55"/>
      <c r="H22" s="63"/>
      <c r="I22" s="63"/>
      <c r="J22" s="58"/>
      <c r="K22" s="58"/>
      <c r="L22" s="76" t="str">
        <f t="shared" si="0"/>
        <v/>
      </c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3"/>
      <c r="AE22" s="23"/>
      <c r="AF22" s="23"/>
      <c r="AG22" s="23"/>
    </row>
    <row r="23" spans="1:33" ht="27" customHeight="1" thickBot="1" x14ac:dyDescent="0.3">
      <c r="A23" s="9">
        <v>11</v>
      </c>
      <c r="B23" s="42"/>
      <c r="C23" s="299"/>
      <c r="D23" s="383" t="s">
        <v>237</v>
      </c>
      <c r="E23" s="384"/>
      <c r="F23" s="31"/>
      <c r="G23" s="56"/>
      <c r="H23" s="64"/>
      <c r="I23" s="64"/>
      <c r="J23" s="59"/>
      <c r="K23" s="59"/>
      <c r="L23" s="74" t="str">
        <f t="shared" si="0"/>
        <v/>
      </c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3"/>
      <c r="AE23" s="23"/>
      <c r="AF23" s="23"/>
      <c r="AG23" s="23"/>
    </row>
    <row r="24" spans="1:33" ht="27" customHeight="1" x14ac:dyDescent="0.25">
      <c r="A24" s="7">
        <v>12</v>
      </c>
      <c r="B24" s="6"/>
      <c r="C24" s="299"/>
      <c r="D24" s="381" t="s">
        <v>224</v>
      </c>
      <c r="E24" s="382"/>
      <c r="F24" s="26"/>
      <c r="G24" s="55"/>
      <c r="H24" s="63"/>
      <c r="I24" s="63"/>
      <c r="J24" s="58"/>
      <c r="K24" s="58"/>
      <c r="L24" s="76" t="str">
        <f t="shared" si="0"/>
        <v/>
      </c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</row>
    <row r="25" spans="1:33" ht="27" customHeight="1" thickBot="1" x14ac:dyDescent="0.3">
      <c r="A25" s="8">
        <v>13</v>
      </c>
      <c r="B25" s="6"/>
      <c r="C25" s="326"/>
      <c r="D25" s="383" t="s">
        <v>225</v>
      </c>
      <c r="E25" s="384"/>
      <c r="F25" s="31"/>
      <c r="G25" s="56"/>
      <c r="H25" s="64"/>
      <c r="I25" s="64"/>
      <c r="J25" s="59"/>
      <c r="K25" s="59"/>
      <c r="L25" s="74" t="str">
        <f t="shared" si="0"/>
        <v/>
      </c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3"/>
      <c r="AF25" s="23"/>
      <c r="AG25" s="23"/>
    </row>
    <row r="26" spans="1:33" ht="27" customHeight="1" x14ac:dyDescent="0.25">
      <c r="A26" s="9">
        <v>14</v>
      </c>
      <c r="B26" s="42"/>
      <c r="C26" s="298" t="s">
        <v>16</v>
      </c>
      <c r="D26" s="381" t="s">
        <v>226</v>
      </c>
      <c r="E26" s="382"/>
      <c r="F26" s="26"/>
      <c r="G26" s="55"/>
      <c r="H26" s="63"/>
      <c r="I26" s="63"/>
      <c r="J26" s="58"/>
      <c r="K26" s="58"/>
      <c r="L26" s="76" t="str">
        <f t="shared" si="0"/>
        <v/>
      </c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3"/>
      <c r="AF26" s="23"/>
      <c r="AG26" s="23"/>
    </row>
    <row r="27" spans="1:33" ht="27" customHeight="1" thickBot="1" x14ac:dyDescent="0.3">
      <c r="A27" s="6">
        <v>15</v>
      </c>
      <c r="B27" s="6"/>
      <c r="C27" s="299"/>
      <c r="D27" s="383" t="s">
        <v>227</v>
      </c>
      <c r="E27" s="384"/>
      <c r="F27" s="31"/>
      <c r="G27" s="56"/>
      <c r="H27" s="64"/>
      <c r="I27" s="64"/>
      <c r="J27" s="59"/>
      <c r="K27" s="59"/>
      <c r="L27" s="74" t="str">
        <f t="shared" si="0"/>
        <v/>
      </c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</row>
    <row r="28" spans="1:33" ht="27" customHeight="1" thickBot="1" x14ac:dyDescent="0.3">
      <c r="A28" s="8">
        <v>16</v>
      </c>
      <c r="B28" s="6"/>
      <c r="C28" s="299"/>
      <c r="D28" s="381" t="s">
        <v>228</v>
      </c>
      <c r="E28" s="382"/>
      <c r="F28" s="26"/>
      <c r="G28" s="55"/>
      <c r="H28" s="63"/>
      <c r="I28" s="63"/>
      <c r="J28" s="58"/>
      <c r="K28" s="58"/>
      <c r="L28" s="76" t="str">
        <f t="shared" si="0"/>
        <v/>
      </c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3"/>
    </row>
    <row r="29" spans="1:33" ht="27" customHeight="1" thickBot="1" x14ac:dyDescent="0.3">
      <c r="A29" s="10">
        <v>17</v>
      </c>
      <c r="B29" s="47"/>
      <c r="C29" s="299"/>
      <c r="D29" s="383" t="s">
        <v>229</v>
      </c>
      <c r="E29" s="384"/>
      <c r="F29" s="31"/>
      <c r="G29" s="56"/>
      <c r="H29" s="64"/>
      <c r="I29" s="64"/>
      <c r="J29" s="59"/>
      <c r="K29" s="59"/>
      <c r="L29" s="74" t="str">
        <f t="shared" si="0"/>
        <v/>
      </c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</row>
    <row r="30" spans="1:33" ht="27" customHeight="1" thickTop="1" thickBot="1" x14ac:dyDescent="0.3">
      <c r="A30" s="51">
        <v>18</v>
      </c>
      <c r="B30" s="52"/>
      <c r="C30" s="299"/>
      <c r="D30" s="381" t="s">
        <v>234</v>
      </c>
      <c r="E30" s="382"/>
      <c r="F30" s="26"/>
      <c r="G30" s="55"/>
      <c r="H30" s="63"/>
      <c r="I30" s="63"/>
      <c r="J30" s="58"/>
      <c r="K30" s="58"/>
      <c r="L30" s="76" t="str">
        <f t="shared" si="0"/>
        <v/>
      </c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</row>
    <row r="31" spans="1:33" ht="27" customHeight="1" thickTop="1" thickBot="1" x14ac:dyDescent="0.3">
      <c r="A31" s="51">
        <v>19</v>
      </c>
      <c r="B31" s="52"/>
      <c r="C31" s="326"/>
      <c r="D31" s="383" t="s">
        <v>235</v>
      </c>
      <c r="E31" s="384"/>
      <c r="F31" s="31"/>
      <c r="G31" s="56"/>
      <c r="H31" s="64"/>
      <c r="I31" s="64"/>
      <c r="J31" s="59"/>
      <c r="K31" s="59"/>
      <c r="L31" s="74" t="str">
        <f t="shared" si="0"/>
        <v/>
      </c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3"/>
      <c r="AF31" s="23"/>
      <c r="AG31" s="23"/>
    </row>
    <row r="32" spans="1:33" ht="27" hidden="1" customHeight="1" thickTop="1" x14ac:dyDescent="0.25">
      <c r="A32" s="23"/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</row>
    <row r="33" spans="1:33" ht="27" hidden="1" customHeight="1" x14ac:dyDescent="0.25">
      <c r="A33" s="23"/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</row>
    <row r="34" spans="1:33" ht="27" hidden="1" customHeight="1" thickBot="1" x14ac:dyDescent="0.3">
      <c r="A34" s="23"/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</row>
    <row r="35" spans="1:33" ht="27" customHeight="1" thickTop="1" thickBot="1" x14ac:dyDescent="0.3">
      <c r="A35" s="51">
        <v>20</v>
      </c>
      <c r="B35" s="52"/>
      <c r="C35" s="32"/>
      <c r="D35" s="381" t="s">
        <v>28</v>
      </c>
      <c r="E35" s="382"/>
      <c r="F35" s="26"/>
      <c r="G35" s="55"/>
      <c r="H35" s="63"/>
      <c r="I35" s="63"/>
      <c r="J35" s="58"/>
      <c r="K35" s="58"/>
      <c r="L35" s="76" t="str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/>
      </c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</row>
    <row r="36" spans="1:33" ht="21.95" customHeight="1" thickTop="1" thickBot="1" x14ac:dyDescent="0.3">
      <c r="A36" s="321" t="str">
        <f>Doku!B43&amp;":"</f>
        <v>Summe Fehler und Punkte:</v>
      </c>
      <c r="B36" s="322"/>
      <c r="C36" s="322"/>
      <c r="D36" s="322"/>
      <c r="E36" s="323"/>
      <c r="F36" s="314" t="str">
        <f>IF($L$37&lt;&gt;"",SUMPRODUCT(--(TRIM(F13:G35)&lt;&gt;"")),"")</f>
        <v/>
      </c>
      <c r="G36" s="315" t="b">
        <f t="shared" ref="G36" si="2">IF($L$37&lt;&gt;"",COUNTIF(G13:G29,"x"))</f>
        <v>0</v>
      </c>
      <c r="H36" s="169" t="str">
        <f>IF($L$37&lt;&gt;"",SUMPRODUCT(--(TRIM(H13:H35)&lt;&gt;"")),"")</f>
        <v/>
      </c>
      <c r="I36" s="169" t="str">
        <f>IF($L$37&lt;&gt;"",SUMPRODUCT(--(TRIM(I13:I35)&lt;&gt;"")),"")</f>
        <v/>
      </c>
      <c r="J36" s="171" t="str">
        <f>IF($L$37&lt;&gt;"",(COUNTIFS(J13:J35,"+")-COUNTIFS(J13:J35,"-"))*0.5,"")</f>
        <v/>
      </c>
      <c r="K36" s="170" t="str">
        <f>IF($L$37&lt;&gt;"",SUMPRODUCT(--(TRIM(K13:K35)&lt;&gt;"")),"")</f>
        <v/>
      </c>
      <c r="L36" s="69" t="str">
        <f>IF(L37&lt;&gt;"",IF(K36&lt;1,SUM(L13:L35),IF(K36&gt;=1,ROUNDUP(SUM(L13:L35)/2,0),"")),"")</f>
        <v/>
      </c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</row>
    <row r="37" spans="1:33" ht="20.100000000000001" customHeight="1" thickTop="1" thickBot="1" x14ac:dyDescent="0.3">
      <c r="A37" s="312" t="str">
        <f>Doku!B44&amp;":"</f>
        <v>Position:</v>
      </c>
      <c r="B37" s="313"/>
      <c r="C37" s="313"/>
      <c r="D37" s="313"/>
      <c r="E37" s="44"/>
      <c r="F37" s="293" t="str">
        <f>Doku!B45</f>
        <v>Übertrag ok?</v>
      </c>
      <c r="G37" s="294"/>
      <c r="H37" s="294"/>
      <c r="I37" s="294"/>
      <c r="J37" s="294"/>
      <c r="K37" s="295"/>
      <c r="L37" s="71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</row>
    <row r="38" spans="1:33" ht="15.75" thickTop="1" x14ac:dyDescent="0.25"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</row>
    <row r="39" spans="1:33" x14ac:dyDescent="0.25"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</row>
    <row r="40" spans="1:33" x14ac:dyDescent="0.25"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23"/>
      <c r="AG40" s="23"/>
    </row>
  </sheetData>
  <mergeCells count="47">
    <mergeCell ref="D7:E7"/>
    <mergeCell ref="F7:H7"/>
    <mergeCell ref="I7:K7"/>
    <mergeCell ref="E1:I1"/>
    <mergeCell ref="A2:L2"/>
    <mergeCell ref="A3:L3"/>
    <mergeCell ref="A5:D5"/>
    <mergeCell ref="H6:K6"/>
    <mergeCell ref="H5:I5"/>
    <mergeCell ref="J5:K5"/>
    <mergeCell ref="D8:E8"/>
    <mergeCell ref="F8:H8"/>
    <mergeCell ref="I8:K8"/>
    <mergeCell ref="D9:E9"/>
    <mergeCell ref="F9:H9"/>
    <mergeCell ref="I9:K9"/>
    <mergeCell ref="F11:G11"/>
    <mergeCell ref="L11:L12"/>
    <mergeCell ref="A12:E12"/>
    <mergeCell ref="F12:G12"/>
    <mergeCell ref="D13:E13"/>
    <mergeCell ref="D18:E18"/>
    <mergeCell ref="D19:E19"/>
    <mergeCell ref="C20:C25"/>
    <mergeCell ref="D20:E20"/>
    <mergeCell ref="D21:E21"/>
    <mergeCell ref="D22:E22"/>
    <mergeCell ref="D23:E23"/>
    <mergeCell ref="D24:E24"/>
    <mergeCell ref="D25:E25"/>
    <mergeCell ref="C14:C19"/>
    <mergeCell ref="D14:E14"/>
    <mergeCell ref="D15:E15"/>
    <mergeCell ref="D16:E16"/>
    <mergeCell ref="D17:E17"/>
    <mergeCell ref="C26:C31"/>
    <mergeCell ref="D26:E26"/>
    <mergeCell ref="D27:E27"/>
    <mergeCell ref="D28:E28"/>
    <mergeCell ref="D29:E29"/>
    <mergeCell ref="D30:E30"/>
    <mergeCell ref="D31:E31"/>
    <mergeCell ref="A36:E36"/>
    <mergeCell ref="F36:G36"/>
    <mergeCell ref="A37:D37"/>
    <mergeCell ref="F37:K37"/>
    <mergeCell ref="D35:E35"/>
  </mergeCells>
  <dataValidations count="3">
    <dataValidation type="textLength" allowBlank="1" showInputMessage="1" showErrorMessage="1" sqref="F30:K35" xr:uid="{5D2537F3-C684-4FA5-8269-D4166B3B1080}">
      <formula1>1</formula1>
      <formula2>1</formula2>
    </dataValidation>
    <dataValidation type="list" allowBlank="1" showDropDown="1" showInputMessage="1" showErrorMessage="1" sqref="J13:J29" xr:uid="{6455CA49-DB5F-4324-A1EE-AF8A03F85B17}">
      <formula1>$P$14:$P$15</formula1>
    </dataValidation>
    <dataValidation type="list" allowBlank="1" showDropDown="1" showInputMessage="1" showErrorMessage="1" sqref="F13:I29 K13:K29" xr:uid="{40E2D515-3551-461E-862E-86BC8353BBF1}">
      <formula1>$P$13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scale="95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17"/>
  <dimension ref="A1:AF30"/>
  <sheetViews>
    <sheetView zoomScaleNormal="100" workbookViewId="0"/>
  </sheetViews>
  <sheetFormatPr baseColWidth="10" defaultColWidth="11.5703125" defaultRowHeight="15" customHeight="1" x14ac:dyDescent="0.2"/>
  <cols>
    <col min="1" max="1" width="11.7109375" style="27" customWidth="1"/>
    <col min="2" max="2" width="22.7109375" style="27" customWidth="1"/>
    <col min="3" max="18" width="5.7109375" style="27" customWidth="1"/>
    <col min="19" max="24" width="5.7109375" style="27" hidden="1" customWidth="1"/>
    <col min="25" max="25" width="5.7109375" style="27" customWidth="1"/>
    <col min="26" max="27" width="6.7109375" style="27" customWidth="1"/>
    <col min="28" max="32" width="5.7109375" style="27" customWidth="1"/>
    <col min="33" max="16384" width="11.5703125" style="27"/>
  </cols>
  <sheetData>
    <row r="1" spans="1:32" ht="15" customHeight="1" x14ac:dyDescent="0.2">
      <c r="A1" s="27" t="str">
        <f>Doku!B46&amp;":"</f>
        <v>Paarung:</v>
      </c>
      <c r="B1" s="101" t="e">
        <f ca="1">INDIRECT("'"&amp;$A8&amp;"'!D8") &amp; "-" &amp; INDIRECT("'"&amp;$A8&amp;"'!D9") &amp; " (" &amp; INDIRECT("'"&amp;$A8&amp;"'!L8") &amp;")"</f>
        <v>#REF!</v>
      </c>
      <c r="AA1" s="102"/>
      <c r="AF1" s="103"/>
    </row>
    <row r="2" spans="1:32" ht="127.9" customHeight="1" x14ac:dyDescent="0.2">
      <c r="A2" s="104" t="str">
        <f>Doku!B44</f>
        <v>Position</v>
      </c>
      <c r="B2" s="104" t="str">
        <f>Doku!B50</f>
        <v>Name</v>
      </c>
      <c r="C2" s="98" t="str">
        <f>Doku!B51</f>
        <v>Angrüßen</v>
      </c>
      <c r="D2" s="98" t="s">
        <v>9</v>
      </c>
      <c r="E2" s="98" t="s">
        <v>10</v>
      </c>
      <c r="F2" s="98" t="s">
        <v>11</v>
      </c>
      <c r="G2" s="98" t="s">
        <v>13</v>
      </c>
      <c r="H2" s="98" t="s">
        <v>14</v>
      </c>
      <c r="I2" s="98" t="s">
        <v>15</v>
      </c>
      <c r="J2" s="98" t="s">
        <v>17</v>
      </c>
      <c r="K2" s="98" t="s">
        <v>18</v>
      </c>
      <c r="L2" s="98" t="s">
        <v>19</v>
      </c>
      <c r="M2" s="98" t="s">
        <v>21</v>
      </c>
      <c r="N2" s="98" t="s">
        <v>22</v>
      </c>
      <c r="O2" s="98" t="s">
        <v>23</v>
      </c>
      <c r="P2" s="98" t="s">
        <v>25</v>
      </c>
      <c r="Q2" s="98" t="s">
        <v>26</v>
      </c>
      <c r="R2" s="98" t="s">
        <v>27</v>
      </c>
      <c r="Y2" s="98" t="str">
        <f>Doku!B52</f>
        <v>Abgrüßen</v>
      </c>
      <c r="Z2" s="98" t="str">
        <f>Doku!B42</f>
        <v>Gesamt</v>
      </c>
      <c r="AA2" s="105" t="s">
        <v>191</v>
      </c>
      <c r="AB2" s="98" t="str">
        <f>Doku!B38</f>
        <v>Kleiner Fehler</v>
      </c>
      <c r="AC2" s="98" t="str">
        <f>Doku!B39</f>
        <v>Mittlerer Fehler</v>
      </c>
      <c r="AD2" s="98" t="str">
        <f>Doku!B40</f>
        <v>Großer Fehler</v>
      </c>
      <c r="AE2" s="98" t="str">
        <f>Doku!B53</f>
        <v>Korrektur</v>
      </c>
      <c r="AF2" s="98" t="str">
        <f>Doku!B41</f>
        <v>Technik vergessen</v>
      </c>
    </row>
    <row r="3" spans="1:32" ht="15" customHeight="1" x14ac:dyDescent="0.2">
      <c r="A3" s="388" t="s">
        <v>232</v>
      </c>
      <c r="B3" s="388"/>
      <c r="C3" s="264">
        <f ca="1">IF(COUNTIF(C8:C12,"")&gt;0,SUM(C8:C12),SUM(C8:C12)-MAX(C8:C12)-MIN(C8:C12))</f>
        <v>0</v>
      </c>
      <c r="D3" s="264">
        <f t="shared" ref="D3:Y3" ca="1" si="0">IF(COUNTIF(D8:D12,"")&gt;0,SUM(D8:D12),SUM(D8:D12)-MAX(D8:D12)-MIN(D8:D12))</f>
        <v>0</v>
      </c>
      <c r="E3" s="264">
        <f t="shared" ca="1" si="0"/>
        <v>0</v>
      </c>
      <c r="F3" s="264">
        <f t="shared" ca="1" si="0"/>
        <v>0</v>
      </c>
      <c r="G3" s="264">
        <f t="shared" ca="1" si="0"/>
        <v>0</v>
      </c>
      <c r="H3" s="264">
        <f t="shared" ca="1" si="0"/>
        <v>0</v>
      </c>
      <c r="I3" s="264">
        <f t="shared" ca="1" si="0"/>
        <v>0</v>
      </c>
      <c r="J3" s="264">
        <f t="shared" ca="1" si="0"/>
        <v>0</v>
      </c>
      <c r="K3" s="264">
        <f t="shared" ca="1" si="0"/>
        <v>0</v>
      </c>
      <c r="L3" s="264">
        <f t="shared" ca="1" si="0"/>
        <v>0</v>
      </c>
      <c r="M3" s="264">
        <f t="shared" ca="1" si="0"/>
        <v>0</v>
      </c>
      <c r="N3" s="264">
        <f t="shared" ca="1" si="0"/>
        <v>0</v>
      </c>
      <c r="O3" s="264">
        <f t="shared" ca="1" si="0"/>
        <v>0</v>
      </c>
      <c r="P3" s="264">
        <f t="shared" ca="1" si="0"/>
        <v>0</v>
      </c>
      <c r="Q3" s="264">
        <f t="shared" ca="1" si="0"/>
        <v>0</v>
      </c>
      <c r="R3" s="264">
        <f t="shared" ca="1" si="0"/>
        <v>0</v>
      </c>
      <c r="Y3" s="264">
        <f t="shared" ca="1" si="0"/>
        <v>0</v>
      </c>
      <c r="Z3" s="265">
        <f ca="1">IF(SUM(AF8:AF12)&gt;0,SUM(C3:Y3)/2,SUM(C3:Y3))</f>
        <v>0</v>
      </c>
      <c r="AA3" s="266"/>
      <c r="AB3" s="265">
        <f t="shared" ref="AB3:AF3" ca="1" si="1">IF(COUNTIF(AB8:AB12,"")&gt;0,SUM(AB8:AB12),SUM(AB8:AB12)-MAX(AB8:AB12)-MIN(AB8:AB12))</f>
        <v>0</v>
      </c>
      <c r="AC3" s="265">
        <f t="shared" ca="1" si="1"/>
        <v>0</v>
      </c>
      <c r="AD3" s="265">
        <f t="shared" ca="1" si="1"/>
        <v>0</v>
      </c>
      <c r="AE3" s="264">
        <f t="shared" ca="1" si="1"/>
        <v>0</v>
      </c>
      <c r="AF3" s="265">
        <f t="shared" ca="1" si="1"/>
        <v>0</v>
      </c>
    </row>
    <row r="4" spans="1:32" ht="15" customHeight="1" x14ac:dyDescent="0.2">
      <c r="A4" s="389" t="str">
        <f>Doku!B49&amp;":"</f>
        <v>Spannweite:</v>
      </c>
      <c r="B4" s="389"/>
      <c r="C4" s="112">
        <f t="shared" ref="C4:R4" ca="1" si="2">MAX(C8:C12)-MIN(C8:C12)</f>
        <v>0</v>
      </c>
      <c r="D4" s="112">
        <f t="shared" ca="1" si="2"/>
        <v>0</v>
      </c>
      <c r="E4" s="112">
        <f t="shared" ca="1" si="2"/>
        <v>0</v>
      </c>
      <c r="F4" s="112">
        <f t="shared" ca="1" si="2"/>
        <v>0</v>
      </c>
      <c r="G4" s="112">
        <f t="shared" ca="1" si="2"/>
        <v>0</v>
      </c>
      <c r="H4" s="112">
        <f t="shared" ca="1" si="2"/>
        <v>0</v>
      </c>
      <c r="I4" s="112">
        <f t="shared" ca="1" si="2"/>
        <v>0</v>
      </c>
      <c r="J4" s="112">
        <f t="shared" ca="1" si="2"/>
        <v>0</v>
      </c>
      <c r="K4" s="112">
        <f t="shared" ca="1" si="2"/>
        <v>0</v>
      </c>
      <c r="L4" s="112">
        <f t="shared" ca="1" si="2"/>
        <v>0</v>
      </c>
      <c r="M4" s="112">
        <f t="shared" ca="1" si="2"/>
        <v>0</v>
      </c>
      <c r="N4" s="112">
        <f t="shared" ca="1" si="2"/>
        <v>0</v>
      </c>
      <c r="O4" s="112">
        <f t="shared" ca="1" si="2"/>
        <v>0</v>
      </c>
      <c r="P4" s="112">
        <f t="shared" ca="1" si="2"/>
        <v>0</v>
      </c>
      <c r="Q4" s="112">
        <f t="shared" ca="1" si="2"/>
        <v>0</v>
      </c>
      <c r="R4" s="112">
        <f t="shared" ca="1" si="2"/>
        <v>0</v>
      </c>
      <c r="Y4" s="112">
        <f ca="1">MAX(Y8:Y12)-MIN(Y8:Y12)</f>
        <v>0</v>
      </c>
      <c r="Z4" s="113">
        <f ca="1">MAX(Z8:Z12)-MIN(Z8:Z12)</f>
        <v>0</v>
      </c>
      <c r="AA4" s="114"/>
      <c r="AB4" s="113">
        <f ca="1">MAX(AB8:AB12)-MIN(AB8:AB12)</f>
        <v>0</v>
      </c>
      <c r="AC4" s="113">
        <f ca="1">MAX(AC8:AC12)-MIN(AC8:AC12)</f>
        <v>0</v>
      </c>
      <c r="AD4" s="113">
        <f ca="1">MAX(AD8:AD12)-MIN(AD8:AD12)</f>
        <v>0</v>
      </c>
      <c r="AE4" s="112">
        <f ca="1">MAX(AE8:AE12)-MIN(AE8:AE12)</f>
        <v>0</v>
      </c>
      <c r="AF4" s="113">
        <f ca="1">MAX(AF8:AF12)-MIN(AF8:AF12)</f>
        <v>0</v>
      </c>
    </row>
    <row r="5" spans="1:32" ht="15" customHeight="1" x14ac:dyDescent="0.2">
      <c r="A5" s="389" t="str">
        <f>Doku!B47&amp;":"</f>
        <v>Mittelwert:</v>
      </c>
      <c r="B5" s="389"/>
      <c r="C5" s="112">
        <f ca="1">C3/3</f>
        <v>0</v>
      </c>
      <c r="D5" s="112">
        <f t="shared" ref="D5:AF5" ca="1" si="3">D3/3</f>
        <v>0</v>
      </c>
      <c r="E5" s="112">
        <f t="shared" ca="1" si="3"/>
        <v>0</v>
      </c>
      <c r="F5" s="112">
        <f t="shared" ca="1" si="3"/>
        <v>0</v>
      </c>
      <c r="G5" s="112">
        <f t="shared" ca="1" si="3"/>
        <v>0</v>
      </c>
      <c r="H5" s="112">
        <f t="shared" ca="1" si="3"/>
        <v>0</v>
      </c>
      <c r="I5" s="112">
        <f t="shared" ca="1" si="3"/>
        <v>0</v>
      </c>
      <c r="J5" s="112">
        <f t="shared" ca="1" si="3"/>
        <v>0</v>
      </c>
      <c r="K5" s="112">
        <f t="shared" ca="1" si="3"/>
        <v>0</v>
      </c>
      <c r="L5" s="112">
        <f t="shared" ca="1" si="3"/>
        <v>0</v>
      </c>
      <c r="M5" s="112">
        <f t="shared" ca="1" si="3"/>
        <v>0</v>
      </c>
      <c r="N5" s="112">
        <f t="shared" ca="1" si="3"/>
        <v>0</v>
      </c>
      <c r="O5" s="112">
        <f t="shared" ca="1" si="3"/>
        <v>0</v>
      </c>
      <c r="P5" s="112">
        <f t="shared" ca="1" si="3"/>
        <v>0</v>
      </c>
      <c r="Q5" s="112">
        <f t="shared" ca="1" si="3"/>
        <v>0</v>
      </c>
      <c r="R5" s="112">
        <f t="shared" ca="1" si="3"/>
        <v>0</v>
      </c>
      <c r="Y5" s="112">
        <f t="shared" ca="1" si="3"/>
        <v>0</v>
      </c>
      <c r="Z5" s="113">
        <f t="shared" ca="1" si="3"/>
        <v>0</v>
      </c>
      <c r="AA5" s="115"/>
      <c r="AB5" s="113">
        <f t="shared" ca="1" si="3"/>
        <v>0</v>
      </c>
      <c r="AC5" s="113">
        <f t="shared" ca="1" si="3"/>
        <v>0</v>
      </c>
      <c r="AD5" s="113">
        <f t="shared" ca="1" si="3"/>
        <v>0</v>
      </c>
      <c r="AE5" s="112">
        <f t="shared" ca="1" si="3"/>
        <v>0</v>
      </c>
      <c r="AF5" s="113">
        <f t="shared" ca="1" si="3"/>
        <v>0</v>
      </c>
    </row>
    <row r="6" spans="1:32" ht="15" hidden="1" customHeight="1" x14ac:dyDescent="0.2">
      <c r="A6" s="389"/>
      <c r="B6" s="389"/>
      <c r="C6" s="112"/>
      <c r="D6" s="112"/>
      <c r="E6" s="112"/>
      <c r="F6" s="112"/>
      <c r="G6" s="112"/>
      <c r="H6" s="112"/>
      <c r="I6" s="112"/>
      <c r="J6" s="112"/>
      <c r="K6" s="112"/>
      <c r="L6" s="112"/>
      <c r="M6" s="112"/>
      <c r="N6" s="112"/>
      <c r="O6" s="112"/>
      <c r="P6" s="112"/>
      <c r="Q6" s="112"/>
      <c r="R6" s="112"/>
      <c r="Y6" s="112"/>
      <c r="Z6" s="116"/>
      <c r="AA6" s="117"/>
      <c r="AB6" s="116"/>
      <c r="AC6" s="116"/>
      <c r="AD6" s="116"/>
      <c r="AE6" s="112"/>
      <c r="AF6" s="116"/>
    </row>
    <row r="7" spans="1:32" ht="15" customHeight="1" x14ac:dyDescent="0.2">
      <c r="A7" s="106"/>
      <c r="B7" s="106" t="str">
        <f ca="1">IF(A7&lt;&gt;"",INDIRECT("'"&amp;$A7&amp;"'!E5"),"")</f>
        <v/>
      </c>
      <c r="C7" s="118" t="str">
        <f ca="1">IF($A7&lt;&gt;"",INDIRECT("'"&amp;$A7&amp;"'!L13"),"")</f>
        <v/>
      </c>
      <c r="D7" s="118" t="str">
        <f ca="1">IF($A7&lt;&gt;"",INDIRECT("'"&amp;$A7&amp;"'!L14"),"")</f>
        <v/>
      </c>
      <c r="E7" s="118" t="str">
        <f ca="1">IF($A7&lt;&gt;"",INDIRECT("'"&amp;$A7&amp;"'!L15"),"")</f>
        <v/>
      </c>
      <c r="F7" s="118" t="str">
        <f ca="1">IF($A7&lt;&gt;"",INDIRECT("'"&amp;$A7&amp;"'!L16"),"")</f>
        <v/>
      </c>
      <c r="G7" s="118" t="str">
        <f ca="1">IF($A7&lt;&gt;"",INDIRECT("'"&amp;$A7&amp;"'!L17"),"")</f>
        <v/>
      </c>
      <c r="H7" s="118" t="str">
        <f ca="1">IF($A7&lt;&gt;"",INDIRECT("'"&amp;$A7&amp;"'!L18"),"")</f>
        <v/>
      </c>
      <c r="I7" s="118" t="str">
        <f ca="1">IF($A7&lt;&gt;"",INDIRECT("'"&amp;$A7&amp;"'!L19"),"")</f>
        <v/>
      </c>
      <c r="J7" s="118" t="str">
        <f ca="1">IF($A7&lt;&gt;"",INDIRECT("'"&amp;$A7&amp;"'!L20"),"")</f>
        <v/>
      </c>
      <c r="K7" s="118" t="str">
        <f ca="1">IF($A7&lt;&gt;"",INDIRECT("'"&amp;$A7&amp;"'!L21"),"")</f>
        <v/>
      </c>
      <c r="L7" s="118" t="str">
        <f ca="1">IF($A7&lt;&gt;"",INDIRECT("'"&amp;$A7&amp;"'!L22"),"")</f>
        <v/>
      </c>
      <c r="M7" s="118" t="str">
        <f ca="1">IF($A7&lt;&gt;"",INDIRECT("'"&amp;$A7&amp;"'!L23"),"")</f>
        <v/>
      </c>
      <c r="N7" s="118" t="str">
        <f ca="1">IF($A7&lt;&gt;"",INDIRECT("'"&amp;$A7&amp;"'!L24"),"")</f>
        <v/>
      </c>
      <c r="O7" s="118" t="str">
        <f ca="1">IF($A7&lt;&gt;"",INDIRECT("'"&amp;$A7&amp;"'!L25"),"")</f>
        <v/>
      </c>
      <c r="P7" s="118" t="str">
        <f ca="1">IF($A7&lt;&gt;"",INDIRECT("'"&amp;$A7&amp;"'!L26"),"")</f>
        <v/>
      </c>
      <c r="Q7" s="118" t="str">
        <f ca="1">IF($A7&lt;&gt;"",INDIRECT("'"&amp;$A7&amp;"'!L27"),"")</f>
        <v/>
      </c>
      <c r="R7" s="118" t="str">
        <f ca="1">IF($A7&lt;&gt;"",INDIRECT("'"&amp;$A7&amp;"'!L28"),"")</f>
        <v/>
      </c>
      <c r="Y7" s="118" t="str">
        <f ca="1">IF($A7&lt;&gt;"",INDIRECT("'"&amp;$A7&amp;"'!L35"),"")</f>
        <v/>
      </c>
      <c r="Z7" s="119" t="str">
        <f ca="1">IF($A7&lt;&gt;"",INDIRECT("'"&amp;$A7&amp;"'!L36"),"")</f>
        <v/>
      </c>
      <c r="AA7" s="120" t="str">
        <f t="shared" ref="AA7" si="4">IF($A7&lt;&gt;"",SUM(C21:Y21)/COUNT(C7:Y7),"")</f>
        <v/>
      </c>
      <c r="AB7" s="119" t="str">
        <f ca="1">IF($A7&lt;&gt;"",INDIRECT("'"&amp;$A7&amp;"'!F36"),"")</f>
        <v/>
      </c>
      <c r="AC7" s="119" t="str">
        <f ca="1">IF($A7&lt;&gt;"",INDIRECT("'"&amp;$A7&amp;"'!H36"),"")</f>
        <v/>
      </c>
      <c r="AD7" s="119" t="str">
        <f ca="1">IF($A7&lt;&gt;"",INDIRECT("'"&amp;$A7&amp;"'!I36"),"")</f>
        <v/>
      </c>
      <c r="AE7" s="118" t="str">
        <f ca="1">IF($A7&lt;&gt;"",INDIRECT("'"&amp;$A7&amp;"'!J36"),"")</f>
        <v/>
      </c>
      <c r="AF7" s="119" t="str">
        <f ca="1">IF($A7&lt;&gt;"",INDIRECT("'"&amp;$A7&amp;"'!K36"),"")</f>
        <v/>
      </c>
    </row>
    <row r="8" spans="1:32" ht="15" customHeight="1" x14ac:dyDescent="0.2">
      <c r="B8" s="27" t="str">
        <f t="shared" ref="B8:B13" ca="1" si="5">IF(A8&lt;&gt;"",INDIRECT("'"&amp;$A8&amp;"'!E5"),"")</f>
        <v/>
      </c>
      <c r="C8" s="112" t="str">
        <f t="shared" ref="C8:C13" ca="1" si="6">IF($A8&lt;&gt;"",INDIRECT("'"&amp;$A8&amp;"'!L13"),"")</f>
        <v/>
      </c>
      <c r="D8" s="112" t="str">
        <f t="shared" ref="D8:D13" ca="1" si="7">IF($A8&lt;&gt;"",INDIRECT("'"&amp;$A8&amp;"'!L14"),"")</f>
        <v/>
      </c>
      <c r="E8" s="112" t="str">
        <f t="shared" ref="E8:E13" ca="1" si="8">IF($A8&lt;&gt;"",INDIRECT("'"&amp;$A8&amp;"'!L15"),"")</f>
        <v/>
      </c>
      <c r="F8" s="112" t="str">
        <f t="shared" ref="F8:F13" ca="1" si="9">IF($A8&lt;&gt;"",INDIRECT("'"&amp;$A8&amp;"'!L16"),"")</f>
        <v/>
      </c>
      <c r="G8" s="112" t="str">
        <f t="shared" ref="G8:G13" ca="1" si="10">IF($A8&lt;&gt;"",INDIRECT("'"&amp;$A8&amp;"'!L17"),"")</f>
        <v/>
      </c>
      <c r="H8" s="112" t="str">
        <f t="shared" ref="H8:H13" ca="1" si="11">IF($A8&lt;&gt;"",INDIRECT("'"&amp;$A8&amp;"'!L18"),"")</f>
        <v/>
      </c>
      <c r="I8" s="112" t="str">
        <f t="shared" ref="I8:I13" ca="1" si="12">IF($A8&lt;&gt;"",INDIRECT("'"&amp;$A8&amp;"'!L19"),"")</f>
        <v/>
      </c>
      <c r="J8" s="112" t="str">
        <f t="shared" ref="J8:J13" ca="1" si="13">IF($A8&lt;&gt;"",INDIRECT("'"&amp;$A8&amp;"'!L20"),"")</f>
        <v/>
      </c>
      <c r="K8" s="112" t="str">
        <f t="shared" ref="K8:K13" ca="1" si="14">IF($A8&lt;&gt;"",INDIRECT("'"&amp;$A8&amp;"'!L21"),"")</f>
        <v/>
      </c>
      <c r="L8" s="112" t="str">
        <f t="shared" ref="L8:L13" ca="1" si="15">IF($A8&lt;&gt;"",INDIRECT("'"&amp;$A8&amp;"'!L22"),"")</f>
        <v/>
      </c>
      <c r="M8" s="112" t="str">
        <f t="shared" ref="M8:M13" ca="1" si="16">IF($A8&lt;&gt;"",INDIRECT("'"&amp;$A8&amp;"'!L23"),"")</f>
        <v/>
      </c>
      <c r="N8" s="112" t="str">
        <f t="shared" ref="N8:N13" ca="1" si="17">IF($A8&lt;&gt;"",INDIRECT("'"&amp;$A8&amp;"'!L24"),"")</f>
        <v/>
      </c>
      <c r="O8" s="112" t="str">
        <f t="shared" ref="O8:O13" ca="1" si="18">IF($A8&lt;&gt;"",INDIRECT("'"&amp;$A8&amp;"'!L25"),"")</f>
        <v/>
      </c>
      <c r="P8" s="112" t="str">
        <f t="shared" ref="P8:P13" ca="1" si="19">IF($A8&lt;&gt;"",INDIRECT("'"&amp;$A8&amp;"'!L26"),"")</f>
        <v/>
      </c>
      <c r="Q8" s="112" t="str">
        <f t="shared" ref="Q8:Q13" ca="1" si="20">IF($A8&lt;&gt;"",INDIRECT("'"&amp;$A8&amp;"'!L27"),"")</f>
        <v/>
      </c>
      <c r="R8" s="112" t="str">
        <f t="shared" ref="R8:R13" ca="1" si="21">IF($A8&lt;&gt;"",INDIRECT("'"&amp;$A8&amp;"'!L28"),"")</f>
        <v/>
      </c>
      <c r="Y8" s="112" t="str">
        <f t="shared" ref="Y8:Y13" ca="1" si="22">IF($A8&lt;&gt;"",INDIRECT("'"&amp;$A8&amp;"'!L35"),"")</f>
        <v/>
      </c>
      <c r="Z8" s="113" t="str">
        <f t="shared" ref="Z8:Z13" ca="1" si="23">IF($A8&lt;&gt;"",INDIRECT("'"&amp;$A8&amp;"'!L36"),"")</f>
        <v/>
      </c>
      <c r="AA8" s="121" t="str">
        <f t="shared" ref="AA8:AA13" si="24">IF($A8&lt;&gt;"",SUM(C22:Y22)/COUNT(C8:Y8),"")</f>
        <v/>
      </c>
      <c r="AB8" s="113" t="str">
        <f t="shared" ref="AB8:AB13" ca="1" si="25">IF($A8&lt;&gt;"",INDIRECT("'"&amp;$A8&amp;"'!F36"),"")</f>
        <v/>
      </c>
      <c r="AC8" s="113" t="str">
        <f t="shared" ref="AC8:AC13" ca="1" si="26">IF($A8&lt;&gt;"",INDIRECT("'"&amp;$A8&amp;"'!H36"),"")</f>
        <v/>
      </c>
      <c r="AD8" s="113" t="str">
        <f t="shared" ref="AD8:AD13" ca="1" si="27">IF($A8&lt;&gt;"",INDIRECT("'"&amp;$A8&amp;"'!I36"),"")</f>
        <v/>
      </c>
      <c r="AE8" s="112" t="str">
        <f t="shared" ref="AE8:AE13" ca="1" si="28">IF($A8&lt;&gt;"",INDIRECT("'"&amp;$A8&amp;"'!J36"),"")</f>
        <v/>
      </c>
      <c r="AF8" s="113" t="str">
        <f t="shared" ref="AF8:AF13" ca="1" si="29">IF($A8&lt;&gt;"",INDIRECT("'"&amp;$A8&amp;"'!K36"),"")</f>
        <v/>
      </c>
    </row>
    <row r="9" spans="1:32" ht="15" customHeight="1" x14ac:dyDescent="0.2">
      <c r="B9" s="27" t="str">
        <f t="shared" ca="1" si="5"/>
        <v/>
      </c>
      <c r="C9" s="112" t="str">
        <f t="shared" ca="1" si="6"/>
        <v/>
      </c>
      <c r="D9" s="112" t="str">
        <f t="shared" ca="1" si="7"/>
        <v/>
      </c>
      <c r="E9" s="112" t="str">
        <f t="shared" ca="1" si="8"/>
        <v/>
      </c>
      <c r="F9" s="112" t="str">
        <f t="shared" ca="1" si="9"/>
        <v/>
      </c>
      <c r="G9" s="112" t="str">
        <f t="shared" ca="1" si="10"/>
        <v/>
      </c>
      <c r="H9" s="112" t="str">
        <f t="shared" ca="1" si="11"/>
        <v/>
      </c>
      <c r="I9" s="112" t="str">
        <f t="shared" ca="1" si="12"/>
        <v/>
      </c>
      <c r="J9" s="112" t="str">
        <f t="shared" ca="1" si="13"/>
        <v/>
      </c>
      <c r="K9" s="112" t="str">
        <f t="shared" ca="1" si="14"/>
        <v/>
      </c>
      <c r="L9" s="112" t="str">
        <f t="shared" ca="1" si="15"/>
        <v/>
      </c>
      <c r="M9" s="112" t="str">
        <f t="shared" ca="1" si="16"/>
        <v/>
      </c>
      <c r="N9" s="112" t="str">
        <f t="shared" ca="1" si="17"/>
        <v/>
      </c>
      <c r="O9" s="112" t="str">
        <f t="shared" ca="1" si="18"/>
        <v/>
      </c>
      <c r="P9" s="112" t="str">
        <f t="shared" ca="1" si="19"/>
        <v/>
      </c>
      <c r="Q9" s="112" t="str">
        <f t="shared" ca="1" si="20"/>
        <v/>
      </c>
      <c r="R9" s="112" t="str">
        <f t="shared" ca="1" si="21"/>
        <v/>
      </c>
      <c r="Y9" s="112" t="str">
        <f t="shared" ca="1" si="22"/>
        <v/>
      </c>
      <c r="Z9" s="113" t="str">
        <f t="shared" ca="1" si="23"/>
        <v/>
      </c>
      <c r="AA9" s="122" t="str">
        <f t="shared" si="24"/>
        <v/>
      </c>
      <c r="AB9" s="113" t="str">
        <f t="shared" ca="1" si="25"/>
        <v/>
      </c>
      <c r="AC9" s="113" t="str">
        <f t="shared" ca="1" si="26"/>
        <v/>
      </c>
      <c r="AD9" s="113" t="str">
        <f t="shared" ca="1" si="27"/>
        <v/>
      </c>
      <c r="AE9" s="112" t="str">
        <f t="shared" ca="1" si="28"/>
        <v/>
      </c>
      <c r="AF9" s="113" t="str">
        <f t="shared" ca="1" si="29"/>
        <v/>
      </c>
    </row>
    <row r="10" spans="1:32" ht="15" customHeight="1" x14ac:dyDescent="0.2">
      <c r="B10" s="27" t="str">
        <f t="shared" ca="1" si="5"/>
        <v/>
      </c>
      <c r="C10" s="112" t="str">
        <f t="shared" ca="1" si="6"/>
        <v/>
      </c>
      <c r="D10" s="112" t="str">
        <f t="shared" ca="1" si="7"/>
        <v/>
      </c>
      <c r="E10" s="112" t="str">
        <f t="shared" ca="1" si="8"/>
        <v/>
      </c>
      <c r="F10" s="112" t="str">
        <f t="shared" ca="1" si="9"/>
        <v/>
      </c>
      <c r="G10" s="112" t="str">
        <f t="shared" ca="1" si="10"/>
        <v/>
      </c>
      <c r="H10" s="112" t="str">
        <f t="shared" ca="1" si="11"/>
        <v/>
      </c>
      <c r="I10" s="112" t="str">
        <f t="shared" ca="1" si="12"/>
        <v/>
      </c>
      <c r="J10" s="112" t="str">
        <f t="shared" ca="1" si="13"/>
        <v/>
      </c>
      <c r="K10" s="112" t="str">
        <f t="shared" ca="1" si="14"/>
        <v/>
      </c>
      <c r="L10" s="112" t="str">
        <f t="shared" ca="1" si="15"/>
        <v/>
      </c>
      <c r="M10" s="112" t="str">
        <f t="shared" ca="1" si="16"/>
        <v/>
      </c>
      <c r="N10" s="112" t="str">
        <f t="shared" ca="1" si="17"/>
        <v/>
      </c>
      <c r="O10" s="112" t="str">
        <f t="shared" ca="1" si="18"/>
        <v/>
      </c>
      <c r="P10" s="112" t="str">
        <f t="shared" ca="1" si="19"/>
        <v/>
      </c>
      <c r="Q10" s="112" t="str">
        <f t="shared" ca="1" si="20"/>
        <v/>
      </c>
      <c r="R10" s="112" t="str">
        <f t="shared" ca="1" si="21"/>
        <v/>
      </c>
      <c r="Y10" s="112" t="str">
        <f t="shared" ca="1" si="22"/>
        <v/>
      </c>
      <c r="Z10" s="113" t="str">
        <f t="shared" ca="1" si="23"/>
        <v/>
      </c>
      <c r="AA10" s="122" t="str">
        <f t="shared" si="24"/>
        <v/>
      </c>
      <c r="AB10" s="113" t="str">
        <f t="shared" ca="1" si="25"/>
        <v/>
      </c>
      <c r="AC10" s="113" t="str">
        <f t="shared" ca="1" si="26"/>
        <v/>
      </c>
      <c r="AD10" s="113" t="str">
        <f t="shared" ca="1" si="27"/>
        <v/>
      </c>
      <c r="AE10" s="112" t="str">
        <f t="shared" ca="1" si="28"/>
        <v/>
      </c>
      <c r="AF10" s="113" t="str">
        <f t="shared" ca="1" si="29"/>
        <v/>
      </c>
    </row>
    <row r="11" spans="1:32" ht="15" customHeight="1" x14ac:dyDescent="0.2">
      <c r="B11" s="27" t="str">
        <f t="shared" ca="1" si="5"/>
        <v/>
      </c>
      <c r="C11" s="112" t="str">
        <f t="shared" ca="1" si="6"/>
        <v/>
      </c>
      <c r="D11" s="112" t="str">
        <f t="shared" ca="1" si="7"/>
        <v/>
      </c>
      <c r="E11" s="112" t="str">
        <f t="shared" ca="1" si="8"/>
        <v/>
      </c>
      <c r="F11" s="112" t="str">
        <f t="shared" ca="1" si="9"/>
        <v/>
      </c>
      <c r="G11" s="112" t="str">
        <f t="shared" ca="1" si="10"/>
        <v/>
      </c>
      <c r="H11" s="112" t="str">
        <f t="shared" ca="1" si="11"/>
        <v/>
      </c>
      <c r="I11" s="112" t="str">
        <f t="shared" ca="1" si="12"/>
        <v/>
      </c>
      <c r="J11" s="112" t="str">
        <f t="shared" ca="1" si="13"/>
        <v/>
      </c>
      <c r="K11" s="112" t="str">
        <f t="shared" ca="1" si="14"/>
        <v/>
      </c>
      <c r="L11" s="112" t="str">
        <f t="shared" ca="1" si="15"/>
        <v/>
      </c>
      <c r="M11" s="112" t="str">
        <f t="shared" ca="1" si="16"/>
        <v/>
      </c>
      <c r="N11" s="112" t="str">
        <f t="shared" ca="1" si="17"/>
        <v/>
      </c>
      <c r="O11" s="112" t="str">
        <f t="shared" ca="1" si="18"/>
        <v/>
      </c>
      <c r="P11" s="112" t="str">
        <f t="shared" ca="1" si="19"/>
        <v/>
      </c>
      <c r="Q11" s="112" t="str">
        <f t="shared" ca="1" si="20"/>
        <v/>
      </c>
      <c r="R11" s="112" t="str">
        <f t="shared" ca="1" si="21"/>
        <v/>
      </c>
      <c r="Y11" s="112" t="str">
        <f t="shared" ca="1" si="22"/>
        <v/>
      </c>
      <c r="Z11" s="113" t="str">
        <f t="shared" ca="1" si="23"/>
        <v/>
      </c>
      <c r="AA11" s="122" t="str">
        <f t="shared" si="24"/>
        <v/>
      </c>
      <c r="AB11" s="113" t="str">
        <f t="shared" ca="1" si="25"/>
        <v/>
      </c>
      <c r="AC11" s="113" t="str">
        <f t="shared" ca="1" si="26"/>
        <v/>
      </c>
      <c r="AD11" s="113" t="str">
        <f t="shared" ca="1" si="27"/>
        <v/>
      </c>
      <c r="AE11" s="112" t="str">
        <f t="shared" ca="1" si="28"/>
        <v/>
      </c>
      <c r="AF11" s="113" t="str">
        <f t="shared" ca="1" si="29"/>
        <v/>
      </c>
    </row>
    <row r="12" spans="1:32" ht="15" customHeight="1" thickBot="1" x14ac:dyDescent="0.25">
      <c r="B12" s="107" t="str">
        <f t="shared" ca="1" si="5"/>
        <v/>
      </c>
      <c r="C12" s="123" t="str">
        <f t="shared" ca="1" si="6"/>
        <v/>
      </c>
      <c r="D12" s="123" t="str">
        <f t="shared" ca="1" si="7"/>
        <v/>
      </c>
      <c r="E12" s="123" t="str">
        <f t="shared" ca="1" si="8"/>
        <v/>
      </c>
      <c r="F12" s="123" t="str">
        <f t="shared" ca="1" si="9"/>
        <v/>
      </c>
      <c r="G12" s="123" t="str">
        <f t="shared" ca="1" si="10"/>
        <v/>
      </c>
      <c r="H12" s="123" t="str">
        <f t="shared" ca="1" si="11"/>
        <v/>
      </c>
      <c r="I12" s="123" t="str">
        <f t="shared" ca="1" si="12"/>
        <v/>
      </c>
      <c r="J12" s="123" t="str">
        <f t="shared" ca="1" si="13"/>
        <v/>
      </c>
      <c r="K12" s="123" t="str">
        <f t="shared" ca="1" si="14"/>
        <v/>
      </c>
      <c r="L12" s="123" t="str">
        <f t="shared" ca="1" si="15"/>
        <v/>
      </c>
      <c r="M12" s="123" t="str">
        <f t="shared" ca="1" si="16"/>
        <v/>
      </c>
      <c r="N12" s="123" t="str">
        <f t="shared" ca="1" si="17"/>
        <v/>
      </c>
      <c r="O12" s="123" t="str">
        <f t="shared" ca="1" si="18"/>
        <v/>
      </c>
      <c r="P12" s="123" t="str">
        <f t="shared" ca="1" si="19"/>
        <v/>
      </c>
      <c r="Q12" s="123" t="str">
        <f t="shared" ca="1" si="20"/>
        <v/>
      </c>
      <c r="R12" s="123" t="str">
        <f t="shared" ca="1" si="21"/>
        <v/>
      </c>
      <c r="Y12" s="123" t="str">
        <f t="shared" ca="1" si="22"/>
        <v/>
      </c>
      <c r="Z12" s="124" t="str">
        <f t="shared" ca="1" si="23"/>
        <v/>
      </c>
      <c r="AA12" s="122" t="str">
        <f t="shared" si="24"/>
        <v/>
      </c>
      <c r="AB12" s="124" t="str">
        <f t="shared" ca="1" si="25"/>
        <v/>
      </c>
      <c r="AC12" s="124" t="str">
        <f t="shared" ca="1" si="26"/>
        <v/>
      </c>
      <c r="AD12" s="124" t="str">
        <f t="shared" ca="1" si="27"/>
        <v/>
      </c>
      <c r="AE12" s="123" t="str">
        <f t="shared" ca="1" si="28"/>
        <v/>
      </c>
      <c r="AF12" s="124" t="str">
        <f t="shared" ca="1" si="29"/>
        <v/>
      </c>
    </row>
    <row r="13" spans="1:32" ht="15" customHeight="1" thickBot="1" x14ac:dyDescent="0.25">
      <c r="A13" s="108"/>
      <c r="B13" s="108" t="str">
        <f t="shared" ca="1" si="5"/>
        <v/>
      </c>
      <c r="C13" s="125" t="str">
        <f t="shared" ca="1" si="6"/>
        <v/>
      </c>
      <c r="D13" s="125" t="str">
        <f t="shared" ca="1" si="7"/>
        <v/>
      </c>
      <c r="E13" s="125" t="str">
        <f t="shared" ca="1" si="8"/>
        <v/>
      </c>
      <c r="F13" s="125" t="str">
        <f t="shared" ca="1" si="9"/>
        <v/>
      </c>
      <c r="G13" s="125" t="str">
        <f t="shared" ca="1" si="10"/>
        <v/>
      </c>
      <c r="H13" s="125" t="str">
        <f t="shared" ca="1" si="11"/>
        <v/>
      </c>
      <c r="I13" s="125" t="str">
        <f t="shared" ca="1" si="12"/>
        <v/>
      </c>
      <c r="J13" s="125" t="str">
        <f t="shared" ca="1" si="13"/>
        <v/>
      </c>
      <c r="K13" s="125" t="str">
        <f t="shared" ca="1" si="14"/>
        <v/>
      </c>
      <c r="L13" s="125" t="str">
        <f t="shared" ca="1" si="15"/>
        <v/>
      </c>
      <c r="M13" s="125" t="str">
        <f t="shared" ca="1" si="16"/>
        <v/>
      </c>
      <c r="N13" s="125" t="str">
        <f t="shared" ca="1" si="17"/>
        <v/>
      </c>
      <c r="O13" s="125" t="str">
        <f t="shared" ca="1" si="18"/>
        <v/>
      </c>
      <c r="P13" s="125" t="str">
        <f t="shared" ca="1" si="19"/>
        <v/>
      </c>
      <c r="Q13" s="125" t="str">
        <f t="shared" ca="1" si="20"/>
        <v/>
      </c>
      <c r="R13" s="125" t="str">
        <f t="shared" ca="1" si="21"/>
        <v/>
      </c>
      <c r="Y13" s="125" t="str">
        <f t="shared" ca="1" si="22"/>
        <v/>
      </c>
      <c r="Z13" s="126" t="str">
        <f t="shared" ca="1" si="23"/>
        <v/>
      </c>
      <c r="AA13" s="127" t="str">
        <f t="shared" si="24"/>
        <v/>
      </c>
      <c r="AB13" s="126" t="str">
        <f t="shared" ca="1" si="25"/>
        <v/>
      </c>
      <c r="AC13" s="126" t="str">
        <f t="shared" ca="1" si="26"/>
        <v/>
      </c>
      <c r="AD13" s="126" t="str">
        <f t="shared" ca="1" si="27"/>
        <v/>
      </c>
      <c r="AE13" s="125" t="str">
        <f t="shared" ca="1" si="28"/>
        <v/>
      </c>
      <c r="AF13" s="126" t="str">
        <f t="shared" ca="1" si="29"/>
        <v/>
      </c>
    </row>
    <row r="14" spans="1:32" ht="15" customHeight="1" x14ac:dyDescent="0.2">
      <c r="A14" s="109"/>
      <c r="B14" s="109"/>
      <c r="C14" s="128"/>
      <c r="D14" s="128"/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28"/>
      <c r="Q14" s="128"/>
      <c r="R14" s="128"/>
      <c r="Y14" s="128"/>
      <c r="Z14" s="129"/>
      <c r="AA14" s="130"/>
      <c r="AB14" s="131"/>
      <c r="AC14" s="131"/>
      <c r="AD14" s="131"/>
      <c r="AE14" s="128"/>
      <c r="AF14" s="131"/>
    </row>
    <row r="15" spans="1:32" ht="15" customHeight="1" x14ac:dyDescent="0.2">
      <c r="A15" s="109"/>
      <c r="B15" s="109" t="str">
        <f t="shared" ref="B15:B16" ca="1" si="30">IF(A15&lt;&gt;"",INDIRECT("'"&amp;$A15&amp;"'!E5"),"")</f>
        <v/>
      </c>
      <c r="C15" s="128" t="str">
        <f t="shared" ref="C15:C16" ca="1" si="31">IF($A15&lt;&gt;"",INDIRECT("'"&amp;$A15&amp;"'!L13"),"")</f>
        <v/>
      </c>
      <c r="D15" s="128" t="str">
        <f t="shared" ref="D15:D16" ca="1" si="32">IF($A15&lt;&gt;"",INDIRECT("'"&amp;$A15&amp;"'!L14"),"")</f>
        <v/>
      </c>
      <c r="E15" s="128" t="str">
        <f t="shared" ref="E15:E16" ca="1" si="33">IF($A15&lt;&gt;"",INDIRECT("'"&amp;$A15&amp;"'!L15"),"")</f>
        <v/>
      </c>
      <c r="F15" s="128" t="str">
        <f t="shared" ref="F15:F16" ca="1" si="34">IF($A15&lt;&gt;"",INDIRECT("'"&amp;$A15&amp;"'!L16"),"")</f>
        <v/>
      </c>
      <c r="G15" s="128" t="str">
        <f t="shared" ref="G15:G16" ca="1" si="35">IF($A15&lt;&gt;"",INDIRECT("'"&amp;$A15&amp;"'!L17"),"")</f>
        <v/>
      </c>
      <c r="H15" s="128" t="str">
        <f t="shared" ref="H15:H16" ca="1" si="36">IF($A15&lt;&gt;"",INDIRECT("'"&amp;$A15&amp;"'!L18"),"")</f>
        <v/>
      </c>
      <c r="I15" s="128" t="str">
        <f t="shared" ref="I15:I16" ca="1" si="37">IF($A15&lt;&gt;"",INDIRECT("'"&amp;$A15&amp;"'!L19"),"")</f>
        <v/>
      </c>
      <c r="J15" s="128" t="str">
        <f t="shared" ref="J15:J16" ca="1" si="38">IF($A15&lt;&gt;"",INDIRECT("'"&amp;$A15&amp;"'!L20"),"")</f>
        <v/>
      </c>
      <c r="K15" s="128" t="str">
        <f t="shared" ref="K15:K16" ca="1" si="39">IF($A15&lt;&gt;"",INDIRECT("'"&amp;$A15&amp;"'!L21"),"")</f>
        <v/>
      </c>
      <c r="L15" s="128" t="str">
        <f t="shared" ref="L15:L16" ca="1" si="40">IF($A15&lt;&gt;"",INDIRECT("'"&amp;$A15&amp;"'!L22"),"")</f>
        <v/>
      </c>
      <c r="M15" s="128" t="str">
        <f t="shared" ref="M15:M16" ca="1" si="41">IF($A15&lt;&gt;"",INDIRECT("'"&amp;$A15&amp;"'!L23"),"")</f>
        <v/>
      </c>
      <c r="N15" s="128" t="str">
        <f t="shared" ref="N15:N16" ca="1" si="42">IF($A15&lt;&gt;"",INDIRECT("'"&amp;$A15&amp;"'!L24"),"")</f>
        <v/>
      </c>
      <c r="O15" s="128" t="str">
        <f t="shared" ref="O15:O16" ca="1" si="43">IF($A15&lt;&gt;"",INDIRECT("'"&amp;$A15&amp;"'!L25"),"")</f>
        <v/>
      </c>
      <c r="P15" s="128" t="str">
        <f t="shared" ref="P15:P16" ca="1" si="44">IF($A15&lt;&gt;"",INDIRECT("'"&amp;$A15&amp;"'!L26"),"")</f>
        <v/>
      </c>
      <c r="Q15" s="128" t="str">
        <f t="shared" ref="Q15:Q16" ca="1" si="45">IF($A15&lt;&gt;"",INDIRECT("'"&amp;$A15&amp;"'!L27"),"")</f>
        <v/>
      </c>
      <c r="R15" s="128" t="str">
        <f t="shared" ref="R15:R16" ca="1" si="46">IF($A15&lt;&gt;"",INDIRECT("'"&amp;$A15&amp;"'!L28"),"")</f>
        <v/>
      </c>
      <c r="Y15" s="128" t="str">
        <f t="shared" ref="Y15:Y16" ca="1" si="47">IF($A15&lt;&gt;"",INDIRECT("'"&amp;$A15&amp;"'!L35"),"")</f>
        <v/>
      </c>
      <c r="Z15" s="131" t="str">
        <f t="shared" ref="Z15:Z16" ca="1" si="48">IF($A15&lt;&gt;"",INDIRECT("'"&amp;$A15&amp;"'!L36"),"")</f>
        <v/>
      </c>
      <c r="AA15" s="132" t="str">
        <f t="shared" ref="AA15:AA16" si="49">IF($A15&lt;&gt;"",SUM(C29:Y29)/COUNT(C15:Y15),"")</f>
        <v/>
      </c>
      <c r="AB15" s="131" t="str">
        <f t="shared" ref="AB15:AB16" ca="1" si="50">IF($A15&lt;&gt;"",INDIRECT("'"&amp;$A15&amp;"'!F36"),"")</f>
        <v/>
      </c>
      <c r="AC15" s="131" t="str">
        <f t="shared" ref="AC15:AC16" ca="1" si="51">IF($A15&lt;&gt;"",INDIRECT("'"&amp;$A15&amp;"'!H36"),"")</f>
        <v/>
      </c>
      <c r="AD15" s="131" t="str">
        <f t="shared" ref="AD15:AD16" ca="1" si="52">IF($A15&lt;&gt;"",INDIRECT("'"&amp;$A15&amp;"'!I36"),"")</f>
        <v/>
      </c>
      <c r="AE15" s="128" t="str">
        <f t="shared" ref="AE15:AE16" ca="1" si="53">IF($A15&lt;&gt;"",INDIRECT("'"&amp;$A15&amp;"'!J36"),"")</f>
        <v/>
      </c>
      <c r="AF15" s="131" t="str">
        <f t="shared" ref="AF15:AF16" ca="1" si="54">IF($A15&lt;&gt;"",INDIRECT("'"&amp;$A15&amp;"'!K36"),"")</f>
        <v/>
      </c>
    </row>
    <row r="16" spans="1:32" ht="15" customHeight="1" x14ac:dyDescent="0.2">
      <c r="A16" s="109"/>
      <c r="B16" s="109" t="str">
        <f t="shared" ca="1" si="30"/>
        <v/>
      </c>
      <c r="C16" s="128" t="str">
        <f t="shared" ca="1" si="31"/>
        <v/>
      </c>
      <c r="D16" s="128" t="str">
        <f t="shared" ca="1" si="32"/>
        <v/>
      </c>
      <c r="E16" s="128" t="str">
        <f t="shared" ca="1" si="33"/>
        <v/>
      </c>
      <c r="F16" s="128" t="str">
        <f t="shared" ca="1" si="34"/>
        <v/>
      </c>
      <c r="G16" s="128" t="str">
        <f t="shared" ca="1" si="35"/>
        <v/>
      </c>
      <c r="H16" s="128" t="str">
        <f t="shared" ca="1" si="36"/>
        <v/>
      </c>
      <c r="I16" s="128" t="str">
        <f t="shared" ca="1" si="37"/>
        <v/>
      </c>
      <c r="J16" s="128" t="str">
        <f t="shared" ca="1" si="38"/>
        <v/>
      </c>
      <c r="K16" s="128" t="str">
        <f t="shared" ca="1" si="39"/>
        <v/>
      </c>
      <c r="L16" s="128" t="str">
        <f t="shared" ca="1" si="40"/>
        <v/>
      </c>
      <c r="M16" s="128" t="str">
        <f t="shared" ca="1" si="41"/>
        <v/>
      </c>
      <c r="N16" s="128" t="str">
        <f t="shared" ca="1" si="42"/>
        <v/>
      </c>
      <c r="O16" s="128" t="str">
        <f t="shared" ca="1" si="43"/>
        <v/>
      </c>
      <c r="P16" s="128" t="str">
        <f t="shared" ca="1" si="44"/>
        <v/>
      </c>
      <c r="Q16" s="128" t="str">
        <f t="shared" ca="1" si="45"/>
        <v/>
      </c>
      <c r="R16" s="128" t="str">
        <f t="shared" ca="1" si="46"/>
        <v/>
      </c>
      <c r="Y16" s="128" t="str">
        <f t="shared" ca="1" si="47"/>
        <v/>
      </c>
      <c r="Z16" s="131" t="str">
        <f t="shared" ca="1" si="48"/>
        <v/>
      </c>
      <c r="AA16" s="132" t="str">
        <f t="shared" si="49"/>
        <v/>
      </c>
      <c r="AB16" s="131" t="str">
        <f t="shared" ca="1" si="50"/>
        <v/>
      </c>
      <c r="AC16" s="131" t="str">
        <f t="shared" ca="1" si="51"/>
        <v/>
      </c>
      <c r="AD16" s="131" t="str">
        <f t="shared" ca="1" si="52"/>
        <v/>
      </c>
      <c r="AE16" s="128" t="str">
        <f t="shared" ca="1" si="53"/>
        <v/>
      </c>
      <c r="AF16" s="131" t="str">
        <f t="shared" ca="1" si="54"/>
        <v/>
      </c>
    </row>
    <row r="17" spans="1:32" ht="15" customHeight="1" x14ac:dyDescent="0.2">
      <c r="AF17" s="100"/>
    </row>
    <row r="18" spans="1:32" ht="15" customHeight="1" x14ac:dyDescent="0.2">
      <c r="AF18" s="99"/>
    </row>
    <row r="21" spans="1:32" ht="15" hidden="1" customHeight="1" x14ac:dyDescent="0.2">
      <c r="A21" s="27" t="s">
        <v>192</v>
      </c>
    </row>
    <row r="22" spans="1:32" ht="15" hidden="1" customHeight="1" x14ac:dyDescent="0.2">
      <c r="A22" s="27">
        <f t="shared" ref="A22:B27" si="55">A8</f>
        <v>0</v>
      </c>
      <c r="B22" s="27" t="str">
        <f t="shared" ca="1" si="55"/>
        <v/>
      </c>
      <c r="C22" s="27" t="str">
        <f t="shared" ref="C22:Y22" si="56">IF($A8&lt;&gt;"",IF(ABS(C$3/3-C8)&lt;=0.75,1,0),"")</f>
        <v/>
      </c>
      <c r="D22" s="27" t="str">
        <f t="shared" si="56"/>
        <v/>
      </c>
      <c r="E22" s="27" t="str">
        <f t="shared" si="56"/>
        <v/>
      </c>
      <c r="F22" s="27" t="str">
        <f t="shared" si="56"/>
        <v/>
      </c>
      <c r="G22" s="27" t="str">
        <f t="shared" si="56"/>
        <v/>
      </c>
      <c r="H22" s="27" t="str">
        <f t="shared" si="56"/>
        <v/>
      </c>
      <c r="I22" s="27" t="str">
        <f t="shared" si="56"/>
        <v/>
      </c>
      <c r="J22" s="27" t="str">
        <f t="shared" si="56"/>
        <v/>
      </c>
      <c r="K22" s="27" t="str">
        <f t="shared" si="56"/>
        <v/>
      </c>
      <c r="L22" s="27" t="str">
        <f t="shared" si="56"/>
        <v/>
      </c>
      <c r="M22" s="27" t="str">
        <f t="shared" si="56"/>
        <v/>
      </c>
      <c r="N22" s="27" t="str">
        <f t="shared" si="56"/>
        <v/>
      </c>
      <c r="O22" s="27" t="str">
        <f t="shared" si="56"/>
        <v/>
      </c>
      <c r="P22" s="27" t="str">
        <f t="shared" si="56"/>
        <v/>
      </c>
      <c r="Q22" s="27" t="str">
        <f t="shared" si="56"/>
        <v/>
      </c>
      <c r="R22" s="27" t="str">
        <f t="shared" si="56"/>
        <v/>
      </c>
      <c r="Y22" s="27" t="str">
        <f t="shared" si="56"/>
        <v/>
      </c>
    </row>
    <row r="23" spans="1:32" ht="15" hidden="1" customHeight="1" x14ac:dyDescent="0.2">
      <c r="A23" s="27">
        <f t="shared" si="55"/>
        <v>0</v>
      </c>
      <c r="B23" s="27" t="str">
        <f t="shared" ca="1" si="55"/>
        <v/>
      </c>
      <c r="C23" s="27" t="str">
        <f t="shared" ref="C23:Y23" si="57">IF($A9&lt;&gt;"",IF(ABS(C$3/3-C9)&lt;=0.75,1,0),"")</f>
        <v/>
      </c>
      <c r="D23" s="27" t="str">
        <f t="shared" si="57"/>
        <v/>
      </c>
      <c r="E23" s="27" t="str">
        <f t="shared" si="57"/>
        <v/>
      </c>
      <c r="F23" s="27" t="str">
        <f t="shared" si="57"/>
        <v/>
      </c>
      <c r="G23" s="27" t="str">
        <f t="shared" si="57"/>
        <v/>
      </c>
      <c r="H23" s="27" t="str">
        <f t="shared" si="57"/>
        <v/>
      </c>
      <c r="I23" s="27" t="str">
        <f t="shared" si="57"/>
        <v/>
      </c>
      <c r="J23" s="27" t="str">
        <f t="shared" si="57"/>
        <v/>
      </c>
      <c r="K23" s="27" t="str">
        <f t="shared" si="57"/>
        <v/>
      </c>
      <c r="L23" s="27" t="str">
        <f t="shared" si="57"/>
        <v/>
      </c>
      <c r="M23" s="27" t="str">
        <f t="shared" si="57"/>
        <v/>
      </c>
      <c r="N23" s="27" t="str">
        <f t="shared" si="57"/>
        <v/>
      </c>
      <c r="O23" s="27" t="str">
        <f t="shared" si="57"/>
        <v/>
      </c>
      <c r="P23" s="27" t="str">
        <f t="shared" si="57"/>
        <v/>
      </c>
      <c r="Q23" s="27" t="str">
        <f t="shared" si="57"/>
        <v/>
      </c>
      <c r="R23" s="27" t="str">
        <f t="shared" si="57"/>
        <v/>
      </c>
      <c r="Y23" s="27" t="str">
        <f t="shared" si="57"/>
        <v/>
      </c>
    </row>
    <row r="24" spans="1:32" ht="15" hidden="1" customHeight="1" x14ac:dyDescent="0.2">
      <c r="A24" s="27">
        <f t="shared" si="55"/>
        <v>0</v>
      </c>
      <c r="B24" s="27" t="str">
        <f t="shared" ca="1" si="55"/>
        <v/>
      </c>
      <c r="C24" s="27" t="str">
        <f t="shared" ref="C24:Y24" si="58">IF($A10&lt;&gt;"",IF(ABS(C$3/3-C10)&lt;=0.75,1,0),"")</f>
        <v/>
      </c>
      <c r="D24" s="27" t="str">
        <f t="shared" si="58"/>
        <v/>
      </c>
      <c r="E24" s="27" t="str">
        <f t="shared" si="58"/>
        <v/>
      </c>
      <c r="F24" s="27" t="str">
        <f t="shared" si="58"/>
        <v/>
      </c>
      <c r="G24" s="27" t="str">
        <f t="shared" si="58"/>
        <v/>
      </c>
      <c r="H24" s="27" t="str">
        <f t="shared" si="58"/>
        <v/>
      </c>
      <c r="I24" s="27" t="str">
        <f t="shared" si="58"/>
        <v/>
      </c>
      <c r="J24" s="27" t="str">
        <f t="shared" si="58"/>
        <v/>
      </c>
      <c r="K24" s="27" t="str">
        <f t="shared" si="58"/>
        <v/>
      </c>
      <c r="L24" s="27" t="str">
        <f t="shared" si="58"/>
        <v/>
      </c>
      <c r="M24" s="27" t="str">
        <f t="shared" si="58"/>
        <v/>
      </c>
      <c r="N24" s="27" t="str">
        <f t="shared" si="58"/>
        <v/>
      </c>
      <c r="O24" s="27" t="str">
        <f t="shared" si="58"/>
        <v/>
      </c>
      <c r="P24" s="27" t="str">
        <f t="shared" si="58"/>
        <v/>
      </c>
      <c r="Q24" s="27" t="str">
        <f t="shared" si="58"/>
        <v/>
      </c>
      <c r="R24" s="27" t="str">
        <f t="shared" si="58"/>
        <v/>
      </c>
      <c r="Y24" s="27" t="str">
        <f t="shared" si="58"/>
        <v/>
      </c>
    </row>
    <row r="25" spans="1:32" ht="15" hidden="1" customHeight="1" x14ac:dyDescent="0.2">
      <c r="A25" s="27">
        <f t="shared" si="55"/>
        <v>0</v>
      </c>
      <c r="B25" s="27" t="str">
        <f t="shared" ca="1" si="55"/>
        <v/>
      </c>
      <c r="C25" s="27" t="str">
        <f t="shared" ref="C25:Y25" si="59">IF($A11&lt;&gt;"",IF(ABS(C$3/3-C11)&lt;=0.75,1,0),"")</f>
        <v/>
      </c>
      <c r="D25" s="27" t="str">
        <f t="shared" si="59"/>
        <v/>
      </c>
      <c r="E25" s="27" t="str">
        <f t="shared" si="59"/>
        <v/>
      </c>
      <c r="F25" s="27" t="str">
        <f t="shared" si="59"/>
        <v/>
      </c>
      <c r="G25" s="27" t="str">
        <f t="shared" si="59"/>
        <v/>
      </c>
      <c r="H25" s="27" t="str">
        <f t="shared" si="59"/>
        <v/>
      </c>
      <c r="I25" s="27" t="str">
        <f t="shared" si="59"/>
        <v/>
      </c>
      <c r="J25" s="27" t="str">
        <f t="shared" si="59"/>
        <v/>
      </c>
      <c r="K25" s="27" t="str">
        <f t="shared" si="59"/>
        <v/>
      </c>
      <c r="L25" s="27" t="str">
        <f t="shared" si="59"/>
        <v/>
      </c>
      <c r="M25" s="27" t="str">
        <f t="shared" si="59"/>
        <v/>
      </c>
      <c r="N25" s="27" t="str">
        <f t="shared" si="59"/>
        <v/>
      </c>
      <c r="O25" s="27" t="str">
        <f t="shared" si="59"/>
        <v/>
      </c>
      <c r="P25" s="27" t="str">
        <f t="shared" si="59"/>
        <v/>
      </c>
      <c r="Q25" s="27" t="str">
        <f t="shared" si="59"/>
        <v/>
      </c>
      <c r="R25" s="27" t="str">
        <f t="shared" si="59"/>
        <v/>
      </c>
      <c r="Y25" s="27" t="str">
        <f t="shared" si="59"/>
        <v/>
      </c>
    </row>
    <row r="26" spans="1:32" ht="15" hidden="1" customHeight="1" x14ac:dyDescent="0.2">
      <c r="A26" s="27">
        <f t="shared" si="55"/>
        <v>0</v>
      </c>
      <c r="B26" s="27" t="str">
        <f t="shared" ca="1" si="55"/>
        <v/>
      </c>
      <c r="C26" s="27" t="str">
        <f t="shared" ref="C26:Y26" si="60">IF($A12&lt;&gt;"",IF(ABS(C$3/3-C12)&lt;=0.75,1,0),"")</f>
        <v/>
      </c>
      <c r="D26" s="27" t="str">
        <f t="shared" si="60"/>
        <v/>
      </c>
      <c r="E26" s="27" t="str">
        <f t="shared" si="60"/>
        <v/>
      </c>
      <c r="F26" s="27" t="str">
        <f t="shared" si="60"/>
        <v/>
      </c>
      <c r="G26" s="27" t="str">
        <f t="shared" si="60"/>
        <v/>
      </c>
      <c r="H26" s="27" t="str">
        <f t="shared" si="60"/>
        <v/>
      </c>
      <c r="I26" s="27" t="str">
        <f t="shared" si="60"/>
        <v/>
      </c>
      <c r="J26" s="27" t="str">
        <f t="shared" si="60"/>
        <v/>
      </c>
      <c r="K26" s="27" t="str">
        <f t="shared" si="60"/>
        <v/>
      </c>
      <c r="L26" s="27" t="str">
        <f t="shared" si="60"/>
        <v/>
      </c>
      <c r="M26" s="27" t="str">
        <f t="shared" si="60"/>
        <v/>
      </c>
      <c r="N26" s="27" t="str">
        <f t="shared" si="60"/>
        <v/>
      </c>
      <c r="O26" s="27" t="str">
        <f t="shared" si="60"/>
        <v/>
      </c>
      <c r="P26" s="27" t="str">
        <f t="shared" si="60"/>
        <v/>
      </c>
      <c r="Q26" s="27" t="str">
        <f t="shared" si="60"/>
        <v/>
      </c>
      <c r="R26" s="27" t="str">
        <f t="shared" si="60"/>
        <v/>
      </c>
      <c r="Y26" s="27" t="str">
        <f t="shared" si="60"/>
        <v/>
      </c>
    </row>
    <row r="27" spans="1:32" ht="15" hidden="1" customHeight="1" x14ac:dyDescent="0.2">
      <c r="A27" s="27">
        <f t="shared" si="55"/>
        <v>0</v>
      </c>
      <c r="B27" s="27" t="str">
        <f t="shared" ca="1" si="55"/>
        <v/>
      </c>
      <c r="C27" s="27" t="str">
        <f t="shared" ref="C27:Y27" si="61">IF($A13&lt;&gt;"",IF(ABS(C$3/3-C13)&lt;=0.75,1,0),"")</f>
        <v/>
      </c>
      <c r="D27" s="27" t="str">
        <f t="shared" si="61"/>
        <v/>
      </c>
      <c r="E27" s="27" t="str">
        <f t="shared" si="61"/>
        <v/>
      </c>
      <c r="F27" s="27" t="str">
        <f t="shared" si="61"/>
        <v/>
      </c>
      <c r="G27" s="27" t="str">
        <f t="shared" si="61"/>
        <v/>
      </c>
      <c r="H27" s="27" t="str">
        <f t="shared" si="61"/>
        <v/>
      </c>
      <c r="I27" s="27" t="str">
        <f t="shared" si="61"/>
        <v/>
      </c>
      <c r="J27" s="27" t="str">
        <f t="shared" si="61"/>
        <v/>
      </c>
      <c r="K27" s="27" t="str">
        <f t="shared" si="61"/>
        <v/>
      </c>
      <c r="L27" s="27" t="str">
        <f t="shared" si="61"/>
        <v/>
      </c>
      <c r="M27" s="27" t="str">
        <f t="shared" si="61"/>
        <v/>
      </c>
      <c r="N27" s="27" t="str">
        <f t="shared" si="61"/>
        <v/>
      </c>
      <c r="O27" s="27" t="str">
        <f t="shared" si="61"/>
        <v/>
      </c>
      <c r="P27" s="27" t="str">
        <f t="shared" si="61"/>
        <v/>
      </c>
      <c r="Q27" s="27" t="str">
        <f t="shared" si="61"/>
        <v/>
      </c>
      <c r="R27" s="27" t="str">
        <f t="shared" si="61"/>
        <v/>
      </c>
      <c r="Y27" s="27" t="str">
        <f t="shared" si="61"/>
        <v/>
      </c>
    </row>
    <row r="28" spans="1:32" ht="15" hidden="1" customHeight="1" x14ac:dyDescent="0.2"/>
    <row r="29" spans="1:32" ht="15" hidden="1" customHeight="1" x14ac:dyDescent="0.2">
      <c r="A29" s="27">
        <f>A15</f>
        <v>0</v>
      </c>
      <c r="B29" s="27" t="str">
        <f ca="1">B15</f>
        <v/>
      </c>
      <c r="C29" s="27" t="str">
        <f t="shared" ref="C29:Y29" si="62">IF($A15&lt;&gt;"",IF(ABS(C$3/3-C15)&lt;=0.75,1,0),"")</f>
        <v/>
      </c>
      <c r="D29" s="27" t="str">
        <f t="shared" si="62"/>
        <v/>
      </c>
      <c r="E29" s="27" t="str">
        <f t="shared" si="62"/>
        <v/>
      </c>
      <c r="F29" s="27" t="str">
        <f t="shared" si="62"/>
        <v/>
      </c>
      <c r="G29" s="27" t="str">
        <f t="shared" si="62"/>
        <v/>
      </c>
      <c r="H29" s="27" t="str">
        <f t="shared" si="62"/>
        <v/>
      </c>
      <c r="I29" s="27" t="str">
        <f t="shared" si="62"/>
        <v/>
      </c>
      <c r="J29" s="27" t="str">
        <f t="shared" si="62"/>
        <v/>
      </c>
      <c r="K29" s="27" t="str">
        <f t="shared" si="62"/>
        <v/>
      </c>
      <c r="L29" s="27" t="str">
        <f t="shared" si="62"/>
        <v/>
      </c>
      <c r="M29" s="27" t="str">
        <f t="shared" si="62"/>
        <v/>
      </c>
      <c r="N29" s="27" t="str">
        <f t="shared" si="62"/>
        <v/>
      </c>
      <c r="O29" s="27" t="str">
        <f t="shared" si="62"/>
        <v/>
      </c>
      <c r="P29" s="27" t="str">
        <f t="shared" si="62"/>
        <v/>
      </c>
      <c r="Q29" s="27" t="str">
        <f t="shared" si="62"/>
        <v/>
      </c>
      <c r="R29" s="27" t="str">
        <f t="shared" si="62"/>
        <v/>
      </c>
      <c r="Y29" s="27" t="str">
        <f t="shared" si="62"/>
        <v/>
      </c>
    </row>
    <row r="30" spans="1:32" ht="15" hidden="1" customHeight="1" x14ac:dyDescent="0.2">
      <c r="A30" s="27">
        <f>A16</f>
        <v>0</v>
      </c>
      <c r="B30" s="27" t="str">
        <f ca="1">B16</f>
        <v/>
      </c>
      <c r="C30" s="27" t="str">
        <f t="shared" ref="C30:Y30" si="63">IF($A16&lt;&gt;"",IF(ABS(C$3/3-C16)&lt;=0.75,1,0),"")</f>
        <v/>
      </c>
      <c r="D30" s="27" t="str">
        <f t="shared" si="63"/>
        <v/>
      </c>
      <c r="E30" s="27" t="str">
        <f t="shared" si="63"/>
        <v/>
      </c>
      <c r="F30" s="27" t="str">
        <f t="shared" si="63"/>
        <v/>
      </c>
      <c r="G30" s="27" t="str">
        <f t="shared" si="63"/>
        <v/>
      </c>
      <c r="H30" s="27" t="str">
        <f t="shared" si="63"/>
        <v/>
      </c>
      <c r="I30" s="27" t="str">
        <f t="shared" si="63"/>
        <v/>
      </c>
      <c r="J30" s="27" t="str">
        <f t="shared" si="63"/>
        <v/>
      </c>
      <c r="K30" s="27" t="str">
        <f t="shared" si="63"/>
        <v/>
      </c>
      <c r="L30" s="27" t="str">
        <f t="shared" si="63"/>
        <v/>
      </c>
      <c r="M30" s="27" t="str">
        <f t="shared" si="63"/>
        <v/>
      </c>
      <c r="N30" s="27" t="str">
        <f t="shared" si="63"/>
        <v/>
      </c>
      <c r="O30" s="27" t="str">
        <f t="shared" si="63"/>
        <v/>
      </c>
      <c r="P30" s="27" t="str">
        <f t="shared" si="63"/>
        <v/>
      </c>
      <c r="Q30" s="27" t="str">
        <f t="shared" si="63"/>
        <v/>
      </c>
      <c r="R30" s="27" t="str">
        <f t="shared" si="63"/>
        <v/>
      </c>
      <c r="Y30" s="27" t="str">
        <f t="shared" si="63"/>
        <v/>
      </c>
    </row>
  </sheetData>
  <sheetProtection selectLockedCells="1" selectUnlockedCells="1"/>
  <mergeCells count="4">
    <mergeCell ref="A3:B3"/>
    <mergeCell ref="A5:B5"/>
    <mergeCell ref="A6:B6"/>
    <mergeCell ref="A4:B4"/>
  </mergeCells>
  <conditionalFormatting sqref="C4:R4 Y4">
    <cfRule type="expression" dxfId="85" priority="25">
      <formula>C4&gt;3</formula>
    </cfRule>
    <cfRule type="expression" dxfId="84" priority="26">
      <formula>AND(C4&gt;2,C4&lt;=3)</formula>
    </cfRule>
    <cfRule type="expression" dxfId="83" priority="27">
      <formula>AND(C4&gt;1,C4&lt;=2)</formula>
    </cfRule>
    <cfRule type="expression" dxfId="82" priority="30">
      <formula>C4&lt;=1</formula>
    </cfRule>
  </conditionalFormatting>
  <conditionalFormatting sqref="C8:R10 C12:R13 Y12:Y13 Y8:Y10">
    <cfRule type="expression" dxfId="81" priority="19">
      <formula>C$3/3-C8&lt;-0.75</formula>
    </cfRule>
    <cfRule type="expression" dxfId="80" priority="20">
      <formula>C$3/3-C8&gt;0.75</formula>
    </cfRule>
  </conditionalFormatting>
  <conditionalFormatting sqref="C11:D11">
    <cfRule type="expression" dxfId="79" priority="17">
      <formula>C$3/3-C11&lt;-0.75</formula>
    </cfRule>
    <cfRule type="expression" dxfId="78" priority="18">
      <formula>C$3/3-C11&gt;0.75</formula>
    </cfRule>
  </conditionalFormatting>
  <conditionalFormatting sqref="E11:R11 Y11">
    <cfRule type="expression" dxfId="77" priority="15">
      <formula>E$3/3-E11&lt;-0.75</formula>
    </cfRule>
    <cfRule type="expression" dxfId="76" priority="16">
      <formula>E$3/3-E11&gt;0.75</formula>
    </cfRule>
  </conditionalFormatting>
  <pageMargins left="0.7" right="0.7" top="0.78740157499999996" bottom="0.78740157499999996" header="0.3" footer="0.3"/>
  <pageSetup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Tabelle15"/>
  <dimension ref="A1:AS30"/>
  <sheetViews>
    <sheetView zoomScaleNormal="100" workbookViewId="0"/>
  </sheetViews>
  <sheetFormatPr baseColWidth="10" defaultColWidth="11.5703125" defaultRowHeight="12.75" x14ac:dyDescent="0.2"/>
  <cols>
    <col min="1" max="1" width="11.7109375" style="27" customWidth="1"/>
    <col min="2" max="2" width="22.7109375" style="27" customWidth="1"/>
    <col min="3" max="18" width="5.7109375" style="27" customWidth="1"/>
    <col min="19" max="24" width="5.7109375" style="27" hidden="1" customWidth="1"/>
    <col min="25" max="25" width="5.7109375" style="27" customWidth="1"/>
    <col min="26" max="27" width="6.7109375" style="27" customWidth="1"/>
    <col min="28" max="32" width="5.7109375" style="27" customWidth="1"/>
    <col min="33" max="16384" width="11.5703125" style="27"/>
  </cols>
  <sheetData>
    <row r="1" spans="1:45" ht="15" customHeight="1" x14ac:dyDescent="0.2">
      <c r="A1" s="27" t="str">
        <f>Doku!B46&amp;":"</f>
        <v>Paarung:</v>
      </c>
      <c r="B1" s="101" t="e">
        <f ca="1">INDIRECT("'"&amp;$A8&amp;"'!D8") &amp; "-" &amp; INDIRECT("'"&amp;$A8&amp;"'!D9") &amp; " (" &amp; INDIRECT("'"&amp;$A8&amp;"'!L8") &amp;")"</f>
        <v>#REF!</v>
      </c>
      <c r="Z1" s="110"/>
      <c r="AA1" s="110"/>
      <c r="AF1" s="103"/>
    </row>
    <row r="2" spans="1:45" ht="127.9" customHeight="1" x14ac:dyDescent="0.2">
      <c r="A2" s="104" t="str">
        <f>Doku!B44</f>
        <v>Position</v>
      </c>
      <c r="B2" s="104" t="str">
        <f>Doku!B50</f>
        <v>Name</v>
      </c>
      <c r="C2" s="98" t="str">
        <f>Doku!B51</f>
        <v>Angrüßen</v>
      </c>
      <c r="D2" s="98" t="s">
        <v>48</v>
      </c>
      <c r="E2" s="98" t="s">
        <v>49</v>
      </c>
      <c r="F2" s="98" t="s">
        <v>50</v>
      </c>
      <c r="G2" s="98" t="s">
        <v>51</v>
      </c>
      <c r="H2" s="98" t="s">
        <v>52</v>
      </c>
      <c r="I2" s="98" t="s">
        <v>54</v>
      </c>
      <c r="J2" s="98" t="s">
        <v>55</v>
      </c>
      <c r="K2" s="98" t="s">
        <v>56</v>
      </c>
      <c r="L2" s="98" t="s">
        <v>57</v>
      </c>
      <c r="M2" s="98" t="s">
        <v>58</v>
      </c>
      <c r="N2" s="98" t="s">
        <v>60</v>
      </c>
      <c r="O2" s="98" t="s">
        <v>61</v>
      </c>
      <c r="P2" s="98" t="s">
        <v>62</v>
      </c>
      <c r="Q2" s="98" t="s">
        <v>63</v>
      </c>
      <c r="R2" s="98" t="s">
        <v>64</v>
      </c>
      <c r="Y2" s="98" t="str">
        <f>Doku!B52</f>
        <v>Abgrüßen</v>
      </c>
      <c r="Z2" s="111" t="str">
        <f>Doku!B42</f>
        <v>Gesamt</v>
      </c>
      <c r="AA2" s="111" t="s">
        <v>191</v>
      </c>
      <c r="AB2" s="98" t="str">
        <f>Doku!B38</f>
        <v>Kleiner Fehler</v>
      </c>
      <c r="AC2" s="98" t="str">
        <f>Doku!B39</f>
        <v>Mittlerer Fehler</v>
      </c>
      <c r="AD2" s="98" t="str">
        <f>Doku!B40</f>
        <v>Großer Fehler</v>
      </c>
      <c r="AE2" s="98" t="str">
        <f>Doku!B53</f>
        <v>Korrektur</v>
      </c>
      <c r="AF2" s="98" t="str">
        <f>Doku!B41</f>
        <v>Technik vergessen</v>
      </c>
      <c r="AG2" s="98"/>
      <c r="AH2" s="98"/>
      <c r="AI2" s="98"/>
      <c r="AJ2" s="98"/>
      <c r="AK2" s="98"/>
      <c r="AL2" s="98"/>
      <c r="AM2" s="98"/>
      <c r="AN2" s="98"/>
      <c r="AO2" s="98"/>
      <c r="AP2" s="98"/>
      <c r="AQ2" s="98"/>
      <c r="AR2" s="98"/>
      <c r="AS2" s="98"/>
    </row>
    <row r="3" spans="1:45" ht="15" customHeight="1" x14ac:dyDescent="0.2">
      <c r="A3" s="388" t="s">
        <v>232</v>
      </c>
      <c r="B3" s="388"/>
      <c r="C3" s="264">
        <f ca="1">IF(COUNTIF(C8:C12,"")&gt;0,SUM(C8:C12),SUM(C8:C12)-MAX(C8:C12)-MIN(C8:C12))</f>
        <v>0</v>
      </c>
      <c r="D3" s="264">
        <f t="shared" ref="D3:Y3" ca="1" si="0">IF(COUNTIF(D8:D12,"")&gt;0,SUM(D8:D12),SUM(D8:D12)-MAX(D8:D12)-MIN(D8:D12))</f>
        <v>0</v>
      </c>
      <c r="E3" s="264">
        <f t="shared" ca="1" si="0"/>
        <v>0</v>
      </c>
      <c r="F3" s="264">
        <f t="shared" ca="1" si="0"/>
        <v>0</v>
      </c>
      <c r="G3" s="264">
        <f t="shared" ca="1" si="0"/>
        <v>0</v>
      </c>
      <c r="H3" s="264">
        <f t="shared" ca="1" si="0"/>
        <v>0</v>
      </c>
      <c r="I3" s="264">
        <f t="shared" ca="1" si="0"/>
        <v>0</v>
      </c>
      <c r="J3" s="264">
        <f t="shared" ca="1" si="0"/>
        <v>0</v>
      </c>
      <c r="K3" s="264">
        <f t="shared" ca="1" si="0"/>
        <v>0</v>
      </c>
      <c r="L3" s="264">
        <f t="shared" ca="1" si="0"/>
        <v>0</v>
      </c>
      <c r="M3" s="264">
        <f t="shared" ca="1" si="0"/>
        <v>0</v>
      </c>
      <c r="N3" s="264">
        <f t="shared" ca="1" si="0"/>
        <v>0</v>
      </c>
      <c r="O3" s="264">
        <f t="shared" ca="1" si="0"/>
        <v>0</v>
      </c>
      <c r="P3" s="264">
        <f t="shared" ca="1" si="0"/>
        <v>0</v>
      </c>
      <c r="Q3" s="264">
        <f t="shared" ca="1" si="0"/>
        <v>0</v>
      </c>
      <c r="R3" s="264">
        <f t="shared" ca="1" si="0"/>
        <v>0</v>
      </c>
      <c r="Y3" s="264">
        <f t="shared" ca="1" si="0"/>
        <v>0</v>
      </c>
      <c r="Z3" s="265">
        <f ca="1">IF(SUM(AF8:AF12)&gt;0,SUM(C3:Y3)/2,SUM(C3:Y3))</f>
        <v>0</v>
      </c>
      <c r="AA3" s="266"/>
      <c r="AB3" s="265">
        <f t="shared" ref="AB3:AF3" ca="1" si="1">IF(COUNTIF(AB8:AB12,"")&gt;0,SUM(AB8:AB12),SUM(AB8:AB12)-MAX(AB8:AB12)-MIN(AB8:AB12))</f>
        <v>0</v>
      </c>
      <c r="AC3" s="265">
        <f t="shared" ca="1" si="1"/>
        <v>0</v>
      </c>
      <c r="AD3" s="265">
        <f t="shared" ca="1" si="1"/>
        <v>0</v>
      </c>
      <c r="AE3" s="264">
        <f t="shared" ca="1" si="1"/>
        <v>0</v>
      </c>
      <c r="AF3" s="265">
        <f t="shared" ca="1" si="1"/>
        <v>0</v>
      </c>
    </row>
    <row r="4" spans="1:45" ht="15" customHeight="1" x14ac:dyDescent="0.2">
      <c r="A4" s="389" t="str">
        <f>Doku!B49&amp;":"</f>
        <v>Spannweite:</v>
      </c>
      <c r="B4" s="389"/>
      <c r="C4" s="112">
        <f t="shared" ref="C4:R4" ca="1" si="2">MAX(C8:C12)-MIN(C8:C12)</f>
        <v>0</v>
      </c>
      <c r="D4" s="112">
        <f t="shared" ca="1" si="2"/>
        <v>0</v>
      </c>
      <c r="E4" s="112">
        <f t="shared" ca="1" si="2"/>
        <v>0</v>
      </c>
      <c r="F4" s="112">
        <f t="shared" ca="1" si="2"/>
        <v>0</v>
      </c>
      <c r="G4" s="112">
        <f t="shared" ca="1" si="2"/>
        <v>0</v>
      </c>
      <c r="H4" s="112">
        <f t="shared" ca="1" si="2"/>
        <v>0</v>
      </c>
      <c r="I4" s="112">
        <f t="shared" ca="1" si="2"/>
        <v>0</v>
      </c>
      <c r="J4" s="112">
        <f t="shared" ca="1" si="2"/>
        <v>0</v>
      </c>
      <c r="K4" s="112">
        <f t="shared" ca="1" si="2"/>
        <v>0</v>
      </c>
      <c r="L4" s="112">
        <f t="shared" ca="1" si="2"/>
        <v>0</v>
      </c>
      <c r="M4" s="112">
        <f t="shared" ca="1" si="2"/>
        <v>0</v>
      </c>
      <c r="N4" s="112">
        <f t="shared" ca="1" si="2"/>
        <v>0</v>
      </c>
      <c r="O4" s="112">
        <f t="shared" ca="1" si="2"/>
        <v>0</v>
      </c>
      <c r="P4" s="112">
        <f t="shared" ca="1" si="2"/>
        <v>0</v>
      </c>
      <c r="Q4" s="112">
        <f t="shared" ca="1" si="2"/>
        <v>0</v>
      </c>
      <c r="R4" s="112">
        <f t="shared" ca="1" si="2"/>
        <v>0</v>
      </c>
      <c r="Y4" s="112">
        <f ca="1">MAX(Y8:Y12)-MIN(Y8:Y12)</f>
        <v>0</v>
      </c>
      <c r="Z4" s="113">
        <f ca="1">MAX(Z8:Z12)-MIN(Z8:Z12)</f>
        <v>0</v>
      </c>
      <c r="AA4" s="114"/>
      <c r="AB4" s="113">
        <f ca="1">MAX(AB8:AB12)-MIN(AB8:AB12)</f>
        <v>0</v>
      </c>
      <c r="AC4" s="113">
        <f ca="1">MAX(AC8:AC12)-MIN(AC8:AC12)</f>
        <v>0</v>
      </c>
      <c r="AD4" s="113">
        <f ca="1">MAX(AD8:AD12)-MIN(AD8:AD12)</f>
        <v>0</v>
      </c>
      <c r="AE4" s="112">
        <f ca="1">MAX(AE8:AE12)-MIN(AE8:AE12)</f>
        <v>0</v>
      </c>
      <c r="AF4" s="113">
        <f ca="1">MAX(AF8:AF12)-MIN(AF8:AF12)</f>
        <v>0</v>
      </c>
    </row>
    <row r="5" spans="1:45" ht="15" customHeight="1" x14ac:dyDescent="0.2">
      <c r="A5" s="389" t="str">
        <f>Doku!B47&amp;":"</f>
        <v>Mittelwert:</v>
      </c>
      <c r="B5" s="389"/>
      <c r="C5" s="112">
        <f ca="1">C3/3</f>
        <v>0</v>
      </c>
      <c r="D5" s="112">
        <f t="shared" ref="D5:AF5" ca="1" si="3">D3/3</f>
        <v>0</v>
      </c>
      <c r="E5" s="112">
        <f t="shared" ca="1" si="3"/>
        <v>0</v>
      </c>
      <c r="F5" s="112">
        <f t="shared" ca="1" si="3"/>
        <v>0</v>
      </c>
      <c r="G5" s="112">
        <f t="shared" ca="1" si="3"/>
        <v>0</v>
      </c>
      <c r="H5" s="112">
        <f t="shared" ca="1" si="3"/>
        <v>0</v>
      </c>
      <c r="I5" s="112">
        <f t="shared" ca="1" si="3"/>
        <v>0</v>
      </c>
      <c r="J5" s="112">
        <f t="shared" ca="1" si="3"/>
        <v>0</v>
      </c>
      <c r="K5" s="112">
        <f t="shared" ca="1" si="3"/>
        <v>0</v>
      </c>
      <c r="L5" s="112">
        <f t="shared" ca="1" si="3"/>
        <v>0</v>
      </c>
      <c r="M5" s="112">
        <f t="shared" ca="1" si="3"/>
        <v>0</v>
      </c>
      <c r="N5" s="112">
        <f t="shared" ca="1" si="3"/>
        <v>0</v>
      </c>
      <c r="O5" s="112">
        <f t="shared" ca="1" si="3"/>
        <v>0</v>
      </c>
      <c r="P5" s="112">
        <f t="shared" ca="1" si="3"/>
        <v>0</v>
      </c>
      <c r="Q5" s="112">
        <f t="shared" ca="1" si="3"/>
        <v>0</v>
      </c>
      <c r="R5" s="112">
        <f t="shared" ca="1" si="3"/>
        <v>0</v>
      </c>
      <c r="Y5" s="112">
        <f t="shared" ca="1" si="3"/>
        <v>0</v>
      </c>
      <c r="Z5" s="113">
        <f t="shared" ca="1" si="3"/>
        <v>0</v>
      </c>
      <c r="AA5" s="115"/>
      <c r="AB5" s="113">
        <f t="shared" ca="1" si="3"/>
        <v>0</v>
      </c>
      <c r="AC5" s="113">
        <f t="shared" ca="1" si="3"/>
        <v>0</v>
      </c>
      <c r="AD5" s="113">
        <f t="shared" ca="1" si="3"/>
        <v>0</v>
      </c>
      <c r="AE5" s="112">
        <f t="shared" ca="1" si="3"/>
        <v>0</v>
      </c>
      <c r="AF5" s="113">
        <f t="shared" ca="1" si="3"/>
        <v>0</v>
      </c>
    </row>
    <row r="6" spans="1:45" ht="15" hidden="1" customHeight="1" x14ac:dyDescent="0.2">
      <c r="A6" s="389"/>
      <c r="B6" s="389"/>
      <c r="C6" s="112"/>
      <c r="D6" s="112"/>
      <c r="E6" s="112"/>
      <c r="F6" s="112"/>
      <c r="G6" s="112"/>
      <c r="H6" s="112"/>
      <c r="I6" s="112"/>
      <c r="J6" s="112"/>
      <c r="K6" s="112"/>
      <c r="L6" s="112"/>
      <c r="M6" s="112"/>
      <c r="N6" s="112"/>
      <c r="O6" s="112"/>
      <c r="P6" s="112"/>
      <c r="Q6" s="112"/>
      <c r="R6" s="112"/>
      <c r="Y6" s="112"/>
      <c r="Z6" s="116"/>
      <c r="AA6" s="117"/>
      <c r="AB6" s="116"/>
      <c r="AC6" s="116"/>
      <c r="AD6" s="116"/>
      <c r="AE6" s="112"/>
      <c r="AF6" s="116"/>
    </row>
    <row r="7" spans="1:45" ht="15" customHeight="1" x14ac:dyDescent="0.2">
      <c r="A7" s="106"/>
      <c r="B7" s="106" t="str">
        <f ca="1">IF(A7&lt;&gt;"",INDIRECT("'"&amp;$A7&amp;"'!E5"),"")</f>
        <v/>
      </c>
      <c r="C7" s="118" t="str">
        <f ca="1">IF($A7&lt;&gt;"",INDIRECT("'"&amp;$A7&amp;"'!L13"),"")</f>
        <v/>
      </c>
      <c r="D7" s="118" t="str">
        <f ca="1">IF($A7&lt;&gt;"",INDIRECT("'"&amp;$A7&amp;"'!L14"),"")</f>
        <v/>
      </c>
      <c r="E7" s="118" t="str">
        <f ca="1">IF($A7&lt;&gt;"",INDIRECT("'"&amp;$A7&amp;"'!L15"),"")</f>
        <v/>
      </c>
      <c r="F7" s="118" t="str">
        <f ca="1">IF($A7&lt;&gt;"",INDIRECT("'"&amp;$A7&amp;"'!L16"),"")</f>
        <v/>
      </c>
      <c r="G7" s="118" t="str">
        <f ca="1">IF($A7&lt;&gt;"",INDIRECT("'"&amp;$A7&amp;"'!L17"),"")</f>
        <v/>
      </c>
      <c r="H7" s="118" t="str">
        <f ca="1">IF($A7&lt;&gt;"",INDIRECT("'"&amp;$A7&amp;"'!L18"),"")</f>
        <v/>
      </c>
      <c r="I7" s="118" t="str">
        <f ca="1">IF($A7&lt;&gt;"",INDIRECT("'"&amp;$A7&amp;"'!L19"),"")</f>
        <v/>
      </c>
      <c r="J7" s="118" t="str">
        <f ca="1">IF($A7&lt;&gt;"",INDIRECT("'"&amp;$A7&amp;"'!L20"),"")</f>
        <v/>
      </c>
      <c r="K7" s="118" t="str">
        <f ca="1">IF($A7&lt;&gt;"",INDIRECT("'"&amp;$A7&amp;"'!L21"),"")</f>
        <v/>
      </c>
      <c r="L7" s="118" t="str">
        <f ca="1">IF($A7&lt;&gt;"",INDIRECT("'"&amp;$A7&amp;"'!L22"),"")</f>
        <v/>
      </c>
      <c r="M7" s="118" t="str">
        <f ca="1">IF($A7&lt;&gt;"",INDIRECT("'"&amp;$A7&amp;"'!L23"),"")</f>
        <v/>
      </c>
      <c r="N7" s="118" t="str">
        <f ca="1">IF($A7&lt;&gt;"",INDIRECT("'"&amp;$A7&amp;"'!L24"),"")</f>
        <v/>
      </c>
      <c r="O7" s="118" t="str">
        <f ca="1">IF($A7&lt;&gt;"",INDIRECT("'"&amp;$A7&amp;"'!L25"),"")</f>
        <v/>
      </c>
      <c r="P7" s="118" t="str">
        <f ca="1">IF($A7&lt;&gt;"",INDIRECT("'"&amp;$A7&amp;"'!L26"),"")</f>
        <v/>
      </c>
      <c r="Q7" s="118" t="str">
        <f ca="1">IF($A7&lt;&gt;"",INDIRECT("'"&amp;$A7&amp;"'!L27"),"")</f>
        <v/>
      </c>
      <c r="R7" s="118" t="str">
        <f ca="1">IF($A7&lt;&gt;"",INDIRECT("'"&amp;$A7&amp;"'!L28"),"")</f>
        <v/>
      </c>
      <c r="Y7" s="118" t="str">
        <f ca="1">IF($A7&lt;&gt;"",INDIRECT("'"&amp;$A7&amp;"'!L35"),"")</f>
        <v/>
      </c>
      <c r="Z7" s="119" t="str">
        <f ca="1">IF($A7&lt;&gt;"",INDIRECT("'"&amp;$A7&amp;"'!L36"),"")</f>
        <v/>
      </c>
      <c r="AA7" s="120" t="str">
        <f t="shared" ref="AA7:AA13" si="4">IF($A7&lt;&gt;"",SUM(C21:Y21)/COUNT(C7:Y7),"")</f>
        <v/>
      </c>
      <c r="AB7" s="119" t="str">
        <f ca="1">IF($A7&lt;&gt;"",INDIRECT("'"&amp;$A7&amp;"'!F36"),"")</f>
        <v/>
      </c>
      <c r="AC7" s="119" t="str">
        <f ca="1">IF($A7&lt;&gt;"",INDIRECT("'"&amp;$A7&amp;"'!H36"),"")</f>
        <v/>
      </c>
      <c r="AD7" s="119" t="str">
        <f ca="1">IF($A7&lt;&gt;"",INDIRECT("'"&amp;$A7&amp;"'!I36"),"")</f>
        <v/>
      </c>
      <c r="AE7" s="118" t="str">
        <f ca="1">IF($A7&lt;&gt;"",INDIRECT("'"&amp;$A7&amp;"'!J36"),"")</f>
        <v/>
      </c>
      <c r="AF7" s="119" t="str">
        <f ca="1">IF($A7&lt;&gt;"",INDIRECT("'"&amp;$A7&amp;"'!K36"),"")</f>
        <v/>
      </c>
    </row>
    <row r="8" spans="1:45" ht="15" customHeight="1" x14ac:dyDescent="0.2">
      <c r="B8" s="27" t="str">
        <f t="shared" ref="B8:B13" ca="1" si="5">IF(A8&lt;&gt;"",INDIRECT("'"&amp;$A8&amp;"'!E5"),"")</f>
        <v/>
      </c>
      <c r="C8" s="112" t="str">
        <f t="shared" ref="C8:C13" ca="1" si="6">IF($A8&lt;&gt;"",INDIRECT("'"&amp;$A8&amp;"'!L13"),"")</f>
        <v/>
      </c>
      <c r="D8" s="112" t="str">
        <f t="shared" ref="D8:D13" ca="1" si="7">IF($A8&lt;&gt;"",INDIRECT("'"&amp;$A8&amp;"'!L14"),"")</f>
        <v/>
      </c>
      <c r="E8" s="112" t="str">
        <f t="shared" ref="E8:E13" ca="1" si="8">IF($A8&lt;&gt;"",INDIRECT("'"&amp;$A8&amp;"'!L15"),"")</f>
        <v/>
      </c>
      <c r="F8" s="112" t="str">
        <f t="shared" ref="F8:F13" ca="1" si="9">IF($A8&lt;&gt;"",INDIRECT("'"&amp;$A8&amp;"'!L16"),"")</f>
        <v/>
      </c>
      <c r="G8" s="112" t="str">
        <f t="shared" ref="G8:G13" ca="1" si="10">IF($A8&lt;&gt;"",INDIRECT("'"&amp;$A8&amp;"'!L17"),"")</f>
        <v/>
      </c>
      <c r="H8" s="112" t="str">
        <f t="shared" ref="H8:H13" ca="1" si="11">IF($A8&lt;&gt;"",INDIRECT("'"&amp;$A8&amp;"'!L18"),"")</f>
        <v/>
      </c>
      <c r="I8" s="112" t="str">
        <f t="shared" ref="I8:I13" ca="1" si="12">IF($A8&lt;&gt;"",INDIRECT("'"&amp;$A8&amp;"'!L19"),"")</f>
        <v/>
      </c>
      <c r="J8" s="112" t="str">
        <f t="shared" ref="J8:J13" ca="1" si="13">IF($A8&lt;&gt;"",INDIRECT("'"&amp;$A8&amp;"'!L20"),"")</f>
        <v/>
      </c>
      <c r="K8" s="112" t="str">
        <f t="shared" ref="K8:K13" ca="1" si="14">IF($A8&lt;&gt;"",INDIRECT("'"&amp;$A8&amp;"'!L21"),"")</f>
        <v/>
      </c>
      <c r="L8" s="112" t="str">
        <f t="shared" ref="L8:L13" ca="1" si="15">IF($A8&lt;&gt;"",INDIRECT("'"&amp;$A8&amp;"'!L22"),"")</f>
        <v/>
      </c>
      <c r="M8" s="112" t="str">
        <f t="shared" ref="M8:M13" ca="1" si="16">IF($A8&lt;&gt;"",INDIRECT("'"&amp;$A8&amp;"'!L23"),"")</f>
        <v/>
      </c>
      <c r="N8" s="112" t="str">
        <f t="shared" ref="N8:N13" ca="1" si="17">IF($A8&lt;&gt;"",INDIRECT("'"&amp;$A8&amp;"'!L24"),"")</f>
        <v/>
      </c>
      <c r="O8" s="112" t="str">
        <f t="shared" ref="O8:O13" ca="1" si="18">IF($A8&lt;&gt;"",INDIRECT("'"&amp;$A8&amp;"'!L25"),"")</f>
        <v/>
      </c>
      <c r="P8" s="112" t="str">
        <f t="shared" ref="P8:P13" ca="1" si="19">IF($A8&lt;&gt;"",INDIRECT("'"&amp;$A8&amp;"'!L26"),"")</f>
        <v/>
      </c>
      <c r="Q8" s="112" t="str">
        <f t="shared" ref="Q8:Q13" ca="1" si="20">IF($A8&lt;&gt;"",INDIRECT("'"&amp;$A8&amp;"'!L27"),"")</f>
        <v/>
      </c>
      <c r="R8" s="112" t="str">
        <f t="shared" ref="R8:R13" ca="1" si="21">IF($A8&lt;&gt;"",INDIRECT("'"&amp;$A8&amp;"'!L28"),"")</f>
        <v/>
      </c>
      <c r="Y8" s="112" t="str">
        <f t="shared" ref="Y8:Y13" ca="1" si="22">IF($A8&lt;&gt;"",INDIRECT("'"&amp;$A8&amp;"'!L35"),"")</f>
        <v/>
      </c>
      <c r="Z8" s="113" t="str">
        <f t="shared" ref="Z8:Z13" ca="1" si="23">IF($A8&lt;&gt;"",INDIRECT("'"&amp;$A8&amp;"'!L36"),"")</f>
        <v/>
      </c>
      <c r="AA8" s="121" t="str">
        <f t="shared" si="4"/>
        <v/>
      </c>
      <c r="AB8" s="113" t="str">
        <f t="shared" ref="AB8:AB13" ca="1" si="24">IF($A8&lt;&gt;"",INDIRECT("'"&amp;$A8&amp;"'!F36"),"")</f>
        <v/>
      </c>
      <c r="AC8" s="113" t="str">
        <f t="shared" ref="AC8:AC13" ca="1" si="25">IF($A8&lt;&gt;"",INDIRECT("'"&amp;$A8&amp;"'!H36"),"")</f>
        <v/>
      </c>
      <c r="AD8" s="113" t="str">
        <f t="shared" ref="AD8:AD13" ca="1" si="26">IF($A8&lt;&gt;"",INDIRECT("'"&amp;$A8&amp;"'!I36"),"")</f>
        <v/>
      </c>
      <c r="AE8" s="112" t="str">
        <f t="shared" ref="AE8:AE13" ca="1" si="27">IF($A8&lt;&gt;"",INDIRECT("'"&amp;$A8&amp;"'!J36"),"")</f>
        <v/>
      </c>
      <c r="AF8" s="113" t="str">
        <f t="shared" ref="AF8:AF13" ca="1" si="28">IF($A8&lt;&gt;"",INDIRECT("'"&amp;$A8&amp;"'!K36"),"")</f>
        <v/>
      </c>
    </row>
    <row r="9" spans="1:45" ht="15" customHeight="1" x14ac:dyDescent="0.2">
      <c r="B9" s="27" t="str">
        <f t="shared" ca="1" si="5"/>
        <v/>
      </c>
      <c r="C9" s="112" t="str">
        <f t="shared" ca="1" si="6"/>
        <v/>
      </c>
      <c r="D9" s="112" t="str">
        <f t="shared" ca="1" si="7"/>
        <v/>
      </c>
      <c r="E9" s="112" t="str">
        <f t="shared" ca="1" si="8"/>
        <v/>
      </c>
      <c r="F9" s="112" t="str">
        <f t="shared" ca="1" si="9"/>
        <v/>
      </c>
      <c r="G9" s="112" t="str">
        <f t="shared" ca="1" si="10"/>
        <v/>
      </c>
      <c r="H9" s="112" t="str">
        <f t="shared" ca="1" si="11"/>
        <v/>
      </c>
      <c r="I9" s="112" t="str">
        <f t="shared" ca="1" si="12"/>
        <v/>
      </c>
      <c r="J9" s="112" t="str">
        <f t="shared" ca="1" si="13"/>
        <v/>
      </c>
      <c r="K9" s="112" t="str">
        <f t="shared" ca="1" si="14"/>
        <v/>
      </c>
      <c r="L9" s="112" t="str">
        <f t="shared" ca="1" si="15"/>
        <v/>
      </c>
      <c r="M9" s="112" t="str">
        <f t="shared" ca="1" si="16"/>
        <v/>
      </c>
      <c r="N9" s="112" t="str">
        <f t="shared" ca="1" si="17"/>
        <v/>
      </c>
      <c r="O9" s="112" t="str">
        <f t="shared" ca="1" si="18"/>
        <v/>
      </c>
      <c r="P9" s="112" t="str">
        <f t="shared" ca="1" si="19"/>
        <v/>
      </c>
      <c r="Q9" s="112" t="str">
        <f t="shared" ca="1" si="20"/>
        <v/>
      </c>
      <c r="R9" s="112" t="str">
        <f t="shared" ca="1" si="21"/>
        <v/>
      </c>
      <c r="Y9" s="112" t="str">
        <f t="shared" ca="1" si="22"/>
        <v/>
      </c>
      <c r="Z9" s="113" t="str">
        <f t="shared" ca="1" si="23"/>
        <v/>
      </c>
      <c r="AA9" s="122" t="str">
        <f t="shared" si="4"/>
        <v/>
      </c>
      <c r="AB9" s="113" t="str">
        <f t="shared" ca="1" si="24"/>
        <v/>
      </c>
      <c r="AC9" s="113" t="str">
        <f t="shared" ca="1" si="25"/>
        <v/>
      </c>
      <c r="AD9" s="113" t="str">
        <f t="shared" ca="1" si="26"/>
        <v/>
      </c>
      <c r="AE9" s="112" t="str">
        <f t="shared" ca="1" si="27"/>
        <v/>
      </c>
      <c r="AF9" s="113" t="str">
        <f t="shared" ca="1" si="28"/>
        <v/>
      </c>
    </row>
    <row r="10" spans="1:45" ht="15" customHeight="1" x14ac:dyDescent="0.2">
      <c r="B10" s="27" t="str">
        <f t="shared" ca="1" si="5"/>
        <v/>
      </c>
      <c r="C10" s="112" t="str">
        <f t="shared" ca="1" si="6"/>
        <v/>
      </c>
      <c r="D10" s="112" t="str">
        <f t="shared" ca="1" si="7"/>
        <v/>
      </c>
      <c r="E10" s="112" t="str">
        <f t="shared" ca="1" si="8"/>
        <v/>
      </c>
      <c r="F10" s="112" t="str">
        <f t="shared" ca="1" si="9"/>
        <v/>
      </c>
      <c r="G10" s="112" t="str">
        <f t="shared" ca="1" si="10"/>
        <v/>
      </c>
      <c r="H10" s="112" t="str">
        <f t="shared" ca="1" si="11"/>
        <v/>
      </c>
      <c r="I10" s="112" t="str">
        <f t="shared" ca="1" si="12"/>
        <v/>
      </c>
      <c r="J10" s="112" t="str">
        <f t="shared" ca="1" si="13"/>
        <v/>
      </c>
      <c r="K10" s="112" t="str">
        <f t="shared" ca="1" si="14"/>
        <v/>
      </c>
      <c r="L10" s="112" t="str">
        <f t="shared" ca="1" si="15"/>
        <v/>
      </c>
      <c r="M10" s="112" t="str">
        <f t="shared" ca="1" si="16"/>
        <v/>
      </c>
      <c r="N10" s="112" t="str">
        <f t="shared" ca="1" si="17"/>
        <v/>
      </c>
      <c r="O10" s="112" t="str">
        <f t="shared" ca="1" si="18"/>
        <v/>
      </c>
      <c r="P10" s="112" t="str">
        <f t="shared" ca="1" si="19"/>
        <v/>
      </c>
      <c r="Q10" s="112" t="str">
        <f t="shared" ca="1" si="20"/>
        <v/>
      </c>
      <c r="R10" s="112" t="str">
        <f t="shared" ca="1" si="21"/>
        <v/>
      </c>
      <c r="Y10" s="112" t="str">
        <f t="shared" ca="1" si="22"/>
        <v/>
      </c>
      <c r="Z10" s="113" t="str">
        <f t="shared" ca="1" si="23"/>
        <v/>
      </c>
      <c r="AA10" s="122" t="str">
        <f t="shared" si="4"/>
        <v/>
      </c>
      <c r="AB10" s="113" t="str">
        <f t="shared" ca="1" si="24"/>
        <v/>
      </c>
      <c r="AC10" s="113" t="str">
        <f t="shared" ca="1" si="25"/>
        <v/>
      </c>
      <c r="AD10" s="113" t="str">
        <f t="shared" ca="1" si="26"/>
        <v/>
      </c>
      <c r="AE10" s="112" t="str">
        <f t="shared" ca="1" si="27"/>
        <v/>
      </c>
      <c r="AF10" s="113" t="str">
        <f t="shared" ca="1" si="28"/>
        <v/>
      </c>
    </row>
    <row r="11" spans="1:45" ht="15" customHeight="1" x14ac:dyDescent="0.2">
      <c r="B11" s="27" t="str">
        <f t="shared" ca="1" si="5"/>
        <v/>
      </c>
      <c r="C11" s="112" t="str">
        <f t="shared" ca="1" si="6"/>
        <v/>
      </c>
      <c r="D11" s="112" t="str">
        <f t="shared" ca="1" si="7"/>
        <v/>
      </c>
      <c r="E11" s="112" t="str">
        <f t="shared" ca="1" si="8"/>
        <v/>
      </c>
      <c r="F11" s="112" t="str">
        <f t="shared" ca="1" si="9"/>
        <v/>
      </c>
      <c r="G11" s="112" t="str">
        <f t="shared" ca="1" si="10"/>
        <v/>
      </c>
      <c r="H11" s="112" t="str">
        <f t="shared" ca="1" si="11"/>
        <v/>
      </c>
      <c r="I11" s="112" t="str">
        <f t="shared" ca="1" si="12"/>
        <v/>
      </c>
      <c r="J11" s="112" t="str">
        <f t="shared" ca="1" si="13"/>
        <v/>
      </c>
      <c r="K11" s="112" t="str">
        <f t="shared" ca="1" si="14"/>
        <v/>
      </c>
      <c r="L11" s="112" t="str">
        <f t="shared" ca="1" si="15"/>
        <v/>
      </c>
      <c r="M11" s="112" t="str">
        <f t="shared" ca="1" si="16"/>
        <v/>
      </c>
      <c r="N11" s="112" t="str">
        <f t="shared" ca="1" si="17"/>
        <v/>
      </c>
      <c r="O11" s="112" t="str">
        <f t="shared" ca="1" si="18"/>
        <v/>
      </c>
      <c r="P11" s="112" t="str">
        <f t="shared" ca="1" si="19"/>
        <v/>
      </c>
      <c r="Q11" s="112" t="str">
        <f t="shared" ca="1" si="20"/>
        <v/>
      </c>
      <c r="R11" s="112" t="str">
        <f t="shared" ca="1" si="21"/>
        <v/>
      </c>
      <c r="Y11" s="112" t="str">
        <f t="shared" ca="1" si="22"/>
        <v/>
      </c>
      <c r="Z11" s="113" t="str">
        <f t="shared" ca="1" si="23"/>
        <v/>
      </c>
      <c r="AA11" s="122" t="str">
        <f t="shared" si="4"/>
        <v/>
      </c>
      <c r="AB11" s="113" t="str">
        <f t="shared" ca="1" si="24"/>
        <v/>
      </c>
      <c r="AC11" s="113" t="str">
        <f t="shared" ca="1" si="25"/>
        <v/>
      </c>
      <c r="AD11" s="113" t="str">
        <f t="shared" ca="1" si="26"/>
        <v/>
      </c>
      <c r="AE11" s="112" t="str">
        <f t="shared" ca="1" si="27"/>
        <v/>
      </c>
      <c r="AF11" s="113" t="str">
        <f t="shared" ca="1" si="28"/>
        <v/>
      </c>
    </row>
    <row r="12" spans="1:45" ht="15" customHeight="1" thickBot="1" x14ac:dyDescent="0.25">
      <c r="B12" s="107" t="str">
        <f t="shared" ca="1" si="5"/>
        <v/>
      </c>
      <c r="C12" s="123" t="str">
        <f t="shared" ca="1" si="6"/>
        <v/>
      </c>
      <c r="D12" s="123" t="str">
        <f t="shared" ca="1" si="7"/>
        <v/>
      </c>
      <c r="E12" s="123" t="str">
        <f t="shared" ca="1" si="8"/>
        <v/>
      </c>
      <c r="F12" s="123" t="str">
        <f t="shared" ca="1" si="9"/>
        <v/>
      </c>
      <c r="G12" s="123" t="str">
        <f t="shared" ca="1" si="10"/>
        <v/>
      </c>
      <c r="H12" s="123" t="str">
        <f t="shared" ca="1" si="11"/>
        <v/>
      </c>
      <c r="I12" s="123" t="str">
        <f t="shared" ca="1" si="12"/>
        <v/>
      </c>
      <c r="J12" s="123" t="str">
        <f t="shared" ca="1" si="13"/>
        <v/>
      </c>
      <c r="K12" s="123" t="str">
        <f t="shared" ca="1" si="14"/>
        <v/>
      </c>
      <c r="L12" s="123" t="str">
        <f t="shared" ca="1" si="15"/>
        <v/>
      </c>
      <c r="M12" s="123" t="str">
        <f t="shared" ca="1" si="16"/>
        <v/>
      </c>
      <c r="N12" s="123" t="str">
        <f t="shared" ca="1" si="17"/>
        <v/>
      </c>
      <c r="O12" s="123" t="str">
        <f t="shared" ca="1" si="18"/>
        <v/>
      </c>
      <c r="P12" s="123" t="str">
        <f t="shared" ca="1" si="19"/>
        <v/>
      </c>
      <c r="Q12" s="123" t="str">
        <f t="shared" ca="1" si="20"/>
        <v/>
      </c>
      <c r="R12" s="123" t="str">
        <f t="shared" ca="1" si="21"/>
        <v/>
      </c>
      <c r="Y12" s="123" t="str">
        <f t="shared" ca="1" si="22"/>
        <v/>
      </c>
      <c r="Z12" s="124" t="str">
        <f t="shared" ca="1" si="23"/>
        <v/>
      </c>
      <c r="AA12" s="122" t="str">
        <f t="shared" si="4"/>
        <v/>
      </c>
      <c r="AB12" s="124" t="str">
        <f t="shared" ca="1" si="24"/>
        <v/>
      </c>
      <c r="AC12" s="124" t="str">
        <f t="shared" ca="1" si="25"/>
        <v/>
      </c>
      <c r="AD12" s="124" t="str">
        <f t="shared" ca="1" si="26"/>
        <v/>
      </c>
      <c r="AE12" s="123" t="str">
        <f t="shared" ca="1" si="27"/>
        <v/>
      </c>
      <c r="AF12" s="124" t="str">
        <f t="shared" ca="1" si="28"/>
        <v/>
      </c>
    </row>
    <row r="13" spans="1:45" ht="15" customHeight="1" thickBot="1" x14ac:dyDescent="0.25">
      <c r="A13" s="108"/>
      <c r="B13" s="108" t="str">
        <f t="shared" ca="1" si="5"/>
        <v/>
      </c>
      <c r="C13" s="125" t="str">
        <f t="shared" ca="1" si="6"/>
        <v/>
      </c>
      <c r="D13" s="125" t="str">
        <f t="shared" ca="1" si="7"/>
        <v/>
      </c>
      <c r="E13" s="125" t="str">
        <f t="shared" ca="1" si="8"/>
        <v/>
      </c>
      <c r="F13" s="125" t="str">
        <f t="shared" ca="1" si="9"/>
        <v/>
      </c>
      <c r="G13" s="125" t="str">
        <f t="shared" ca="1" si="10"/>
        <v/>
      </c>
      <c r="H13" s="125" t="str">
        <f t="shared" ca="1" si="11"/>
        <v/>
      </c>
      <c r="I13" s="125" t="str">
        <f t="shared" ca="1" si="12"/>
        <v/>
      </c>
      <c r="J13" s="125" t="str">
        <f t="shared" ca="1" si="13"/>
        <v/>
      </c>
      <c r="K13" s="125" t="str">
        <f t="shared" ca="1" si="14"/>
        <v/>
      </c>
      <c r="L13" s="125" t="str">
        <f t="shared" ca="1" si="15"/>
        <v/>
      </c>
      <c r="M13" s="125" t="str">
        <f t="shared" ca="1" si="16"/>
        <v/>
      </c>
      <c r="N13" s="125" t="str">
        <f t="shared" ca="1" si="17"/>
        <v/>
      </c>
      <c r="O13" s="125" t="str">
        <f t="shared" ca="1" si="18"/>
        <v/>
      </c>
      <c r="P13" s="125" t="str">
        <f t="shared" ca="1" si="19"/>
        <v/>
      </c>
      <c r="Q13" s="125" t="str">
        <f t="shared" ca="1" si="20"/>
        <v/>
      </c>
      <c r="R13" s="125" t="str">
        <f t="shared" ca="1" si="21"/>
        <v/>
      </c>
      <c r="Y13" s="125" t="str">
        <f t="shared" ca="1" si="22"/>
        <v/>
      </c>
      <c r="Z13" s="126" t="str">
        <f t="shared" ca="1" si="23"/>
        <v/>
      </c>
      <c r="AA13" s="127" t="str">
        <f t="shared" si="4"/>
        <v/>
      </c>
      <c r="AB13" s="126" t="str">
        <f t="shared" ca="1" si="24"/>
        <v/>
      </c>
      <c r="AC13" s="126" t="str">
        <f t="shared" ca="1" si="25"/>
        <v/>
      </c>
      <c r="AD13" s="126" t="str">
        <f t="shared" ca="1" si="26"/>
        <v/>
      </c>
      <c r="AE13" s="125" t="str">
        <f t="shared" ca="1" si="27"/>
        <v/>
      </c>
      <c r="AF13" s="126" t="str">
        <f t="shared" ca="1" si="28"/>
        <v/>
      </c>
    </row>
    <row r="14" spans="1:45" ht="15" customHeight="1" x14ac:dyDescent="0.2">
      <c r="A14" s="109"/>
      <c r="B14" s="109"/>
      <c r="C14" s="128"/>
      <c r="D14" s="128"/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28"/>
      <c r="Q14" s="128"/>
      <c r="R14" s="128"/>
      <c r="Y14" s="128"/>
      <c r="Z14" s="129"/>
      <c r="AA14" s="130"/>
      <c r="AB14" s="131"/>
      <c r="AC14" s="131"/>
      <c r="AD14" s="131"/>
      <c r="AE14" s="128"/>
      <c r="AF14" s="131"/>
    </row>
    <row r="15" spans="1:45" ht="15" customHeight="1" x14ac:dyDescent="0.2">
      <c r="A15" s="109"/>
      <c r="B15" s="109" t="str">
        <f t="shared" ref="B15:B16" ca="1" si="29">IF(A15&lt;&gt;"",INDIRECT("'"&amp;$A15&amp;"'!E5"),"")</f>
        <v/>
      </c>
      <c r="C15" s="128" t="str">
        <f t="shared" ref="C15:C16" ca="1" si="30">IF($A15&lt;&gt;"",INDIRECT("'"&amp;$A15&amp;"'!L13"),"")</f>
        <v/>
      </c>
      <c r="D15" s="128" t="str">
        <f t="shared" ref="D15:D16" ca="1" si="31">IF($A15&lt;&gt;"",INDIRECT("'"&amp;$A15&amp;"'!L14"),"")</f>
        <v/>
      </c>
      <c r="E15" s="128" t="str">
        <f t="shared" ref="E15:E16" ca="1" si="32">IF($A15&lt;&gt;"",INDIRECT("'"&amp;$A15&amp;"'!L15"),"")</f>
        <v/>
      </c>
      <c r="F15" s="128" t="str">
        <f t="shared" ref="F15:F16" ca="1" si="33">IF($A15&lt;&gt;"",INDIRECT("'"&amp;$A15&amp;"'!L16"),"")</f>
        <v/>
      </c>
      <c r="G15" s="128" t="str">
        <f t="shared" ref="G15:G16" ca="1" si="34">IF($A15&lt;&gt;"",INDIRECT("'"&amp;$A15&amp;"'!L17"),"")</f>
        <v/>
      </c>
      <c r="H15" s="128" t="str">
        <f t="shared" ref="H15:H16" ca="1" si="35">IF($A15&lt;&gt;"",INDIRECT("'"&amp;$A15&amp;"'!L18"),"")</f>
        <v/>
      </c>
      <c r="I15" s="128" t="str">
        <f t="shared" ref="I15:I16" ca="1" si="36">IF($A15&lt;&gt;"",INDIRECT("'"&amp;$A15&amp;"'!L19"),"")</f>
        <v/>
      </c>
      <c r="J15" s="128" t="str">
        <f t="shared" ref="J15:J16" ca="1" si="37">IF($A15&lt;&gt;"",INDIRECT("'"&amp;$A15&amp;"'!L20"),"")</f>
        <v/>
      </c>
      <c r="K15" s="128" t="str">
        <f t="shared" ref="K15:K16" ca="1" si="38">IF($A15&lt;&gt;"",INDIRECT("'"&amp;$A15&amp;"'!L21"),"")</f>
        <v/>
      </c>
      <c r="L15" s="128" t="str">
        <f t="shared" ref="L15:L16" ca="1" si="39">IF($A15&lt;&gt;"",INDIRECT("'"&amp;$A15&amp;"'!L22"),"")</f>
        <v/>
      </c>
      <c r="M15" s="128" t="str">
        <f t="shared" ref="M15:M16" ca="1" si="40">IF($A15&lt;&gt;"",INDIRECT("'"&amp;$A15&amp;"'!L23"),"")</f>
        <v/>
      </c>
      <c r="N15" s="128" t="str">
        <f t="shared" ref="N15:N16" ca="1" si="41">IF($A15&lt;&gt;"",INDIRECT("'"&amp;$A15&amp;"'!L24"),"")</f>
        <v/>
      </c>
      <c r="O15" s="128" t="str">
        <f t="shared" ref="O15:O16" ca="1" si="42">IF($A15&lt;&gt;"",INDIRECT("'"&amp;$A15&amp;"'!L25"),"")</f>
        <v/>
      </c>
      <c r="P15" s="128" t="str">
        <f t="shared" ref="P15:P16" ca="1" si="43">IF($A15&lt;&gt;"",INDIRECT("'"&amp;$A15&amp;"'!L26"),"")</f>
        <v/>
      </c>
      <c r="Q15" s="128" t="str">
        <f t="shared" ref="Q15:Q16" ca="1" si="44">IF($A15&lt;&gt;"",INDIRECT("'"&amp;$A15&amp;"'!L27"),"")</f>
        <v/>
      </c>
      <c r="R15" s="128" t="str">
        <f t="shared" ref="R15:R16" ca="1" si="45">IF($A15&lt;&gt;"",INDIRECT("'"&amp;$A15&amp;"'!L28"),"")</f>
        <v/>
      </c>
      <c r="Y15" s="128" t="str">
        <f t="shared" ref="Y15:Y16" ca="1" si="46">IF($A15&lt;&gt;"",INDIRECT("'"&amp;$A15&amp;"'!L35"),"")</f>
        <v/>
      </c>
      <c r="Z15" s="131" t="str">
        <f t="shared" ref="Z15:Z16" ca="1" si="47">IF($A15&lt;&gt;"",INDIRECT("'"&amp;$A15&amp;"'!L36"),"")</f>
        <v/>
      </c>
      <c r="AA15" s="132" t="str">
        <f t="shared" ref="AA15:AA16" si="48">IF($A15&lt;&gt;"",SUM(C29:Y29)/COUNT(C15:Y15),"")</f>
        <v/>
      </c>
      <c r="AB15" s="131" t="str">
        <f t="shared" ref="AB15:AB16" ca="1" si="49">IF($A15&lt;&gt;"",INDIRECT("'"&amp;$A15&amp;"'!F36"),"")</f>
        <v/>
      </c>
      <c r="AC15" s="131" t="str">
        <f t="shared" ref="AC15:AC16" ca="1" si="50">IF($A15&lt;&gt;"",INDIRECT("'"&amp;$A15&amp;"'!H36"),"")</f>
        <v/>
      </c>
      <c r="AD15" s="131" t="str">
        <f t="shared" ref="AD15:AD16" ca="1" si="51">IF($A15&lt;&gt;"",INDIRECT("'"&amp;$A15&amp;"'!I36"),"")</f>
        <v/>
      </c>
      <c r="AE15" s="128" t="str">
        <f t="shared" ref="AE15:AE16" ca="1" si="52">IF($A15&lt;&gt;"",INDIRECT("'"&amp;$A15&amp;"'!J36"),"")</f>
        <v/>
      </c>
      <c r="AF15" s="131" t="str">
        <f t="shared" ref="AF15:AF16" ca="1" si="53">IF($A15&lt;&gt;"",INDIRECT("'"&amp;$A15&amp;"'!K36"),"")</f>
        <v/>
      </c>
    </row>
    <row r="16" spans="1:45" ht="15" customHeight="1" x14ac:dyDescent="0.2">
      <c r="A16" s="109"/>
      <c r="B16" s="109" t="str">
        <f t="shared" ca="1" si="29"/>
        <v/>
      </c>
      <c r="C16" s="128" t="str">
        <f t="shared" ca="1" si="30"/>
        <v/>
      </c>
      <c r="D16" s="128" t="str">
        <f t="shared" ca="1" si="31"/>
        <v/>
      </c>
      <c r="E16" s="128" t="str">
        <f t="shared" ca="1" si="32"/>
        <v/>
      </c>
      <c r="F16" s="128" t="str">
        <f t="shared" ca="1" si="33"/>
        <v/>
      </c>
      <c r="G16" s="128" t="str">
        <f t="shared" ca="1" si="34"/>
        <v/>
      </c>
      <c r="H16" s="128" t="str">
        <f t="shared" ca="1" si="35"/>
        <v/>
      </c>
      <c r="I16" s="128" t="str">
        <f t="shared" ca="1" si="36"/>
        <v/>
      </c>
      <c r="J16" s="128" t="str">
        <f t="shared" ca="1" si="37"/>
        <v/>
      </c>
      <c r="K16" s="128" t="str">
        <f t="shared" ca="1" si="38"/>
        <v/>
      </c>
      <c r="L16" s="128" t="str">
        <f t="shared" ca="1" si="39"/>
        <v/>
      </c>
      <c r="M16" s="128" t="str">
        <f t="shared" ca="1" si="40"/>
        <v/>
      </c>
      <c r="N16" s="128" t="str">
        <f t="shared" ca="1" si="41"/>
        <v/>
      </c>
      <c r="O16" s="128" t="str">
        <f t="shared" ca="1" si="42"/>
        <v/>
      </c>
      <c r="P16" s="128" t="str">
        <f t="shared" ca="1" si="43"/>
        <v/>
      </c>
      <c r="Q16" s="128" t="str">
        <f t="shared" ca="1" si="44"/>
        <v/>
      </c>
      <c r="R16" s="128" t="str">
        <f t="shared" ca="1" si="45"/>
        <v/>
      </c>
      <c r="Y16" s="128" t="str">
        <f t="shared" ca="1" si="46"/>
        <v/>
      </c>
      <c r="Z16" s="131" t="str">
        <f t="shared" ca="1" si="47"/>
        <v/>
      </c>
      <c r="AA16" s="132" t="str">
        <f t="shared" si="48"/>
        <v/>
      </c>
      <c r="AB16" s="131" t="str">
        <f t="shared" ca="1" si="49"/>
        <v/>
      </c>
      <c r="AC16" s="131" t="str">
        <f t="shared" ca="1" si="50"/>
        <v/>
      </c>
      <c r="AD16" s="131" t="str">
        <f t="shared" ca="1" si="51"/>
        <v/>
      </c>
      <c r="AE16" s="128" t="str">
        <f t="shared" ca="1" si="52"/>
        <v/>
      </c>
      <c r="AF16" s="131" t="str">
        <f t="shared" ca="1" si="53"/>
        <v/>
      </c>
    </row>
    <row r="17" spans="1:32" x14ac:dyDescent="0.2">
      <c r="AF17" s="100"/>
    </row>
    <row r="18" spans="1:32" x14ac:dyDescent="0.2">
      <c r="AF18" s="99"/>
    </row>
    <row r="21" spans="1:32" hidden="1" x14ac:dyDescent="0.2">
      <c r="A21" s="27" t="s">
        <v>192</v>
      </c>
    </row>
    <row r="22" spans="1:32" hidden="1" x14ac:dyDescent="0.2">
      <c r="A22" s="27">
        <f t="shared" ref="A22:A27" si="54">A8</f>
        <v>0</v>
      </c>
      <c r="B22" s="27" t="str">
        <f t="shared" ref="B22:B27" ca="1" si="55">B8</f>
        <v/>
      </c>
      <c r="C22" s="27" t="str">
        <f t="shared" ref="C22:Y27" si="56">IF($A8&lt;&gt;"",IF(ABS(C$3/3-C8)&lt;=0.75,1,0),"")</f>
        <v/>
      </c>
      <c r="D22" s="27" t="str">
        <f t="shared" si="56"/>
        <v/>
      </c>
      <c r="E22" s="27" t="str">
        <f t="shared" si="56"/>
        <v/>
      </c>
      <c r="F22" s="27" t="str">
        <f t="shared" si="56"/>
        <v/>
      </c>
      <c r="G22" s="27" t="str">
        <f t="shared" si="56"/>
        <v/>
      </c>
      <c r="H22" s="27" t="str">
        <f t="shared" si="56"/>
        <v/>
      </c>
      <c r="I22" s="27" t="str">
        <f t="shared" si="56"/>
        <v/>
      </c>
      <c r="J22" s="27" t="str">
        <f t="shared" si="56"/>
        <v/>
      </c>
      <c r="K22" s="27" t="str">
        <f t="shared" si="56"/>
        <v/>
      </c>
      <c r="L22" s="27" t="str">
        <f t="shared" si="56"/>
        <v/>
      </c>
      <c r="M22" s="27" t="str">
        <f t="shared" si="56"/>
        <v/>
      </c>
      <c r="N22" s="27" t="str">
        <f t="shared" si="56"/>
        <v/>
      </c>
      <c r="O22" s="27" t="str">
        <f t="shared" si="56"/>
        <v/>
      </c>
      <c r="P22" s="27" t="str">
        <f t="shared" si="56"/>
        <v/>
      </c>
      <c r="Q22" s="27" t="str">
        <f t="shared" si="56"/>
        <v/>
      </c>
      <c r="R22" s="27" t="str">
        <f t="shared" si="56"/>
        <v/>
      </c>
      <c r="Y22" s="27" t="str">
        <f t="shared" si="56"/>
        <v/>
      </c>
    </row>
    <row r="23" spans="1:32" hidden="1" x14ac:dyDescent="0.2">
      <c r="A23" s="27">
        <f t="shared" si="54"/>
        <v>0</v>
      </c>
      <c r="B23" s="27" t="str">
        <f t="shared" ca="1" si="55"/>
        <v/>
      </c>
      <c r="C23" s="27" t="str">
        <f t="shared" si="56"/>
        <v/>
      </c>
      <c r="D23" s="27" t="str">
        <f t="shared" si="56"/>
        <v/>
      </c>
      <c r="E23" s="27" t="str">
        <f t="shared" si="56"/>
        <v/>
      </c>
      <c r="F23" s="27" t="str">
        <f t="shared" si="56"/>
        <v/>
      </c>
      <c r="G23" s="27" t="str">
        <f t="shared" si="56"/>
        <v/>
      </c>
      <c r="H23" s="27" t="str">
        <f t="shared" si="56"/>
        <v/>
      </c>
      <c r="I23" s="27" t="str">
        <f t="shared" si="56"/>
        <v/>
      </c>
      <c r="J23" s="27" t="str">
        <f t="shared" si="56"/>
        <v/>
      </c>
      <c r="K23" s="27" t="str">
        <f t="shared" si="56"/>
        <v/>
      </c>
      <c r="L23" s="27" t="str">
        <f t="shared" si="56"/>
        <v/>
      </c>
      <c r="M23" s="27" t="str">
        <f t="shared" si="56"/>
        <v/>
      </c>
      <c r="N23" s="27" t="str">
        <f t="shared" si="56"/>
        <v/>
      </c>
      <c r="O23" s="27" t="str">
        <f t="shared" si="56"/>
        <v/>
      </c>
      <c r="P23" s="27" t="str">
        <f t="shared" si="56"/>
        <v/>
      </c>
      <c r="Q23" s="27" t="str">
        <f t="shared" si="56"/>
        <v/>
      </c>
      <c r="R23" s="27" t="str">
        <f t="shared" si="56"/>
        <v/>
      </c>
      <c r="Y23" s="27" t="str">
        <f t="shared" si="56"/>
        <v/>
      </c>
    </row>
    <row r="24" spans="1:32" hidden="1" x14ac:dyDescent="0.2">
      <c r="A24" s="27">
        <f t="shared" si="54"/>
        <v>0</v>
      </c>
      <c r="B24" s="27" t="str">
        <f t="shared" ca="1" si="55"/>
        <v/>
      </c>
      <c r="C24" s="27" t="str">
        <f t="shared" si="56"/>
        <v/>
      </c>
      <c r="D24" s="27" t="str">
        <f t="shared" si="56"/>
        <v/>
      </c>
      <c r="E24" s="27" t="str">
        <f t="shared" si="56"/>
        <v/>
      </c>
      <c r="F24" s="27" t="str">
        <f t="shared" si="56"/>
        <v/>
      </c>
      <c r="G24" s="27" t="str">
        <f t="shared" si="56"/>
        <v/>
      </c>
      <c r="H24" s="27" t="str">
        <f t="shared" si="56"/>
        <v/>
      </c>
      <c r="I24" s="27" t="str">
        <f t="shared" si="56"/>
        <v/>
      </c>
      <c r="J24" s="27" t="str">
        <f t="shared" si="56"/>
        <v/>
      </c>
      <c r="K24" s="27" t="str">
        <f t="shared" si="56"/>
        <v/>
      </c>
      <c r="L24" s="27" t="str">
        <f t="shared" si="56"/>
        <v/>
      </c>
      <c r="M24" s="27" t="str">
        <f t="shared" si="56"/>
        <v/>
      </c>
      <c r="N24" s="27" t="str">
        <f t="shared" si="56"/>
        <v/>
      </c>
      <c r="O24" s="27" t="str">
        <f t="shared" si="56"/>
        <v/>
      </c>
      <c r="P24" s="27" t="str">
        <f t="shared" si="56"/>
        <v/>
      </c>
      <c r="Q24" s="27" t="str">
        <f t="shared" si="56"/>
        <v/>
      </c>
      <c r="R24" s="27" t="str">
        <f t="shared" si="56"/>
        <v/>
      </c>
      <c r="Y24" s="27" t="str">
        <f t="shared" si="56"/>
        <v/>
      </c>
    </row>
    <row r="25" spans="1:32" hidden="1" x14ac:dyDescent="0.2">
      <c r="A25" s="27">
        <f t="shared" si="54"/>
        <v>0</v>
      </c>
      <c r="B25" s="27" t="str">
        <f t="shared" ca="1" si="55"/>
        <v/>
      </c>
      <c r="C25" s="27" t="str">
        <f t="shared" si="56"/>
        <v/>
      </c>
      <c r="D25" s="27" t="str">
        <f t="shared" si="56"/>
        <v/>
      </c>
      <c r="E25" s="27" t="str">
        <f t="shared" si="56"/>
        <v/>
      </c>
      <c r="F25" s="27" t="str">
        <f t="shared" si="56"/>
        <v/>
      </c>
      <c r="G25" s="27" t="str">
        <f t="shared" si="56"/>
        <v/>
      </c>
      <c r="H25" s="27" t="str">
        <f t="shared" si="56"/>
        <v/>
      </c>
      <c r="I25" s="27" t="str">
        <f t="shared" si="56"/>
        <v/>
      </c>
      <c r="J25" s="27" t="str">
        <f t="shared" si="56"/>
        <v/>
      </c>
      <c r="K25" s="27" t="str">
        <f t="shared" si="56"/>
        <v/>
      </c>
      <c r="L25" s="27" t="str">
        <f t="shared" si="56"/>
        <v/>
      </c>
      <c r="M25" s="27" t="str">
        <f t="shared" si="56"/>
        <v/>
      </c>
      <c r="N25" s="27" t="str">
        <f t="shared" si="56"/>
        <v/>
      </c>
      <c r="O25" s="27" t="str">
        <f t="shared" si="56"/>
        <v/>
      </c>
      <c r="P25" s="27" t="str">
        <f t="shared" si="56"/>
        <v/>
      </c>
      <c r="Q25" s="27" t="str">
        <f t="shared" si="56"/>
        <v/>
      </c>
      <c r="R25" s="27" t="str">
        <f t="shared" si="56"/>
        <v/>
      </c>
      <c r="Y25" s="27" t="str">
        <f t="shared" si="56"/>
        <v/>
      </c>
    </row>
    <row r="26" spans="1:32" hidden="1" x14ac:dyDescent="0.2">
      <c r="A26" s="27">
        <f t="shared" si="54"/>
        <v>0</v>
      </c>
      <c r="B26" s="27" t="str">
        <f t="shared" ca="1" si="55"/>
        <v/>
      </c>
      <c r="C26" s="27" t="str">
        <f t="shared" si="56"/>
        <v/>
      </c>
      <c r="D26" s="27" t="str">
        <f t="shared" si="56"/>
        <v/>
      </c>
      <c r="E26" s="27" t="str">
        <f t="shared" si="56"/>
        <v/>
      </c>
      <c r="F26" s="27" t="str">
        <f t="shared" si="56"/>
        <v/>
      </c>
      <c r="G26" s="27" t="str">
        <f t="shared" si="56"/>
        <v/>
      </c>
      <c r="H26" s="27" t="str">
        <f t="shared" si="56"/>
        <v/>
      </c>
      <c r="I26" s="27" t="str">
        <f t="shared" si="56"/>
        <v/>
      </c>
      <c r="J26" s="27" t="str">
        <f t="shared" si="56"/>
        <v/>
      </c>
      <c r="K26" s="27" t="str">
        <f t="shared" si="56"/>
        <v/>
      </c>
      <c r="L26" s="27" t="str">
        <f t="shared" si="56"/>
        <v/>
      </c>
      <c r="M26" s="27" t="str">
        <f t="shared" si="56"/>
        <v/>
      </c>
      <c r="N26" s="27" t="str">
        <f t="shared" si="56"/>
        <v/>
      </c>
      <c r="O26" s="27" t="str">
        <f t="shared" si="56"/>
        <v/>
      </c>
      <c r="P26" s="27" t="str">
        <f t="shared" si="56"/>
        <v/>
      </c>
      <c r="Q26" s="27" t="str">
        <f t="shared" si="56"/>
        <v/>
      </c>
      <c r="R26" s="27" t="str">
        <f t="shared" si="56"/>
        <v/>
      </c>
      <c r="Y26" s="27" t="str">
        <f t="shared" si="56"/>
        <v/>
      </c>
    </row>
    <row r="27" spans="1:32" hidden="1" x14ac:dyDescent="0.2">
      <c r="A27" s="27">
        <f t="shared" si="54"/>
        <v>0</v>
      </c>
      <c r="B27" s="27" t="str">
        <f t="shared" ca="1" si="55"/>
        <v/>
      </c>
      <c r="C27" s="27" t="str">
        <f t="shared" si="56"/>
        <v/>
      </c>
      <c r="D27" s="27" t="str">
        <f t="shared" si="56"/>
        <v/>
      </c>
      <c r="E27" s="27" t="str">
        <f t="shared" si="56"/>
        <v/>
      </c>
      <c r="F27" s="27" t="str">
        <f t="shared" si="56"/>
        <v/>
      </c>
      <c r="G27" s="27" t="str">
        <f t="shared" si="56"/>
        <v/>
      </c>
      <c r="H27" s="27" t="str">
        <f t="shared" si="56"/>
        <v/>
      </c>
      <c r="I27" s="27" t="str">
        <f t="shared" si="56"/>
        <v/>
      </c>
      <c r="J27" s="27" t="str">
        <f t="shared" si="56"/>
        <v/>
      </c>
      <c r="K27" s="27" t="str">
        <f t="shared" si="56"/>
        <v/>
      </c>
      <c r="L27" s="27" t="str">
        <f t="shared" si="56"/>
        <v/>
      </c>
      <c r="M27" s="27" t="str">
        <f t="shared" si="56"/>
        <v/>
      </c>
      <c r="N27" s="27" t="str">
        <f t="shared" si="56"/>
        <v/>
      </c>
      <c r="O27" s="27" t="str">
        <f t="shared" si="56"/>
        <v/>
      </c>
      <c r="P27" s="27" t="str">
        <f t="shared" si="56"/>
        <v/>
      </c>
      <c r="Q27" s="27" t="str">
        <f t="shared" si="56"/>
        <v/>
      </c>
      <c r="R27" s="27" t="str">
        <f t="shared" si="56"/>
        <v/>
      </c>
      <c r="Y27" s="27" t="str">
        <f t="shared" si="56"/>
        <v/>
      </c>
    </row>
    <row r="28" spans="1:32" hidden="1" x14ac:dyDescent="0.2"/>
    <row r="29" spans="1:32" hidden="1" x14ac:dyDescent="0.2">
      <c r="A29" s="27">
        <f>A15</f>
        <v>0</v>
      </c>
      <c r="B29" s="27" t="str">
        <f ca="1">B15</f>
        <v/>
      </c>
      <c r="C29" s="27" t="str">
        <f t="shared" ref="C29:Y30" si="57">IF($A15&lt;&gt;"",IF(ABS(C$3/3-C15)&lt;=0.75,1,0),"")</f>
        <v/>
      </c>
      <c r="D29" s="27" t="str">
        <f t="shared" si="57"/>
        <v/>
      </c>
      <c r="E29" s="27" t="str">
        <f t="shared" si="57"/>
        <v/>
      </c>
      <c r="F29" s="27" t="str">
        <f t="shared" si="57"/>
        <v/>
      </c>
      <c r="G29" s="27" t="str">
        <f t="shared" si="57"/>
        <v/>
      </c>
      <c r="H29" s="27" t="str">
        <f t="shared" si="57"/>
        <v/>
      </c>
      <c r="I29" s="27" t="str">
        <f t="shared" si="57"/>
        <v/>
      </c>
      <c r="J29" s="27" t="str">
        <f t="shared" si="57"/>
        <v/>
      </c>
      <c r="K29" s="27" t="str">
        <f t="shared" si="57"/>
        <v/>
      </c>
      <c r="L29" s="27" t="str">
        <f t="shared" si="57"/>
        <v/>
      </c>
      <c r="M29" s="27" t="str">
        <f t="shared" si="57"/>
        <v/>
      </c>
      <c r="N29" s="27" t="str">
        <f t="shared" si="57"/>
        <v/>
      </c>
      <c r="O29" s="27" t="str">
        <f t="shared" si="57"/>
        <v/>
      </c>
      <c r="P29" s="27" t="str">
        <f t="shared" si="57"/>
        <v/>
      </c>
      <c r="Q29" s="27" t="str">
        <f t="shared" si="57"/>
        <v/>
      </c>
      <c r="R29" s="27" t="str">
        <f t="shared" si="57"/>
        <v/>
      </c>
      <c r="Y29" s="27" t="str">
        <f t="shared" si="57"/>
        <v/>
      </c>
    </row>
    <row r="30" spans="1:32" hidden="1" x14ac:dyDescent="0.2">
      <c r="A30" s="27">
        <f>A16</f>
        <v>0</v>
      </c>
      <c r="B30" s="27" t="str">
        <f ca="1">B16</f>
        <v/>
      </c>
      <c r="C30" s="27" t="str">
        <f t="shared" si="57"/>
        <v/>
      </c>
      <c r="D30" s="27" t="str">
        <f t="shared" si="57"/>
        <v/>
      </c>
      <c r="E30" s="27" t="str">
        <f t="shared" si="57"/>
        <v/>
      </c>
      <c r="F30" s="27" t="str">
        <f t="shared" si="57"/>
        <v/>
      </c>
      <c r="G30" s="27" t="str">
        <f t="shared" si="57"/>
        <v/>
      </c>
      <c r="H30" s="27" t="str">
        <f t="shared" si="57"/>
        <v/>
      </c>
      <c r="I30" s="27" t="str">
        <f t="shared" si="57"/>
        <v/>
      </c>
      <c r="J30" s="27" t="str">
        <f t="shared" si="57"/>
        <v/>
      </c>
      <c r="K30" s="27" t="str">
        <f t="shared" si="57"/>
        <v/>
      </c>
      <c r="L30" s="27" t="str">
        <f t="shared" si="57"/>
        <v/>
      </c>
      <c r="M30" s="27" t="str">
        <f t="shared" si="57"/>
        <v/>
      </c>
      <c r="N30" s="27" t="str">
        <f t="shared" si="57"/>
        <v/>
      </c>
      <c r="O30" s="27" t="str">
        <f t="shared" si="57"/>
        <v/>
      </c>
      <c r="P30" s="27" t="str">
        <f t="shared" si="57"/>
        <v/>
      </c>
      <c r="Q30" s="27" t="str">
        <f t="shared" si="57"/>
        <v/>
      </c>
      <c r="R30" s="27" t="str">
        <f t="shared" si="57"/>
        <v/>
      </c>
      <c r="Y30" s="27" t="str">
        <f t="shared" si="57"/>
        <v/>
      </c>
    </row>
  </sheetData>
  <sheetProtection selectLockedCells="1" selectUnlockedCells="1"/>
  <mergeCells count="4">
    <mergeCell ref="A3:B3"/>
    <mergeCell ref="A4:B4"/>
    <mergeCell ref="A5:B5"/>
    <mergeCell ref="A6:B6"/>
  </mergeCells>
  <conditionalFormatting sqref="C4:R4 Y4">
    <cfRule type="expression" dxfId="75" priority="11">
      <formula>C4&gt;3</formula>
    </cfRule>
    <cfRule type="expression" dxfId="74" priority="12">
      <formula>AND(C4&gt;2,C4&lt;=3)</formula>
    </cfRule>
    <cfRule type="expression" dxfId="73" priority="13">
      <formula>AND(C4&gt;1,C4&lt;=2)</formula>
    </cfRule>
    <cfRule type="expression" dxfId="72" priority="14">
      <formula>C4&lt;=1</formula>
    </cfRule>
  </conditionalFormatting>
  <conditionalFormatting sqref="C8:R10 C12:R13 Y12:Y13 Y8:Y10">
    <cfRule type="expression" dxfId="71" priority="9">
      <formula>C$3/3-C8&lt;-0.75</formula>
    </cfRule>
    <cfRule type="expression" dxfId="70" priority="10">
      <formula>C$3/3-C8&gt;0.75</formula>
    </cfRule>
  </conditionalFormatting>
  <conditionalFormatting sqref="C11:D11">
    <cfRule type="expression" dxfId="69" priority="7">
      <formula>C$3/3-C11&lt;-0.75</formula>
    </cfRule>
    <cfRule type="expression" dxfId="68" priority="8">
      <formula>C$3/3-C11&gt;0.75</formula>
    </cfRule>
  </conditionalFormatting>
  <conditionalFormatting sqref="E11:R11 Y11">
    <cfRule type="expression" dxfId="67" priority="5">
      <formula>E$3/3-E11&lt;-0.75</formula>
    </cfRule>
    <cfRule type="expression" dxfId="66" priority="6">
      <formula>E$3/3-E11&gt;0.75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Tabelle18"/>
  <dimension ref="A1:AS30"/>
  <sheetViews>
    <sheetView zoomScaleNormal="100" workbookViewId="0"/>
  </sheetViews>
  <sheetFormatPr baseColWidth="10" defaultColWidth="11.5703125" defaultRowHeight="15" customHeight="1" x14ac:dyDescent="0.2"/>
  <cols>
    <col min="1" max="1" width="11.7109375" style="27" customWidth="1"/>
    <col min="2" max="2" width="22.7109375" style="27" customWidth="1"/>
    <col min="3" max="18" width="5.7109375" style="27" customWidth="1"/>
    <col min="19" max="24" width="5.7109375" style="27" hidden="1" customWidth="1"/>
    <col min="25" max="25" width="5.7109375" style="27" customWidth="1"/>
    <col min="26" max="27" width="6.7109375" style="27" customWidth="1"/>
    <col min="28" max="32" width="5.7109375" style="27" customWidth="1"/>
    <col min="33" max="16384" width="11.5703125" style="27"/>
  </cols>
  <sheetData>
    <row r="1" spans="1:45" ht="15" customHeight="1" x14ac:dyDescent="0.2">
      <c r="A1" s="27" t="str">
        <f>Doku!B46&amp;":"</f>
        <v>Paarung:</v>
      </c>
      <c r="B1" s="101" t="e">
        <f ca="1">INDIRECT("'"&amp;$A8&amp;"'!D8") &amp; "-" &amp; INDIRECT("'"&amp;$A8&amp;"'!D9") &amp; " (" &amp; INDIRECT("'"&amp;$A8&amp;"'!L8") &amp;")"</f>
        <v>#REF!</v>
      </c>
      <c r="Z1" s="110"/>
      <c r="AA1" s="110"/>
      <c r="AF1" s="103"/>
    </row>
    <row r="2" spans="1:45" ht="127.9" customHeight="1" x14ac:dyDescent="0.2">
      <c r="A2" s="104" t="str">
        <f>Doku!B44</f>
        <v>Position</v>
      </c>
      <c r="B2" s="104" t="str">
        <f>Doku!B50</f>
        <v>Name</v>
      </c>
      <c r="C2" s="98" t="str">
        <f>Doku!B51</f>
        <v>Angrüßen</v>
      </c>
      <c r="D2" s="98" t="s">
        <v>70</v>
      </c>
      <c r="E2" s="98" t="s">
        <v>71</v>
      </c>
      <c r="F2" s="98" t="s">
        <v>72</v>
      </c>
      <c r="G2" s="98" t="s">
        <v>73</v>
      </c>
      <c r="H2" s="98" t="s">
        <v>74</v>
      </c>
      <c r="I2" s="98" t="s">
        <v>76</v>
      </c>
      <c r="J2" s="98" t="s">
        <v>77</v>
      </c>
      <c r="K2" s="98" t="s">
        <v>78</v>
      </c>
      <c r="L2" s="98" t="s">
        <v>79</v>
      </c>
      <c r="M2" s="98" t="s">
        <v>80</v>
      </c>
      <c r="N2" s="98" t="s">
        <v>82</v>
      </c>
      <c r="O2" s="98" t="s">
        <v>83</v>
      </c>
      <c r="P2" s="98" t="s">
        <v>84</v>
      </c>
      <c r="Q2" s="98" t="s">
        <v>85</v>
      </c>
      <c r="R2" s="98" t="s">
        <v>86</v>
      </c>
      <c r="Y2" s="98" t="str">
        <f>Doku!B52</f>
        <v>Abgrüßen</v>
      </c>
      <c r="Z2" s="111" t="str">
        <f>Doku!B42</f>
        <v>Gesamt</v>
      </c>
      <c r="AA2" s="111" t="s">
        <v>191</v>
      </c>
      <c r="AB2" s="98" t="str">
        <f>Doku!B38</f>
        <v>Kleiner Fehler</v>
      </c>
      <c r="AC2" s="98" t="str">
        <f>Doku!B39</f>
        <v>Mittlerer Fehler</v>
      </c>
      <c r="AD2" s="98" t="str">
        <f>Doku!B40</f>
        <v>Großer Fehler</v>
      </c>
      <c r="AE2" s="98" t="str">
        <f>Doku!B53</f>
        <v>Korrektur</v>
      </c>
      <c r="AF2" s="98" t="str">
        <f>Doku!B41</f>
        <v>Technik vergessen</v>
      </c>
      <c r="AG2" s="98"/>
      <c r="AH2" s="98"/>
      <c r="AI2" s="98"/>
      <c r="AJ2" s="98"/>
      <c r="AK2" s="98"/>
      <c r="AL2" s="98"/>
      <c r="AM2" s="98"/>
      <c r="AN2" s="98"/>
      <c r="AO2" s="98"/>
      <c r="AP2" s="98"/>
      <c r="AQ2" s="98"/>
      <c r="AR2" s="98"/>
      <c r="AS2" s="98"/>
    </row>
    <row r="3" spans="1:45" ht="15" customHeight="1" x14ac:dyDescent="0.2">
      <c r="A3" s="388" t="s">
        <v>232</v>
      </c>
      <c r="B3" s="388"/>
      <c r="C3" s="264">
        <f ca="1">IF(COUNTIF(C8:C12,"")&gt;0,SUM(C8:C12),SUM(C8:C12)-MAX(C8:C12)-MIN(C8:C12))</f>
        <v>0</v>
      </c>
      <c r="D3" s="264">
        <f t="shared" ref="D3:Y3" ca="1" si="0">IF(COUNTIF(D8:D12,"")&gt;0,SUM(D8:D12),SUM(D8:D12)-MAX(D8:D12)-MIN(D8:D12))</f>
        <v>0</v>
      </c>
      <c r="E3" s="264">
        <f t="shared" ca="1" si="0"/>
        <v>0</v>
      </c>
      <c r="F3" s="264">
        <f t="shared" ca="1" si="0"/>
        <v>0</v>
      </c>
      <c r="G3" s="264">
        <f t="shared" ca="1" si="0"/>
        <v>0</v>
      </c>
      <c r="H3" s="264">
        <f t="shared" ca="1" si="0"/>
        <v>0</v>
      </c>
      <c r="I3" s="264">
        <f t="shared" ca="1" si="0"/>
        <v>0</v>
      </c>
      <c r="J3" s="264">
        <f t="shared" ca="1" si="0"/>
        <v>0</v>
      </c>
      <c r="K3" s="264">
        <f t="shared" ca="1" si="0"/>
        <v>0</v>
      </c>
      <c r="L3" s="264">
        <f t="shared" ca="1" si="0"/>
        <v>0</v>
      </c>
      <c r="M3" s="264">
        <f t="shared" ca="1" si="0"/>
        <v>0</v>
      </c>
      <c r="N3" s="264">
        <f t="shared" ca="1" si="0"/>
        <v>0</v>
      </c>
      <c r="O3" s="264">
        <f t="shared" ca="1" si="0"/>
        <v>0</v>
      </c>
      <c r="P3" s="264">
        <f t="shared" ca="1" si="0"/>
        <v>0</v>
      </c>
      <c r="Q3" s="264">
        <f t="shared" ca="1" si="0"/>
        <v>0</v>
      </c>
      <c r="R3" s="264">
        <f t="shared" ca="1" si="0"/>
        <v>0</v>
      </c>
      <c r="Y3" s="264">
        <f t="shared" ca="1" si="0"/>
        <v>0</v>
      </c>
      <c r="Z3" s="265">
        <f ca="1">IF(SUM(AF8:AF12)&gt;0,SUM(C3:Y3)/2,SUM(C3:Y3))</f>
        <v>0</v>
      </c>
      <c r="AA3" s="266"/>
      <c r="AB3" s="265">
        <f t="shared" ref="AB3:AF3" ca="1" si="1">IF(COUNTIF(AB8:AB12,"")&gt;0,SUM(AB8:AB12),SUM(AB8:AB12)-MAX(AB8:AB12)-MIN(AB8:AB12))</f>
        <v>0</v>
      </c>
      <c r="AC3" s="265">
        <f t="shared" ca="1" si="1"/>
        <v>0</v>
      </c>
      <c r="AD3" s="265">
        <f t="shared" ca="1" si="1"/>
        <v>0</v>
      </c>
      <c r="AE3" s="264">
        <f t="shared" ca="1" si="1"/>
        <v>0</v>
      </c>
      <c r="AF3" s="265">
        <f t="shared" ca="1" si="1"/>
        <v>0</v>
      </c>
    </row>
    <row r="4" spans="1:45" ht="15" customHeight="1" x14ac:dyDescent="0.2">
      <c r="A4" s="389" t="str">
        <f>Doku!B49&amp;":"</f>
        <v>Spannweite:</v>
      </c>
      <c r="B4" s="389"/>
      <c r="C4" s="112">
        <f t="shared" ref="C4:R4" ca="1" si="2">MAX(C8:C12)-MIN(C8:C12)</f>
        <v>0</v>
      </c>
      <c r="D4" s="112">
        <f t="shared" ca="1" si="2"/>
        <v>0</v>
      </c>
      <c r="E4" s="112">
        <f t="shared" ca="1" si="2"/>
        <v>0</v>
      </c>
      <c r="F4" s="112">
        <f t="shared" ca="1" si="2"/>
        <v>0</v>
      </c>
      <c r="G4" s="112">
        <f t="shared" ca="1" si="2"/>
        <v>0</v>
      </c>
      <c r="H4" s="112">
        <f t="shared" ca="1" si="2"/>
        <v>0</v>
      </c>
      <c r="I4" s="112">
        <f t="shared" ca="1" si="2"/>
        <v>0</v>
      </c>
      <c r="J4" s="112">
        <f t="shared" ca="1" si="2"/>
        <v>0</v>
      </c>
      <c r="K4" s="112">
        <f t="shared" ca="1" si="2"/>
        <v>0</v>
      </c>
      <c r="L4" s="112">
        <f t="shared" ca="1" si="2"/>
        <v>0</v>
      </c>
      <c r="M4" s="112">
        <f t="shared" ca="1" si="2"/>
        <v>0</v>
      </c>
      <c r="N4" s="112">
        <f t="shared" ca="1" si="2"/>
        <v>0</v>
      </c>
      <c r="O4" s="112">
        <f t="shared" ca="1" si="2"/>
        <v>0</v>
      </c>
      <c r="P4" s="112">
        <f t="shared" ca="1" si="2"/>
        <v>0</v>
      </c>
      <c r="Q4" s="112">
        <f t="shared" ca="1" si="2"/>
        <v>0</v>
      </c>
      <c r="R4" s="112">
        <f t="shared" ca="1" si="2"/>
        <v>0</v>
      </c>
      <c r="Y4" s="112">
        <f ca="1">MAX(Y8:Y12)-MIN(Y8:Y12)</f>
        <v>0</v>
      </c>
      <c r="Z4" s="113">
        <f ca="1">MAX(Z8:Z12)-MIN(Z8:Z12)</f>
        <v>0</v>
      </c>
      <c r="AA4" s="114"/>
      <c r="AB4" s="113">
        <f ca="1">MAX(AB8:AB12)-MIN(AB8:AB12)</f>
        <v>0</v>
      </c>
      <c r="AC4" s="113">
        <f ca="1">MAX(AC8:AC12)-MIN(AC8:AC12)</f>
        <v>0</v>
      </c>
      <c r="AD4" s="113">
        <f ca="1">MAX(AD8:AD12)-MIN(AD8:AD12)</f>
        <v>0</v>
      </c>
      <c r="AE4" s="112">
        <f ca="1">MAX(AE8:AE12)-MIN(AE8:AE12)</f>
        <v>0</v>
      </c>
      <c r="AF4" s="113">
        <f ca="1">MAX(AF8:AF12)-MIN(AF8:AF12)</f>
        <v>0</v>
      </c>
    </row>
    <row r="5" spans="1:45" ht="15" customHeight="1" x14ac:dyDescent="0.2">
      <c r="A5" s="389" t="str">
        <f>Doku!B47&amp;":"</f>
        <v>Mittelwert:</v>
      </c>
      <c r="B5" s="389"/>
      <c r="C5" s="112">
        <f ca="1">C3/3</f>
        <v>0</v>
      </c>
      <c r="D5" s="112">
        <f t="shared" ref="D5:AF5" ca="1" si="3">D3/3</f>
        <v>0</v>
      </c>
      <c r="E5" s="112">
        <f t="shared" ca="1" si="3"/>
        <v>0</v>
      </c>
      <c r="F5" s="112">
        <f t="shared" ca="1" si="3"/>
        <v>0</v>
      </c>
      <c r="G5" s="112">
        <f t="shared" ca="1" si="3"/>
        <v>0</v>
      </c>
      <c r="H5" s="112">
        <f t="shared" ca="1" si="3"/>
        <v>0</v>
      </c>
      <c r="I5" s="112">
        <f t="shared" ca="1" si="3"/>
        <v>0</v>
      </c>
      <c r="J5" s="112">
        <f t="shared" ca="1" si="3"/>
        <v>0</v>
      </c>
      <c r="K5" s="112">
        <f t="shared" ca="1" si="3"/>
        <v>0</v>
      </c>
      <c r="L5" s="112">
        <f t="shared" ca="1" si="3"/>
        <v>0</v>
      </c>
      <c r="M5" s="112">
        <f t="shared" ca="1" si="3"/>
        <v>0</v>
      </c>
      <c r="N5" s="112">
        <f t="shared" ca="1" si="3"/>
        <v>0</v>
      </c>
      <c r="O5" s="112">
        <f t="shared" ca="1" si="3"/>
        <v>0</v>
      </c>
      <c r="P5" s="112">
        <f t="shared" ca="1" si="3"/>
        <v>0</v>
      </c>
      <c r="Q5" s="112">
        <f t="shared" ca="1" si="3"/>
        <v>0</v>
      </c>
      <c r="R5" s="112">
        <f t="shared" ca="1" si="3"/>
        <v>0</v>
      </c>
      <c r="Y5" s="112">
        <f t="shared" ca="1" si="3"/>
        <v>0</v>
      </c>
      <c r="Z5" s="113">
        <f t="shared" ca="1" si="3"/>
        <v>0</v>
      </c>
      <c r="AA5" s="115"/>
      <c r="AB5" s="113">
        <f t="shared" ca="1" si="3"/>
        <v>0</v>
      </c>
      <c r="AC5" s="113">
        <f t="shared" ca="1" si="3"/>
        <v>0</v>
      </c>
      <c r="AD5" s="113">
        <f t="shared" ca="1" si="3"/>
        <v>0</v>
      </c>
      <c r="AE5" s="112">
        <f t="shared" ca="1" si="3"/>
        <v>0</v>
      </c>
      <c r="AF5" s="113">
        <f t="shared" ca="1" si="3"/>
        <v>0</v>
      </c>
    </row>
    <row r="6" spans="1:45" ht="15" hidden="1" customHeight="1" x14ac:dyDescent="0.2">
      <c r="A6" s="389"/>
      <c r="B6" s="389"/>
      <c r="C6" s="112"/>
      <c r="D6" s="112"/>
      <c r="E6" s="112"/>
      <c r="F6" s="112"/>
      <c r="G6" s="112"/>
      <c r="H6" s="112"/>
      <c r="I6" s="112"/>
      <c r="J6" s="112"/>
      <c r="K6" s="112"/>
      <c r="L6" s="112"/>
      <c r="M6" s="112"/>
      <c r="N6" s="112"/>
      <c r="O6" s="112"/>
      <c r="P6" s="112"/>
      <c r="Q6" s="112"/>
      <c r="R6" s="112"/>
      <c r="Y6" s="112"/>
      <c r="Z6" s="116"/>
      <c r="AA6" s="117"/>
      <c r="AB6" s="116"/>
      <c r="AC6" s="116"/>
      <c r="AD6" s="116"/>
      <c r="AE6" s="112"/>
      <c r="AF6" s="116"/>
    </row>
    <row r="7" spans="1:45" ht="15" customHeight="1" x14ac:dyDescent="0.2">
      <c r="A7" s="106"/>
      <c r="B7" s="106" t="str">
        <f ca="1">IF(A7&lt;&gt;"",INDIRECT("'"&amp;$A7&amp;"'!E5"),"")</f>
        <v/>
      </c>
      <c r="C7" s="118" t="str">
        <f ca="1">IF($A7&lt;&gt;"",INDIRECT("'"&amp;$A7&amp;"'!L13"),"")</f>
        <v/>
      </c>
      <c r="D7" s="118" t="str">
        <f ca="1">IF($A7&lt;&gt;"",INDIRECT("'"&amp;$A7&amp;"'!L14"),"")</f>
        <v/>
      </c>
      <c r="E7" s="118" t="str">
        <f ca="1">IF($A7&lt;&gt;"",INDIRECT("'"&amp;$A7&amp;"'!L15"),"")</f>
        <v/>
      </c>
      <c r="F7" s="118" t="str">
        <f ca="1">IF($A7&lt;&gt;"",INDIRECT("'"&amp;$A7&amp;"'!L16"),"")</f>
        <v/>
      </c>
      <c r="G7" s="118" t="str">
        <f ca="1">IF($A7&lt;&gt;"",INDIRECT("'"&amp;$A7&amp;"'!L17"),"")</f>
        <v/>
      </c>
      <c r="H7" s="118" t="str">
        <f ca="1">IF($A7&lt;&gt;"",INDIRECT("'"&amp;$A7&amp;"'!L18"),"")</f>
        <v/>
      </c>
      <c r="I7" s="118" t="str">
        <f ca="1">IF($A7&lt;&gt;"",INDIRECT("'"&amp;$A7&amp;"'!L19"),"")</f>
        <v/>
      </c>
      <c r="J7" s="118" t="str">
        <f ca="1">IF($A7&lt;&gt;"",INDIRECT("'"&amp;$A7&amp;"'!L20"),"")</f>
        <v/>
      </c>
      <c r="K7" s="118" t="str">
        <f ca="1">IF($A7&lt;&gt;"",INDIRECT("'"&amp;$A7&amp;"'!L21"),"")</f>
        <v/>
      </c>
      <c r="L7" s="118" t="str">
        <f ca="1">IF($A7&lt;&gt;"",INDIRECT("'"&amp;$A7&amp;"'!L22"),"")</f>
        <v/>
      </c>
      <c r="M7" s="118" t="str">
        <f ca="1">IF($A7&lt;&gt;"",INDIRECT("'"&amp;$A7&amp;"'!L23"),"")</f>
        <v/>
      </c>
      <c r="N7" s="118" t="str">
        <f ca="1">IF($A7&lt;&gt;"",INDIRECT("'"&amp;$A7&amp;"'!L24"),"")</f>
        <v/>
      </c>
      <c r="O7" s="118" t="str">
        <f ca="1">IF($A7&lt;&gt;"",INDIRECT("'"&amp;$A7&amp;"'!L25"),"")</f>
        <v/>
      </c>
      <c r="P7" s="118" t="str">
        <f ca="1">IF($A7&lt;&gt;"",INDIRECT("'"&amp;$A7&amp;"'!L26"),"")</f>
        <v/>
      </c>
      <c r="Q7" s="118" t="str">
        <f ca="1">IF($A7&lt;&gt;"",INDIRECT("'"&amp;$A7&amp;"'!L27"),"")</f>
        <v/>
      </c>
      <c r="R7" s="118" t="str">
        <f ca="1">IF($A7&lt;&gt;"",INDIRECT("'"&amp;$A7&amp;"'!L28"),"")</f>
        <v/>
      </c>
      <c r="Y7" s="118" t="str">
        <f ca="1">IF($A7&lt;&gt;"",INDIRECT("'"&amp;$A7&amp;"'!L35"),"")</f>
        <v/>
      </c>
      <c r="Z7" s="119" t="str">
        <f ca="1">IF($A7&lt;&gt;"",INDIRECT("'"&amp;$A7&amp;"'!L36"),"")</f>
        <v/>
      </c>
      <c r="AA7" s="120" t="str">
        <f t="shared" ref="AA7:AA13" si="4">IF($A7&lt;&gt;"",SUM(C21:Y21)/COUNT(C7:Y7),"")</f>
        <v/>
      </c>
      <c r="AB7" s="119" t="str">
        <f ca="1">IF($A7&lt;&gt;"",INDIRECT("'"&amp;$A7&amp;"'!F36"),"")</f>
        <v/>
      </c>
      <c r="AC7" s="119" t="str">
        <f ca="1">IF($A7&lt;&gt;"",INDIRECT("'"&amp;$A7&amp;"'!H36"),"")</f>
        <v/>
      </c>
      <c r="AD7" s="119" t="str">
        <f ca="1">IF($A7&lt;&gt;"",INDIRECT("'"&amp;$A7&amp;"'!I36"),"")</f>
        <v/>
      </c>
      <c r="AE7" s="118" t="str">
        <f ca="1">IF($A7&lt;&gt;"",INDIRECT("'"&amp;$A7&amp;"'!J36"),"")</f>
        <v/>
      </c>
      <c r="AF7" s="119" t="str">
        <f ca="1">IF($A7&lt;&gt;"",INDIRECT("'"&amp;$A7&amp;"'!K36"),"")</f>
        <v/>
      </c>
    </row>
    <row r="8" spans="1:45" ht="15" customHeight="1" x14ac:dyDescent="0.2">
      <c r="B8" s="27" t="str">
        <f t="shared" ref="B8:B13" ca="1" si="5">IF(A8&lt;&gt;"",INDIRECT("'"&amp;$A8&amp;"'!E5"),"")</f>
        <v/>
      </c>
      <c r="C8" s="112" t="str">
        <f t="shared" ref="C8:C13" ca="1" si="6">IF($A8&lt;&gt;"",INDIRECT("'"&amp;$A8&amp;"'!L13"),"")</f>
        <v/>
      </c>
      <c r="D8" s="112" t="str">
        <f t="shared" ref="D8:D13" ca="1" si="7">IF($A8&lt;&gt;"",INDIRECT("'"&amp;$A8&amp;"'!L14"),"")</f>
        <v/>
      </c>
      <c r="E8" s="112" t="str">
        <f t="shared" ref="E8:E13" ca="1" si="8">IF($A8&lt;&gt;"",INDIRECT("'"&amp;$A8&amp;"'!L15"),"")</f>
        <v/>
      </c>
      <c r="F8" s="112" t="str">
        <f t="shared" ref="F8:F13" ca="1" si="9">IF($A8&lt;&gt;"",INDIRECT("'"&amp;$A8&amp;"'!L16"),"")</f>
        <v/>
      </c>
      <c r="G8" s="112" t="str">
        <f t="shared" ref="G8:G13" ca="1" si="10">IF($A8&lt;&gt;"",INDIRECT("'"&amp;$A8&amp;"'!L17"),"")</f>
        <v/>
      </c>
      <c r="H8" s="112" t="str">
        <f t="shared" ref="H8:H13" ca="1" si="11">IF($A8&lt;&gt;"",INDIRECT("'"&amp;$A8&amp;"'!L18"),"")</f>
        <v/>
      </c>
      <c r="I8" s="112" t="str">
        <f t="shared" ref="I8:I13" ca="1" si="12">IF($A8&lt;&gt;"",INDIRECT("'"&amp;$A8&amp;"'!L19"),"")</f>
        <v/>
      </c>
      <c r="J8" s="112" t="str">
        <f t="shared" ref="J8:J13" ca="1" si="13">IF($A8&lt;&gt;"",INDIRECT("'"&amp;$A8&amp;"'!L20"),"")</f>
        <v/>
      </c>
      <c r="K8" s="112" t="str">
        <f t="shared" ref="K8:K13" ca="1" si="14">IF($A8&lt;&gt;"",INDIRECT("'"&amp;$A8&amp;"'!L21"),"")</f>
        <v/>
      </c>
      <c r="L8" s="112" t="str">
        <f t="shared" ref="L8:L13" ca="1" si="15">IF($A8&lt;&gt;"",INDIRECT("'"&amp;$A8&amp;"'!L22"),"")</f>
        <v/>
      </c>
      <c r="M8" s="112" t="str">
        <f t="shared" ref="M8:M13" ca="1" si="16">IF($A8&lt;&gt;"",INDIRECT("'"&amp;$A8&amp;"'!L23"),"")</f>
        <v/>
      </c>
      <c r="N8" s="112" t="str">
        <f t="shared" ref="N8:N13" ca="1" si="17">IF($A8&lt;&gt;"",INDIRECT("'"&amp;$A8&amp;"'!L24"),"")</f>
        <v/>
      </c>
      <c r="O8" s="112" t="str">
        <f t="shared" ref="O8:O13" ca="1" si="18">IF($A8&lt;&gt;"",INDIRECT("'"&amp;$A8&amp;"'!L25"),"")</f>
        <v/>
      </c>
      <c r="P8" s="112" t="str">
        <f t="shared" ref="P8:P13" ca="1" si="19">IF($A8&lt;&gt;"",INDIRECT("'"&amp;$A8&amp;"'!L26"),"")</f>
        <v/>
      </c>
      <c r="Q8" s="112" t="str">
        <f t="shared" ref="Q8:Q13" ca="1" si="20">IF($A8&lt;&gt;"",INDIRECT("'"&amp;$A8&amp;"'!L27"),"")</f>
        <v/>
      </c>
      <c r="R8" s="112" t="str">
        <f t="shared" ref="R8:R13" ca="1" si="21">IF($A8&lt;&gt;"",INDIRECT("'"&amp;$A8&amp;"'!L28"),"")</f>
        <v/>
      </c>
      <c r="Y8" s="112" t="str">
        <f t="shared" ref="Y8:Y13" ca="1" si="22">IF($A8&lt;&gt;"",INDIRECT("'"&amp;$A8&amp;"'!L35"),"")</f>
        <v/>
      </c>
      <c r="Z8" s="113" t="str">
        <f t="shared" ref="Z8:Z13" ca="1" si="23">IF($A8&lt;&gt;"",INDIRECT("'"&amp;$A8&amp;"'!L36"),"")</f>
        <v/>
      </c>
      <c r="AA8" s="121" t="str">
        <f t="shared" si="4"/>
        <v/>
      </c>
      <c r="AB8" s="113" t="str">
        <f t="shared" ref="AB8:AB13" ca="1" si="24">IF($A8&lt;&gt;"",INDIRECT("'"&amp;$A8&amp;"'!F36"),"")</f>
        <v/>
      </c>
      <c r="AC8" s="113" t="str">
        <f t="shared" ref="AC8:AC13" ca="1" si="25">IF($A8&lt;&gt;"",INDIRECT("'"&amp;$A8&amp;"'!H36"),"")</f>
        <v/>
      </c>
      <c r="AD8" s="113" t="str">
        <f t="shared" ref="AD8:AD13" ca="1" si="26">IF($A8&lt;&gt;"",INDIRECT("'"&amp;$A8&amp;"'!I36"),"")</f>
        <v/>
      </c>
      <c r="AE8" s="112" t="str">
        <f t="shared" ref="AE8:AE13" ca="1" si="27">IF($A8&lt;&gt;"",INDIRECT("'"&amp;$A8&amp;"'!J36"),"")</f>
        <v/>
      </c>
      <c r="AF8" s="113" t="str">
        <f t="shared" ref="AF8:AF13" ca="1" si="28">IF($A8&lt;&gt;"",INDIRECT("'"&amp;$A8&amp;"'!K36"),"")</f>
        <v/>
      </c>
    </row>
    <row r="9" spans="1:45" ht="15" customHeight="1" x14ac:dyDescent="0.2">
      <c r="B9" s="27" t="str">
        <f t="shared" ca="1" si="5"/>
        <v/>
      </c>
      <c r="C9" s="112" t="str">
        <f t="shared" ca="1" si="6"/>
        <v/>
      </c>
      <c r="D9" s="112" t="str">
        <f t="shared" ca="1" si="7"/>
        <v/>
      </c>
      <c r="E9" s="112" t="str">
        <f t="shared" ca="1" si="8"/>
        <v/>
      </c>
      <c r="F9" s="112" t="str">
        <f t="shared" ca="1" si="9"/>
        <v/>
      </c>
      <c r="G9" s="112" t="str">
        <f t="shared" ca="1" si="10"/>
        <v/>
      </c>
      <c r="H9" s="112" t="str">
        <f t="shared" ca="1" si="11"/>
        <v/>
      </c>
      <c r="I9" s="112" t="str">
        <f t="shared" ca="1" si="12"/>
        <v/>
      </c>
      <c r="J9" s="112" t="str">
        <f t="shared" ca="1" si="13"/>
        <v/>
      </c>
      <c r="K9" s="112" t="str">
        <f t="shared" ca="1" si="14"/>
        <v/>
      </c>
      <c r="L9" s="112" t="str">
        <f t="shared" ca="1" si="15"/>
        <v/>
      </c>
      <c r="M9" s="112" t="str">
        <f t="shared" ca="1" si="16"/>
        <v/>
      </c>
      <c r="N9" s="112" t="str">
        <f t="shared" ca="1" si="17"/>
        <v/>
      </c>
      <c r="O9" s="112" t="str">
        <f t="shared" ca="1" si="18"/>
        <v/>
      </c>
      <c r="P9" s="112" t="str">
        <f t="shared" ca="1" si="19"/>
        <v/>
      </c>
      <c r="Q9" s="112" t="str">
        <f t="shared" ca="1" si="20"/>
        <v/>
      </c>
      <c r="R9" s="112" t="str">
        <f t="shared" ca="1" si="21"/>
        <v/>
      </c>
      <c r="Y9" s="112" t="str">
        <f t="shared" ca="1" si="22"/>
        <v/>
      </c>
      <c r="Z9" s="113" t="str">
        <f t="shared" ca="1" si="23"/>
        <v/>
      </c>
      <c r="AA9" s="122" t="str">
        <f t="shared" si="4"/>
        <v/>
      </c>
      <c r="AB9" s="113" t="str">
        <f t="shared" ca="1" si="24"/>
        <v/>
      </c>
      <c r="AC9" s="113" t="str">
        <f t="shared" ca="1" si="25"/>
        <v/>
      </c>
      <c r="AD9" s="113" t="str">
        <f t="shared" ca="1" si="26"/>
        <v/>
      </c>
      <c r="AE9" s="112" t="str">
        <f t="shared" ca="1" si="27"/>
        <v/>
      </c>
      <c r="AF9" s="113" t="str">
        <f t="shared" ca="1" si="28"/>
        <v/>
      </c>
    </row>
    <row r="10" spans="1:45" ht="15" customHeight="1" x14ac:dyDescent="0.2">
      <c r="B10" s="27" t="str">
        <f t="shared" ca="1" si="5"/>
        <v/>
      </c>
      <c r="C10" s="112" t="str">
        <f t="shared" ca="1" si="6"/>
        <v/>
      </c>
      <c r="D10" s="112" t="str">
        <f t="shared" ca="1" si="7"/>
        <v/>
      </c>
      <c r="E10" s="112" t="str">
        <f t="shared" ca="1" si="8"/>
        <v/>
      </c>
      <c r="F10" s="112" t="str">
        <f t="shared" ca="1" si="9"/>
        <v/>
      </c>
      <c r="G10" s="112" t="str">
        <f t="shared" ca="1" si="10"/>
        <v/>
      </c>
      <c r="H10" s="112" t="str">
        <f t="shared" ca="1" si="11"/>
        <v/>
      </c>
      <c r="I10" s="112" t="str">
        <f t="shared" ca="1" si="12"/>
        <v/>
      </c>
      <c r="J10" s="112" t="str">
        <f t="shared" ca="1" si="13"/>
        <v/>
      </c>
      <c r="K10" s="112" t="str">
        <f t="shared" ca="1" si="14"/>
        <v/>
      </c>
      <c r="L10" s="112" t="str">
        <f t="shared" ca="1" si="15"/>
        <v/>
      </c>
      <c r="M10" s="112" t="str">
        <f t="shared" ca="1" si="16"/>
        <v/>
      </c>
      <c r="N10" s="112" t="str">
        <f t="shared" ca="1" si="17"/>
        <v/>
      </c>
      <c r="O10" s="112" t="str">
        <f t="shared" ca="1" si="18"/>
        <v/>
      </c>
      <c r="P10" s="112" t="str">
        <f t="shared" ca="1" si="19"/>
        <v/>
      </c>
      <c r="Q10" s="112" t="str">
        <f t="shared" ca="1" si="20"/>
        <v/>
      </c>
      <c r="R10" s="112" t="str">
        <f t="shared" ca="1" si="21"/>
        <v/>
      </c>
      <c r="Y10" s="112" t="str">
        <f t="shared" ca="1" si="22"/>
        <v/>
      </c>
      <c r="Z10" s="113" t="str">
        <f t="shared" ca="1" si="23"/>
        <v/>
      </c>
      <c r="AA10" s="122" t="str">
        <f t="shared" si="4"/>
        <v/>
      </c>
      <c r="AB10" s="113" t="str">
        <f t="shared" ca="1" si="24"/>
        <v/>
      </c>
      <c r="AC10" s="113" t="str">
        <f t="shared" ca="1" si="25"/>
        <v/>
      </c>
      <c r="AD10" s="113" t="str">
        <f t="shared" ca="1" si="26"/>
        <v/>
      </c>
      <c r="AE10" s="112" t="str">
        <f t="shared" ca="1" si="27"/>
        <v/>
      </c>
      <c r="AF10" s="113" t="str">
        <f t="shared" ca="1" si="28"/>
        <v/>
      </c>
    </row>
    <row r="11" spans="1:45" ht="15" customHeight="1" x14ac:dyDescent="0.2">
      <c r="B11" s="27" t="str">
        <f t="shared" ca="1" si="5"/>
        <v/>
      </c>
      <c r="C11" s="112" t="str">
        <f t="shared" ca="1" si="6"/>
        <v/>
      </c>
      <c r="D11" s="112" t="str">
        <f t="shared" ca="1" si="7"/>
        <v/>
      </c>
      <c r="E11" s="112" t="str">
        <f t="shared" ca="1" si="8"/>
        <v/>
      </c>
      <c r="F11" s="112" t="str">
        <f t="shared" ca="1" si="9"/>
        <v/>
      </c>
      <c r="G11" s="112" t="str">
        <f t="shared" ca="1" si="10"/>
        <v/>
      </c>
      <c r="H11" s="112" t="str">
        <f t="shared" ca="1" si="11"/>
        <v/>
      </c>
      <c r="I11" s="112" t="str">
        <f t="shared" ca="1" si="12"/>
        <v/>
      </c>
      <c r="J11" s="112" t="str">
        <f t="shared" ca="1" si="13"/>
        <v/>
      </c>
      <c r="K11" s="112" t="str">
        <f t="shared" ca="1" si="14"/>
        <v/>
      </c>
      <c r="L11" s="112" t="str">
        <f t="shared" ca="1" si="15"/>
        <v/>
      </c>
      <c r="M11" s="112" t="str">
        <f t="shared" ca="1" si="16"/>
        <v/>
      </c>
      <c r="N11" s="112" t="str">
        <f t="shared" ca="1" si="17"/>
        <v/>
      </c>
      <c r="O11" s="112" t="str">
        <f t="shared" ca="1" si="18"/>
        <v/>
      </c>
      <c r="P11" s="112" t="str">
        <f t="shared" ca="1" si="19"/>
        <v/>
      </c>
      <c r="Q11" s="112" t="str">
        <f t="shared" ca="1" si="20"/>
        <v/>
      </c>
      <c r="R11" s="112" t="str">
        <f t="shared" ca="1" si="21"/>
        <v/>
      </c>
      <c r="Y11" s="112" t="str">
        <f t="shared" ca="1" si="22"/>
        <v/>
      </c>
      <c r="Z11" s="113" t="str">
        <f t="shared" ca="1" si="23"/>
        <v/>
      </c>
      <c r="AA11" s="122" t="str">
        <f t="shared" si="4"/>
        <v/>
      </c>
      <c r="AB11" s="113" t="str">
        <f t="shared" ca="1" si="24"/>
        <v/>
      </c>
      <c r="AC11" s="113" t="str">
        <f t="shared" ca="1" si="25"/>
        <v/>
      </c>
      <c r="AD11" s="113" t="str">
        <f t="shared" ca="1" si="26"/>
        <v/>
      </c>
      <c r="AE11" s="112" t="str">
        <f t="shared" ca="1" si="27"/>
        <v/>
      </c>
      <c r="AF11" s="113" t="str">
        <f t="shared" ca="1" si="28"/>
        <v/>
      </c>
    </row>
    <row r="12" spans="1:45" ht="15" customHeight="1" thickBot="1" x14ac:dyDescent="0.25">
      <c r="B12" s="107" t="str">
        <f t="shared" ca="1" si="5"/>
        <v/>
      </c>
      <c r="C12" s="123" t="str">
        <f t="shared" ca="1" si="6"/>
        <v/>
      </c>
      <c r="D12" s="123" t="str">
        <f t="shared" ca="1" si="7"/>
        <v/>
      </c>
      <c r="E12" s="123" t="str">
        <f t="shared" ca="1" si="8"/>
        <v/>
      </c>
      <c r="F12" s="123" t="str">
        <f t="shared" ca="1" si="9"/>
        <v/>
      </c>
      <c r="G12" s="123" t="str">
        <f t="shared" ca="1" si="10"/>
        <v/>
      </c>
      <c r="H12" s="123" t="str">
        <f t="shared" ca="1" si="11"/>
        <v/>
      </c>
      <c r="I12" s="123" t="str">
        <f t="shared" ca="1" si="12"/>
        <v/>
      </c>
      <c r="J12" s="123" t="str">
        <f t="shared" ca="1" si="13"/>
        <v/>
      </c>
      <c r="K12" s="123" t="str">
        <f t="shared" ca="1" si="14"/>
        <v/>
      </c>
      <c r="L12" s="123" t="str">
        <f t="shared" ca="1" si="15"/>
        <v/>
      </c>
      <c r="M12" s="123" t="str">
        <f t="shared" ca="1" si="16"/>
        <v/>
      </c>
      <c r="N12" s="123" t="str">
        <f t="shared" ca="1" si="17"/>
        <v/>
      </c>
      <c r="O12" s="123" t="str">
        <f t="shared" ca="1" si="18"/>
        <v/>
      </c>
      <c r="P12" s="123" t="str">
        <f t="shared" ca="1" si="19"/>
        <v/>
      </c>
      <c r="Q12" s="123" t="str">
        <f t="shared" ca="1" si="20"/>
        <v/>
      </c>
      <c r="R12" s="123" t="str">
        <f t="shared" ca="1" si="21"/>
        <v/>
      </c>
      <c r="Y12" s="123" t="str">
        <f t="shared" ca="1" si="22"/>
        <v/>
      </c>
      <c r="Z12" s="124" t="str">
        <f t="shared" ca="1" si="23"/>
        <v/>
      </c>
      <c r="AA12" s="122" t="str">
        <f t="shared" si="4"/>
        <v/>
      </c>
      <c r="AB12" s="124" t="str">
        <f t="shared" ca="1" si="24"/>
        <v/>
      </c>
      <c r="AC12" s="124" t="str">
        <f t="shared" ca="1" si="25"/>
        <v/>
      </c>
      <c r="AD12" s="124" t="str">
        <f t="shared" ca="1" si="26"/>
        <v/>
      </c>
      <c r="AE12" s="123" t="str">
        <f t="shared" ca="1" si="27"/>
        <v/>
      </c>
      <c r="AF12" s="124" t="str">
        <f t="shared" ca="1" si="28"/>
        <v/>
      </c>
    </row>
    <row r="13" spans="1:45" ht="15" customHeight="1" thickBot="1" x14ac:dyDescent="0.25">
      <c r="A13" s="108"/>
      <c r="B13" s="108" t="str">
        <f t="shared" ca="1" si="5"/>
        <v/>
      </c>
      <c r="C13" s="125" t="str">
        <f t="shared" ca="1" si="6"/>
        <v/>
      </c>
      <c r="D13" s="125" t="str">
        <f t="shared" ca="1" si="7"/>
        <v/>
      </c>
      <c r="E13" s="125" t="str">
        <f t="shared" ca="1" si="8"/>
        <v/>
      </c>
      <c r="F13" s="125" t="str">
        <f t="shared" ca="1" si="9"/>
        <v/>
      </c>
      <c r="G13" s="125" t="str">
        <f t="shared" ca="1" si="10"/>
        <v/>
      </c>
      <c r="H13" s="125" t="str">
        <f t="shared" ca="1" si="11"/>
        <v/>
      </c>
      <c r="I13" s="125" t="str">
        <f t="shared" ca="1" si="12"/>
        <v/>
      </c>
      <c r="J13" s="125" t="str">
        <f t="shared" ca="1" si="13"/>
        <v/>
      </c>
      <c r="K13" s="125" t="str">
        <f t="shared" ca="1" si="14"/>
        <v/>
      </c>
      <c r="L13" s="125" t="str">
        <f t="shared" ca="1" si="15"/>
        <v/>
      </c>
      <c r="M13" s="125" t="str">
        <f t="shared" ca="1" si="16"/>
        <v/>
      </c>
      <c r="N13" s="125" t="str">
        <f t="shared" ca="1" si="17"/>
        <v/>
      </c>
      <c r="O13" s="125" t="str">
        <f t="shared" ca="1" si="18"/>
        <v/>
      </c>
      <c r="P13" s="125" t="str">
        <f t="shared" ca="1" si="19"/>
        <v/>
      </c>
      <c r="Q13" s="125" t="str">
        <f t="shared" ca="1" si="20"/>
        <v/>
      </c>
      <c r="R13" s="125" t="str">
        <f t="shared" ca="1" si="21"/>
        <v/>
      </c>
      <c r="Y13" s="125" t="str">
        <f t="shared" ca="1" si="22"/>
        <v/>
      </c>
      <c r="Z13" s="126" t="str">
        <f t="shared" ca="1" si="23"/>
        <v/>
      </c>
      <c r="AA13" s="127" t="str">
        <f t="shared" si="4"/>
        <v/>
      </c>
      <c r="AB13" s="126" t="str">
        <f t="shared" ca="1" si="24"/>
        <v/>
      </c>
      <c r="AC13" s="126" t="str">
        <f t="shared" ca="1" si="25"/>
        <v/>
      </c>
      <c r="AD13" s="126" t="str">
        <f t="shared" ca="1" si="26"/>
        <v/>
      </c>
      <c r="AE13" s="125" t="str">
        <f t="shared" ca="1" si="27"/>
        <v/>
      </c>
      <c r="AF13" s="126" t="str">
        <f t="shared" ca="1" si="28"/>
        <v/>
      </c>
    </row>
    <row r="14" spans="1:45" ht="15" customHeight="1" x14ac:dyDescent="0.2">
      <c r="A14" s="109"/>
      <c r="B14" s="109"/>
      <c r="C14" s="128"/>
      <c r="D14" s="128"/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28"/>
      <c r="Q14" s="128"/>
      <c r="R14" s="128"/>
      <c r="Y14" s="128"/>
      <c r="Z14" s="129"/>
      <c r="AA14" s="130"/>
      <c r="AB14" s="131"/>
      <c r="AC14" s="131"/>
      <c r="AD14" s="131"/>
      <c r="AE14" s="128"/>
      <c r="AF14" s="131"/>
    </row>
    <row r="15" spans="1:45" ht="15" customHeight="1" x14ac:dyDescent="0.2">
      <c r="A15" s="109"/>
      <c r="B15" s="109" t="str">
        <f t="shared" ref="B15:B16" ca="1" si="29">IF(A15&lt;&gt;"",INDIRECT("'"&amp;$A15&amp;"'!E5"),"")</f>
        <v/>
      </c>
      <c r="C15" s="128" t="str">
        <f t="shared" ref="C15:C16" ca="1" si="30">IF($A15&lt;&gt;"",INDIRECT("'"&amp;$A15&amp;"'!L13"),"")</f>
        <v/>
      </c>
      <c r="D15" s="128" t="str">
        <f t="shared" ref="D15:D16" ca="1" si="31">IF($A15&lt;&gt;"",INDIRECT("'"&amp;$A15&amp;"'!L14"),"")</f>
        <v/>
      </c>
      <c r="E15" s="128" t="str">
        <f t="shared" ref="E15:E16" ca="1" si="32">IF($A15&lt;&gt;"",INDIRECT("'"&amp;$A15&amp;"'!L15"),"")</f>
        <v/>
      </c>
      <c r="F15" s="128" t="str">
        <f t="shared" ref="F15:F16" ca="1" si="33">IF($A15&lt;&gt;"",INDIRECT("'"&amp;$A15&amp;"'!L16"),"")</f>
        <v/>
      </c>
      <c r="G15" s="128" t="str">
        <f t="shared" ref="G15:G16" ca="1" si="34">IF($A15&lt;&gt;"",INDIRECT("'"&amp;$A15&amp;"'!L17"),"")</f>
        <v/>
      </c>
      <c r="H15" s="128" t="str">
        <f t="shared" ref="H15:H16" ca="1" si="35">IF($A15&lt;&gt;"",INDIRECT("'"&amp;$A15&amp;"'!L18"),"")</f>
        <v/>
      </c>
      <c r="I15" s="128" t="str">
        <f t="shared" ref="I15:I16" ca="1" si="36">IF($A15&lt;&gt;"",INDIRECT("'"&amp;$A15&amp;"'!L19"),"")</f>
        <v/>
      </c>
      <c r="J15" s="128" t="str">
        <f t="shared" ref="J15:J16" ca="1" si="37">IF($A15&lt;&gt;"",INDIRECT("'"&amp;$A15&amp;"'!L20"),"")</f>
        <v/>
      </c>
      <c r="K15" s="128" t="str">
        <f t="shared" ref="K15:K16" ca="1" si="38">IF($A15&lt;&gt;"",INDIRECT("'"&amp;$A15&amp;"'!L21"),"")</f>
        <v/>
      </c>
      <c r="L15" s="128" t="str">
        <f t="shared" ref="L15:L16" ca="1" si="39">IF($A15&lt;&gt;"",INDIRECT("'"&amp;$A15&amp;"'!L22"),"")</f>
        <v/>
      </c>
      <c r="M15" s="128" t="str">
        <f t="shared" ref="M15:M16" ca="1" si="40">IF($A15&lt;&gt;"",INDIRECT("'"&amp;$A15&amp;"'!L23"),"")</f>
        <v/>
      </c>
      <c r="N15" s="128" t="str">
        <f t="shared" ref="N15:N16" ca="1" si="41">IF($A15&lt;&gt;"",INDIRECT("'"&amp;$A15&amp;"'!L24"),"")</f>
        <v/>
      </c>
      <c r="O15" s="128" t="str">
        <f t="shared" ref="O15:O16" ca="1" si="42">IF($A15&lt;&gt;"",INDIRECT("'"&amp;$A15&amp;"'!L25"),"")</f>
        <v/>
      </c>
      <c r="P15" s="128" t="str">
        <f t="shared" ref="P15:P16" ca="1" si="43">IF($A15&lt;&gt;"",INDIRECT("'"&amp;$A15&amp;"'!L26"),"")</f>
        <v/>
      </c>
      <c r="Q15" s="128" t="str">
        <f t="shared" ref="Q15:Q16" ca="1" si="44">IF($A15&lt;&gt;"",INDIRECT("'"&amp;$A15&amp;"'!L27"),"")</f>
        <v/>
      </c>
      <c r="R15" s="128" t="str">
        <f t="shared" ref="R15:R16" ca="1" si="45">IF($A15&lt;&gt;"",INDIRECT("'"&amp;$A15&amp;"'!L28"),"")</f>
        <v/>
      </c>
      <c r="Y15" s="128" t="str">
        <f t="shared" ref="Y15:Y16" ca="1" si="46">IF($A15&lt;&gt;"",INDIRECT("'"&amp;$A15&amp;"'!L35"),"")</f>
        <v/>
      </c>
      <c r="Z15" s="131" t="str">
        <f t="shared" ref="Z15:Z16" ca="1" si="47">IF($A15&lt;&gt;"",INDIRECT("'"&amp;$A15&amp;"'!L36"),"")</f>
        <v/>
      </c>
      <c r="AA15" s="132" t="str">
        <f t="shared" ref="AA15:AA16" si="48">IF($A15&lt;&gt;"",SUM(C29:Y29)/COUNT(C15:Y15),"")</f>
        <v/>
      </c>
      <c r="AB15" s="131" t="str">
        <f t="shared" ref="AB15:AB16" ca="1" si="49">IF($A15&lt;&gt;"",INDIRECT("'"&amp;$A15&amp;"'!F36"),"")</f>
        <v/>
      </c>
      <c r="AC15" s="131" t="str">
        <f t="shared" ref="AC15:AC16" ca="1" si="50">IF($A15&lt;&gt;"",INDIRECT("'"&amp;$A15&amp;"'!H36"),"")</f>
        <v/>
      </c>
      <c r="AD15" s="131" t="str">
        <f t="shared" ref="AD15:AD16" ca="1" si="51">IF($A15&lt;&gt;"",INDIRECT("'"&amp;$A15&amp;"'!I36"),"")</f>
        <v/>
      </c>
      <c r="AE15" s="128" t="str">
        <f t="shared" ref="AE15:AE16" ca="1" si="52">IF($A15&lt;&gt;"",INDIRECT("'"&amp;$A15&amp;"'!J36"),"")</f>
        <v/>
      </c>
      <c r="AF15" s="131" t="str">
        <f t="shared" ref="AF15:AF16" ca="1" si="53">IF($A15&lt;&gt;"",INDIRECT("'"&amp;$A15&amp;"'!K36"),"")</f>
        <v/>
      </c>
    </row>
    <row r="16" spans="1:45" ht="15" customHeight="1" x14ac:dyDescent="0.2">
      <c r="A16" s="109"/>
      <c r="B16" s="109" t="str">
        <f t="shared" ca="1" si="29"/>
        <v/>
      </c>
      <c r="C16" s="128" t="str">
        <f t="shared" ca="1" si="30"/>
        <v/>
      </c>
      <c r="D16" s="128" t="str">
        <f t="shared" ca="1" si="31"/>
        <v/>
      </c>
      <c r="E16" s="128" t="str">
        <f t="shared" ca="1" si="32"/>
        <v/>
      </c>
      <c r="F16" s="128" t="str">
        <f t="shared" ca="1" si="33"/>
        <v/>
      </c>
      <c r="G16" s="128" t="str">
        <f t="shared" ca="1" si="34"/>
        <v/>
      </c>
      <c r="H16" s="128" t="str">
        <f t="shared" ca="1" si="35"/>
        <v/>
      </c>
      <c r="I16" s="128" t="str">
        <f t="shared" ca="1" si="36"/>
        <v/>
      </c>
      <c r="J16" s="128" t="str">
        <f t="shared" ca="1" si="37"/>
        <v/>
      </c>
      <c r="K16" s="128" t="str">
        <f t="shared" ca="1" si="38"/>
        <v/>
      </c>
      <c r="L16" s="128" t="str">
        <f t="shared" ca="1" si="39"/>
        <v/>
      </c>
      <c r="M16" s="128" t="str">
        <f t="shared" ca="1" si="40"/>
        <v/>
      </c>
      <c r="N16" s="128" t="str">
        <f t="shared" ca="1" si="41"/>
        <v/>
      </c>
      <c r="O16" s="128" t="str">
        <f t="shared" ca="1" si="42"/>
        <v/>
      </c>
      <c r="P16" s="128" t="str">
        <f t="shared" ca="1" si="43"/>
        <v/>
      </c>
      <c r="Q16" s="128" t="str">
        <f t="shared" ca="1" si="44"/>
        <v/>
      </c>
      <c r="R16" s="128" t="str">
        <f t="shared" ca="1" si="45"/>
        <v/>
      </c>
      <c r="Y16" s="128" t="str">
        <f t="shared" ca="1" si="46"/>
        <v/>
      </c>
      <c r="Z16" s="131" t="str">
        <f t="shared" ca="1" si="47"/>
        <v/>
      </c>
      <c r="AA16" s="132" t="str">
        <f t="shared" si="48"/>
        <v/>
      </c>
      <c r="AB16" s="131" t="str">
        <f t="shared" ca="1" si="49"/>
        <v/>
      </c>
      <c r="AC16" s="131" t="str">
        <f t="shared" ca="1" si="50"/>
        <v/>
      </c>
      <c r="AD16" s="131" t="str">
        <f t="shared" ca="1" si="51"/>
        <v/>
      </c>
      <c r="AE16" s="128" t="str">
        <f t="shared" ca="1" si="52"/>
        <v/>
      </c>
      <c r="AF16" s="131" t="str">
        <f t="shared" ca="1" si="53"/>
        <v/>
      </c>
    </row>
    <row r="17" spans="1:32" ht="15" customHeight="1" x14ac:dyDescent="0.2">
      <c r="AF17" s="100"/>
    </row>
    <row r="18" spans="1:32" ht="15" customHeight="1" x14ac:dyDescent="0.2">
      <c r="AF18" s="99"/>
    </row>
    <row r="21" spans="1:32" ht="15" hidden="1" customHeight="1" x14ac:dyDescent="0.2">
      <c r="A21" s="27" t="s">
        <v>192</v>
      </c>
    </row>
    <row r="22" spans="1:32" ht="15" hidden="1" customHeight="1" x14ac:dyDescent="0.2">
      <c r="A22" s="27">
        <f t="shared" ref="A22:A27" si="54">A8</f>
        <v>0</v>
      </c>
      <c r="B22" s="27" t="str">
        <f t="shared" ref="B22:B27" ca="1" si="55">B8</f>
        <v/>
      </c>
      <c r="C22" s="27" t="str">
        <f t="shared" ref="C22:Y27" si="56">IF($A8&lt;&gt;"",IF(ABS(C$3/3-C8)&lt;=0.75,1,0),"")</f>
        <v/>
      </c>
      <c r="D22" s="27" t="str">
        <f t="shared" si="56"/>
        <v/>
      </c>
      <c r="E22" s="27" t="str">
        <f t="shared" si="56"/>
        <v/>
      </c>
      <c r="F22" s="27" t="str">
        <f t="shared" si="56"/>
        <v/>
      </c>
      <c r="G22" s="27" t="str">
        <f t="shared" si="56"/>
        <v/>
      </c>
      <c r="H22" s="27" t="str">
        <f t="shared" si="56"/>
        <v/>
      </c>
      <c r="I22" s="27" t="str">
        <f t="shared" si="56"/>
        <v/>
      </c>
      <c r="J22" s="27" t="str">
        <f t="shared" si="56"/>
        <v/>
      </c>
      <c r="K22" s="27" t="str">
        <f t="shared" si="56"/>
        <v/>
      </c>
      <c r="L22" s="27" t="str">
        <f t="shared" si="56"/>
        <v/>
      </c>
      <c r="M22" s="27" t="str">
        <f t="shared" si="56"/>
        <v/>
      </c>
      <c r="N22" s="27" t="str">
        <f t="shared" si="56"/>
        <v/>
      </c>
      <c r="O22" s="27" t="str">
        <f t="shared" si="56"/>
        <v/>
      </c>
      <c r="P22" s="27" t="str">
        <f t="shared" si="56"/>
        <v/>
      </c>
      <c r="Q22" s="27" t="str">
        <f t="shared" si="56"/>
        <v/>
      </c>
      <c r="R22" s="27" t="str">
        <f t="shared" si="56"/>
        <v/>
      </c>
      <c r="Y22" s="27" t="str">
        <f t="shared" si="56"/>
        <v/>
      </c>
    </row>
    <row r="23" spans="1:32" ht="15" hidden="1" customHeight="1" x14ac:dyDescent="0.2">
      <c r="A23" s="27">
        <f t="shared" si="54"/>
        <v>0</v>
      </c>
      <c r="B23" s="27" t="str">
        <f t="shared" ca="1" si="55"/>
        <v/>
      </c>
      <c r="C23" s="27" t="str">
        <f t="shared" si="56"/>
        <v/>
      </c>
      <c r="D23" s="27" t="str">
        <f t="shared" si="56"/>
        <v/>
      </c>
      <c r="E23" s="27" t="str">
        <f t="shared" si="56"/>
        <v/>
      </c>
      <c r="F23" s="27" t="str">
        <f t="shared" si="56"/>
        <v/>
      </c>
      <c r="G23" s="27" t="str">
        <f t="shared" si="56"/>
        <v/>
      </c>
      <c r="H23" s="27" t="str">
        <f t="shared" si="56"/>
        <v/>
      </c>
      <c r="I23" s="27" t="str">
        <f t="shared" si="56"/>
        <v/>
      </c>
      <c r="J23" s="27" t="str">
        <f t="shared" si="56"/>
        <v/>
      </c>
      <c r="K23" s="27" t="str">
        <f t="shared" si="56"/>
        <v/>
      </c>
      <c r="L23" s="27" t="str">
        <f t="shared" si="56"/>
        <v/>
      </c>
      <c r="M23" s="27" t="str">
        <f t="shared" si="56"/>
        <v/>
      </c>
      <c r="N23" s="27" t="str">
        <f t="shared" si="56"/>
        <v/>
      </c>
      <c r="O23" s="27" t="str">
        <f t="shared" si="56"/>
        <v/>
      </c>
      <c r="P23" s="27" t="str">
        <f t="shared" si="56"/>
        <v/>
      </c>
      <c r="Q23" s="27" t="str">
        <f t="shared" si="56"/>
        <v/>
      </c>
      <c r="R23" s="27" t="str">
        <f t="shared" si="56"/>
        <v/>
      </c>
      <c r="Y23" s="27" t="str">
        <f t="shared" si="56"/>
        <v/>
      </c>
    </row>
    <row r="24" spans="1:32" ht="15" hidden="1" customHeight="1" x14ac:dyDescent="0.2">
      <c r="A24" s="27">
        <f t="shared" si="54"/>
        <v>0</v>
      </c>
      <c r="B24" s="27" t="str">
        <f t="shared" ca="1" si="55"/>
        <v/>
      </c>
      <c r="C24" s="27" t="str">
        <f t="shared" si="56"/>
        <v/>
      </c>
      <c r="D24" s="27" t="str">
        <f t="shared" si="56"/>
        <v/>
      </c>
      <c r="E24" s="27" t="str">
        <f t="shared" si="56"/>
        <v/>
      </c>
      <c r="F24" s="27" t="str">
        <f t="shared" si="56"/>
        <v/>
      </c>
      <c r="G24" s="27" t="str">
        <f t="shared" si="56"/>
        <v/>
      </c>
      <c r="H24" s="27" t="str">
        <f t="shared" si="56"/>
        <v/>
      </c>
      <c r="I24" s="27" t="str">
        <f t="shared" si="56"/>
        <v/>
      </c>
      <c r="J24" s="27" t="str">
        <f t="shared" si="56"/>
        <v/>
      </c>
      <c r="K24" s="27" t="str">
        <f t="shared" si="56"/>
        <v/>
      </c>
      <c r="L24" s="27" t="str">
        <f t="shared" si="56"/>
        <v/>
      </c>
      <c r="M24" s="27" t="str">
        <f t="shared" si="56"/>
        <v/>
      </c>
      <c r="N24" s="27" t="str">
        <f t="shared" si="56"/>
        <v/>
      </c>
      <c r="O24" s="27" t="str">
        <f t="shared" si="56"/>
        <v/>
      </c>
      <c r="P24" s="27" t="str">
        <f t="shared" si="56"/>
        <v/>
      </c>
      <c r="Q24" s="27" t="str">
        <f t="shared" si="56"/>
        <v/>
      </c>
      <c r="R24" s="27" t="str">
        <f t="shared" si="56"/>
        <v/>
      </c>
      <c r="Y24" s="27" t="str">
        <f t="shared" si="56"/>
        <v/>
      </c>
    </row>
    <row r="25" spans="1:32" ht="15" hidden="1" customHeight="1" x14ac:dyDescent="0.2">
      <c r="A25" s="27">
        <f t="shared" si="54"/>
        <v>0</v>
      </c>
      <c r="B25" s="27" t="str">
        <f t="shared" ca="1" si="55"/>
        <v/>
      </c>
      <c r="C25" s="27" t="str">
        <f t="shared" si="56"/>
        <v/>
      </c>
      <c r="D25" s="27" t="str">
        <f t="shared" si="56"/>
        <v/>
      </c>
      <c r="E25" s="27" t="str">
        <f t="shared" si="56"/>
        <v/>
      </c>
      <c r="F25" s="27" t="str">
        <f t="shared" si="56"/>
        <v/>
      </c>
      <c r="G25" s="27" t="str">
        <f t="shared" si="56"/>
        <v/>
      </c>
      <c r="H25" s="27" t="str">
        <f t="shared" si="56"/>
        <v/>
      </c>
      <c r="I25" s="27" t="str">
        <f t="shared" si="56"/>
        <v/>
      </c>
      <c r="J25" s="27" t="str">
        <f t="shared" si="56"/>
        <v/>
      </c>
      <c r="K25" s="27" t="str">
        <f t="shared" si="56"/>
        <v/>
      </c>
      <c r="L25" s="27" t="str">
        <f t="shared" si="56"/>
        <v/>
      </c>
      <c r="M25" s="27" t="str">
        <f t="shared" si="56"/>
        <v/>
      </c>
      <c r="N25" s="27" t="str">
        <f t="shared" si="56"/>
        <v/>
      </c>
      <c r="O25" s="27" t="str">
        <f t="shared" si="56"/>
        <v/>
      </c>
      <c r="P25" s="27" t="str">
        <f t="shared" si="56"/>
        <v/>
      </c>
      <c r="Q25" s="27" t="str">
        <f t="shared" si="56"/>
        <v/>
      </c>
      <c r="R25" s="27" t="str">
        <f t="shared" si="56"/>
        <v/>
      </c>
      <c r="Y25" s="27" t="str">
        <f t="shared" si="56"/>
        <v/>
      </c>
    </row>
    <row r="26" spans="1:32" ht="15" hidden="1" customHeight="1" x14ac:dyDescent="0.2">
      <c r="A26" s="27">
        <f t="shared" si="54"/>
        <v>0</v>
      </c>
      <c r="B26" s="27" t="str">
        <f t="shared" ca="1" si="55"/>
        <v/>
      </c>
      <c r="C26" s="27" t="str">
        <f t="shared" si="56"/>
        <v/>
      </c>
      <c r="D26" s="27" t="str">
        <f t="shared" si="56"/>
        <v/>
      </c>
      <c r="E26" s="27" t="str">
        <f t="shared" si="56"/>
        <v/>
      </c>
      <c r="F26" s="27" t="str">
        <f t="shared" si="56"/>
        <v/>
      </c>
      <c r="G26" s="27" t="str">
        <f t="shared" si="56"/>
        <v/>
      </c>
      <c r="H26" s="27" t="str">
        <f t="shared" si="56"/>
        <v/>
      </c>
      <c r="I26" s="27" t="str">
        <f t="shared" si="56"/>
        <v/>
      </c>
      <c r="J26" s="27" t="str">
        <f t="shared" si="56"/>
        <v/>
      </c>
      <c r="K26" s="27" t="str">
        <f t="shared" si="56"/>
        <v/>
      </c>
      <c r="L26" s="27" t="str">
        <f t="shared" si="56"/>
        <v/>
      </c>
      <c r="M26" s="27" t="str">
        <f t="shared" si="56"/>
        <v/>
      </c>
      <c r="N26" s="27" t="str">
        <f t="shared" si="56"/>
        <v/>
      </c>
      <c r="O26" s="27" t="str">
        <f t="shared" si="56"/>
        <v/>
      </c>
      <c r="P26" s="27" t="str">
        <f t="shared" si="56"/>
        <v/>
      </c>
      <c r="Q26" s="27" t="str">
        <f t="shared" si="56"/>
        <v/>
      </c>
      <c r="R26" s="27" t="str">
        <f t="shared" si="56"/>
        <v/>
      </c>
      <c r="Y26" s="27" t="str">
        <f t="shared" si="56"/>
        <v/>
      </c>
    </row>
    <row r="27" spans="1:32" ht="15" hidden="1" customHeight="1" x14ac:dyDescent="0.2">
      <c r="A27" s="27">
        <f t="shared" si="54"/>
        <v>0</v>
      </c>
      <c r="B27" s="27" t="str">
        <f t="shared" ca="1" si="55"/>
        <v/>
      </c>
      <c r="C27" s="27" t="str">
        <f t="shared" si="56"/>
        <v/>
      </c>
      <c r="D27" s="27" t="str">
        <f t="shared" si="56"/>
        <v/>
      </c>
      <c r="E27" s="27" t="str">
        <f t="shared" si="56"/>
        <v/>
      </c>
      <c r="F27" s="27" t="str">
        <f t="shared" si="56"/>
        <v/>
      </c>
      <c r="G27" s="27" t="str">
        <f t="shared" si="56"/>
        <v/>
      </c>
      <c r="H27" s="27" t="str">
        <f t="shared" si="56"/>
        <v/>
      </c>
      <c r="I27" s="27" t="str">
        <f t="shared" si="56"/>
        <v/>
      </c>
      <c r="J27" s="27" t="str">
        <f t="shared" si="56"/>
        <v/>
      </c>
      <c r="K27" s="27" t="str">
        <f t="shared" si="56"/>
        <v/>
      </c>
      <c r="L27" s="27" t="str">
        <f t="shared" si="56"/>
        <v/>
      </c>
      <c r="M27" s="27" t="str">
        <f t="shared" si="56"/>
        <v/>
      </c>
      <c r="N27" s="27" t="str">
        <f t="shared" si="56"/>
        <v/>
      </c>
      <c r="O27" s="27" t="str">
        <f t="shared" si="56"/>
        <v/>
      </c>
      <c r="P27" s="27" t="str">
        <f t="shared" si="56"/>
        <v/>
      </c>
      <c r="Q27" s="27" t="str">
        <f t="shared" si="56"/>
        <v/>
      </c>
      <c r="R27" s="27" t="str">
        <f t="shared" si="56"/>
        <v/>
      </c>
      <c r="Y27" s="27" t="str">
        <f t="shared" si="56"/>
        <v/>
      </c>
    </row>
    <row r="28" spans="1:32" ht="15" hidden="1" customHeight="1" x14ac:dyDescent="0.2"/>
    <row r="29" spans="1:32" ht="15" hidden="1" customHeight="1" x14ac:dyDescent="0.2">
      <c r="A29" s="27">
        <f>A15</f>
        <v>0</v>
      </c>
      <c r="B29" s="27" t="str">
        <f ca="1">B15</f>
        <v/>
      </c>
      <c r="C29" s="27" t="str">
        <f t="shared" ref="C29:Y30" si="57">IF($A15&lt;&gt;"",IF(ABS(C$3/3-C15)&lt;=0.75,1,0),"")</f>
        <v/>
      </c>
      <c r="D29" s="27" t="str">
        <f t="shared" si="57"/>
        <v/>
      </c>
      <c r="E29" s="27" t="str">
        <f t="shared" si="57"/>
        <v/>
      </c>
      <c r="F29" s="27" t="str">
        <f t="shared" si="57"/>
        <v/>
      </c>
      <c r="G29" s="27" t="str">
        <f t="shared" si="57"/>
        <v/>
      </c>
      <c r="H29" s="27" t="str">
        <f t="shared" si="57"/>
        <v/>
      </c>
      <c r="I29" s="27" t="str">
        <f t="shared" si="57"/>
        <v/>
      </c>
      <c r="J29" s="27" t="str">
        <f t="shared" si="57"/>
        <v/>
      </c>
      <c r="K29" s="27" t="str">
        <f t="shared" si="57"/>
        <v/>
      </c>
      <c r="L29" s="27" t="str">
        <f t="shared" si="57"/>
        <v/>
      </c>
      <c r="M29" s="27" t="str">
        <f t="shared" si="57"/>
        <v/>
      </c>
      <c r="N29" s="27" t="str">
        <f t="shared" si="57"/>
        <v/>
      </c>
      <c r="O29" s="27" t="str">
        <f t="shared" si="57"/>
        <v/>
      </c>
      <c r="P29" s="27" t="str">
        <f t="shared" si="57"/>
        <v/>
      </c>
      <c r="Q29" s="27" t="str">
        <f t="shared" si="57"/>
        <v/>
      </c>
      <c r="R29" s="27" t="str">
        <f t="shared" si="57"/>
        <v/>
      </c>
      <c r="Y29" s="27" t="str">
        <f t="shared" si="57"/>
        <v/>
      </c>
    </row>
    <row r="30" spans="1:32" ht="15" hidden="1" customHeight="1" x14ac:dyDescent="0.2">
      <c r="A30" s="27">
        <f>A16</f>
        <v>0</v>
      </c>
      <c r="B30" s="27" t="str">
        <f ca="1">B16</f>
        <v/>
      </c>
      <c r="C30" s="27" t="str">
        <f t="shared" si="57"/>
        <v/>
      </c>
      <c r="D30" s="27" t="str">
        <f t="shared" si="57"/>
        <v/>
      </c>
      <c r="E30" s="27" t="str">
        <f t="shared" si="57"/>
        <v/>
      </c>
      <c r="F30" s="27" t="str">
        <f t="shared" si="57"/>
        <v/>
      </c>
      <c r="G30" s="27" t="str">
        <f t="shared" si="57"/>
        <v/>
      </c>
      <c r="H30" s="27" t="str">
        <f t="shared" si="57"/>
        <v/>
      </c>
      <c r="I30" s="27" t="str">
        <f t="shared" si="57"/>
        <v/>
      </c>
      <c r="J30" s="27" t="str">
        <f t="shared" si="57"/>
        <v/>
      </c>
      <c r="K30" s="27" t="str">
        <f t="shared" si="57"/>
        <v/>
      </c>
      <c r="L30" s="27" t="str">
        <f t="shared" si="57"/>
        <v/>
      </c>
      <c r="M30" s="27" t="str">
        <f t="shared" si="57"/>
        <v/>
      </c>
      <c r="N30" s="27" t="str">
        <f t="shared" si="57"/>
        <v/>
      </c>
      <c r="O30" s="27" t="str">
        <f t="shared" si="57"/>
        <v/>
      </c>
      <c r="P30" s="27" t="str">
        <f t="shared" si="57"/>
        <v/>
      </c>
      <c r="Q30" s="27" t="str">
        <f t="shared" si="57"/>
        <v/>
      </c>
      <c r="R30" s="27" t="str">
        <f t="shared" si="57"/>
        <v/>
      </c>
      <c r="Y30" s="27" t="str">
        <f t="shared" si="57"/>
        <v/>
      </c>
    </row>
  </sheetData>
  <sheetProtection selectLockedCells="1" selectUnlockedCells="1"/>
  <mergeCells count="4">
    <mergeCell ref="A3:B3"/>
    <mergeCell ref="A4:B4"/>
    <mergeCell ref="A5:B5"/>
    <mergeCell ref="A6:B6"/>
  </mergeCells>
  <conditionalFormatting sqref="C4:R4 Y4">
    <cfRule type="expression" dxfId="65" priority="11">
      <formula>C4&gt;3</formula>
    </cfRule>
    <cfRule type="expression" dxfId="64" priority="12">
      <formula>AND(C4&gt;2,C4&lt;=3)</formula>
    </cfRule>
    <cfRule type="expression" dxfId="63" priority="13">
      <formula>AND(C4&gt;1,C4&lt;=2)</formula>
    </cfRule>
    <cfRule type="expression" dxfId="62" priority="14">
      <formula>C4&lt;=1</formula>
    </cfRule>
  </conditionalFormatting>
  <conditionalFormatting sqref="C8:R10 C12:R13 Y12:Y13 Y8:Y10">
    <cfRule type="expression" dxfId="61" priority="9">
      <formula>C$3/3-C8&lt;-0.75</formula>
    </cfRule>
    <cfRule type="expression" dxfId="60" priority="10">
      <formula>C$3/3-C8&gt;0.75</formula>
    </cfRule>
  </conditionalFormatting>
  <conditionalFormatting sqref="C11:D11">
    <cfRule type="expression" dxfId="59" priority="7">
      <formula>C$3/3-C11&lt;-0.75</formula>
    </cfRule>
    <cfRule type="expression" dxfId="58" priority="8">
      <formula>C$3/3-C11&gt;0.75</formula>
    </cfRule>
  </conditionalFormatting>
  <conditionalFormatting sqref="E11:R11 Y11">
    <cfRule type="expression" dxfId="57" priority="5">
      <formula>E$3/3-E11&lt;-0.75</formula>
    </cfRule>
    <cfRule type="expression" dxfId="56" priority="6">
      <formula>E$3/3-E11&gt;0.75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Tabelle9"/>
  <dimension ref="A1:AF30"/>
  <sheetViews>
    <sheetView zoomScaleNormal="100" workbookViewId="0"/>
  </sheetViews>
  <sheetFormatPr baseColWidth="10" defaultColWidth="11.5703125" defaultRowHeight="12.75" x14ac:dyDescent="0.2"/>
  <cols>
    <col min="1" max="1" width="11.7109375" style="27" customWidth="1"/>
    <col min="2" max="2" width="18.5703125" style="27" customWidth="1"/>
    <col min="3" max="23" width="5.7109375" style="27" customWidth="1"/>
    <col min="24" max="24" width="5.7109375" style="27" hidden="1" customWidth="1"/>
    <col min="25" max="25" width="5.7109375" style="27" customWidth="1"/>
    <col min="26" max="27" width="6.7109375" style="27" customWidth="1"/>
    <col min="28" max="32" width="5.7109375" style="27" customWidth="1"/>
    <col min="33" max="16384" width="11.5703125" style="27"/>
  </cols>
  <sheetData>
    <row r="1" spans="1:32" ht="15" customHeight="1" x14ac:dyDescent="0.2">
      <c r="A1" s="27" t="str">
        <f>Doku!B46&amp;":"</f>
        <v>Paarung:</v>
      </c>
      <c r="B1" s="101" t="e">
        <f ca="1">INDIRECT("'"&amp;$A8&amp;"'!D8") &amp; "-" &amp; INDIRECT("'"&amp;$A8&amp;"'!D9") &amp; " (" &amp; INDIRECT("'"&amp;$A8&amp;"'!L8") &amp;")"</f>
        <v>#REF!</v>
      </c>
      <c r="Z1" s="110"/>
      <c r="AA1" s="110"/>
      <c r="AF1" s="103"/>
    </row>
    <row r="2" spans="1:32" ht="128.1" customHeight="1" x14ac:dyDescent="0.2">
      <c r="A2" s="104" t="str">
        <f>Doku!B44</f>
        <v>Position</v>
      </c>
      <c r="B2" s="104" t="str">
        <f>Doku!B50</f>
        <v>Name</v>
      </c>
      <c r="C2" s="98" t="str">
        <f>Doku!B51</f>
        <v>Angrüßen</v>
      </c>
      <c r="D2" s="98" t="s">
        <v>90</v>
      </c>
      <c r="E2" s="98" t="s">
        <v>91</v>
      </c>
      <c r="F2" s="98" t="s">
        <v>92</v>
      </c>
      <c r="G2" s="98" t="s">
        <v>93</v>
      </c>
      <c r="H2" s="98" t="s">
        <v>94</v>
      </c>
      <c r="I2" s="98" t="s">
        <v>96</v>
      </c>
      <c r="J2" s="98" t="s">
        <v>97</v>
      </c>
      <c r="K2" s="98" t="s">
        <v>98</v>
      </c>
      <c r="L2" s="98" t="s">
        <v>90</v>
      </c>
      <c r="M2" s="98" t="s">
        <v>100</v>
      </c>
      <c r="N2" s="98" t="s">
        <v>91</v>
      </c>
      <c r="O2" s="98" t="s">
        <v>84</v>
      </c>
      <c r="P2" s="98" t="s">
        <v>92</v>
      </c>
      <c r="Q2" s="98" t="s">
        <v>93</v>
      </c>
      <c r="R2" s="98" t="s">
        <v>101</v>
      </c>
      <c r="S2" s="98" t="s">
        <v>94</v>
      </c>
      <c r="T2" s="98" t="s">
        <v>96</v>
      </c>
      <c r="U2" s="98" t="s">
        <v>97</v>
      </c>
      <c r="V2" s="98" t="s">
        <v>103</v>
      </c>
      <c r="W2" s="98" t="s">
        <v>76</v>
      </c>
      <c r="Y2" s="98" t="str">
        <f>Doku!B52</f>
        <v>Abgrüßen</v>
      </c>
      <c r="Z2" s="111" t="str">
        <f>Doku!B42</f>
        <v>Gesamt</v>
      </c>
      <c r="AA2" s="111" t="s">
        <v>191</v>
      </c>
      <c r="AB2" s="98" t="str">
        <f>Doku!B38</f>
        <v>Kleiner Fehler</v>
      </c>
      <c r="AC2" s="98" t="str">
        <f>Doku!B39</f>
        <v>Mittlerer Fehler</v>
      </c>
      <c r="AD2" s="98" t="str">
        <f>Doku!B40</f>
        <v>Großer Fehler</v>
      </c>
      <c r="AE2" s="98" t="str">
        <f>Doku!B53</f>
        <v>Korrektur</v>
      </c>
      <c r="AF2" s="98" t="str">
        <f>Doku!B41</f>
        <v>Technik vergessen</v>
      </c>
    </row>
    <row r="3" spans="1:32" ht="15" customHeight="1" x14ac:dyDescent="0.2">
      <c r="A3" s="388" t="s">
        <v>232</v>
      </c>
      <c r="B3" s="388"/>
      <c r="C3" s="264">
        <f ca="1">IF(COUNTIF(C8:C12,"")&gt;0,SUM(C8:C12),SUM(C8:C12)-MAX(C8:C12)-MIN(C8:C12))</f>
        <v>0</v>
      </c>
      <c r="D3" s="264">
        <f t="shared" ref="D3:Y3" ca="1" si="0">IF(COUNTIF(D8:D12,"")&gt;0,SUM(D8:D12),SUM(D8:D12)-MAX(D8:D12)-MIN(D8:D12))</f>
        <v>0</v>
      </c>
      <c r="E3" s="264">
        <f t="shared" ca="1" si="0"/>
        <v>0</v>
      </c>
      <c r="F3" s="264">
        <f t="shared" ca="1" si="0"/>
        <v>0</v>
      </c>
      <c r="G3" s="264">
        <f t="shared" ca="1" si="0"/>
        <v>0</v>
      </c>
      <c r="H3" s="264">
        <f t="shared" ca="1" si="0"/>
        <v>0</v>
      </c>
      <c r="I3" s="264">
        <f t="shared" ca="1" si="0"/>
        <v>0</v>
      </c>
      <c r="J3" s="264">
        <f t="shared" ca="1" si="0"/>
        <v>0</v>
      </c>
      <c r="K3" s="264">
        <f t="shared" ca="1" si="0"/>
        <v>0</v>
      </c>
      <c r="L3" s="264">
        <f t="shared" ca="1" si="0"/>
        <v>0</v>
      </c>
      <c r="M3" s="264">
        <f t="shared" ca="1" si="0"/>
        <v>0</v>
      </c>
      <c r="N3" s="264">
        <f t="shared" ca="1" si="0"/>
        <v>0</v>
      </c>
      <c r="O3" s="264">
        <f t="shared" ca="1" si="0"/>
        <v>0</v>
      </c>
      <c r="P3" s="264">
        <f t="shared" ca="1" si="0"/>
        <v>0</v>
      </c>
      <c r="Q3" s="264">
        <f t="shared" ca="1" si="0"/>
        <v>0</v>
      </c>
      <c r="R3" s="264">
        <f t="shared" ca="1" si="0"/>
        <v>0</v>
      </c>
      <c r="S3" s="264">
        <f t="shared" ca="1" si="0"/>
        <v>0</v>
      </c>
      <c r="T3" s="264">
        <f t="shared" ca="1" si="0"/>
        <v>0</v>
      </c>
      <c r="U3" s="264">
        <f t="shared" ca="1" si="0"/>
        <v>0</v>
      </c>
      <c r="V3" s="264">
        <f t="shared" ca="1" si="0"/>
        <v>0</v>
      </c>
      <c r="W3" s="264">
        <f t="shared" ca="1" si="0"/>
        <v>0</v>
      </c>
      <c r="Y3" s="264">
        <f t="shared" ca="1" si="0"/>
        <v>0</v>
      </c>
      <c r="Z3" s="265">
        <f ca="1">IF(SUM(AF8:AF12)&gt;0,SUM(C3:Y3)/2,SUM(C3:Y3))</f>
        <v>0</v>
      </c>
      <c r="AA3" s="266"/>
      <c r="AB3" s="265">
        <f t="shared" ref="AB3:AF3" ca="1" si="1">IF(COUNTIF(AB8:AB12,"")&gt;0,SUM(AB8:AB12),SUM(AB8:AB12)-MAX(AB8:AB12)-MIN(AB8:AB12))</f>
        <v>0</v>
      </c>
      <c r="AC3" s="265">
        <f t="shared" ca="1" si="1"/>
        <v>0</v>
      </c>
      <c r="AD3" s="265">
        <f t="shared" ca="1" si="1"/>
        <v>0</v>
      </c>
      <c r="AE3" s="264">
        <f t="shared" ca="1" si="1"/>
        <v>0</v>
      </c>
      <c r="AF3" s="265">
        <f t="shared" ca="1" si="1"/>
        <v>0</v>
      </c>
    </row>
    <row r="4" spans="1:32" ht="15" customHeight="1" x14ac:dyDescent="0.2">
      <c r="A4" s="389" t="str">
        <f>Doku!B49&amp;":"</f>
        <v>Spannweite:</v>
      </c>
      <c r="B4" s="389"/>
      <c r="C4" s="112">
        <f t="shared" ref="C4:W4" ca="1" si="2">MAX(C8:C12)-MIN(C8:C12)</f>
        <v>0</v>
      </c>
      <c r="D4" s="112">
        <f t="shared" ca="1" si="2"/>
        <v>0</v>
      </c>
      <c r="E4" s="112">
        <f t="shared" ca="1" si="2"/>
        <v>0</v>
      </c>
      <c r="F4" s="112">
        <f t="shared" ca="1" si="2"/>
        <v>0</v>
      </c>
      <c r="G4" s="112">
        <f t="shared" ca="1" si="2"/>
        <v>0</v>
      </c>
      <c r="H4" s="112">
        <f t="shared" ca="1" si="2"/>
        <v>0</v>
      </c>
      <c r="I4" s="112">
        <f t="shared" ca="1" si="2"/>
        <v>0</v>
      </c>
      <c r="J4" s="112">
        <f t="shared" ca="1" si="2"/>
        <v>0</v>
      </c>
      <c r="K4" s="112">
        <f t="shared" ca="1" si="2"/>
        <v>0</v>
      </c>
      <c r="L4" s="112">
        <f t="shared" ca="1" si="2"/>
        <v>0</v>
      </c>
      <c r="M4" s="112">
        <f t="shared" ca="1" si="2"/>
        <v>0</v>
      </c>
      <c r="N4" s="112">
        <f t="shared" ca="1" si="2"/>
        <v>0</v>
      </c>
      <c r="O4" s="112">
        <f t="shared" ca="1" si="2"/>
        <v>0</v>
      </c>
      <c r="P4" s="112">
        <f t="shared" ca="1" si="2"/>
        <v>0</v>
      </c>
      <c r="Q4" s="112">
        <f t="shared" ca="1" si="2"/>
        <v>0</v>
      </c>
      <c r="R4" s="112">
        <f t="shared" ca="1" si="2"/>
        <v>0</v>
      </c>
      <c r="S4" s="112">
        <f t="shared" ca="1" si="2"/>
        <v>0</v>
      </c>
      <c r="T4" s="112">
        <f t="shared" ca="1" si="2"/>
        <v>0</v>
      </c>
      <c r="U4" s="112">
        <f t="shared" ca="1" si="2"/>
        <v>0</v>
      </c>
      <c r="V4" s="112">
        <f t="shared" ca="1" si="2"/>
        <v>0</v>
      </c>
      <c r="W4" s="112">
        <f t="shared" ca="1" si="2"/>
        <v>0</v>
      </c>
      <c r="Y4" s="112">
        <f ca="1">MAX(Y8:Y12)-MIN(Y8:Y12)</f>
        <v>0</v>
      </c>
      <c r="Z4" s="113">
        <f ca="1">MAX(Z8:Z12)-MIN(Z8:Z12)</f>
        <v>0</v>
      </c>
      <c r="AA4" s="114"/>
      <c r="AB4" s="113">
        <f ca="1">MAX(AB8:AB12)-MIN(AB8:AB12)</f>
        <v>0</v>
      </c>
      <c r="AC4" s="113">
        <f ca="1">MAX(AC8:AC12)-MIN(AC8:AC12)</f>
        <v>0</v>
      </c>
      <c r="AD4" s="113">
        <f ca="1">MAX(AD8:AD12)-MIN(AD8:AD12)</f>
        <v>0</v>
      </c>
      <c r="AE4" s="112">
        <f ca="1">MAX(AE8:AE12)-MIN(AE8:AE12)</f>
        <v>0</v>
      </c>
      <c r="AF4" s="113">
        <f ca="1">MAX(AF8:AF12)-MIN(AF8:AF12)</f>
        <v>0</v>
      </c>
    </row>
    <row r="5" spans="1:32" ht="15" customHeight="1" x14ac:dyDescent="0.2">
      <c r="A5" s="389" t="str">
        <f>Doku!B47&amp;":"</f>
        <v>Mittelwert:</v>
      </c>
      <c r="B5" s="389"/>
      <c r="C5" s="112">
        <f ca="1">C3/3</f>
        <v>0</v>
      </c>
      <c r="D5" s="112">
        <f t="shared" ref="D5:AF5" ca="1" si="3">D3/3</f>
        <v>0</v>
      </c>
      <c r="E5" s="112">
        <f t="shared" ca="1" si="3"/>
        <v>0</v>
      </c>
      <c r="F5" s="112">
        <f t="shared" ca="1" si="3"/>
        <v>0</v>
      </c>
      <c r="G5" s="112">
        <f t="shared" ca="1" si="3"/>
        <v>0</v>
      </c>
      <c r="H5" s="112">
        <f t="shared" ca="1" si="3"/>
        <v>0</v>
      </c>
      <c r="I5" s="112">
        <f t="shared" ca="1" si="3"/>
        <v>0</v>
      </c>
      <c r="J5" s="112">
        <f t="shared" ca="1" si="3"/>
        <v>0</v>
      </c>
      <c r="K5" s="112">
        <f t="shared" ca="1" si="3"/>
        <v>0</v>
      </c>
      <c r="L5" s="112">
        <f t="shared" ca="1" si="3"/>
        <v>0</v>
      </c>
      <c r="M5" s="112">
        <f t="shared" ca="1" si="3"/>
        <v>0</v>
      </c>
      <c r="N5" s="112">
        <f t="shared" ca="1" si="3"/>
        <v>0</v>
      </c>
      <c r="O5" s="112">
        <f t="shared" ca="1" si="3"/>
        <v>0</v>
      </c>
      <c r="P5" s="112">
        <f t="shared" ca="1" si="3"/>
        <v>0</v>
      </c>
      <c r="Q5" s="112">
        <f t="shared" ca="1" si="3"/>
        <v>0</v>
      </c>
      <c r="R5" s="112">
        <f t="shared" ca="1" si="3"/>
        <v>0</v>
      </c>
      <c r="S5" s="112">
        <f t="shared" ca="1" si="3"/>
        <v>0</v>
      </c>
      <c r="T5" s="112">
        <f t="shared" ca="1" si="3"/>
        <v>0</v>
      </c>
      <c r="U5" s="112">
        <f t="shared" ca="1" si="3"/>
        <v>0</v>
      </c>
      <c r="V5" s="112">
        <f t="shared" ca="1" si="3"/>
        <v>0</v>
      </c>
      <c r="W5" s="112">
        <f t="shared" ca="1" si="3"/>
        <v>0</v>
      </c>
      <c r="Y5" s="112">
        <f t="shared" ca="1" si="3"/>
        <v>0</v>
      </c>
      <c r="Z5" s="113">
        <f t="shared" ca="1" si="3"/>
        <v>0</v>
      </c>
      <c r="AA5" s="115"/>
      <c r="AB5" s="113">
        <f t="shared" ca="1" si="3"/>
        <v>0</v>
      </c>
      <c r="AC5" s="113">
        <f t="shared" ca="1" si="3"/>
        <v>0</v>
      </c>
      <c r="AD5" s="113">
        <f t="shared" ca="1" si="3"/>
        <v>0</v>
      </c>
      <c r="AE5" s="112">
        <f t="shared" ca="1" si="3"/>
        <v>0</v>
      </c>
      <c r="AF5" s="113">
        <f t="shared" ca="1" si="3"/>
        <v>0</v>
      </c>
    </row>
    <row r="6" spans="1:32" ht="15" hidden="1" customHeight="1" x14ac:dyDescent="0.2">
      <c r="A6" s="389"/>
      <c r="B6" s="389"/>
      <c r="C6" s="112"/>
      <c r="D6" s="112"/>
      <c r="E6" s="112"/>
      <c r="F6" s="112"/>
      <c r="G6" s="112"/>
      <c r="H6" s="112"/>
      <c r="I6" s="112"/>
      <c r="J6" s="112"/>
      <c r="K6" s="112"/>
      <c r="L6" s="112"/>
      <c r="M6" s="112"/>
      <c r="N6" s="112"/>
      <c r="O6" s="112"/>
      <c r="P6" s="112"/>
      <c r="Q6" s="112"/>
      <c r="R6" s="112"/>
      <c r="S6" s="112"/>
      <c r="T6" s="112"/>
      <c r="U6" s="112"/>
      <c r="V6" s="112"/>
      <c r="W6" s="112"/>
      <c r="Y6" s="112"/>
      <c r="Z6" s="116"/>
      <c r="AA6" s="117"/>
      <c r="AB6" s="116"/>
      <c r="AC6" s="116"/>
      <c r="AD6" s="116"/>
      <c r="AE6" s="112"/>
      <c r="AF6" s="116"/>
    </row>
    <row r="7" spans="1:32" ht="15" customHeight="1" x14ac:dyDescent="0.2">
      <c r="A7" s="106"/>
      <c r="B7" s="106" t="str">
        <f ca="1">IF(A7&lt;&gt;"",INDIRECT("'"&amp;$A7&amp;"'!E5"),"")</f>
        <v/>
      </c>
      <c r="C7" s="118" t="str">
        <f ca="1">IF($A7&lt;&gt;"",INDIRECT("'"&amp;$A7&amp;"'!L13"),"")</f>
        <v/>
      </c>
      <c r="D7" s="118" t="str">
        <f ca="1">IF($A7&lt;&gt;"",INDIRECT("'"&amp;$A7&amp;"'!L14"),"")</f>
        <v/>
      </c>
      <c r="E7" s="118" t="str">
        <f ca="1">IF($A7&lt;&gt;"",INDIRECT("'"&amp;$A7&amp;"'!L15"),"")</f>
        <v/>
      </c>
      <c r="F7" s="118" t="str">
        <f ca="1">IF($A7&lt;&gt;"",INDIRECT("'"&amp;$A7&amp;"'!L16"),"")</f>
        <v/>
      </c>
      <c r="G7" s="118" t="str">
        <f ca="1">IF($A7&lt;&gt;"",INDIRECT("'"&amp;$A7&amp;"'!L17"),"")</f>
        <v/>
      </c>
      <c r="H7" s="118" t="str">
        <f ca="1">IF($A7&lt;&gt;"",INDIRECT("'"&amp;$A7&amp;"'!L18"),"")</f>
        <v/>
      </c>
      <c r="I7" s="118" t="str">
        <f ca="1">IF($A7&lt;&gt;"",INDIRECT("'"&amp;$A7&amp;"'!L19"),"")</f>
        <v/>
      </c>
      <c r="J7" s="118" t="str">
        <f ca="1">IF($A7&lt;&gt;"",INDIRECT("'"&amp;$A7&amp;"'!L20"),"")</f>
        <v/>
      </c>
      <c r="K7" s="118" t="str">
        <f ca="1">IF($A7&lt;&gt;"",INDIRECT("'"&amp;$A7&amp;"'!L21"),"")</f>
        <v/>
      </c>
      <c r="L7" s="118" t="str">
        <f ca="1">IF($A7&lt;&gt;"",INDIRECT("'"&amp;$A7&amp;"'!L22"),"")</f>
        <v/>
      </c>
      <c r="M7" s="118" t="str">
        <f ca="1">IF($A7&lt;&gt;"",INDIRECT("'"&amp;$A7&amp;"'!L23"),"")</f>
        <v/>
      </c>
      <c r="N7" s="118" t="str">
        <f ca="1">IF($A7&lt;&gt;"",INDIRECT("'"&amp;$A7&amp;"'!L24"),"")</f>
        <v/>
      </c>
      <c r="O7" s="118" t="str">
        <f ca="1">IF($A7&lt;&gt;"",INDIRECT("'"&amp;$A7&amp;"'!L25"),"")</f>
        <v/>
      </c>
      <c r="P7" s="118" t="str">
        <f ca="1">IF($A7&lt;&gt;"",INDIRECT("'"&amp;$A7&amp;"'!L26"),"")</f>
        <v/>
      </c>
      <c r="Q7" s="118" t="str">
        <f ca="1">IF($A7&lt;&gt;"",INDIRECT("'"&amp;$A7&amp;"'!L27"),"")</f>
        <v/>
      </c>
      <c r="R7" s="118" t="str">
        <f ca="1">IF($A7&lt;&gt;"",INDIRECT("'"&amp;$A7&amp;"'!L28"),"")</f>
        <v/>
      </c>
      <c r="S7" s="118" t="str">
        <f ca="1">IF($A7&lt;&gt;"",INDIRECT("'"&amp;$A7&amp;"'!L29"),"")</f>
        <v/>
      </c>
      <c r="T7" s="118" t="str">
        <f ca="1">IF($A7&lt;&gt;"",INDIRECT("'"&amp;$A7&amp;"'!L30"),"")</f>
        <v/>
      </c>
      <c r="U7" s="118" t="str">
        <f ca="1">IF($A7&lt;&gt;"",INDIRECT("'"&amp;$A7&amp;"'!L31"),"")</f>
        <v/>
      </c>
      <c r="V7" s="118" t="str">
        <f ca="1">IF($A7&lt;&gt;"",INDIRECT("'"&amp;$A7&amp;"'!L32"),"")</f>
        <v/>
      </c>
      <c r="W7" s="118" t="str">
        <f ca="1">IF($A7&lt;&gt;"",INDIRECT("'"&amp;$A7&amp;"'!L33"),"")</f>
        <v/>
      </c>
      <c r="Y7" s="118" t="str">
        <f ca="1">IF($A7&lt;&gt;"",INDIRECT("'"&amp;$A7&amp;"'!L35"),"")</f>
        <v/>
      </c>
      <c r="Z7" s="119" t="str">
        <f ca="1">IF($A7&lt;&gt;"",INDIRECT("'"&amp;$A7&amp;"'!L36"),"")</f>
        <v/>
      </c>
      <c r="AA7" s="120" t="str">
        <f t="shared" ref="AA7:AA13" si="4">IF($A7&lt;&gt;"",SUM(C21:Y21)/COUNT(C7:Y7),"")</f>
        <v/>
      </c>
      <c r="AB7" s="119" t="str">
        <f ca="1">IF($A7&lt;&gt;"",INDIRECT("'"&amp;$A7&amp;"'!F36"),"")</f>
        <v/>
      </c>
      <c r="AC7" s="119" t="str">
        <f ca="1">IF($A7&lt;&gt;"",INDIRECT("'"&amp;$A7&amp;"'!H36"),"")</f>
        <v/>
      </c>
      <c r="AD7" s="119" t="str">
        <f ca="1">IF($A7&lt;&gt;"",INDIRECT("'"&amp;$A7&amp;"'!I36"),"")</f>
        <v/>
      </c>
      <c r="AE7" s="118" t="str">
        <f ca="1">IF($A7&lt;&gt;"",INDIRECT("'"&amp;$A7&amp;"'!J36"),"")</f>
        <v/>
      </c>
      <c r="AF7" s="119" t="str">
        <f ca="1">IF($A7&lt;&gt;"",INDIRECT("'"&amp;$A7&amp;"'!K36"),"")</f>
        <v/>
      </c>
    </row>
    <row r="8" spans="1:32" ht="15" customHeight="1" x14ac:dyDescent="0.2">
      <c r="B8" s="27" t="str">
        <f t="shared" ref="B8:B13" ca="1" si="5">IF(A8&lt;&gt;"",INDIRECT("'"&amp;$A8&amp;"'!E5"),"")</f>
        <v/>
      </c>
      <c r="C8" s="112" t="str">
        <f t="shared" ref="C8:C13" ca="1" si="6">IF($A8&lt;&gt;"",INDIRECT("'"&amp;$A8&amp;"'!L13"),"")</f>
        <v/>
      </c>
      <c r="D8" s="112" t="str">
        <f t="shared" ref="D8:D13" ca="1" si="7">IF($A8&lt;&gt;"",INDIRECT("'"&amp;$A8&amp;"'!L14"),"")</f>
        <v/>
      </c>
      <c r="E8" s="112" t="str">
        <f t="shared" ref="E8:E13" ca="1" si="8">IF($A8&lt;&gt;"",INDIRECT("'"&amp;$A8&amp;"'!L15"),"")</f>
        <v/>
      </c>
      <c r="F8" s="112" t="str">
        <f t="shared" ref="F8:F13" ca="1" si="9">IF($A8&lt;&gt;"",INDIRECT("'"&amp;$A8&amp;"'!L16"),"")</f>
        <v/>
      </c>
      <c r="G8" s="112" t="str">
        <f t="shared" ref="G8:G13" ca="1" si="10">IF($A8&lt;&gt;"",INDIRECT("'"&amp;$A8&amp;"'!L17"),"")</f>
        <v/>
      </c>
      <c r="H8" s="112" t="str">
        <f t="shared" ref="H8:H13" ca="1" si="11">IF($A8&lt;&gt;"",INDIRECT("'"&amp;$A8&amp;"'!L18"),"")</f>
        <v/>
      </c>
      <c r="I8" s="112" t="str">
        <f t="shared" ref="I8:I13" ca="1" si="12">IF($A8&lt;&gt;"",INDIRECT("'"&amp;$A8&amp;"'!L19"),"")</f>
        <v/>
      </c>
      <c r="J8" s="112" t="str">
        <f t="shared" ref="J8:J13" ca="1" si="13">IF($A8&lt;&gt;"",INDIRECT("'"&amp;$A8&amp;"'!L20"),"")</f>
        <v/>
      </c>
      <c r="K8" s="112" t="str">
        <f t="shared" ref="K8:K13" ca="1" si="14">IF($A8&lt;&gt;"",INDIRECT("'"&amp;$A8&amp;"'!L21"),"")</f>
        <v/>
      </c>
      <c r="L8" s="112" t="str">
        <f t="shared" ref="L8:L13" ca="1" si="15">IF($A8&lt;&gt;"",INDIRECT("'"&amp;$A8&amp;"'!L22"),"")</f>
        <v/>
      </c>
      <c r="M8" s="112" t="str">
        <f t="shared" ref="M8:M13" ca="1" si="16">IF($A8&lt;&gt;"",INDIRECT("'"&amp;$A8&amp;"'!L23"),"")</f>
        <v/>
      </c>
      <c r="N8" s="112" t="str">
        <f t="shared" ref="N8:N13" ca="1" si="17">IF($A8&lt;&gt;"",INDIRECT("'"&amp;$A8&amp;"'!L24"),"")</f>
        <v/>
      </c>
      <c r="O8" s="112" t="str">
        <f t="shared" ref="O8:O13" ca="1" si="18">IF($A8&lt;&gt;"",INDIRECT("'"&amp;$A8&amp;"'!L25"),"")</f>
        <v/>
      </c>
      <c r="P8" s="112" t="str">
        <f t="shared" ref="P8:P13" ca="1" si="19">IF($A8&lt;&gt;"",INDIRECT("'"&amp;$A8&amp;"'!L26"),"")</f>
        <v/>
      </c>
      <c r="Q8" s="112" t="str">
        <f t="shared" ref="Q8:Q13" ca="1" si="20">IF($A8&lt;&gt;"",INDIRECT("'"&amp;$A8&amp;"'!L27"),"")</f>
        <v/>
      </c>
      <c r="R8" s="112" t="str">
        <f t="shared" ref="R8:R13" ca="1" si="21">IF($A8&lt;&gt;"",INDIRECT("'"&amp;$A8&amp;"'!L28"),"")</f>
        <v/>
      </c>
      <c r="S8" s="112" t="str">
        <f t="shared" ref="S8:S13" ca="1" si="22">IF($A8&lt;&gt;"",INDIRECT("'"&amp;$A8&amp;"'!L29"),"")</f>
        <v/>
      </c>
      <c r="T8" s="112" t="str">
        <f t="shared" ref="T8:T13" ca="1" si="23">IF($A8&lt;&gt;"",INDIRECT("'"&amp;$A8&amp;"'!L30"),"")</f>
        <v/>
      </c>
      <c r="U8" s="112" t="str">
        <f t="shared" ref="U8:U13" ca="1" si="24">IF($A8&lt;&gt;"",INDIRECT("'"&amp;$A8&amp;"'!L31"),"")</f>
        <v/>
      </c>
      <c r="V8" s="112" t="str">
        <f t="shared" ref="V8:V13" ca="1" si="25">IF($A8&lt;&gt;"",INDIRECT("'"&amp;$A8&amp;"'!L32"),"")</f>
        <v/>
      </c>
      <c r="W8" s="112" t="str">
        <f t="shared" ref="W8:W13" ca="1" si="26">IF($A8&lt;&gt;"",INDIRECT("'"&amp;$A8&amp;"'!L33"),"")</f>
        <v/>
      </c>
      <c r="Y8" s="112" t="str">
        <f t="shared" ref="Y8:Y13" ca="1" si="27">IF($A8&lt;&gt;"",INDIRECT("'"&amp;$A8&amp;"'!L35"),"")</f>
        <v/>
      </c>
      <c r="Z8" s="113" t="str">
        <f t="shared" ref="Z8:Z13" ca="1" si="28">IF($A8&lt;&gt;"",INDIRECT("'"&amp;$A8&amp;"'!L36"),"")</f>
        <v/>
      </c>
      <c r="AA8" s="121" t="str">
        <f t="shared" si="4"/>
        <v/>
      </c>
      <c r="AB8" s="113" t="str">
        <f t="shared" ref="AB8:AB13" ca="1" si="29">IF($A8&lt;&gt;"",INDIRECT("'"&amp;$A8&amp;"'!F36"),"")</f>
        <v/>
      </c>
      <c r="AC8" s="113" t="str">
        <f t="shared" ref="AC8:AC13" ca="1" si="30">IF($A8&lt;&gt;"",INDIRECT("'"&amp;$A8&amp;"'!H36"),"")</f>
        <v/>
      </c>
      <c r="AD8" s="113" t="str">
        <f t="shared" ref="AD8:AD13" ca="1" si="31">IF($A8&lt;&gt;"",INDIRECT("'"&amp;$A8&amp;"'!I36"),"")</f>
        <v/>
      </c>
      <c r="AE8" s="112" t="str">
        <f t="shared" ref="AE8:AE13" ca="1" si="32">IF($A8&lt;&gt;"",INDIRECT("'"&amp;$A8&amp;"'!J36"),"")</f>
        <v/>
      </c>
      <c r="AF8" s="113" t="str">
        <f t="shared" ref="AF8:AF13" ca="1" si="33">IF($A8&lt;&gt;"",INDIRECT("'"&amp;$A8&amp;"'!K36"),"")</f>
        <v/>
      </c>
    </row>
    <row r="9" spans="1:32" ht="15" customHeight="1" x14ac:dyDescent="0.2">
      <c r="B9" s="27" t="str">
        <f t="shared" ca="1" si="5"/>
        <v/>
      </c>
      <c r="C9" s="112" t="str">
        <f t="shared" ca="1" si="6"/>
        <v/>
      </c>
      <c r="D9" s="112" t="str">
        <f t="shared" ca="1" si="7"/>
        <v/>
      </c>
      <c r="E9" s="112" t="str">
        <f t="shared" ca="1" si="8"/>
        <v/>
      </c>
      <c r="F9" s="112" t="str">
        <f t="shared" ca="1" si="9"/>
        <v/>
      </c>
      <c r="G9" s="112" t="str">
        <f t="shared" ca="1" si="10"/>
        <v/>
      </c>
      <c r="H9" s="112" t="str">
        <f t="shared" ca="1" si="11"/>
        <v/>
      </c>
      <c r="I9" s="112" t="str">
        <f t="shared" ca="1" si="12"/>
        <v/>
      </c>
      <c r="J9" s="112" t="str">
        <f t="shared" ca="1" si="13"/>
        <v/>
      </c>
      <c r="K9" s="112" t="str">
        <f t="shared" ca="1" si="14"/>
        <v/>
      </c>
      <c r="L9" s="112" t="str">
        <f t="shared" ca="1" si="15"/>
        <v/>
      </c>
      <c r="M9" s="112" t="str">
        <f t="shared" ca="1" si="16"/>
        <v/>
      </c>
      <c r="N9" s="112" t="str">
        <f t="shared" ca="1" si="17"/>
        <v/>
      </c>
      <c r="O9" s="112" t="str">
        <f t="shared" ca="1" si="18"/>
        <v/>
      </c>
      <c r="P9" s="112" t="str">
        <f t="shared" ca="1" si="19"/>
        <v/>
      </c>
      <c r="Q9" s="112" t="str">
        <f t="shared" ca="1" si="20"/>
        <v/>
      </c>
      <c r="R9" s="112" t="str">
        <f t="shared" ca="1" si="21"/>
        <v/>
      </c>
      <c r="S9" s="112" t="str">
        <f t="shared" ca="1" si="22"/>
        <v/>
      </c>
      <c r="T9" s="112" t="str">
        <f t="shared" ca="1" si="23"/>
        <v/>
      </c>
      <c r="U9" s="112" t="str">
        <f t="shared" ca="1" si="24"/>
        <v/>
      </c>
      <c r="V9" s="112" t="str">
        <f t="shared" ca="1" si="25"/>
        <v/>
      </c>
      <c r="W9" s="112" t="str">
        <f t="shared" ca="1" si="26"/>
        <v/>
      </c>
      <c r="Y9" s="112" t="str">
        <f t="shared" ca="1" si="27"/>
        <v/>
      </c>
      <c r="Z9" s="113" t="str">
        <f t="shared" ca="1" si="28"/>
        <v/>
      </c>
      <c r="AA9" s="122" t="str">
        <f t="shared" si="4"/>
        <v/>
      </c>
      <c r="AB9" s="113" t="str">
        <f t="shared" ca="1" si="29"/>
        <v/>
      </c>
      <c r="AC9" s="113" t="str">
        <f t="shared" ca="1" si="30"/>
        <v/>
      </c>
      <c r="AD9" s="113" t="str">
        <f t="shared" ca="1" si="31"/>
        <v/>
      </c>
      <c r="AE9" s="112" t="str">
        <f t="shared" ca="1" si="32"/>
        <v/>
      </c>
      <c r="AF9" s="113" t="str">
        <f t="shared" ca="1" si="33"/>
        <v/>
      </c>
    </row>
    <row r="10" spans="1:32" ht="15" customHeight="1" x14ac:dyDescent="0.2">
      <c r="B10" s="27" t="str">
        <f t="shared" ca="1" si="5"/>
        <v/>
      </c>
      <c r="C10" s="112" t="str">
        <f t="shared" ca="1" si="6"/>
        <v/>
      </c>
      <c r="D10" s="112" t="str">
        <f t="shared" ca="1" si="7"/>
        <v/>
      </c>
      <c r="E10" s="112" t="str">
        <f t="shared" ca="1" si="8"/>
        <v/>
      </c>
      <c r="F10" s="112" t="str">
        <f t="shared" ca="1" si="9"/>
        <v/>
      </c>
      <c r="G10" s="112" t="str">
        <f t="shared" ca="1" si="10"/>
        <v/>
      </c>
      <c r="H10" s="112" t="str">
        <f t="shared" ca="1" si="11"/>
        <v/>
      </c>
      <c r="I10" s="112" t="str">
        <f t="shared" ca="1" si="12"/>
        <v/>
      </c>
      <c r="J10" s="112" t="str">
        <f t="shared" ca="1" si="13"/>
        <v/>
      </c>
      <c r="K10" s="112" t="str">
        <f t="shared" ca="1" si="14"/>
        <v/>
      </c>
      <c r="L10" s="112" t="str">
        <f t="shared" ca="1" si="15"/>
        <v/>
      </c>
      <c r="M10" s="112" t="str">
        <f t="shared" ca="1" si="16"/>
        <v/>
      </c>
      <c r="N10" s="112" t="str">
        <f t="shared" ca="1" si="17"/>
        <v/>
      </c>
      <c r="O10" s="112" t="str">
        <f t="shared" ca="1" si="18"/>
        <v/>
      </c>
      <c r="P10" s="112" t="str">
        <f t="shared" ca="1" si="19"/>
        <v/>
      </c>
      <c r="Q10" s="112" t="str">
        <f t="shared" ca="1" si="20"/>
        <v/>
      </c>
      <c r="R10" s="112" t="str">
        <f t="shared" ca="1" si="21"/>
        <v/>
      </c>
      <c r="S10" s="112" t="str">
        <f t="shared" ca="1" si="22"/>
        <v/>
      </c>
      <c r="T10" s="112" t="str">
        <f t="shared" ca="1" si="23"/>
        <v/>
      </c>
      <c r="U10" s="112" t="str">
        <f t="shared" ca="1" si="24"/>
        <v/>
      </c>
      <c r="V10" s="112" t="str">
        <f t="shared" ca="1" si="25"/>
        <v/>
      </c>
      <c r="W10" s="112" t="str">
        <f t="shared" ca="1" si="26"/>
        <v/>
      </c>
      <c r="Y10" s="112" t="str">
        <f t="shared" ca="1" si="27"/>
        <v/>
      </c>
      <c r="Z10" s="113" t="str">
        <f t="shared" ca="1" si="28"/>
        <v/>
      </c>
      <c r="AA10" s="122" t="str">
        <f t="shared" si="4"/>
        <v/>
      </c>
      <c r="AB10" s="113" t="str">
        <f t="shared" ca="1" si="29"/>
        <v/>
      </c>
      <c r="AC10" s="113" t="str">
        <f t="shared" ca="1" si="30"/>
        <v/>
      </c>
      <c r="AD10" s="113" t="str">
        <f t="shared" ca="1" si="31"/>
        <v/>
      </c>
      <c r="AE10" s="112" t="str">
        <f t="shared" ca="1" si="32"/>
        <v/>
      </c>
      <c r="AF10" s="113" t="str">
        <f t="shared" ca="1" si="33"/>
        <v/>
      </c>
    </row>
    <row r="11" spans="1:32" ht="15" customHeight="1" x14ac:dyDescent="0.2">
      <c r="B11" s="27" t="str">
        <f t="shared" ca="1" si="5"/>
        <v/>
      </c>
      <c r="C11" s="112" t="str">
        <f t="shared" ca="1" si="6"/>
        <v/>
      </c>
      <c r="D11" s="112" t="str">
        <f t="shared" ca="1" si="7"/>
        <v/>
      </c>
      <c r="E11" s="112" t="str">
        <f t="shared" ca="1" si="8"/>
        <v/>
      </c>
      <c r="F11" s="112" t="str">
        <f t="shared" ca="1" si="9"/>
        <v/>
      </c>
      <c r="G11" s="112" t="str">
        <f t="shared" ca="1" si="10"/>
        <v/>
      </c>
      <c r="H11" s="112" t="str">
        <f t="shared" ca="1" si="11"/>
        <v/>
      </c>
      <c r="I11" s="112" t="str">
        <f t="shared" ca="1" si="12"/>
        <v/>
      </c>
      <c r="J11" s="112" t="str">
        <f t="shared" ca="1" si="13"/>
        <v/>
      </c>
      <c r="K11" s="112" t="str">
        <f t="shared" ca="1" si="14"/>
        <v/>
      </c>
      <c r="L11" s="112" t="str">
        <f t="shared" ca="1" si="15"/>
        <v/>
      </c>
      <c r="M11" s="112" t="str">
        <f t="shared" ca="1" si="16"/>
        <v/>
      </c>
      <c r="N11" s="112" t="str">
        <f t="shared" ca="1" si="17"/>
        <v/>
      </c>
      <c r="O11" s="112" t="str">
        <f t="shared" ca="1" si="18"/>
        <v/>
      </c>
      <c r="P11" s="112" t="str">
        <f t="shared" ca="1" si="19"/>
        <v/>
      </c>
      <c r="Q11" s="112" t="str">
        <f t="shared" ca="1" si="20"/>
        <v/>
      </c>
      <c r="R11" s="112" t="str">
        <f t="shared" ca="1" si="21"/>
        <v/>
      </c>
      <c r="S11" s="112" t="str">
        <f t="shared" ca="1" si="22"/>
        <v/>
      </c>
      <c r="T11" s="112" t="str">
        <f t="shared" ca="1" si="23"/>
        <v/>
      </c>
      <c r="U11" s="112" t="str">
        <f t="shared" ca="1" si="24"/>
        <v/>
      </c>
      <c r="V11" s="112" t="str">
        <f t="shared" ca="1" si="25"/>
        <v/>
      </c>
      <c r="W11" s="112" t="str">
        <f t="shared" ca="1" si="26"/>
        <v/>
      </c>
      <c r="Y11" s="112" t="str">
        <f t="shared" ca="1" si="27"/>
        <v/>
      </c>
      <c r="Z11" s="113" t="str">
        <f t="shared" ca="1" si="28"/>
        <v/>
      </c>
      <c r="AA11" s="122" t="str">
        <f t="shared" si="4"/>
        <v/>
      </c>
      <c r="AB11" s="113" t="str">
        <f t="shared" ca="1" si="29"/>
        <v/>
      </c>
      <c r="AC11" s="113" t="str">
        <f t="shared" ca="1" si="30"/>
        <v/>
      </c>
      <c r="AD11" s="113" t="str">
        <f t="shared" ca="1" si="31"/>
        <v/>
      </c>
      <c r="AE11" s="112" t="str">
        <f t="shared" ca="1" si="32"/>
        <v/>
      </c>
      <c r="AF11" s="113" t="str">
        <f t="shared" ca="1" si="33"/>
        <v/>
      </c>
    </row>
    <row r="12" spans="1:32" ht="15" customHeight="1" thickBot="1" x14ac:dyDescent="0.25">
      <c r="B12" s="107" t="str">
        <f t="shared" ca="1" si="5"/>
        <v/>
      </c>
      <c r="C12" s="123" t="str">
        <f t="shared" ca="1" si="6"/>
        <v/>
      </c>
      <c r="D12" s="123" t="str">
        <f t="shared" ca="1" si="7"/>
        <v/>
      </c>
      <c r="E12" s="123" t="str">
        <f t="shared" ca="1" si="8"/>
        <v/>
      </c>
      <c r="F12" s="123" t="str">
        <f t="shared" ca="1" si="9"/>
        <v/>
      </c>
      <c r="G12" s="123" t="str">
        <f t="shared" ca="1" si="10"/>
        <v/>
      </c>
      <c r="H12" s="123" t="str">
        <f t="shared" ca="1" si="11"/>
        <v/>
      </c>
      <c r="I12" s="123" t="str">
        <f t="shared" ca="1" si="12"/>
        <v/>
      </c>
      <c r="J12" s="123" t="str">
        <f t="shared" ca="1" si="13"/>
        <v/>
      </c>
      <c r="K12" s="123" t="str">
        <f t="shared" ca="1" si="14"/>
        <v/>
      </c>
      <c r="L12" s="123" t="str">
        <f t="shared" ca="1" si="15"/>
        <v/>
      </c>
      <c r="M12" s="123" t="str">
        <f t="shared" ca="1" si="16"/>
        <v/>
      </c>
      <c r="N12" s="123" t="str">
        <f t="shared" ca="1" si="17"/>
        <v/>
      </c>
      <c r="O12" s="123" t="str">
        <f t="shared" ca="1" si="18"/>
        <v/>
      </c>
      <c r="P12" s="123" t="str">
        <f t="shared" ca="1" si="19"/>
        <v/>
      </c>
      <c r="Q12" s="123" t="str">
        <f t="shared" ca="1" si="20"/>
        <v/>
      </c>
      <c r="R12" s="123" t="str">
        <f t="shared" ca="1" si="21"/>
        <v/>
      </c>
      <c r="S12" s="123" t="str">
        <f t="shared" ca="1" si="22"/>
        <v/>
      </c>
      <c r="T12" s="123" t="str">
        <f t="shared" ca="1" si="23"/>
        <v/>
      </c>
      <c r="U12" s="123" t="str">
        <f t="shared" ca="1" si="24"/>
        <v/>
      </c>
      <c r="V12" s="123" t="str">
        <f t="shared" ca="1" si="25"/>
        <v/>
      </c>
      <c r="W12" s="123" t="str">
        <f t="shared" ca="1" si="26"/>
        <v/>
      </c>
      <c r="Y12" s="123" t="str">
        <f t="shared" ca="1" si="27"/>
        <v/>
      </c>
      <c r="Z12" s="124" t="str">
        <f t="shared" ca="1" si="28"/>
        <v/>
      </c>
      <c r="AA12" s="122" t="str">
        <f t="shared" si="4"/>
        <v/>
      </c>
      <c r="AB12" s="124" t="str">
        <f t="shared" ca="1" si="29"/>
        <v/>
      </c>
      <c r="AC12" s="124" t="str">
        <f t="shared" ca="1" si="30"/>
        <v/>
      </c>
      <c r="AD12" s="124" t="str">
        <f t="shared" ca="1" si="31"/>
        <v/>
      </c>
      <c r="AE12" s="123" t="str">
        <f t="shared" ca="1" si="32"/>
        <v/>
      </c>
      <c r="AF12" s="124" t="str">
        <f t="shared" ca="1" si="33"/>
        <v/>
      </c>
    </row>
    <row r="13" spans="1:32" ht="13.5" thickBot="1" x14ac:dyDescent="0.25">
      <c r="A13" s="108"/>
      <c r="B13" s="108" t="str">
        <f t="shared" ca="1" si="5"/>
        <v/>
      </c>
      <c r="C13" s="125" t="str">
        <f t="shared" ca="1" si="6"/>
        <v/>
      </c>
      <c r="D13" s="125" t="str">
        <f t="shared" ca="1" si="7"/>
        <v/>
      </c>
      <c r="E13" s="125" t="str">
        <f t="shared" ca="1" si="8"/>
        <v/>
      </c>
      <c r="F13" s="125" t="str">
        <f t="shared" ca="1" si="9"/>
        <v/>
      </c>
      <c r="G13" s="125" t="str">
        <f t="shared" ca="1" si="10"/>
        <v/>
      </c>
      <c r="H13" s="125" t="str">
        <f t="shared" ca="1" si="11"/>
        <v/>
      </c>
      <c r="I13" s="125" t="str">
        <f t="shared" ca="1" si="12"/>
        <v/>
      </c>
      <c r="J13" s="125" t="str">
        <f t="shared" ca="1" si="13"/>
        <v/>
      </c>
      <c r="K13" s="125" t="str">
        <f t="shared" ca="1" si="14"/>
        <v/>
      </c>
      <c r="L13" s="125" t="str">
        <f t="shared" ca="1" si="15"/>
        <v/>
      </c>
      <c r="M13" s="125" t="str">
        <f t="shared" ca="1" si="16"/>
        <v/>
      </c>
      <c r="N13" s="125" t="str">
        <f t="shared" ca="1" si="17"/>
        <v/>
      </c>
      <c r="O13" s="125" t="str">
        <f t="shared" ca="1" si="18"/>
        <v/>
      </c>
      <c r="P13" s="125" t="str">
        <f t="shared" ca="1" si="19"/>
        <v/>
      </c>
      <c r="Q13" s="125" t="str">
        <f t="shared" ca="1" si="20"/>
        <v/>
      </c>
      <c r="R13" s="125" t="str">
        <f t="shared" ca="1" si="21"/>
        <v/>
      </c>
      <c r="S13" s="125" t="str">
        <f t="shared" ca="1" si="22"/>
        <v/>
      </c>
      <c r="T13" s="125" t="str">
        <f t="shared" ca="1" si="23"/>
        <v/>
      </c>
      <c r="U13" s="125" t="str">
        <f t="shared" ca="1" si="24"/>
        <v/>
      </c>
      <c r="V13" s="125" t="str">
        <f t="shared" ca="1" si="25"/>
        <v/>
      </c>
      <c r="W13" s="125" t="str">
        <f t="shared" ca="1" si="26"/>
        <v/>
      </c>
      <c r="Y13" s="125" t="str">
        <f t="shared" ca="1" si="27"/>
        <v/>
      </c>
      <c r="Z13" s="126" t="str">
        <f t="shared" ca="1" si="28"/>
        <v/>
      </c>
      <c r="AA13" s="127" t="str">
        <f t="shared" si="4"/>
        <v/>
      </c>
      <c r="AB13" s="126" t="str">
        <f t="shared" ca="1" si="29"/>
        <v/>
      </c>
      <c r="AC13" s="126" t="str">
        <f t="shared" ca="1" si="30"/>
        <v/>
      </c>
      <c r="AD13" s="126" t="str">
        <f t="shared" ca="1" si="31"/>
        <v/>
      </c>
      <c r="AE13" s="125" t="str">
        <f t="shared" ca="1" si="32"/>
        <v/>
      </c>
      <c r="AF13" s="126" t="str">
        <f t="shared" ca="1" si="33"/>
        <v/>
      </c>
    </row>
    <row r="14" spans="1:32" ht="15" customHeight="1" x14ac:dyDescent="0.2">
      <c r="A14" s="109"/>
      <c r="B14" s="109"/>
      <c r="C14" s="128"/>
      <c r="D14" s="128"/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28"/>
      <c r="Q14" s="128"/>
      <c r="R14" s="128"/>
      <c r="S14" s="128"/>
      <c r="T14" s="128"/>
      <c r="U14" s="128"/>
      <c r="V14" s="128"/>
      <c r="W14" s="128"/>
      <c r="Y14" s="128"/>
      <c r="Z14" s="129"/>
      <c r="AA14" s="130"/>
      <c r="AB14" s="131"/>
      <c r="AC14" s="131"/>
      <c r="AD14" s="131"/>
      <c r="AE14" s="128"/>
      <c r="AF14" s="131"/>
    </row>
    <row r="15" spans="1:32" ht="15" customHeight="1" x14ac:dyDescent="0.2">
      <c r="A15" s="109"/>
      <c r="B15" s="109" t="str">
        <f t="shared" ref="B15:B16" ca="1" si="34">IF(A15&lt;&gt;"",INDIRECT("'"&amp;$A15&amp;"'!E5"),"")</f>
        <v/>
      </c>
      <c r="C15" s="128" t="str">
        <f t="shared" ref="C15:C16" ca="1" si="35">IF($A15&lt;&gt;"",INDIRECT("'"&amp;$A15&amp;"'!L13"),"")</f>
        <v/>
      </c>
      <c r="D15" s="128" t="str">
        <f t="shared" ref="D15:D16" ca="1" si="36">IF($A15&lt;&gt;"",INDIRECT("'"&amp;$A15&amp;"'!L14"),"")</f>
        <v/>
      </c>
      <c r="E15" s="128" t="str">
        <f t="shared" ref="E15:E16" ca="1" si="37">IF($A15&lt;&gt;"",INDIRECT("'"&amp;$A15&amp;"'!L15"),"")</f>
        <v/>
      </c>
      <c r="F15" s="128" t="str">
        <f t="shared" ref="F15:F16" ca="1" si="38">IF($A15&lt;&gt;"",INDIRECT("'"&amp;$A15&amp;"'!L16"),"")</f>
        <v/>
      </c>
      <c r="G15" s="128" t="str">
        <f t="shared" ref="G15:G16" ca="1" si="39">IF($A15&lt;&gt;"",INDIRECT("'"&amp;$A15&amp;"'!L17"),"")</f>
        <v/>
      </c>
      <c r="H15" s="128" t="str">
        <f t="shared" ref="H15:H16" ca="1" si="40">IF($A15&lt;&gt;"",INDIRECT("'"&amp;$A15&amp;"'!L18"),"")</f>
        <v/>
      </c>
      <c r="I15" s="128" t="str">
        <f t="shared" ref="I15:I16" ca="1" si="41">IF($A15&lt;&gt;"",INDIRECT("'"&amp;$A15&amp;"'!L19"),"")</f>
        <v/>
      </c>
      <c r="J15" s="128" t="str">
        <f t="shared" ref="J15:J16" ca="1" si="42">IF($A15&lt;&gt;"",INDIRECT("'"&amp;$A15&amp;"'!L20"),"")</f>
        <v/>
      </c>
      <c r="K15" s="128" t="str">
        <f t="shared" ref="K15:K16" ca="1" si="43">IF($A15&lt;&gt;"",INDIRECT("'"&amp;$A15&amp;"'!L21"),"")</f>
        <v/>
      </c>
      <c r="L15" s="128" t="str">
        <f t="shared" ref="L15:L16" ca="1" si="44">IF($A15&lt;&gt;"",INDIRECT("'"&amp;$A15&amp;"'!L22"),"")</f>
        <v/>
      </c>
      <c r="M15" s="128" t="str">
        <f t="shared" ref="M15:M16" ca="1" si="45">IF($A15&lt;&gt;"",INDIRECT("'"&amp;$A15&amp;"'!L23"),"")</f>
        <v/>
      </c>
      <c r="N15" s="128" t="str">
        <f t="shared" ref="N15:N16" ca="1" si="46">IF($A15&lt;&gt;"",INDIRECT("'"&amp;$A15&amp;"'!L24"),"")</f>
        <v/>
      </c>
      <c r="O15" s="128" t="str">
        <f t="shared" ref="O15:O16" ca="1" si="47">IF($A15&lt;&gt;"",INDIRECT("'"&amp;$A15&amp;"'!L25"),"")</f>
        <v/>
      </c>
      <c r="P15" s="128" t="str">
        <f t="shared" ref="P15:P16" ca="1" si="48">IF($A15&lt;&gt;"",INDIRECT("'"&amp;$A15&amp;"'!L26"),"")</f>
        <v/>
      </c>
      <c r="Q15" s="128" t="str">
        <f t="shared" ref="Q15:Q16" ca="1" si="49">IF($A15&lt;&gt;"",INDIRECT("'"&amp;$A15&amp;"'!L27"),"")</f>
        <v/>
      </c>
      <c r="R15" s="128" t="str">
        <f t="shared" ref="R15:R16" ca="1" si="50">IF($A15&lt;&gt;"",INDIRECT("'"&amp;$A15&amp;"'!L28"),"")</f>
        <v/>
      </c>
      <c r="S15" s="128" t="str">
        <f t="shared" ref="S15:S16" ca="1" si="51">IF($A15&lt;&gt;"",INDIRECT("'"&amp;$A15&amp;"'!L29"),"")</f>
        <v/>
      </c>
      <c r="T15" s="128" t="str">
        <f t="shared" ref="T15:T16" ca="1" si="52">IF($A15&lt;&gt;"",INDIRECT("'"&amp;$A15&amp;"'!L30"),"")</f>
        <v/>
      </c>
      <c r="U15" s="128" t="str">
        <f t="shared" ref="U15:U16" ca="1" si="53">IF($A15&lt;&gt;"",INDIRECT("'"&amp;$A15&amp;"'!L31"),"")</f>
        <v/>
      </c>
      <c r="V15" s="128" t="str">
        <f t="shared" ref="V15:V16" ca="1" si="54">IF($A15&lt;&gt;"",INDIRECT("'"&amp;$A15&amp;"'!L32"),"")</f>
        <v/>
      </c>
      <c r="W15" s="128" t="str">
        <f t="shared" ref="W15:W16" ca="1" si="55">IF($A15&lt;&gt;"",INDIRECT("'"&amp;$A15&amp;"'!L33"),"")</f>
        <v/>
      </c>
      <c r="Y15" s="128" t="str">
        <f t="shared" ref="Y15:Y16" ca="1" si="56">IF($A15&lt;&gt;"",INDIRECT("'"&amp;$A15&amp;"'!L35"),"")</f>
        <v/>
      </c>
      <c r="Z15" s="131" t="str">
        <f t="shared" ref="Z15:Z16" ca="1" si="57">IF($A15&lt;&gt;"",INDIRECT("'"&amp;$A15&amp;"'!L36"),"")</f>
        <v/>
      </c>
      <c r="AA15" s="132" t="str">
        <f t="shared" ref="AA15:AA16" si="58">IF($A15&lt;&gt;"",SUM(C29:Y29)/COUNT(C15:Y15),"")</f>
        <v/>
      </c>
      <c r="AB15" s="131" t="str">
        <f t="shared" ref="AB15:AB16" ca="1" si="59">IF($A15&lt;&gt;"",INDIRECT("'"&amp;$A15&amp;"'!F36"),"")</f>
        <v/>
      </c>
      <c r="AC15" s="131" t="str">
        <f t="shared" ref="AC15:AC16" ca="1" si="60">IF($A15&lt;&gt;"",INDIRECT("'"&amp;$A15&amp;"'!H36"),"")</f>
        <v/>
      </c>
      <c r="AD15" s="131" t="str">
        <f t="shared" ref="AD15:AD16" ca="1" si="61">IF($A15&lt;&gt;"",INDIRECT("'"&amp;$A15&amp;"'!I36"),"")</f>
        <v/>
      </c>
      <c r="AE15" s="128" t="str">
        <f t="shared" ref="AE15:AE16" ca="1" si="62">IF($A15&lt;&gt;"",INDIRECT("'"&amp;$A15&amp;"'!J36"),"")</f>
        <v/>
      </c>
      <c r="AF15" s="131" t="str">
        <f t="shared" ref="AF15:AF16" ca="1" si="63">IF($A15&lt;&gt;"",INDIRECT("'"&amp;$A15&amp;"'!K36"),"")</f>
        <v/>
      </c>
    </row>
    <row r="16" spans="1:32" ht="15" customHeight="1" x14ac:dyDescent="0.2">
      <c r="A16" s="109"/>
      <c r="B16" s="109" t="str">
        <f t="shared" ca="1" si="34"/>
        <v/>
      </c>
      <c r="C16" s="128" t="str">
        <f t="shared" ca="1" si="35"/>
        <v/>
      </c>
      <c r="D16" s="128" t="str">
        <f t="shared" ca="1" si="36"/>
        <v/>
      </c>
      <c r="E16" s="128" t="str">
        <f t="shared" ca="1" si="37"/>
        <v/>
      </c>
      <c r="F16" s="128" t="str">
        <f t="shared" ca="1" si="38"/>
        <v/>
      </c>
      <c r="G16" s="128" t="str">
        <f t="shared" ca="1" si="39"/>
        <v/>
      </c>
      <c r="H16" s="128" t="str">
        <f t="shared" ca="1" si="40"/>
        <v/>
      </c>
      <c r="I16" s="128" t="str">
        <f t="shared" ca="1" si="41"/>
        <v/>
      </c>
      <c r="J16" s="128" t="str">
        <f t="shared" ca="1" si="42"/>
        <v/>
      </c>
      <c r="K16" s="128" t="str">
        <f t="shared" ca="1" si="43"/>
        <v/>
      </c>
      <c r="L16" s="128" t="str">
        <f t="shared" ca="1" si="44"/>
        <v/>
      </c>
      <c r="M16" s="128" t="str">
        <f t="shared" ca="1" si="45"/>
        <v/>
      </c>
      <c r="N16" s="128" t="str">
        <f t="shared" ca="1" si="46"/>
        <v/>
      </c>
      <c r="O16" s="128" t="str">
        <f t="shared" ca="1" si="47"/>
        <v/>
      </c>
      <c r="P16" s="128" t="str">
        <f t="shared" ca="1" si="48"/>
        <v/>
      </c>
      <c r="Q16" s="128" t="str">
        <f t="shared" ca="1" si="49"/>
        <v/>
      </c>
      <c r="R16" s="128" t="str">
        <f t="shared" ca="1" si="50"/>
        <v/>
      </c>
      <c r="S16" s="128" t="str">
        <f t="shared" ca="1" si="51"/>
        <v/>
      </c>
      <c r="T16" s="128" t="str">
        <f t="shared" ca="1" si="52"/>
        <v/>
      </c>
      <c r="U16" s="128" t="str">
        <f t="shared" ca="1" si="53"/>
        <v/>
      </c>
      <c r="V16" s="128" t="str">
        <f t="shared" ca="1" si="54"/>
        <v/>
      </c>
      <c r="W16" s="128" t="str">
        <f t="shared" ca="1" si="55"/>
        <v/>
      </c>
      <c r="Y16" s="128" t="str">
        <f t="shared" ca="1" si="56"/>
        <v/>
      </c>
      <c r="Z16" s="131" t="str">
        <f t="shared" ca="1" si="57"/>
        <v/>
      </c>
      <c r="AA16" s="132" t="str">
        <f t="shared" si="58"/>
        <v/>
      </c>
      <c r="AB16" s="131" t="str">
        <f t="shared" ca="1" si="59"/>
        <v/>
      </c>
      <c r="AC16" s="131" t="str">
        <f t="shared" ca="1" si="60"/>
        <v/>
      </c>
      <c r="AD16" s="131" t="str">
        <f t="shared" ca="1" si="61"/>
        <v/>
      </c>
      <c r="AE16" s="128" t="str">
        <f t="shared" ca="1" si="62"/>
        <v/>
      </c>
      <c r="AF16" s="131" t="str">
        <f t="shared" ca="1" si="63"/>
        <v/>
      </c>
    </row>
    <row r="17" spans="1:32" ht="15" customHeight="1" x14ac:dyDescent="0.2">
      <c r="A17" s="389"/>
      <c r="B17" s="389"/>
      <c r="C17" s="100"/>
      <c r="D17" s="100"/>
      <c r="E17" s="100"/>
      <c r="F17" s="100"/>
      <c r="G17" s="100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Y17" s="100"/>
      <c r="AF17" s="100"/>
    </row>
    <row r="18" spans="1:32" ht="15" customHeight="1" x14ac:dyDescent="0.2">
      <c r="A18" s="389"/>
      <c r="B18" s="389"/>
      <c r="C18" s="99"/>
      <c r="D18" s="99"/>
      <c r="E18" s="99"/>
      <c r="F18" s="99"/>
      <c r="G18" s="99"/>
      <c r="H18" s="99"/>
      <c r="I18" s="99"/>
      <c r="J18" s="99"/>
      <c r="K18" s="99"/>
      <c r="L18" s="99"/>
      <c r="M18" s="99"/>
      <c r="N18" s="99"/>
      <c r="O18" s="99"/>
      <c r="P18" s="99"/>
      <c r="Q18" s="99"/>
      <c r="R18" s="99"/>
      <c r="S18" s="99"/>
      <c r="T18" s="99"/>
      <c r="U18" s="99"/>
      <c r="V18" s="99"/>
      <c r="W18" s="99"/>
      <c r="Y18" s="99"/>
      <c r="AF18" s="99"/>
    </row>
    <row r="21" spans="1:32" hidden="1" x14ac:dyDescent="0.2">
      <c r="A21" s="27" t="s">
        <v>192</v>
      </c>
    </row>
    <row r="22" spans="1:32" hidden="1" x14ac:dyDescent="0.2">
      <c r="A22" s="27">
        <f>A8</f>
        <v>0</v>
      </c>
      <c r="B22" s="27" t="str">
        <f ca="1">B8</f>
        <v/>
      </c>
      <c r="C22" s="27" t="str">
        <f t="shared" ref="C22:Y30" si="64">IF($A8&lt;&gt;"",IF(ABS(C$3/3-C8)&lt;=0.75,1,0),"")</f>
        <v/>
      </c>
      <c r="D22" s="27" t="str">
        <f t="shared" si="64"/>
        <v/>
      </c>
      <c r="E22" s="27" t="str">
        <f t="shared" si="64"/>
        <v/>
      </c>
      <c r="F22" s="27" t="str">
        <f t="shared" si="64"/>
        <v/>
      </c>
      <c r="G22" s="27" t="str">
        <f t="shared" si="64"/>
        <v/>
      </c>
      <c r="H22" s="27" t="str">
        <f t="shared" si="64"/>
        <v/>
      </c>
      <c r="I22" s="27" t="str">
        <f t="shared" si="64"/>
        <v/>
      </c>
      <c r="J22" s="27" t="str">
        <f t="shared" si="64"/>
        <v/>
      </c>
      <c r="K22" s="27" t="str">
        <f t="shared" si="64"/>
        <v/>
      </c>
      <c r="L22" s="27" t="str">
        <f t="shared" si="64"/>
        <v/>
      </c>
      <c r="M22" s="27" t="str">
        <f t="shared" si="64"/>
        <v/>
      </c>
      <c r="N22" s="27" t="str">
        <f t="shared" si="64"/>
        <v/>
      </c>
      <c r="O22" s="27" t="str">
        <f t="shared" si="64"/>
        <v/>
      </c>
      <c r="P22" s="27" t="str">
        <f t="shared" si="64"/>
        <v/>
      </c>
      <c r="Q22" s="27" t="str">
        <f t="shared" si="64"/>
        <v/>
      </c>
      <c r="R22" s="27" t="str">
        <f t="shared" si="64"/>
        <v/>
      </c>
      <c r="S22" s="27" t="str">
        <f t="shared" si="64"/>
        <v/>
      </c>
      <c r="T22" s="27" t="str">
        <f t="shared" si="64"/>
        <v/>
      </c>
      <c r="U22" s="27" t="str">
        <f t="shared" si="64"/>
        <v/>
      </c>
      <c r="V22" s="27" t="str">
        <f t="shared" si="64"/>
        <v/>
      </c>
      <c r="W22" s="27" t="str">
        <f t="shared" si="64"/>
        <v/>
      </c>
      <c r="Y22" s="27" t="str">
        <f t="shared" si="64"/>
        <v/>
      </c>
    </row>
    <row r="23" spans="1:32" hidden="1" x14ac:dyDescent="0.2">
      <c r="A23" s="27">
        <f>A9</f>
        <v>0</v>
      </c>
      <c r="B23" s="27" t="str">
        <f ca="1">B9</f>
        <v/>
      </c>
      <c r="C23" s="27" t="str">
        <f t="shared" si="64"/>
        <v/>
      </c>
      <c r="D23" s="27" t="str">
        <f t="shared" si="64"/>
        <v/>
      </c>
      <c r="E23" s="27" t="str">
        <f t="shared" si="64"/>
        <v/>
      </c>
      <c r="F23" s="27" t="str">
        <f t="shared" si="64"/>
        <v/>
      </c>
      <c r="G23" s="27" t="str">
        <f t="shared" si="64"/>
        <v/>
      </c>
      <c r="H23" s="27" t="str">
        <f t="shared" si="64"/>
        <v/>
      </c>
      <c r="I23" s="27" t="str">
        <f t="shared" si="64"/>
        <v/>
      </c>
      <c r="J23" s="27" t="str">
        <f t="shared" si="64"/>
        <v/>
      </c>
      <c r="K23" s="27" t="str">
        <f t="shared" si="64"/>
        <v/>
      </c>
      <c r="L23" s="27" t="str">
        <f t="shared" si="64"/>
        <v/>
      </c>
      <c r="M23" s="27" t="str">
        <f t="shared" si="64"/>
        <v/>
      </c>
      <c r="N23" s="27" t="str">
        <f t="shared" si="64"/>
        <v/>
      </c>
      <c r="O23" s="27" t="str">
        <f t="shared" si="64"/>
        <v/>
      </c>
      <c r="P23" s="27" t="str">
        <f t="shared" si="64"/>
        <v/>
      </c>
      <c r="Q23" s="27" t="str">
        <f t="shared" si="64"/>
        <v/>
      </c>
      <c r="R23" s="27" t="str">
        <f t="shared" si="64"/>
        <v/>
      </c>
      <c r="S23" s="27" t="str">
        <f t="shared" si="64"/>
        <v/>
      </c>
      <c r="T23" s="27" t="str">
        <f t="shared" si="64"/>
        <v/>
      </c>
      <c r="U23" s="27" t="str">
        <f t="shared" si="64"/>
        <v/>
      </c>
      <c r="V23" s="27" t="str">
        <f t="shared" si="64"/>
        <v/>
      </c>
      <c r="W23" s="27" t="str">
        <f t="shared" si="64"/>
        <v/>
      </c>
      <c r="Y23" s="27" t="str">
        <f t="shared" si="64"/>
        <v/>
      </c>
    </row>
    <row r="24" spans="1:32" hidden="1" x14ac:dyDescent="0.2">
      <c r="A24" s="27">
        <f>A10</f>
        <v>0</v>
      </c>
      <c r="B24" s="27" t="str">
        <f t="shared" ref="B24:B30" ca="1" si="65">B10</f>
        <v/>
      </c>
      <c r="C24" s="27" t="str">
        <f t="shared" si="64"/>
        <v/>
      </c>
      <c r="D24" s="27" t="str">
        <f t="shared" si="64"/>
        <v/>
      </c>
      <c r="E24" s="27" t="str">
        <f t="shared" si="64"/>
        <v/>
      </c>
      <c r="F24" s="27" t="str">
        <f t="shared" si="64"/>
        <v/>
      </c>
      <c r="G24" s="27" t="str">
        <f t="shared" si="64"/>
        <v/>
      </c>
      <c r="H24" s="27" t="str">
        <f t="shared" si="64"/>
        <v/>
      </c>
      <c r="I24" s="27" t="str">
        <f t="shared" si="64"/>
        <v/>
      </c>
      <c r="J24" s="27" t="str">
        <f t="shared" si="64"/>
        <v/>
      </c>
      <c r="K24" s="27" t="str">
        <f t="shared" si="64"/>
        <v/>
      </c>
      <c r="L24" s="27" t="str">
        <f t="shared" si="64"/>
        <v/>
      </c>
      <c r="M24" s="27" t="str">
        <f t="shared" si="64"/>
        <v/>
      </c>
      <c r="N24" s="27" t="str">
        <f t="shared" si="64"/>
        <v/>
      </c>
      <c r="O24" s="27" t="str">
        <f t="shared" si="64"/>
        <v/>
      </c>
      <c r="P24" s="27" t="str">
        <f t="shared" si="64"/>
        <v/>
      </c>
      <c r="Q24" s="27" t="str">
        <f t="shared" si="64"/>
        <v/>
      </c>
      <c r="R24" s="27" t="str">
        <f t="shared" si="64"/>
        <v/>
      </c>
      <c r="S24" s="27" t="str">
        <f t="shared" si="64"/>
        <v/>
      </c>
      <c r="T24" s="27" t="str">
        <f t="shared" si="64"/>
        <v/>
      </c>
      <c r="U24" s="27" t="str">
        <f t="shared" si="64"/>
        <v/>
      </c>
      <c r="V24" s="27" t="str">
        <f t="shared" si="64"/>
        <v/>
      </c>
      <c r="W24" s="27" t="str">
        <f t="shared" si="64"/>
        <v/>
      </c>
      <c r="Y24" s="27" t="str">
        <f t="shared" si="64"/>
        <v/>
      </c>
    </row>
    <row r="25" spans="1:32" hidden="1" x14ac:dyDescent="0.2">
      <c r="A25" s="27">
        <f>A11</f>
        <v>0</v>
      </c>
      <c r="B25" s="27" t="str">
        <f t="shared" ca="1" si="65"/>
        <v/>
      </c>
      <c r="C25" s="27" t="str">
        <f t="shared" si="64"/>
        <v/>
      </c>
      <c r="D25" s="27" t="str">
        <f t="shared" si="64"/>
        <v/>
      </c>
      <c r="E25" s="27" t="str">
        <f t="shared" si="64"/>
        <v/>
      </c>
      <c r="F25" s="27" t="str">
        <f t="shared" si="64"/>
        <v/>
      </c>
      <c r="G25" s="27" t="str">
        <f t="shared" si="64"/>
        <v/>
      </c>
      <c r="H25" s="27" t="str">
        <f t="shared" si="64"/>
        <v/>
      </c>
      <c r="I25" s="27" t="str">
        <f t="shared" si="64"/>
        <v/>
      </c>
      <c r="J25" s="27" t="str">
        <f t="shared" si="64"/>
        <v/>
      </c>
      <c r="K25" s="27" t="str">
        <f t="shared" si="64"/>
        <v/>
      </c>
      <c r="L25" s="27" t="str">
        <f t="shared" si="64"/>
        <v/>
      </c>
      <c r="M25" s="27" t="str">
        <f t="shared" si="64"/>
        <v/>
      </c>
      <c r="N25" s="27" t="str">
        <f t="shared" si="64"/>
        <v/>
      </c>
      <c r="O25" s="27" t="str">
        <f t="shared" si="64"/>
        <v/>
      </c>
      <c r="P25" s="27" t="str">
        <f t="shared" si="64"/>
        <v/>
      </c>
      <c r="Q25" s="27" t="str">
        <f t="shared" si="64"/>
        <v/>
      </c>
      <c r="R25" s="27" t="str">
        <f t="shared" si="64"/>
        <v/>
      </c>
      <c r="S25" s="27" t="str">
        <f t="shared" si="64"/>
        <v/>
      </c>
      <c r="T25" s="27" t="str">
        <f t="shared" si="64"/>
        <v/>
      </c>
      <c r="U25" s="27" t="str">
        <f t="shared" si="64"/>
        <v/>
      </c>
      <c r="V25" s="27" t="str">
        <f t="shared" si="64"/>
        <v/>
      </c>
      <c r="W25" s="27" t="str">
        <f t="shared" si="64"/>
        <v/>
      </c>
      <c r="Y25" s="27" t="str">
        <f t="shared" si="64"/>
        <v/>
      </c>
    </row>
    <row r="26" spans="1:32" hidden="1" x14ac:dyDescent="0.2">
      <c r="A26" s="27">
        <f>A12</f>
        <v>0</v>
      </c>
      <c r="B26" s="27" t="str">
        <f t="shared" ca="1" si="65"/>
        <v/>
      </c>
      <c r="C26" s="27" t="str">
        <f t="shared" si="64"/>
        <v/>
      </c>
      <c r="D26" s="27" t="str">
        <f t="shared" si="64"/>
        <v/>
      </c>
      <c r="E26" s="27" t="str">
        <f t="shared" si="64"/>
        <v/>
      </c>
      <c r="F26" s="27" t="str">
        <f t="shared" si="64"/>
        <v/>
      </c>
      <c r="G26" s="27" t="str">
        <f t="shared" si="64"/>
        <v/>
      </c>
      <c r="H26" s="27" t="str">
        <f t="shared" si="64"/>
        <v/>
      </c>
      <c r="I26" s="27" t="str">
        <f t="shared" si="64"/>
        <v/>
      </c>
      <c r="J26" s="27" t="str">
        <f t="shared" si="64"/>
        <v/>
      </c>
      <c r="K26" s="27" t="str">
        <f t="shared" si="64"/>
        <v/>
      </c>
      <c r="L26" s="27" t="str">
        <f t="shared" si="64"/>
        <v/>
      </c>
      <c r="M26" s="27" t="str">
        <f t="shared" si="64"/>
        <v/>
      </c>
      <c r="N26" s="27" t="str">
        <f t="shared" si="64"/>
        <v/>
      </c>
      <c r="O26" s="27" t="str">
        <f t="shared" si="64"/>
        <v/>
      </c>
      <c r="P26" s="27" t="str">
        <f t="shared" si="64"/>
        <v/>
      </c>
      <c r="Q26" s="27" t="str">
        <f t="shared" si="64"/>
        <v/>
      </c>
      <c r="R26" s="27" t="str">
        <f t="shared" si="64"/>
        <v/>
      </c>
      <c r="S26" s="27" t="str">
        <f t="shared" si="64"/>
        <v/>
      </c>
      <c r="T26" s="27" t="str">
        <f t="shared" si="64"/>
        <v/>
      </c>
      <c r="U26" s="27" t="str">
        <f t="shared" si="64"/>
        <v/>
      </c>
      <c r="V26" s="27" t="str">
        <f t="shared" si="64"/>
        <v/>
      </c>
      <c r="W26" s="27" t="str">
        <f t="shared" si="64"/>
        <v/>
      </c>
      <c r="Y26" s="27" t="str">
        <f t="shared" si="64"/>
        <v/>
      </c>
    </row>
    <row r="27" spans="1:32" hidden="1" x14ac:dyDescent="0.2">
      <c r="A27" s="27">
        <f>A13</f>
        <v>0</v>
      </c>
      <c r="B27" s="27" t="str">
        <f t="shared" ca="1" si="65"/>
        <v/>
      </c>
      <c r="C27" s="27" t="str">
        <f t="shared" si="64"/>
        <v/>
      </c>
      <c r="D27" s="27" t="str">
        <f t="shared" si="64"/>
        <v/>
      </c>
      <c r="E27" s="27" t="str">
        <f t="shared" si="64"/>
        <v/>
      </c>
      <c r="F27" s="27" t="str">
        <f t="shared" si="64"/>
        <v/>
      </c>
      <c r="G27" s="27" t="str">
        <f t="shared" si="64"/>
        <v/>
      </c>
      <c r="H27" s="27" t="str">
        <f t="shared" si="64"/>
        <v/>
      </c>
      <c r="I27" s="27" t="str">
        <f t="shared" si="64"/>
        <v/>
      </c>
      <c r="J27" s="27" t="str">
        <f t="shared" si="64"/>
        <v/>
      </c>
      <c r="K27" s="27" t="str">
        <f t="shared" si="64"/>
        <v/>
      </c>
      <c r="L27" s="27" t="str">
        <f t="shared" si="64"/>
        <v/>
      </c>
      <c r="M27" s="27" t="str">
        <f t="shared" si="64"/>
        <v/>
      </c>
      <c r="N27" s="27" t="str">
        <f t="shared" si="64"/>
        <v/>
      </c>
      <c r="O27" s="27" t="str">
        <f t="shared" si="64"/>
        <v/>
      </c>
      <c r="P27" s="27" t="str">
        <f t="shared" si="64"/>
        <v/>
      </c>
      <c r="Q27" s="27" t="str">
        <f t="shared" si="64"/>
        <v/>
      </c>
      <c r="R27" s="27" t="str">
        <f t="shared" si="64"/>
        <v/>
      </c>
      <c r="S27" s="27" t="str">
        <f t="shared" si="64"/>
        <v/>
      </c>
      <c r="T27" s="27" t="str">
        <f t="shared" si="64"/>
        <v/>
      </c>
      <c r="U27" s="27" t="str">
        <f t="shared" si="64"/>
        <v/>
      </c>
      <c r="V27" s="27" t="str">
        <f t="shared" si="64"/>
        <v/>
      </c>
      <c r="W27" s="27" t="str">
        <f t="shared" si="64"/>
        <v/>
      </c>
      <c r="Y27" s="27" t="str">
        <f t="shared" si="64"/>
        <v/>
      </c>
    </row>
    <row r="28" spans="1:32" hidden="1" x14ac:dyDescent="0.2"/>
    <row r="29" spans="1:32" hidden="1" x14ac:dyDescent="0.2">
      <c r="A29" s="27">
        <f>A15</f>
        <v>0</v>
      </c>
      <c r="B29" s="27" t="str">
        <f t="shared" ca="1" si="65"/>
        <v/>
      </c>
      <c r="C29" s="27" t="str">
        <f t="shared" si="64"/>
        <v/>
      </c>
      <c r="D29" s="27" t="str">
        <f t="shared" si="64"/>
        <v/>
      </c>
      <c r="E29" s="27" t="str">
        <f t="shared" si="64"/>
        <v/>
      </c>
      <c r="F29" s="27" t="str">
        <f t="shared" si="64"/>
        <v/>
      </c>
      <c r="G29" s="27" t="str">
        <f t="shared" si="64"/>
        <v/>
      </c>
      <c r="H29" s="27" t="str">
        <f t="shared" si="64"/>
        <v/>
      </c>
      <c r="I29" s="27" t="str">
        <f t="shared" si="64"/>
        <v/>
      </c>
      <c r="J29" s="27" t="str">
        <f t="shared" si="64"/>
        <v/>
      </c>
      <c r="K29" s="27" t="str">
        <f t="shared" si="64"/>
        <v/>
      </c>
      <c r="L29" s="27" t="str">
        <f t="shared" si="64"/>
        <v/>
      </c>
      <c r="M29" s="27" t="str">
        <f t="shared" si="64"/>
        <v/>
      </c>
      <c r="N29" s="27" t="str">
        <f t="shared" si="64"/>
        <v/>
      </c>
      <c r="O29" s="27" t="str">
        <f t="shared" si="64"/>
        <v/>
      </c>
      <c r="P29" s="27" t="str">
        <f t="shared" si="64"/>
        <v/>
      </c>
      <c r="Q29" s="27" t="str">
        <f t="shared" si="64"/>
        <v/>
      </c>
      <c r="R29" s="27" t="str">
        <f t="shared" si="64"/>
        <v/>
      </c>
      <c r="S29" s="27" t="str">
        <f t="shared" si="64"/>
        <v/>
      </c>
      <c r="T29" s="27" t="str">
        <f t="shared" si="64"/>
        <v/>
      </c>
      <c r="U29" s="27" t="str">
        <f t="shared" si="64"/>
        <v/>
      </c>
      <c r="V29" s="27" t="str">
        <f t="shared" si="64"/>
        <v/>
      </c>
      <c r="W29" s="27" t="str">
        <f t="shared" si="64"/>
        <v/>
      </c>
      <c r="Y29" s="27" t="str">
        <f t="shared" si="64"/>
        <v/>
      </c>
    </row>
    <row r="30" spans="1:32" hidden="1" x14ac:dyDescent="0.2">
      <c r="A30" s="27">
        <f>A16</f>
        <v>0</v>
      </c>
      <c r="B30" s="27" t="str">
        <f t="shared" ca="1" si="65"/>
        <v/>
      </c>
      <c r="C30" s="27" t="str">
        <f t="shared" si="64"/>
        <v/>
      </c>
      <c r="D30" s="27" t="str">
        <f t="shared" si="64"/>
        <v/>
      </c>
      <c r="E30" s="27" t="str">
        <f t="shared" si="64"/>
        <v/>
      </c>
      <c r="F30" s="27" t="str">
        <f t="shared" si="64"/>
        <v/>
      </c>
      <c r="G30" s="27" t="str">
        <f t="shared" si="64"/>
        <v/>
      </c>
      <c r="H30" s="27" t="str">
        <f t="shared" si="64"/>
        <v/>
      </c>
      <c r="I30" s="27" t="str">
        <f t="shared" si="64"/>
        <v/>
      </c>
      <c r="J30" s="27" t="str">
        <f t="shared" si="64"/>
        <v/>
      </c>
      <c r="K30" s="27" t="str">
        <f t="shared" si="64"/>
        <v/>
      </c>
      <c r="L30" s="27" t="str">
        <f t="shared" si="64"/>
        <v/>
      </c>
      <c r="M30" s="27" t="str">
        <f t="shared" si="64"/>
        <v/>
      </c>
      <c r="N30" s="27" t="str">
        <f t="shared" si="64"/>
        <v/>
      </c>
      <c r="O30" s="27" t="str">
        <f t="shared" si="64"/>
        <v/>
      </c>
      <c r="P30" s="27" t="str">
        <f t="shared" si="64"/>
        <v/>
      </c>
      <c r="Q30" s="27" t="str">
        <f t="shared" si="64"/>
        <v/>
      </c>
      <c r="R30" s="27" t="str">
        <f t="shared" si="64"/>
        <v/>
      </c>
      <c r="S30" s="27" t="str">
        <f t="shared" si="64"/>
        <v/>
      </c>
      <c r="T30" s="27" t="str">
        <f t="shared" si="64"/>
        <v/>
      </c>
      <c r="U30" s="27" t="str">
        <f t="shared" si="64"/>
        <v/>
      </c>
      <c r="V30" s="27" t="str">
        <f t="shared" si="64"/>
        <v/>
      </c>
      <c r="W30" s="27" t="str">
        <f t="shared" si="64"/>
        <v/>
      </c>
      <c r="Y30" s="27" t="str">
        <f t="shared" si="64"/>
        <v/>
      </c>
    </row>
  </sheetData>
  <sheetProtection selectLockedCells="1" selectUnlockedCells="1"/>
  <mergeCells count="6">
    <mergeCell ref="A17:B17"/>
    <mergeCell ref="A18:B18"/>
    <mergeCell ref="A3:B3"/>
    <mergeCell ref="A4:B4"/>
    <mergeCell ref="A5:B5"/>
    <mergeCell ref="A6:B6"/>
  </mergeCells>
  <conditionalFormatting sqref="C4:R4 Y4">
    <cfRule type="expression" dxfId="55" priority="11">
      <formula>C4&gt;3</formula>
    </cfRule>
    <cfRule type="expression" dxfId="54" priority="12">
      <formula>AND(C4&gt;2,C4&lt;=3)</formula>
    </cfRule>
    <cfRule type="expression" dxfId="53" priority="13">
      <formula>AND(C4&gt;1,C4&lt;=2)</formula>
    </cfRule>
    <cfRule type="expression" dxfId="52" priority="14">
      <formula>C4&lt;=1</formula>
    </cfRule>
  </conditionalFormatting>
  <conditionalFormatting sqref="C8:W10 C12:W13 Y12:Y13 Y8:Y10">
    <cfRule type="expression" dxfId="51" priority="9">
      <formula>C$3/3-C8&lt;-0.75</formula>
    </cfRule>
    <cfRule type="expression" dxfId="50" priority="10">
      <formula>C$3/3-C8&gt;0.75</formula>
    </cfRule>
  </conditionalFormatting>
  <conditionalFormatting sqref="C11:D11">
    <cfRule type="expression" dxfId="49" priority="7">
      <formula>C$3/3-C11&lt;-0.75</formula>
    </cfRule>
    <cfRule type="expression" dxfId="48" priority="8">
      <formula>C$3/3-C11&gt;0.75</formula>
    </cfRule>
  </conditionalFormatting>
  <conditionalFormatting sqref="E11:W11 Y11">
    <cfRule type="expression" dxfId="47" priority="5">
      <formula>E$3/3-E11&lt;-0.75</formula>
    </cfRule>
    <cfRule type="expression" dxfId="46" priority="6">
      <formula>E$3/3-E11&gt;0.75</formula>
    </cfRule>
  </conditionalFormatting>
  <conditionalFormatting sqref="S4:W4">
    <cfRule type="expression" dxfId="45" priority="1">
      <formula>S4&gt;3</formula>
    </cfRule>
    <cfRule type="expression" dxfId="44" priority="2">
      <formula>AND(S4&gt;2,S4&lt;=3)</formula>
    </cfRule>
    <cfRule type="expression" dxfId="43" priority="3">
      <formula>AND(S4&gt;1,S4&lt;=2)</formula>
    </cfRule>
    <cfRule type="expression" dxfId="42" priority="4">
      <formula>S4&lt;=1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Tabelle11"/>
  <dimension ref="A1:AF30"/>
  <sheetViews>
    <sheetView zoomScaleNormal="100" workbookViewId="0"/>
  </sheetViews>
  <sheetFormatPr baseColWidth="10" defaultColWidth="11.5703125" defaultRowHeight="12.75" x14ac:dyDescent="0.2"/>
  <cols>
    <col min="1" max="1" width="11.7109375" style="27" customWidth="1"/>
    <col min="2" max="2" width="14.85546875" style="27" customWidth="1"/>
    <col min="3" max="25" width="5.7109375" style="27" customWidth="1"/>
    <col min="26" max="27" width="6.7109375" style="27" customWidth="1"/>
    <col min="28" max="32" width="5.7109375" style="27" customWidth="1"/>
    <col min="33" max="16384" width="11.5703125" style="27"/>
  </cols>
  <sheetData>
    <row r="1" spans="1:32" ht="15" customHeight="1" x14ac:dyDescent="0.2">
      <c r="A1" s="27" t="str">
        <f>Doku!B46&amp;":"</f>
        <v>Paarung:</v>
      </c>
      <c r="B1" s="101" t="e">
        <f ca="1">INDIRECT("'"&amp;$A8&amp;"'!D8") &amp; "-" &amp; INDIRECT("'"&amp;$A8&amp;"'!D9") &amp; " (" &amp; INDIRECT("'"&amp;$A8&amp;"'!L8") &amp;")"</f>
        <v>#REF!</v>
      </c>
      <c r="Z1" s="110"/>
      <c r="AA1" s="110"/>
      <c r="AF1" s="103"/>
    </row>
    <row r="2" spans="1:32" ht="128.1" customHeight="1" x14ac:dyDescent="0.2">
      <c r="A2" s="104" t="str">
        <f>Doku!B44</f>
        <v>Position</v>
      </c>
      <c r="B2" s="104" t="str">
        <f>Doku!B50</f>
        <v>Name</v>
      </c>
      <c r="C2" s="98" t="str">
        <f>Doku!B51</f>
        <v>Angrüßen</v>
      </c>
      <c r="D2" s="98" t="s">
        <v>90</v>
      </c>
      <c r="E2" s="98" t="s">
        <v>106</v>
      </c>
      <c r="F2" s="98" t="s">
        <v>107</v>
      </c>
      <c r="G2" s="98" t="s">
        <v>108</v>
      </c>
      <c r="H2" s="98" t="s">
        <v>109</v>
      </c>
      <c r="I2" s="98" t="s">
        <v>110</v>
      </c>
      <c r="J2" s="98" t="s">
        <v>111</v>
      </c>
      <c r="K2" s="98" t="s">
        <v>78</v>
      </c>
      <c r="L2" s="98" t="s">
        <v>113</v>
      </c>
      <c r="M2" s="98" t="s">
        <v>114</v>
      </c>
      <c r="N2" s="98" t="s">
        <v>115</v>
      </c>
      <c r="O2" s="98" t="s">
        <v>116</v>
      </c>
      <c r="P2" s="98" t="s">
        <v>91</v>
      </c>
      <c r="Q2" s="98" t="s">
        <v>117</v>
      </c>
      <c r="R2" s="98" t="s">
        <v>118</v>
      </c>
      <c r="S2" s="98" t="s">
        <v>120</v>
      </c>
      <c r="T2" s="98" t="s">
        <v>121</v>
      </c>
      <c r="U2" s="98" t="s">
        <v>122</v>
      </c>
      <c r="V2" s="98" t="s">
        <v>124</v>
      </c>
      <c r="W2" s="98" t="s">
        <v>125</v>
      </c>
      <c r="X2" s="98" t="s">
        <v>126</v>
      </c>
      <c r="Y2" s="98" t="str">
        <f>Doku!B52</f>
        <v>Abgrüßen</v>
      </c>
      <c r="Z2" s="111" t="str">
        <f>Doku!B42</f>
        <v>Gesamt</v>
      </c>
      <c r="AA2" s="111" t="s">
        <v>191</v>
      </c>
      <c r="AB2" s="98" t="str">
        <f>Doku!B38</f>
        <v>Kleiner Fehler</v>
      </c>
      <c r="AC2" s="98" t="str">
        <f>Doku!B39</f>
        <v>Mittlerer Fehler</v>
      </c>
      <c r="AD2" s="98" t="str">
        <f>Doku!B40</f>
        <v>Großer Fehler</v>
      </c>
      <c r="AE2" s="98" t="str">
        <f>Doku!B53</f>
        <v>Korrektur</v>
      </c>
      <c r="AF2" s="98" t="str">
        <f>Doku!B41</f>
        <v>Technik vergessen</v>
      </c>
    </row>
    <row r="3" spans="1:32" ht="15" customHeight="1" x14ac:dyDescent="0.2">
      <c r="A3" s="388" t="s">
        <v>232</v>
      </c>
      <c r="B3" s="388"/>
      <c r="C3" s="264">
        <f ca="1">IF(COUNTIF(C8:C12,"")&gt;0,SUM(C8:C12),SUM(C8:C12)-MAX(C8:C12)-MIN(C8:C12))</f>
        <v>0</v>
      </c>
      <c r="D3" s="264">
        <f t="shared" ref="D3:Y3" ca="1" si="0">IF(COUNTIF(D8:D12,"")&gt;0,SUM(D8:D12),SUM(D8:D12)-MAX(D8:D12)-MIN(D8:D12))</f>
        <v>0</v>
      </c>
      <c r="E3" s="264">
        <f t="shared" ca="1" si="0"/>
        <v>0</v>
      </c>
      <c r="F3" s="264">
        <f t="shared" ca="1" si="0"/>
        <v>0</v>
      </c>
      <c r="G3" s="264">
        <f t="shared" ca="1" si="0"/>
        <v>0</v>
      </c>
      <c r="H3" s="264">
        <f t="shared" ca="1" si="0"/>
        <v>0</v>
      </c>
      <c r="I3" s="264">
        <f t="shared" ca="1" si="0"/>
        <v>0</v>
      </c>
      <c r="J3" s="264">
        <f t="shared" ca="1" si="0"/>
        <v>0</v>
      </c>
      <c r="K3" s="264">
        <f t="shared" ca="1" si="0"/>
        <v>0</v>
      </c>
      <c r="L3" s="264">
        <f t="shared" ca="1" si="0"/>
        <v>0</v>
      </c>
      <c r="M3" s="264">
        <f t="shared" ca="1" si="0"/>
        <v>0</v>
      </c>
      <c r="N3" s="264">
        <f t="shared" ca="1" si="0"/>
        <v>0</v>
      </c>
      <c r="O3" s="264">
        <f t="shared" ca="1" si="0"/>
        <v>0</v>
      </c>
      <c r="P3" s="264">
        <f t="shared" ca="1" si="0"/>
        <v>0</v>
      </c>
      <c r="Q3" s="264">
        <f t="shared" ca="1" si="0"/>
        <v>0</v>
      </c>
      <c r="R3" s="264">
        <f t="shared" ca="1" si="0"/>
        <v>0</v>
      </c>
      <c r="S3" s="264">
        <f t="shared" ca="1" si="0"/>
        <v>0</v>
      </c>
      <c r="T3" s="264">
        <f t="shared" ca="1" si="0"/>
        <v>0</v>
      </c>
      <c r="U3" s="264">
        <f t="shared" ca="1" si="0"/>
        <v>0</v>
      </c>
      <c r="V3" s="264">
        <f t="shared" ca="1" si="0"/>
        <v>0</v>
      </c>
      <c r="W3" s="264">
        <f t="shared" ca="1" si="0"/>
        <v>0</v>
      </c>
      <c r="X3" s="264">
        <f t="shared" ca="1" si="0"/>
        <v>0</v>
      </c>
      <c r="Y3" s="264">
        <f t="shared" ca="1" si="0"/>
        <v>0</v>
      </c>
      <c r="Z3" s="265">
        <f ca="1">IF(SUM(AF8:AF12)&gt;0,SUM(C3:Y3)/2,SUM(C3:Y3))</f>
        <v>0</v>
      </c>
      <c r="AA3" s="266"/>
      <c r="AB3" s="265">
        <f t="shared" ref="AB3:AF3" ca="1" si="1">IF(COUNTIF(AB8:AB12,"")&gt;0,SUM(AB8:AB12),SUM(AB8:AB12)-MAX(AB8:AB12)-MIN(AB8:AB12))</f>
        <v>0</v>
      </c>
      <c r="AC3" s="265">
        <f t="shared" ca="1" si="1"/>
        <v>0</v>
      </c>
      <c r="AD3" s="265">
        <f t="shared" ca="1" si="1"/>
        <v>0</v>
      </c>
      <c r="AE3" s="264">
        <f t="shared" ca="1" si="1"/>
        <v>0</v>
      </c>
      <c r="AF3" s="265">
        <f t="shared" ca="1" si="1"/>
        <v>0</v>
      </c>
    </row>
    <row r="4" spans="1:32" ht="15" customHeight="1" x14ac:dyDescent="0.2">
      <c r="A4" s="389" t="str">
        <f>Doku!B49&amp;":"</f>
        <v>Spannweite:</v>
      </c>
      <c r="B4" s="389"/>
      <c r="C4" s="112">
        <f t="shared" ref="C4:X4" ca="1" si="2">MAX(C8:C12)-MIN(C8:C12)</f>
        <v>0</v>
      </c>
      <c r="D4" s="112">
        <f t="shared" ca="1" si="2"/>
        <v>0</v>
      </c>
      <c r="E4" s="112">
        <f t="shared" ca="1" si="2"/>
        <v>0</v>
      </c>
      <c r="F4" s="112">
        <f t="shared" ca="1" si="2"/>
        <v>0</v>
      </c>
      <c r="G4" s="112">
        <f t="shared" ca="1" si="2"/>
        <v>0</v>
      </c>
      <c r="H4" s="112">
        <f t="shared" ca="1" si="2"/>
        <v>0</v>
      </c>
      <c r="I4" s="112">
        <f t="shared" ca="1" si="2"/>
        <v>0</v>
      </c>
      <c r="J4" s="112">
        <f t="shared" ca="1" si="2"/>
        <v>0</v>
      </c>
      <c r="K4" s="112">
        <f t="shared" ca="1" si="2"/>
        <v>0</v>
      </c>
      <c r="L4" s="112">
        <f t="shared" ca="1" si="2"/>
        <v>0</v>
      </c>
      <c r="M4" s="112">
        <f t="shared" ca="1" si="2"/>
        <v>0</v>
      </c>
      <c r="N4" s="112">
        <f t="shared" ca="1" si="2"/>
        <v>0</v>
      </c>
      <c r="O4" s="112">
        <f t="shared" ca="1" si="2"/>
        <v>0</v>
      </c>
      <c r="P4" s="112">
        <f t="shared" ca="1" si="2"/>
        <v>0</v>
      </c>
      <c r="Q4" s="112">
        <f t="shared" ca="1" si="2"/>
        <v>0</v>
      </c>
      <c r="R4" s="112">
        <f t="shared" ca="1" si="2"/>
        <v>0</v>
      </c>
      <c r="S4" s="112">
        <f t="shared" ca="1" si="2"/>
        <v>0</v>
      </c>
      <c r="T4" s="112">
        <f t="shared" ca="1" si="2"/>
        <v>0</v>
      </c>
      <c r="U4" s="112">
        <f t="shared" ca="1" si="2"/>
        <v>0</v>
      </c>
      <c r="V4" s="112">
        <f t="shared" ca="1" si="2"/>
        <v>0</v>
      </c>
      <c r="W4" s="112">
        <f t="shared" ca="1" si="2"/>
        <v>0</v>
      </c>
      <c r="X4" s="112">
        <f t="shared" ca="1" si="2"/>
        <v>0</v>
      </c>
      <c r="Y4" s="112">
        <f ca="1">MAX(Y8:Y12)-MIN(Y8:Y12)</f>
        <v>0</v>
      </c>
      <c r="Z4" s="113">
        <f ca="1">MAX(Z8:Z12)-MIN(Z8:Z12)</f>
        <v>0</v>
      </c>
      <c r="AA4" s="114"/>
      <c r="AB4" s="113">
        <f ca="1">MAX(AB8:AB12)-MIN(AB8:AB12)</f>
        <v>0</v>
      </c>
      <c r="AC4" s="113">
        <f ca="1">MAX(AC8:AC12)-MIN(AC8:AC12)</f>
        <v>0</v>
      </c>
      <c r="AD4" s="113">
        <f ca="1">MAX(AD8:AD12)-MIN(AD8:AD12)</f>
        <v>0</v>
      </c>
      <c r="AE4" s="112">
        <f ca="1">MAX(AE8:AE12)-MIN(AE8:AE12)</f>
        <v>0</v>
      </c>
      <c r="AF4" s="113">
        <f ca="1">MAX(AF8:AF12)-MIN(AF8:AF12)</f>
        <v>0</v>
      </c>
    </row>
    <row r="5" spans="1:32" ht="15" customHeight="1" x14ac:dyDescent="0.2">
      <c r="A5" s="389" t="str">
        <f>Doku!B47&amp;":"</f>
        <v>Mittelwert:</v>
      </c>
      <c r="B5" s="389"/>
      <c r="C5" s="112">
        <f ca="1">C3/3</f>
        <v>0</v>
      </c>
      <c r="D5" s="112">
        <f t="shared" ref="D5:AF5" ca="1" si="3">D3/3</f>
        <v>0</v>
      </c>
      <c r="E5" s="112">
        <f t="shared" ca="1" si="3"/>
        <v>0</v>
      </c>
      <c r="F5" s="112">
        <f t="shared" ca="1" si="3"/>
        <v>0</v>
      </c>
      <c r="G5" s="112">
        <f t="shared" ca="1" si="3"/>
        <v>0</v>
      </c>
      <c r="H5" s="112">
        <f t="shared" ca="1" si="3"/>
        <v>0</v>
      </c>
      <c r="I5" s="112">
        <f t="shared" ca="1" si="3"/>
        <v>0</v>
      </c>
      <c r="J5" s="112">
        <f t="shared" ca="1" si="3"/>
        <v>0</v>
      </c>
      <c r="K5" s="112">
        <f t="shared" ca="1" si="3"/>
        <v>0</v>
      </c>
      <c r="L5" s="112">
        <f t="shared" ca="1" si="3"/>
        <v>0</v>
      </c>
      <c r="M5" s="112">
        <f t="shared" ca="1" si="3"/>
        <v>0</v>
      </c>
      <c r="N5" s="112">
        <f t="shared" ca="1" si="3"/>
        <v>0</v>
      </c>
      <c r="O5" s="112">
        <f t="shared" ca="1" si="3"/>
        <v>0</v>
      </c>
      <c r="P5" s="112">
        <f t="shared" ca="1" si="3"/>
        <v>0</v>
      </c>
      <c r="Q5" s="112">
        <f t="shared" ca="1" si="3"/>
        <v>0</v>
      </c>
      <c r="R5" s="112">
        <f t="shared" ca="1" si="3"/>
        <v>0</v>
      </c>
      <c r="S5" s="112">
        <f t="shared" ca="1" si="3"/>
        <v>0</v>
      </c>
      <c r="T5" s="112">
        <f t="shared" ca="1" si="3"/>
        <v>0</v>
      </c>
      <c r="U5" s="112">
        <f t="shared" ca="1" si="3"/>
        <v>0</v>
      </c>
      <c r="V5" s="112">
        <f t="shared" ca="1" si="3"/>
        <v>0</v>
      </c>
      <c r="W5" s="112">
        <f t="shared" ca="1" si="3"/>
        <v>0</v>
      </c>
      <c r="X5" s="112">
        <f t="shared" ca="1" si="3"/>
        <v>0</v>
      </c>
      <c r="Y5" s="112">
        <f t="shared" ca="1" si="3"/>
        <v>0</v>
      </c>
      <c r="Z5" s="113">
        <f t="shared" ca="1" si="3"/>
        <v>0</v>
      </c>
      <c r="AA5" s="115"/>
      <c r="AB5" s="113">
        <f t="shared" ca="1" si="3"/>
        <v>0</v>
      </c>
      <c r="AC5" s="113">
        <f t="shared" ca="1" si="3"/>
        <v>0</v>
      </c>
      <c r="AD5" s="113">
        <f t="shared" ca="1" si="3"/>
        <v>0</v>
      </c>
      <c r="AE5" s="112">
        <f t="shared" ca="1" si="3"/>
        <v>0</v>
      </c>
      <c r="AF5" s="113">
        <f t="shared" ca="1" si="3"/>
        <v>0</v>
      </c>
    </row>
    <row r="6" spans="1:32" ht="15" hidden="1" customHeight="1" x14ac:dyDescent="0.2">
      <c r="A6" s="389"/>
      <c r="B6" s="389"/>
      <c r="C6" s="112"/>
      <c r="D6" s="112"/>
      <c r="E6" s="112"/>
      <c r="F6" s="112"/>
      <c r="G6" s="112"/>
      <c r="H6" s="112"/>
      <c r="I6" s="112"/>
      <c r="J6" s="112"/>
      <c r="K6" s="112"/>
      <c r="L6" s="112"/>
      <c r="M6" s="112"/>
      <c r="N6" s="112"/>
      <c r="O6" s="112"/>
      <c r="P6" s="112"/>
      <c r="Q6" s="112"/>
      <c r="R6" s="112"/>
      <c r="S6" s="112"/>
      <c r="T6" s="112"/>
      <c r="U6" s="112"/>
      <c r="V6" s="112"/>
      <c r="W6" s="112"/>
      <c r="X6" s="112"/>
      <c r="Y6" s="112"/>
      <c r="Z6" s="116"/>
      <c r="AA6" s="117"/>
      <c r="AB6" s="116"/>
      <c r="AC6" s="116"/>
      <c r="AD6" s="116"/>
      <c r="AE6" s="112"/>
      <c r="AF6" s="116"/>
    </row>
    <row r="7" spans="1:32" ht="15" customHeight="1" x14ac:dyDescent="0.2">
      <c r="A7" s="106"/>
      <c r="B7" s="106" t="str">
        <f ca="1">IF(A7&lt;&gt;"",INDIRECT("'"&amp;$A7&amp;"'!E5"),"")</f>
        <v/>
      </c>
      <c r="C7" s="118" t="str">
        <f ca="1">IF($A7&lt;&gt;"",INDIRECT("'"&amp;$A7&amp;"'!L13"),"")</f>
        <v/>
      </c>
      <c r="D7" s="118" t="str">
        <f ca="1">IF($A7&lt;&gt;"",INDIRECT("'"&amp;$A7&amp;"'!L14"),"")</f>
        <v/>
      </c>
      <c r="E7" s="118" t="str">
        <f ca="1">IF($A7&lt;&gt;"",INDIRECT("'"&amp;$A7&amp;"'!L15"),"")</f>
        <v/>
      </c>
      <c r="F7" s="118" t="str">
        <f ca="1">IF($A7&lt;&gt;"",INDIRECT("'"&amp;$A7&amp;"'!L16"),"")</f>
        <v/>
      </c>
      <c r="G7" s="118" t="str">
        <f ca="1">IF($A7&lt;&gt;"",INDIRECT("'"&amp;$A7&amp;"'!L17"),"")</f>
        <v/>
      </c>
      <c r="H7" s="118" t="str">
        <f ca="1">IF($A7&lt;&gt;"",INDIRECT("'"&amp;$A7&amp;"'!L18"),"")</f>
        <v/>
      </c>
      <c r="I7" s="118" t="str">
        <f ca="1">IF($A7&lt;&gt;"",INDIRECT("'"&amp;$A7&amp;"'!L19"),"")</f>
        <v/>
      </c>
      <c r="J7" s="118" t="str">
        <f ca="1">IF($A7&lt;&gt;"",INDIRECT("'"&amp;$A7&amp;"'!L20"),"")</f>
        <v/>
      </c>
      <c r="K7" s="118" t="str">
        <f ca="1">IF($A7&lt;&gt;"",INDIRECT("'"&amp;$A7&amp;"'!L21"),"")</f>
        <v/>
      </c>
      <c r="L7" s="118" t="str">
        <f ca="1">IF($A7&lt;&gt;"",INDIRECT("'"&amp;$A7&amp;"'!L22"),"")</f>
        <v/>
      </c>
      <c r="M7" s="118" t="str">
        <f ca="1">IF($A7&lt;&gt;"",INDIRECT("'"&amp;$A7&amp;"'!L23"),"")</f>
        <v/>
      </c>
      <c r="N7" s="118" t="str">
        <f ca="1">IF($A7&lt;&gt;"",INDIRECT("'"&amp;$A7&amp;"'!L24"),"")</f>
        <v/>
      </c>
      <c r="O7" s="118" t="str">
        <f ca="1">IF($A7&lt;&gt;"",INDIRECT("'"&amp;$A7&amp;"'!L25"),"")</f>
        <v/>
      </c>
      <c r="P7" s="118" t="str">
        <f ca="1">IF($A7&lt;&gt;"",INDIRECT("'"&amp;$A7&amp;"'!L26"),"")</f>
        <v/>
      </c>
      <c r="Q7" s="118" t="str">
        <f ca="1">IF($A7&lt;&gt;"",INDIRECT("'"&amp;$A7&amp;"'!L27"),"")</f>
        <v/>
      </c>
      <c r="R7" s="118" t="str">
        <f ca="1">IF($A7&lt;&gt;"",INDIRECT("'"&amp;$A7&amp;"'!L28"),"")</f>
        <v/>
      </c>
      <c r="S7" s="118" t="str">
        <f ca="1">IF($A7&lt;&gt;"",INDIRECT("'"&amp;$A7&amp;"'!L29"),"")</f>
        <v/>
      </c>
      <c r="T7" s="118" t="str">
        <f ca="1">IF($A7&lt;&gt;"",INDIRECT("'"&amp;$A7&amp;"'!L30"),"")</f>
        <v/>
      </c>
      <c r="U7" s="118" t="str">
        <f ca="1">IF($A7&lt;&gt;"",INDIRECT("'"&amp;$A7&amp;"'!L31"),"")</f>
        <v/>
      </c>
      <c r="V7" s="118" t="str">
        <f ca="1">IF($A7&lt;&gt;"",INDIRECT("'"&amp;$A7&amp;"'!L32"),"")</f>
        <v/>
      </c>
      <c r="W7" s="118" t="str">
        <f ca="1">IF($A7&lt;&gt;"",INDIRECT("'"&amp;$A7&amp;"'!L33"),"")</f>
        <v/>
      </c>
      <c r="X7" s="118" t="str">
        <f ca="1">IF($A7&lt;&gt;"",INDIRECT("'"&amp;$A7&amp;"'!L34"),"")</f>
        <v/>
      </c>
      <c r="Y7" s="118" t="str">
        <f ca="1">IF($A7&lt;&gt;"",INDIRECT("'"&amp;$A7&amp;"'!L35"),"")</f>
        <v/>
      </c>
      <c r="Z7" s="119" t="str">
        <f ca="1">IF($A7&lt;&gt;"",INDIRECT("'"&amp;$A7&amp;"'!L36"),"")</f>
        <v/>
      </c>
      <c r="AA7" s="120" t="str">
        <f t="shared" ref="AA7:AA13" si="4">IF($A7&lt;&gt;"",SUM(C21:Y21)/COUNT(C7:Y7),"")</f>
        <v/>
      </c>
      <c r="AB7" s="119" t="str">
        <f ca="1">IF($A7&lt;&gt;"",INDIRECT("'"&amp;$A7&amp;"'!F36"),"")</f>
        <v/>
      </c>
      <c r="AC7" s="119" t="str">
        <f ca="1">IF($A7&lt;&gt;"",INDIRECT("'"&amp;$A7&amp;"'!H36"),"")</f>
        <v/>
      </c>
      <c r="AD7" s="119" t="str">
        <f ca="1">IF($A7&lt;&gt;"",INDIRECT("'"&amp;$A7&amp;"'!I36"),"")</f>
        <v/>
      </c>
      <c r="AE7" s="118" t="str">
        <f ca="1">IF($A7&lt;&gt;"",INDIRECT("'"&amp;$A7&amp;"'!J36"),"")</f>
        <v/>
      </c>
      <c r="AF7" s="119" t="str">
        <f ca="1">IF($A7&lt;&gt;"",INDIRECT("'"&amp;$A7&amp;"'!K36"),"")</f>
        <v/>
      </c>
    </row>
    <row r="8" spans="1:32" ht="15" customHeight="1" x14ac:dyDescent="0.2">
      <c r="B8" s="27" t="str">
        <f t="shared" ref="B8:B13" ca="1" si="5">IF(A8&lt;&gt;"",INDIRECT("'"&amp;$A8&amp;"'!E5"),"")</f>
        <v/>
      </c>
      <c r="C8" s="112" t="str">
        <f t="shared" ref="C8:C13" ca="1" si="6">IF($A8&lt;&gt;"",INDIRECT("'"&amp;$A8&amp;"'!L13"),"")</f>
        <v/>
      </c>
      <c r="D8" s="112" t="str">
        <f t="shared" ref="D8:D13" ca="1" si="7">IF($A8&lt;&gt;"",INDIRECT("'"&amp;$A8&amp;"'!L14"),"")</f>
        <v/>
      </c>
      <c r="E8" s="112" t="str">
        <f t="shared" ref="E8:E13" ca="1" si="8">IF($A8&lt;&gt;"",INDIRECT("'"&amp;$A8&amp;"'!L15"),"")</f>
        <v/>
      </c>
      <c r="F8" s="112" t="str">
        <f t="shared" ref="F8:F13" ca="1" si="9">IF($A8&lt;&gt;"",INDIRECT("'"&amp;$A8&amp;"'!L16"),"")</f>
        <v/>
      </c>
      <c r="G8" s="112" t="str">
        <f t="shared" ref="G8:G13" ca="1" si="10">IF($A8&lt;&gt;"",INDIRECT("'"&amp;$A8&amp;"'!L17"),"")</f>
        <v/>
      </c>
      <c r="H8" s="112" t="str">
        <f t="shared" ref="H8:H13" ca="1" si="11">IF($A8&lt;&gt;"",INDIRECT("'"&amp;$A8&amp;"'!L18"),"")</f>
        <v/>
      </c>
      <c r="I8" s="112" t="str">
        <f t="shared" ref="I8:I13" ca="1" si="12">IF($A8&lt;&gt;"",INDIRECT("'"&amp;$A8&amp;"'!L19"),"")</f>
        <v/>
      </c>
      <c r="J8" s="112" t="str">
        <f t="shared" ref="J8:J13" ca="1" si="13">IF($A8&lt;&gt;"",INDIRECT("'"&amp;$A8&amp;"'!L20"),"")</f>
        <v/>
      </c>
      <c r="K8" s="112" t="str">
        <f t="shared" ref="K8:K13" ca="1" si="14">IF($A8&lt;&gt;"",INDIRECT("'"&amp;$A8&amp;"'!L21"),"")</f>
        <v/>
      </c>
      <c r="L8" s="112" t="str">
        <f t="shared" ref="L8:L13" ca="1" si="15">IF($A8&lt;&gt;"",INDIRECT("'"&amp;$A8&amp;"'!L22"),"")</f>
        <v/>
      </c>
      <c r="M8" s="112" t="str">
        <f t="shared" ref="M8:M13" ca="1" si="16">IF($A8&lt;&gt;"",INDIRECT("'"&amp;$A8&amp;"'!L23"),"")</f>
        <v/>
      </c>
      <c r="N8" s="112" t="str">
        <f t="shared" ref="N8:N13" ca="1" si="17">IF($A8&lt;&gt;"",INDIRECT("'"&amp;$A8&amp;"'!L24"),"")</f>
        <v/>
      </c>
      <c r="O8" s="112" t="str">
        <f t="shared" ref="O8:O13" ca="1" si="18">IF($A8&lt;&gt;"",INDIRECT("'"&amp;$A8&amp;"'!L25"),"")</f>
        <v/>
      </c>
      <c r="P8" s="112" t="str">
        <f t="shared" ref="P8:P13" ca="1" si="19">IF($A8&lt;&gt;"",INDIRECT("'"&amp;$A8&amp;"'!L26"),"")</f>
        <v/>
      </c>
      <c r="Q8" s="112" t="str">
        <f t="shared" ref="Q8:Q13" ca="1" si="20">IF($A8&lt;&gt;"",INDIRECT("'"&amp;$A8&amp;"'!L27"),"")</f>
        <v/>
      </c>
      <c r="R8" s="112" t="str">
        <f t="shared" ref="R8:R13" ca="1" si="21">IF($A8&lt;&gt;"",INDIRECT("'"&amp;$A8&amp;"'!L28"),"")</f>
        <v/>
      </c>
      <c r="S8" s="112" t="str">
        <f t="shared" ref="S8:S13" ca="1" si="22">IF($A8&lt;&gt;"",INDIRECT("'"&amp;$A8&amp;"'!L29"),"")</f>
        <v/>
      </c>
      <c r="T8" s="112" t="str">
        <f t="shared" ref="T8:T13" ca="1" si="23">IF($A8&lt;&gt;"",INDIRECT("'"&amp;$A8&amp;"'!L30"),"")</f>
        <v/>
      </c>
      <c r="U8" s="112" t="str">
        <f t="shared" ref="U8:U13" ca="1" si="24">IF($A8&lt;&gt;"",INDIRECT("'"&amp;$A8&amp;"'!L31"),"")</f>
        <v/>
      </c>
      <c r="V8" s="112" t="str">
        <f t="shared" ref="V8:V13" ca="1" si="25">IF($A8&lt;&gt;"",INDIRECT("'"&amp;$A8&amp;"'!L32"),"")</f>
        <v/>
      </c>
      <c r="W8" s="112" t="str">
        <f t="shared" ref="W8:W13" ca="1" si="26">IF($A8&lt;&gt;"",INDIRECT("'"&amp;$A8&amp;"'!L33"),"")</f>
        <v/>
      </c>
      <c r="X8" s="112" t="str">
        <f t="shared" ref="X8:X13" ca="1" si="27">IF($A8&lt;&gt;"",INDIRECT("'"&amp;$A8&amp;"'!L34"),"")</f>
        <v/>
      </c>
      <c r="Y8" s="112" t="str">
        <f t="shared" ref="Y8:Y13" ca="1" si="28">IF($A8&lt;&gt;"",INDIRECT("'"&amp;$A8&amp;"'!L35"),"")</f>
        <v/>
      </c>
      <c r="Z8" s="113" t="str">
        <f t="shared" ref="Z8:Z13" ca="1" si="29">IF($A8&lt;&gt;"",INDIRECT("'"&amp;$A8&amp;"'!L36"),"")</f>
        <v/>
      </c>
      <c r="AA8" s="121" t="str">
        <f t="shared" si="4"/>
        <v/>
      </c>
      <c r="AB8" s="113" t="str">
        <f t="shared" ref="AB8:AB13" ca="1" si="30">IF($A8&lt;&gt;"",INDIRECT("'"&amp;$A8&amp;"'!F36"),"")</f>
        <v/>
      </c>
      <c r="AC8" s="113" t="str">
        <f t="shared" ref="AC8:AC13" ca="1" si="31">IF($A8&lt;&gt;"",INDIRECT("'"&amp;$A8&amp;"'!H36"),"")</f>
        <v/>
      </c>
      <c r="AD8" s="113" t="str">
        <f t="shared" ref="AD8:AD13" ca="1" si="32">IF($A8&lt;&gt;"",INDIRECT("'"&amp;$A8&amp;"'!I36"),"")</f>
        <v/>
      </c>
      <c r="AE8" s="112" t="str">
        <f t="shared" ref="AE8:AE13" ca="1" si="33">IF($A8&lt;&gt;"",INDIRECT("'"&amp;$A8&amp;"'!J36"),"")</f>
        <v/>
      </c>
      <c r="AF8" s="113" t="str">
        <f t="shared" ref="AF8:AF13" ca="1" si="34">IF($A8&lt;&gt;"",INDIRECT("'"&amp;$A8&amp;"'!K36"),"")</f>
        <v/>
      </c>
    </row>
    <row r="9" spans="1:32" ht="15" customHeight="1" x14ac:dyDescent="0.2">
      <c r="B9" s="27" t="str">
        <f t="shared" ca="1" si="5"/>
        <v/>
      </c>
      <c r="C9" s="112" t="str">
        <f t="shared" ca="1" si="6"/>
        <v/>
      </c>
      <c r="D9" s="112" t="str">
        <f t="shared" ca="1" si="7"/>
        <v/>
      </c>
      <c r="E9" s="112" t="str">
        <f t="shared" ca="1" si="8"/>
        <v/>
      </c>
      <c r="F9" s="112" t="str">
        <f t="shared" ca="1" si="9"/>
        <v/>
      </c>
      <c r="G9" s="112" t="str">
        <f t="shared" ca="1" si="10"/>
        <v/>
      </c>
      <c r="H9" s="112" t="str">
        <f t="shared" ca="1" si="11"/>
        <v/>
      </c>
      <c r="I9" s="112" t="str">
        <f t="shared" ca="1" si="12"/>
        <v/>
      </c>
      <c r="J9" s="112" t="str">
        <f t="shared" ca="1" si="13"/>
        <v/>
      </c>
      <c r="K9" s="112" t="str">
        <f t="shared" ca="1" si="14"/>
        <v/>
      </c>
      <c r="L9" s="112" t="str">
        <f t="shared" ca="1" si="15"/>
        <v/>
      </c>
      <c r="M9" s="112" t="str">
        <f t="shared" ca="1" si="16"/>
        <v/>
      </c>
      <c r="N9" s="112" t="str">
        <f t="shared" ca="1" si="17"/>
        <v/>
      </c>
      <c r="O9" s="112" t="str">
        <f t="shared" ca="1" si="18"/>
        <v/>
      </c>
      <c r="P9" s="112" t="str">
        <f t="shared" ca="1" si="19"/>
        <v/>
      </c>
      <c r="Q9" s="112" t="str">
        <f t="shared" ca="1" si="20"/>
        <v/>
      </c>
      <c r="R9" s="112" t="str">
        <f t="shared" ca="1" si="21"/>
        <v/>
      </c>
      <c r="S9" s="112" t="str">
        <f t="shared" ca="1" si="22"/>
        <v/>
      </c>
      <c r="T9" s="112" t="str">
        <f t="shared" ca="1" si="23"/>
        <v/>
      </c>
      <c r="U9" s="112" t="str">
        <f t="shared" ca="1" si="24"/>
        <v/>
      </c>
      <c r="V9" s="112" t="str">
        <f t="shared" ca="1" si="25"/>
        <v/>
      </c>
      <c r="W9" s="112" t="str">
        <f t="shared" ca="1" si="26"/>
        <v/>
      </c>
      <c r="X9" s="112" t="str">
        <f t="shared" ca="1" si="27"/>
        <v/>
      </c>
      <c r="Y9" s="112" t="str">
        <f t="shared" ca="1" si="28"/>
        <v/>
      </c>
      <c r="Z9" s="113" t="str">
        <f t="shared" ca="1" si="29"/>
        <v/>
      </c>
      <c r="AA9" s="122" t="str">
        <f t="shared" si="4"/>
        <v/>
      </c>
      <c r="AB9" s="113" t="str">
        <f t="shared" ca="1" si="30"/>
        <v/>
      </c>
      <c r="AC9" s="113" t="str">
        <f t="shared" ca="1" si="31"/>
        <v/>
      </c>
      <c r="AD9" s="113" t="str">
        <f t="shared" ca="1" si="32"/>
        <v/>
      </c>
      <c r="AE9" s="112" t="str">
        <f t="shared" ca="1" si="33"/>
        <v/>
      </c>
      <c r="AF9" s="113" t="str">
        <f t="shared" ca="1" si="34"/>
        <v/>
      </c>
    </row>
    <row r="10" spans="1:32" ht="15" customHeight="1" x14ac:dyDescent="0.2">
      <c r="B10" s="27" t="str">
        <f t="shared" ca="1" si="5"/>
        <v/>
      </c>
      <c r="C10" s="112" t="str">
        <f t="shared" ca="1" si="6"/>
        <v/>
      </c>
      <c r="D10" s="112" t="str">
        <f t="shared" ca="1" si="7"/>
        <v/>
      </c>
      <c r="E10" s="112" t="str">
        <f t="shared" ca="1" si="8"/>
        <v/>
      </c>
      <c r="F10" s="112" t="str">
        <f t="shared" ca="1" si="9"/>
        <v/>
      </c>
      <c r="G10" s="112" t="str">
        <f t="shared" ca="1" si="10"/>
        <v/>
      </c>
      <c r="H10" s="112" t="str">
        <f t="shared" ca="1" si="11"/>
        <v/>
      </c>
      <c r="I10" s="112" t="str">
        <f t="shared" ca="1" si="12"/>
        <v/>
      </c>
      <c r="J10" s="112" t="str">
        <f t="shared" ca="1" si="13"/>
        <v/>
      </c>
      <c r="K10" s="112" t="str">
        <f t="shared" ca="1" si="14"/>
        <v/>
      </c>
      <c r="L10" s="112" t="str">
        <f t="shared" ca="1" si="15"/>
        <v/>
      </c>
      <c r="M10" s="112" t="str">
        <f t="shared" ca="1" si="16"/>
        <v/>
      </c>
      <c r="N10" s="112" t="str">
        <f t="shared" ca="1" si="17"/>
        <v/>
      </c>
      <c r="O10" s="112" t="str">
        <f t="shared" ca="1" si="18"/>
        <v/>
      </c>
      <c r="P10" s="112" t="str">
        <f t="shared" ca="1" si="19"/>
        <v/>
      </c>
      <c r="Q10" s="112" t="str">
        <f t="shared" ca="1" si="20"/>
        <v/>
      </c>
      <c r="R10" s="112" t="str">
        <f t="shared" ca="1" si="21"/>
        <v/>
      </c>
      <c r="S10" s="112" t="str">
        <f t="shared" ca="1" si="22"/>
        <v/>
      </c>
      <c r="T10" s="112" t="str">
        <f t="shared" ca="1" si="23"/>
        <v/>
      </c>
      <c r="U10" s="112" t="str">
        <f t="shared" ca="1" si="24"/>
        <v/>
      </c>
      <c r="V10" s="112" t="str">
        <f t="shared" ca="1" si="25"/>
        <v/>
      </c>
      <c r="W10" s="112" t="str">
        <f t="shared" ca="1" si="26"/>
        <v/>
      </c>
      <c r="X10" s="112" t="str">
        <f t="shared" ca="1" si="27"/>
        <v/>
      </c>
      <c r="Y10" s="112" t="str">
        <f t="shared" ca="1" si="28"/>
        <v/>
      </c>
      <c r="Z10" s="113" t="str">
        <f t="shared" ca="1" si="29"/>
        <v/>
      </c>
      <c r="AA10" s="122" t="str">
        <f t="shared" si="4"/>
        <v/>
      </c>
      <c r="AB10" s="113" t="str">
        <f t="shared" ca="1" si="30"/>
        <v/>
      </c>
      <c r="AC10" s="113" t="str">
        <f t="shared" ca="1" si="31"/>
        <v/>
      </c>
      <c r="AD10" s="113" t="str">
        <f t="shared" ca="1" si="32"/>
        <v/>
      </c>
      <c r="AE10" s="112" t="str">
        <f t="shared" ca="1" si="33"/>
        <v/>
      </c>
      <c r="AF10" s="113" t="str">
        <f t="shared" ca="1" si="34"/>
        <v/>
      </c>
    </row>
    <row r="11" spans="1:32" ht="15" customHeight="1" x14ac:dyDescent="0.2">
      <c r="B11" s="27" t="str">
        <f t="shared" ca="1" si="5"/>
        <v/>
      </c>
      <c r="C11" s="112" t="str">
        <f t="shared" ca="1" si="6"/>
        <v/>
      </c>
      <c r="D11" s="112" t="str">
        <f t="shared" ca="1" si="7"/>
        <v/>
      </c>
      <c r="E11" s="112" t="str">
        <f t="shared" ca="1" si="8"/>
        <v/>
      </c>
      <c r="F11" s="112" t="str">
        <f t="shared" ca="1" si="9"/>
        <v/>
      </c>
      <c r="G11" s="112" t="str">
        <f t="shared" ca="1" si="10"/>
        <v/>
      </c>
      <c r="H11" s="112" t="str">
        <f t="shared" ca="1" si="11"/>
        <v/>
      </c>
      <c r="I11" s="112" t="str">
        <f t="shared" ca="1" si="12"/>
        <v/>
      </c>
      <c r="J11" s="112" t="str">
        <f t="shared" ca="1" si="13"/>
        <v/>
      </c>
      <c r="K11" s="112" t="str">
        <f t="shared" ca="1" si="14"/>
        <v/>
      </c>
      <c r="L11" s="112" t="str">
        <f t="shared" ca="1" si="15"/>
        <v/>
      </c>
      <c r="M11" s="112" t="str">
        <f t="shared" ca="1" si="16"/>
        <v/>
      </c>
      <c r="N11" s="112" t="str">
        <f t="shared" ca="1" si="17"/>
        <v/>
      </c>
      <c r="O11" s="112" t="str">
        <f t="shared" ca="1" si="18"/>
        <v/>
      </c>
      <c r="P11" s="112" t="str">
        <f t="shared" ca="1" si="19"/>
        <v/>
      </c>
      <c r="Q11" s="112" t="str">
        <f t="shared" ca="1" si="20"/>
        <v/>
      </c>
      <c r="R11" s="112" t="str">
        <f t="shared" ca="1" si="21"/>
        <v/>
      </c>
      <c r="S11" s="112" t="str">
        <f t="shared" ca="1" si="22"/>
        <v/>
      </c>
      <c r="T11" s="112" t="str">
        <f t="shared" ca="1" si="23"/>
        <v/>
      </c>
      <c r="U11" s="112" t="str">
        <f t="shared" ca="1" si="24"/>
        <v/>
      </c>
      <c r="V11" s="112" t="str">
        <f t="shared" ca="1" si="25"/>
        <v/>
      </c>
      <c r="W11" s="112" t="str">
        <f t="shared" ca="1" si="26"/>
        <v/>
      </c>
      <c r="X11" s="112" t="str">
        <f t="shared" ca="1" si="27"/>
        <v/>
      </c>
      <c r="Y11" s="112" t="str">
        <f t="shared" ca="1" si="28"/>
        <v/>
      </c>
      <c r="Z11" s="113" t="str">
        <f t="shared" ca="1" si="29"/>
        <v/>
      </c>
      <c r="AA11" s="122" t="str">
        <f t="shared" si="4"/>
        <v/>
      </c>
      <c r="AB11" s="113" t="str">
        <f t="shared" ca="1" si="30"/>
        <v/>
      </c>
      <c r="AC11" s="113" t="str">
        <f t="shared" ca="1" si="31"/>
        <v/>
      </c>
      <c r="AD11" s="113" t="str">
        <f t="shared" ca="1" si="32"/>
        <v/>
      </c>
      <c r="AE11" s="112" t="str">
        <f t="shared" ca="1" si="33"/>
        <v/>
      </c>
      <c r="AF11" s="113" t="str">
        <f t="shared" ca="1" si="34"/>
        <v/>
      </c>
    </row>
    <row r="12" spans="1:32" ht="15" customHeight="1" thickBot="1" x14ac:dyDescent="0.25">
      <c r="B12" s="107" t="str">
        <f t="shared" ca="1" si="5"/>
        <v/>
      </c>
      <c r="C12" s="123" t="str">
        <f t="shared" ca="1" si="6"/>
        <v/>
      </c>
      <c r="D12" s="123" t="str">
        <f t="shared" ca="1" si="7"/>
        <v/>
      </c>
      <c r="E12" s="123" t="str">
        <f t="shared" ca="1" si="8"/>
        <v/>
      </c>
      <c r="F12" s="123" t="str">
        <f t="shared" ca="1" si="9"/>
        <v/>
      </c>
      <c r="G12" s="123" t="str">
        <f t="shared" ca="1" si="10"/>
        <v/>
      </c>
      <c r="H12" s="123" t="str">
        <f t="shared" ca="1" si="11"/>
        <v/>
      </c>
      <c r="I12" s="123" t="str">
        <f t="shared" ca="1" si="12"/>
        <v/>
      </c>
      <c r="J12" s="123" t="str">
        <f t="shared" ca="1" si="13"/>
        <v/>
      </c>
      <c r="K12" s="123" t="str">
        <f t="shared" ca="1" si="14"/>
        <v/>
      </c>
      <c r="L12" s="123" t="str">
        <f t="shared" ca="1" si="15"/>
        <v/>
      </c>
      <c r="M12" s="123" t="str">
        <f t="shared" ca="1" si="16"/>
        <v/>
      </c>
      <c r="N12" s="123" t="str">
        <f t="shared" ca="1" si="17"/>
        <v/>
      </c>
      <c r="O12" s="123" t="str">
        <f t="shared" ca="1" si="18"/>
        <v/>
      </c>
      <c r="P12" s="123" t="str">
        <f t="shared" ca="1" si="19"/>
        <v/>
      </c>
      <c r="Q12" s="123" t="str">
        <f t="shared" ca="1" si="20"/>
        <v/>
      </c>
      <c r="R12" s="123" t="str">
        <f t="shared" ca="1" si="21"/>
        <v/>
      </c>
      <c r="S12" s="123" t="str">
        <f t="shared" ca="1" si="22"/>
        <v/>
      </c>
      <c r="T12" s="123" t="str">
        <f t="shared" ca="1" si="23"/>
        <v/>
      </c>
      <c r="U12" s="123" t="str">
        <f t="shared" ca="1" si="24"/>
        <v/>
      </c>
      <c r="V12" s="123" t="str">
        <f t="shared" ca="1" si="25"/>
        <v/>
      </c>
      <c r="W12" s="123" t="str">
        <f t="shared" ca="1" si="26"/>
        <v/>
      </c>
      <c r="X12" s="123" t="str">
        <f t="shared" ca="1" si="27"/>
        <v/>
      </c>
      <c r="Y12" s="123" t="str">
        <f t="shared" ca="1" si="28"/>
        <v/>
      </c>
      <c r="Z12" s="124" t="str">
        <f t="shared" ca="1" si="29"/>
        <v/>
      </c>
      <c r="AA12" s="122" t="str">
        <f t="shared" si="4"/>
        <v/>
      </c>
      <c r="AB12" s="124" t="str">
        <f t="shared" ca="1" si="30"/>
        <v/>
      </c>
      <c r="AC12" s="124" t="str">
        <f t="shared" ca="1" si="31"/>
        <v/>
      </c>
      <c r="AD12" s="124" t="str">
        <f t="shared" ca="1" si="32"/>
        <v/>
      </c>
      <c r="AE12" s="123" t="str">
        <f t="shared" ca="1" si="33"/>
        <v/>
      </c>
      <c r="AF12" s="124" t="str">
        <f t="shared" ca="1" si="34"/>
        <v/>
      </c>
    </row>
    <row r="13" spans="1:32" ht="13.5" thickBot="1" x14ac:dyDescent="0.25">
      <c r="A13" s="108"/>
      <c r="B13" s="108" t="str">
        <f t="shared" ca="1" si="5"/>
        <v/>
      </c>
      <c r="C13" s="125" t="str">
        <f t="shared" ca="1" si="6"/>
        <v/>
      </c>
      <c r="D13" s="125" t="str">
        <f t="shared" ca="1" si="7"/>
        <v/>
      </c>
      <c r="E13" s="125" t="str">
        <f t="shared" ca="1" si="8"/>
        <v/>
      </c>
      <c r="F13" s="125" t="str">
        <f t="shared" ca="1" si="9"/>
        <v/>
      </c>
      <c r="G13" s="125" t="str">
        <f t="shared" ca="1" si="10"/>
        <v/>
      </c>
      <c r="H13" s="125" t="str">
        <f t="shared" ca="1" si="11"/>
        <v/>
      </c>
      <c r="I13" s="125" t="str">
        <f t="shared" ca="1" si="12"/>
        <v/>
      </c>
      <c r="J13" s="125" t="str">
        <f t="shared" ca="1" si="13"/>
        <v/>
      </c>
      <c r="K13" s="125" t="str">
        <f t="shared" ca="1" si="14"/>
        <v/>
      </c>
      <c r="L13" s="125" t="str">
        <f t="shared" ca="1" si="15"/>
        <v/>
      </c>
      <c r="M13" s="125" t="str">
        <f t="shared" ca="1" si="16"/>
        <v/>
      </c>
      <c r="N13" s="125" t="str">
        <f t="shared" ca="1" si="17"/>
        <v/>
      </c>
      <c r="O13" s="125" t="str">
        <f t="shared" ca="1" si="18"/>
        <v/>
      </c>
      <c r="P13" s="125" t="str">
        <f t="shared" ca="1" si="19"/>
        <v/>
      </c>
      <c r="Q13" s="125" t="str">
        <f t="shared" ca="1" si="20"/>
        <v/>
      </c>
      <c r="R13" s="125" t="str">
        <f t="shared" ca="1" si="21"/>
        <v/>
      </c>
      <c r="S13" s="125" t="str">
        <f t="shared" ca="1" si="22"/>
        <v/>
      </c>
      <c r="T13" s="125" t="str">
        <f t="shared" ca="1" si="23"/>
        <v/>
      </c>
      <c r="U13" s="125" t="str">
        <f t="shared" ca="1" si="24"/>
        <v/>
      </c>
      <c r="V13" s="125" t="str">
        <f t="shared" ca="1" si="25"/>
        <v/>
      </c>
      <c r="W13" s="125" t="str">
        <f t="shared" ca="1" si="26"/>
        <v/>
      </c>
      <c r="X13" s="125" t="str">
        <f t="shared" ca="1" si="27"/>
        <v/>
      </c>
      <c r="Y13" s="125" t="str">
        <f t="shared" ca="1" si="28"/>
        <v/>
      </c>
      <c r="Z13" s="126" t="str">
        <f t="shared" ca="1" si="29"/>
        <v/>
      </c>
      <c r="AA13" s="127" t="str">
        <f t="shared" si="4"/>
        <v/>
      </c>
      <c r="AB13" s="126" t="str">
        <f t="shared" ca="1" si="30"/>
        <v/>
      </c>
      <c r="AC13" s="126" t="str">
        <f t="shared" ca="1" si="31"/>
        <v/>
      </c>
      <c r="AD13" s="126" t="str">
        <f t="shared" ca="1" si="32"/>
        <v/>
      </c>
      <c r="AE13" s="125" t="str">
        <f t="shared" ca="1" si="33"/>
        <v/>
      </c>
      <c r="AF13" s="126" t="str">
        <f t="shared" ca="1" si="34"/>
        <v/>
      </c>
    </row>
    <row r="14" spans="1:32" ht="15" customHeight="1" x14ac:dyDescent="0.2">
      <c r="A14" s="109"/>
      <c r="B14" s="109"/>
      <c r="C14" s="128"/>
      <c r="D14" s="128"/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28"/>
      <c r="Q14" s="128"/>
      <c r="R14" s="128"/>
      <c r="S14" s="128"/>
      <c r="T14" s="128"/>
      <c r="U14" s="128"/>
      <c r="V14" s="128"/>
      <c r="W14" s="128"/>
      <c r="X14" s="128"/>
      <c r="Y14" s="128"/>
      <c r="Z14" s="129"/>
      <c r="AA14" s="130"/>
      <c r="AB14" s="131"/>
      <c r="AC14" s="131"/>
      <c r="AD14" s="131"/>
      <c r="AE14" s="128"/>
      <c r="AF14" s="131"/>
    </row>
    <row r="15" spans="1:32" x14ac:dyDescent="0.2">
      <c r="A15" s="109"/>
      <c r="B15" s="109" t="str">
        <f t="shared" ref="B15:B16" ca="1" si="35">IF(A15&lt;&gt;"",INDIRECT("'"&amp;$A15&amp;"'!E5"),"")</f>
        <v/>
      </c>
      <c r="C15" s="128" t="str">
        <f t="shared" ref="C15:C16" ca="1" si="36">IF($A15&lt;&gt;"",INDIRECT("'"&amp;$A15&amp;"'!L13"),"")</f>
        <v/>
      </c>
      <c r="D15" s="128" t="str">
        <f t="shared" ref="D15:D16" ca="1" si="37">IF($A15&lt;&gt;"",INDIRECT("'"&amp;$A15&amp;"'!L14"),"")</f>
        <v/>
      </c>
      <c r="E15" s="128" t="str">
        <f t="shared" ref="E15:E16" ca="1" si="38">IF($A15&lt;&gt;"",INDIRECT("'"&amp;$A15&amp;"'!L15"),"")</f>
        <v/>
      </c>
      <c r="F15" s="128" t="str">
        <f t="shared" ref="F15:F16" ca="1" si="39">IF($A15&lt;&gt;"",INDIRECT("'"&amp;$A15&amp;"'!L16"),"")</f>
        <v/>
      </c>
      <c r="G15" s="128" t="str">
        <f t="shared" ref="G15:G16" ca="1" si="40">IF($A15&lt;&gt;"",INDIRECT("'"&amp;$A15&amp;"'!L17"),"")</f>
        <v/>
      </c>
      <c r="H15" s="128" t="str">
        <f t="shared" ref="H15:H16" ca="1" si="41">IF($A15&lt;&gt;"",INDIRECT("'"&amp;$A15&amp;"'!L18"),"")</f>
        <v/>
      </c>
      <c r="I15" s="128" t="str">
        <f t="shared" ref="I15:I16" ca="1" si="42">IF($A15&lt;&gt;"",INDIRECT("'"&amp;$A15&amp;"'!L19"),"")</f>
        <v/>
      </c>
      <c r="J15" s="128" t="str">
        <f t="shared" ref="J15:J16" ca="1" si="43">IF($A15&lt;&gt;"",INDIRECT("'"&amp;$A15&amp;"'!L20"),"")</f>
        <v/>
      </c>
      <c r="K15" s="128" t="str">
        <f t="shared" ref="K15:K16" ca="1" si="44">IF($A15&lt;&gt;"",INDIRECT("'"&amp;$A15&amp;"'!L21"),"")</f>
        <v/>
      </c>
      <c r="L15" s="128" t="str">
        <f t="shared" ref="L15:L16" ca="1" si="45">IF($A15&lt;&gt;"",INDIRECT("'"&amp;$A15&amp;"'!L22"),"")</f>
        <v/>
      </c>
      <c r="M15" s="128" t="str">
        <f t="shared" ref="M15:M16" ca="1" si="46">IF($A15&lt;&gt;"",INDIRECT("'"&amp;$A15&amp;"'!L23"),"")</f>
        <v/>
      </c>
      <c r="N15" s="128" t="str">
        <f t="shared" ref="N15:N16" ca="1" si="47">IF($A15&lt;&gt;"",INDIRECT("'"&amp;$A15&amp;"'!L24"),"")</f>
        <v/>
      </c>
      <c r="O15" s="128" t="str">
        <f t="shared" ref="O15:O16" ca="1" si="48">IF($A15&lt;&gt;"",INDIRECT("'"&amp;$A15&amp;"'!L25"),"")</f>
        <v/>
      </c>
      <c r="P15" s="128" t="str">
        <f t="shared" ref="P15:P16" ca="1" si="49">IF($A15&lt;&gt;"",INDIRECT("'"&amp;$A15&amp;"'!L26"),"")</f>
        <v/>
      </c>
      <c r="Q15" s="128" t="str">
        <f t="shared" ref="Q15:Q16" ca="1" si="50">IF($A15&lt;&gt;"",INDIRECT("'"&amp;$A15&amp;"'!L27"),"")</f>
        <v/>
      </c>
      <c r="R15" s="128" t="str">
        <f t="shared" ref="R15:R16" ca="1" si="51">IF($A15&lt;&gt;"",INDIRECT("'"&amp;$A15&amp;"'!L28"),"")</f>
        <v/>
      </c>
      <c r="S15" s="128" t="str">
        <f t="shared" ref="S15:S16" ca="1" si="52">IF($A15&lt;&gt;"",INDIRECT("'"&amp;$A15&amp;"'!L29"),"")</f>
        <v/>
      </c>
      <c r="T15" s="128" t="str">
        <f t="shared" ref="T15:T16" ca="1" si="53">IF($A15&lt;&gt;"",INDIRECT("'"&amp;$A15&amp;"'!L30"),"")</f>
        <v/>
      </c>
      <c r="U15" s="128" t="str">
        <f t="shared" ref="U15:U16" ca="1" si="54">IF($A15&lt;&gt;"",INDIRECT("'"&amp;$A15&amp;"'!L31"),"")</f>
        <v/>
      </c>
      <c r="V15" s="128" t="str">
        <f t="shared" ref="V15:V16" ca="1" si="55">IF($A15&lt;&gt;"",INDIRECT("'"&amp;$A15&amp;"'!L32"),"")</f>
        <v/>
      </c>
      <c r="W15" s="128" t="str">
        <f t="shared" ref="W15:W16" ca="1" si="56">IF($A15&lt;&gt;"",INDIRECT("'"&amp;$A15&amp;"'!L33"),"")</f>
        <v/>
      </c>
      <c r="X15" s="128" t="str">
        <f t="shared" ref="X15:X16" ca="1" si="57">IF($A15&lt;&gt;"",INDIRECT("'"&amp;$A15&amp;"'!L34"),"")</f>
        <v/>
      </c>
      <c r="Y15" s="128" t="str">
        <f t="shared" ref="Y15:Y16" ca="1" si="58">IF($A15&lt;&gt;"",INDIRECT("'"&amp;$A15&amp;"'!L35"),"")</f>
        <v/>
      </c>
      <c r="Z15" s="131" t="str">
        <f t="shared" ref="Z15:Z16" ca="1" si="59">IF($A15&lt;&gt;"",INDIRECT("'"&amp;$A15&amp;"'!L36"),"")</f>
        <v/>
      </c>
      <c r="AA15" s="132" t="str">
        <f t="shared" ref="AA15:AA16" si="60">IF($A15&lt;&gt;"",SUM(C29:Y29)/COUNT(C15:Y15),"")</f>
        <v/>
      </c>
      <c r="AB15" s="131" t="str">
        <f t="shared" ref="AB15:AB16" ca="1" si="61">IF($A15&lt;&gt;"",INDIRECT("'"&amp;$A15&amp;"'!F36"),"")</f>
        <v/>
      </c>
      <c r="AC15" s="131" t="str">
        <f t="shared" ref="AC15:AC16" ca="1" si="62">IF($A15&lt;&gt;"",INDIRECT("'"&amp;$A15&amp;"'!H36"),"")</f>
        <v/>
      </c>
      <c r="AD15" s="131" t="str">
        <f t="shared" ref="AD15:AD16" ca="1" si="63">IF($A15&lt;&gt;"",INDIRECT("'"&amp;$A15&amp;"'!I36"),"")</f>
        <v/>
      </c>
      <c r="AE15" s="128" t="str">
        <f t="shared" ref="AE15:AE16" ca="1" si="64">IF($A15&lt;&gt;"",INDIRECT("'"&amp;$A15&amp;"'!J36"),"")</f>
        <v/>
      </c>
      <c r="AF15" s="131" t="str">
        <f t="shared" ref="AF15:AF16" ca="1" si="65">IF($A15&lt;&gt;"",INDIRECT("'"&amp;$A15&amp;"'!K36"),"")</f>
        <v/>
      </c>
    </row>
    <row r="16" spans="1:32" x14ac:dyDescent="0.2">
      <c r="A16" s="109"/>
      <c r="B16" s="109" t="str">
        <f t="shared" ca="1" si="35"/>
        <v/>
      </c>
      <c r="C16" s="128" t="str">
        <f t="shared" ca="1" si="36"/>
        <v/>
      </c>
      <c r="D16" s="128" t="str">
        <f t="shared" ca="1" si="37"/>
        <v/>
      </c>
      <c r="E16" s="128" t="str">
        <f t="shared" ca="1" si="38"/>
        <v/>
      </c>
      <c r="F16" s="128" t="str">
        <f t="shared" ca="1" si="39"/>
        <v/>
      </c>
      <c r="G16" s="128" t="str">
        <f t="shared" ca="1" si="40"/>
        <v/>
      </c>
      <c r="H16" s="128" t="str">
        <f t="shared" ca="1" si="41"/>
        <v/>
      </c>
      <c r="I16" s="128" t="str">
        <f t="shared" ca="1" si="42"/>
        <v/>
      </c>
      <c r="J16" s="128" t="str">
        <f t="shared" ca="1" si="43"/>
        <v/>
      </c>
      <c r="K16" s="128" t="str">
        <f t="shared" ca="1" si="44"/>
        <v/>
      </c>
      <c r="L16" s="128" t="str">
        <f t="shared" ca="1" si="45"/>
        <v/>
      </c>
      <c r="M16" s="128" t="str">
        <f t="shared" ca="1" si="46"/>
        <v/>
      </c>
      <c r="N16" s="128" t="str">
        <f t="shared" ca="1" si="47"/>
        <v/>
      </c>
      <c r="O16" s="128" t="str">
        <f t="shared" ca="1" si="48"/>
        <v/>
      </c>
      <c r="P16" s="128" t="str">
        <f t="shared" ca="1" si="49"/>
        <v/>
      </c>
      <c r="Q16" s="128" t="str">
        <f t="shared" ca="1" si="50"/>
        <v/>
      </c>
      <c r="R16" s="128" t="str">
        <f t="shared" ca="1" si="51"/>
        <v/>
      </c>
      <c r="S16" s="128" t="str">
        <f t="shared" ca="1" si="52"/>
        <v/>
      </c>
      <c r="T16" s="128" t="str">
        <f t="shared" ca="1" si="53"/>
        <v/>
      </c>
      <c r="U16" s="128" t="str">
        <f t="shared" ca="1" si="54"/>
        <v/>
      </c>
      <c r="V16" s="128" t="str">
        <f t="shared" ca="1" si="55"/>
        <v/>
      </c>
      <c r="W16" s="128" t="str">
        <f t="shared" ca="1" si="56"/>
        <v/>
      </c>
      <c r="X16" s="128" t="str">
        <f t="shared" ca="1" si="57"/>
        <v/>
      </c>
      <c r="Y16" s="128" t="str">
        <f t="shared" ca="1" si="58"/>
        <v/>
      </c>
      <c r="Z16" s="131" t="str">
        <f t="shared" ca="1" si="59"/>
        <v/>
      </c>
      <c r="AA16" s="132" t="str">
        <f t="shared" si="60"/>
        <v/>
      </c>
      <c r="AB16" s="131" t="str">
        <f t="shared" ca="1" si="61"/>
        <v/>
      </c>
      <c r="AC16" s="131" t="str">
        <f t="shared" ca="1" si="62"/>
        <v/>
      </c>
      <c r="AD16" s="131" t="str">
        <f t="shared" ca="1" si="63"/>
        <v/>
      </c>
      <c r="AE16" s="128" t="str">
        <f t="shared" ca="1" si="64"/>
        <v/>
      </c>
      <c r="AF16" s="131" t="str">
        <f t="shared" ca="1" si="65"/>
        <v/>
      </c>
    </row>
    <row r="17" spans="1:32" x14ac:dyDescent="0.2">
      <c r="AF17" s="100"/>
    </row>
    <row r="18" spans="1:32" x14ac:dyDescent="0.2">
      <c r="AF18" s="99"/>
    </row>
    <row r="21" spans="1:32" hidden="1" x14ac:dyDescent="0.2">
      <c r="A21" s="27" t="s">
        <v>192</v>
      </c>
    </row>
    <row r="22" spans="1:32" hidden="1" x14ac:dyDescent="0.2">
      <c r="A22" s="27">
        <f>A8</f>
        <v>0</v>
      </c>
      <c r="B22" s="27" t="str">
        <f ca="1">B8</f>
        <v/>
      </c>
      <c r="C22" s="27" t="str">
        <f t="shared" ref="C22:Y30" si="66">IF($A8&lt;&gt;"",IF(ABS(C$3/3-C8)&lt;=0.75,1,0),"")</f>
        <v/>
      </c>
      <c r="D22" s="27" t="str">
        <f t="shared" si="66"/>
        <v/>
      </c>
      <c r="E22" s="27" t="str">
        <f t="shared" si="66"/>
        <v/>
      </c>
      <c r="F22" s="27" t="str">
        <f t="shared" si="66"/>
        <v/>
      </c>
      <c r="G22" s="27" t="str">
        <f t="shared" si="66"/>
        <v/>
      </c>
      <c r="H22" s="27" t="str">
        <f t="shared" si="66"/>
        <v/>
      </c>
      <c r="I22" s="27" t="str">
        <f t="shared" si="66"/>
        <v/>
      </c>
      <c r="J22" s="27" t="str">
        <f t="shared" si="66"/>
        <v/>
      </c>
      <c r="K22" s="27" t="str">
        <f t="shared" si="66"/>
        <v/>
      </c>
      <c r="L22" s="27" t="str">
        <f t="shared" si="66"/>
        <v/>
      </c>
      <c r="M22" s="27" t="str">
        <f t="shared" si="66"/>
        <v/>
      </c>
      <c r="N22" s="27" t="str">
        <f t="shared" si="66"/>
        <v/>
      </c>
      <c r="O22" s="27" t="str">
        <f t="shared" si="66"/>
        <v/>
      </c>
      <c r="P22" s="27" t="str">
        <f t="shared" si="66"/>
        <v/>
      </c>
      <c r="Q22" s="27" t="str">
        <f t="shared" si="66"/>
        <v/>
      </c>
      <c r="R22" s="27" t="str">
        <f t="shared" si="66"/>
        <v/>
      </c>
      <c r="S22" s="27" t="str">
        <f t="shared" si="66"/>
        <v/>
      </c>
      <c r="T22" s="27" t="str">
        <f t="shared" si="66"/>
        <v/>
      </c>
      <c r="U22" s="27" t="str">
        <f t="shared" si="66"/>
        <v/>
      </c>
      <c r="V22" s="27" t="str">
        <f t="shared" si="66"/>
        <v/>
      </c>
      <c r="W22" s="27" t="str">
        <f t="shared" si="66"/>
        <v/>
      </c>
      <c r="X22" s="27" t="str">
        <f t="shared" si="66"/>
        <v/>
      </c>
      <c r="Y22" s="27" t="str">
        <f t="shared" si="66"/>
        <v/>
      </c>
    </row>
    <row r="23" spans="1:32" hidden="1" x14ac:dyDescent="0.2">
      <c r="A23" s="27">
        <f>A9</f>
        <v>0</v>
      </c>
      <c r="B23" s="27" t="str">
        <f ca="1">B9</f>
        <v/>
      </c>
      <c r="C23" s="27" t="str">
        <f t="shared" si="66"/>
        <v/>
      </c>
      <c r="D23" s="27" t="str">
        <f t="shared" si="66"/>
        <v/>
      </c>
      <c r="E23" s="27" t="str">
        <f t="shared" si="66"/>
        <v/>
      </c>
      <c r="F23" s="27" t="str">
        <f t="shared" si="66"/>
        <v/>
      </c>
      <c r="G23" s="27" t="str">
        <f t="shared" si="66"/>
        <v/>
      </c>
      <c r="H23" s="27" t="str">
        <f t="shared" si="66"/>
        <v/>
      </c>
      <c r="I23" s="27" t="str">
        <f t="shared" si="66"/>
        <v/>
      </c>
      <c r="J23" s="27" t="str">
        <f t="shared" si="66"/>
        <v/>
      </c>
      <c r="K23" s="27" t="str">
        <f t="shared" si="66"/>
        <v/>
      </c>
      <c r="L23" s="27" t="str">
        <f t="shared" si="66"/>
        <v/>
      </c>
      <c r="M23" s="27" t="str">
        <f t="shared" si="66"/>
        <v/>
      </c>
      <c r="N23" s="27" t="str">
        <f t="shared" si="66"/>
        <v/>
      </c>
      <c r="O23" s="27" t="str">
        <f t="shared" si="66"/>
        <v/>
      </c>
      <c r="P23" s="27" t="str">
        <f t="shared" si="66"/>
        <v/>
      </c>
      <c r="Q23" s="27" t="str">
        <f t="shared" si="66"/>
        <v/>
      </c>
      <c r="R23" s="27" t="str">
        <f t="shared" si="66"/>
        <v/>
      </c>
      <c r="S23" s="27" t="str">
        <f t="shared" si="66"/>
        <v/>
      </c>
      <c r="T23" s="27" t="str">
        <f t="shared" si="66"/>
        <v/>
      </c>
      <c r="U23" s="27" t="str">
        <f t="shared" si="66"/>
        <v/>
      </c>
      <c r="V23" s="27" t="str">
        <f t="shared" si="66"/>
        <v/>
      </c>
      <c r="W23" s="27" t="str">
        <f t="shared" si="66"/>
        <v/>
      </c>
      <c r="X23" s="27" t="str">
        <f t="shared" si="66"/>
        <v/>
      </c>
      <c r="Y23" s="27" t="str">
        <f t="shared" si="66"/>
        <v/>
      </c>
    </row>
    <row r="24" spans="1:32" hidden="1" x14ac:dyDescent="0.2">
      <c r="A24" s="27">
        <f>A10</f>
        <v>0</v>
      </c>
      <c r="B24" s="27" t="str">
        <f t="shared" ref="B24:B30" ca="1" si="67">B10</f>
        <v/>
      </c>
      <c r="C24" s="27" t="str">
        <f t="shared" si="66"/>
        <v/>
      </c>
      <c r="D24" s="27" t="str">
        <f t="shared" si="66"/>
        <v/>
      </c>
      <c r="E24" s="27" t="str">
        <f t="shared" si="66"/>
        <v/>
      </c>
      <c r="F24" s="27" t="str">
        <f t="shared" si="66"/>
        <v/>
      </c>
      <c r="G24" s="27" t="str">
        <f t="shared" si="66"/>
        <v/>
      </c>
      <c r="H24" s="27" t="str">
        <f t="shared" si="66"/>
        <v/>
      </c>
      <c r="I24" s="27" t="str">
        <f t="shared" si="66"/>
        <v/>
      </c>
      <c r="J24" s="27" t="str">
        <f t="shared" si="66"/>
        <v/>
      </c>
      <c r="K24" s="27" t="str">
        <f t="shared" si="66"/>
        <v/>
      </c>
      <c r="L24" s="27" t="str">
        <f t="shared" si="66"/>
        <v/>
      </c>
      <c r="M24" s="27" t="str">
        <f t="shared" si="66"/>
        <v/>
      </c>
      <c r="N24" s="27" t="str">
        <f t="shared" si="66"/>
        <v/>
      </c>
      <c r="O24" s="27" t="str">
        <f t="shared" si="66"/>
        <v/>
      </c>
      <c r="P24" s="27" t="str">
        <f t="shared" si="66"/>
        <v/>
      </c>
      <c r="Q24" s="27" t="str">
        <f t="shared" si="66"/>
        <v/>
      </c>
      <c r="R24" s="27" t="str">
        <f t="shared" si="66"/>
        <v/>
      </c>
      <c r="S24" s="27" t="str">
        <f t="shared" si="66"/>
        <v/>
      </c>
      <c r="T24" s="27" t="str">
        <f t="shared" si="66"/>
        <v/>
      </c>
      <c r="U24" s="27" t="str">
        <f t="shared" si="66"/>
        <v/>
      </c>
      <c r="V24" s="27" t="str">
        <f t="shared" si="66"/>
        <v/>
      </c>
      <c r="W24" s="27" t="str">
        <f t="shared" si="66"/>
        <v/>
      </c>
      <c r="X24" s="27" t="str">
        <f t="shared" si="66"/>
        <v/>
      </c>
      <c r="Y24" s="27" t="str">
        <f t="shared" si="66"/>
        <v/>
      </c>
    </row>
    <row r="25" spans="1:32" hidden="1" x14ac:dyDescent="0.2">
      <c r="A25" s="27">
        <f>A11</f>
        <v>0</v>
      </c>
      <c r="B25" s="27" t="str">
        <f t="shared" ca="1" si="67"/>
        <v/>
      </c>
      <c r="C25" s="27" t="str">
        <f t="shared" si="66"/>
        <v/>
      </c>
      <c r="D25" s="27" t="str">
        <f t="shared" si="66"/>
        <v/>
      </c>
      <c r="E25" s="27" t="str">
        <f t="shared" si="66"/>
        <v/>
      </c>
      <c r="F25" s="27" t="str">
        <f t="shared" si="66"/>
        <v/>
      </c>
      <c r="G25" s="27" t="str">
        <f t="shared" si="66"/>
        <v/>
      </c>
      <c r="H25" s="27" t="str">
        <f t="shared" si="66"/>
        <v/>
      </c>
      <c r="I25" s="27" t="str">
        <f t="shared" si="66"/>
        <v/>
      </c>
      <c r="J25" s="27" t="str">
        <f t="shared" si="66"/>
        <v/>
      </c>
      <c r="K25" s="27" t="str">
        <f t="shared" si="66"/>
        <v/>
      </c>
      <c r="L25" s="27" t="str">
        <f t="shared" si="66"/>
        <v/>
      </c>
      <c r="M25" s="27" t="str">
        <f t="shared" si="66"/>
        <v/>
      </c>
      <c r="N25" s="27" t="str">
        <f t="shared" si="66"/>
        <v/>
      </c>
      <c r="O25" s="27" t="str">
        <f t="shared" si="66"/>
        <v/>
      </c>
      <c r="P25" s="27" t="str">
        <f t="shared" si="66"/>
        <v/>
      </c>
      <c r="Q25" s="27" t="str">
        <f t="shared" si="66"/>
        <v/>
      </c>
      <c r="R25" s="27" t="str">
        <f t="shared" si="66"/>
        <v/>
      </c>
      <c r="S25" s="27" t="str">
        <f t="shared" si="66"/>
        <v/>
      </c>
      <c r="T25" s="27" t="str">
        <f t="shared" si="66"/>
        <v/>
      </c>
      <c r="U25" s="27" t="str">
        <f t="shared" si="66"/>
        <v/>
      </c>
      <c r="V25" s="27" t="str">
        <f t="shared" si="66"/>
        <v/>
      </c>
      <c r="W25" s="27" t="str">
        <f t="shared" si="66"/>
        <v/>
      </c>
      <c r="X25" s="27" t="str">
        <f t="shared" si="66"/>
        <v/>
      </c>
      <c r="Y25" s="27" t="str">
        <f t="shared" si="66"/>
        <v/>
      </c>
    </row>
    <row r="26" spans="1:32" hidden="1" x14ac:dyDescent="0.2">
      <c r="A26" s="27">
        <f>A12</f>
        <v>0</v>
      </c>
      <c r="B26" s="27" t="str">
        <f t="shared" ca="1" si="67"/>
        <v/>
      </c>
      <c r="C26" s="27" t="str">
        <f t="shared" si="66"/>
        <v/>
      </c>
      <c r="D26" s="27" t="str">
        <f t="shared" si="66"/>
        <v/>
      </c>
      <c r="E26" s="27" t="str">
        <f t="shared" si="66"/>
        <v/>
      </c>
      <c r="F26" s="27" t="str">
        <f t="shared" si="66"/>
        <v/>
      </c>
      <c r="G26" s="27" t="str">
        <f t="shared" si="66"/>
        <v/>
      </c>
      <c r="H26" s="27" t="str">
        <f t="shared" si="66"/>
        <v/>
      </c>
      <c r="I26" s="27" t="str">
        <f t="shared" si="66"/>
        <v/>
      </c>
      <c r="J26" s="27" t="str">
        <f t="shared" si="66"/>
        <v/>
      </c>
      <c r="K26" s="27" t="str">
        <f t="shared" si="66"/>
        <v/>
      </c>
      <c r="L26" s="27" t="str">
        <f t="shared" si="66"/>
        <v/>
      </c>
      <c r="M26" s="27" t="str">
        <f t="shared" si="66"/>
        <v/>
      </c>
      <c r="N26" s="27" t="str">
        <f t="shared" si="66"/>
        <v/>
      </c>
      <c r="O26" s="27" t="str">
        <f t="shared" si="66"/>
        <v/>
      </c>
      <c r="P26" s="27" t="str">
        <f t="shared" si="66"/>
        <v/>
      </c>
      <c r="Q26" s="27" t="str">
        <f t="shared" si="66"/>
        <v/>
      </c>
      <c r="R26" s="27" t="str">
        <f t="shared" si="66"/>
        <v/>
      </c>
      <c r="S26" s="27" t="str">
        <f t="shared" si="66"/>
        <v/>
      </c>
      <c r="T26" s="27" t="str">
        <f t="shared" si="66"/>
        <v/>
      </c>
      <c r="U26" s="27" t="str">
        <f t="shared" si="66"/>
        <v/>
      </c>
      <c r="V26" s="27" t="str">
        <f t="shared" si="66"/>
        <v/>
      </c>
      <c r="W26" s="27" t="str">
        <f t="shared" si="66"/>
        <v/>
      </c>
      <c r="X26" s="27" t="str">
        <f t="shared" si="66"/>
        <v/>
      </c>
      <c r="Y26" s="27" t="str">
        <f t="shared" si="66"/>
        <v/>
      </c>
    </row>
    <row r="27" spans="1:32" hidden="1" x14ac:dyDescent="0.2">
      <c r="A27" s="27">
        <f>A13</f>
        <v>0</v>
      </c>
      <c r="B27" s="27" t="str">
        <f t="shared" ca="1" si="67"/>
        <v/>
      </c>
      <c r="C27" s="27" t="str">
        <f t="shared" si="66"/>
        <v/>
      </c>
      <c r="D27" s="27" t="str">
        <f t="shared" si="66"/>
        <v/>
      </c>
      <c r="E27" s="27" t="str">
        <f t="shared" si="66"/>
        <v/>
      </c>
      <c r="F27" s="27" t="str">
        <f t="shared" si="66"/>
        <v/>
      </c>
      <c r="G27" s="27" t="str">
        <f t="shared" si="66"/>
        <v/>
      </c>
      <c r="H27" s="27" t="str">
        <f t="shared" si="66"/>
        <v/>
      </c>
      <c r="I27" s="27" t="str">
        <f t="shared" si="66"/>
        <v/>
      </c>
      <c r="J27" s="27" t="str">
        <f t="shared" si="66"/>
        <v/>
      </c>
      <c r="K27" s="27" t="str">
        <f t="shared" si="66"/>
        <v/>
      </c>
      <c r="L27" s="27" t="str">
        <f t="shared" si="66"/>
        <v/>
      </c>
      <c r="M27" s="27" t="str">
        <f t="shared" si="66"/>
        <v/>
      </c>
      <c r="N27" s="27" t="str">
        <f t="shared" si="66"/>
        <v/>
      </c>
      <c r="O27" s="27" t="str">
        <f t="shared" si="66"/>
        <v/>
      </c>
      <c r="P27" s="27" t="str">
        <f t="shared" si="66"/>
        <v/>
      </c>
      <c r="Q27" s="27" t="str">
        <f t="shared" si="66"/>
        <v/>
      </c>
      <c r="R27" s="27" t="str">
        <f t="shared" si="66"/>
        <v/>
      </c>
      <c r="S27" s="27" t="str">
        <f t="shared" si="66"/>
        <v/>
      </c>
      <c r="T27" s="27" t="str">
        <f t="shared" si="66"/>
        <v/>
      </c>
      <c r="U27" s="27" t="str">
        <f t="shared" si="66"/>
        <v/>
      </c>
      <c r="V27" s="27" t="str">
        <f t="shared" si="66"/>
        <v/>
      </c>
      <c r="W27" s="27" t="str">
        <f t="shared" si="66"/>
        <v/>
      </c>
      <c r="X27" s="27" t="str">
        <f t="shared" si="66"/>
        <v/>
      </c>
      <c r="Y27" s="27" t="str">
        <f t="shared" si="66"/>
        <v/>
      </c>
    </row>
    <row r="28" spans="1:32" hidden="1" x14ac:dyDescent="0.2"/>
    <row r="29" spans="1:32" hidden="1" x14ac:dyDescent="0.2">
      <c r="A29" s="27">
        <f>A15</f>
        <v>0</v>
      </c>
      <c r="B29" s="27" t="str">
        <f t="shared" ca="1" si="67"/>
        <v/>
      </c>
      <c r="C29" s="27" t="str">
        <f t="shared" si="66"/>
        <v/>
      </c>
      <c r="D29" s="27" t="str">
        <f t="shared" si="66"/>
        <v/>
      </c>
      <c r="E29" s="27" t="str">
        <f t="shared" si="66"/>
        <v/>
      </c>
      <c r="F29" s="27" t="str">
        <f t="shared" si="66"/>
        <v/>
      </c>
      <c r="G29" s="27" t="str">
        <f t="shared" si="66"/>
        <v/>
      </c>
      <c r="H29" s="27" t="str">
        <f t="shared" si="66"/>
        <v/>
      </c>
      <c r="I29" s="27" t="str">
        <f t="shared" si="66"/>
        <v/>
      </c>
      <c r="J29" s="27" t="str">
        <f t="shared" si="66"/>
        <v/>
      </c>
      <c r="K29" s="27" t="str">
        <f t="shared" si="66"/>
        <v/>
      </c>
      <c r="L29" s="27" t="str">
        <f t="shared" si="66"/>
        <v/>
      </c>
      <c r="M29" s="27" t="str">
        <f t="shared" si="66"/>
        <v/>
      </c>
      <c r="N29" s="27" t="str">
        <f t="shared" si="66"/>
        <v/>
      </c>
      <c r="O29" s="27" t="str">
        <f t="shared" si="66"/>
        <v/>
      </c>
      <c r="P29" s="27" t="str">
        <f t="shared" si="66"/>
        <v/>
      </c>
      <c r="Q29" s="27" t="str">
        <f t="shared" si="66"/>
        <v/>
      </c>
      <c r="R29" s="27" t="str">
        <f t="shared" si="66"/>
        <v/>
      </c>
      <c r="S29" s="27" t="str">
        <f t="shared" si="66"/>
        <v/>
      </c>
      <c r="T29" s="27" t="str">
        <f t="shared" si="66"/>
        <v/>
      </c>
      <c r="U29" s="27" t="str">
        <f t="shared" si="66"/>
        <v/>
      </c>
      <c r="V29" s="27" t="str">
        <f t="shared" si="66"/>
        <v/>
      </c>
      <c r="W29" s="27" t="str">
        <f t="shared" si="66"/>
        <v/>
      </c>
      <c r="X29" s="27" t="str">
        <f t="shared" si="66"/>
        <v/>
      </c>
      <c r="Y29" s="27" t="str">
        <f t="shared" si="66"/>
        <v/>
      </c>
    </row>
    <row r="30" spans="1:32" hidden="1" x14ac:dyDescent="0.2">
      <c r="A30" s="27">
        <f>A16</f>
        <v>0</v>
      </c>
      <c r="B30" s="27" t="str">
        <f t="shared" ca="1" si="67"/>
        <v/>
      </c>
      <c r="C30" s="27" t="str">
        <f t="shared" si="66"/>
        <v/>
      </c>
      <c r="D30" s="27" t="str">
        <f t="shared" si="66"/>
        <v/>
      </c>
      <c r="E30" s="27" t="str">
        <f t="shared" si="66"/>
        <v/>
      </c>
      <c r="F30" s="27" t="str">
        <f t="shared" si="66"/>
        <v/>
      </c>
      <c r="G30" s="27" t="str">
        <f t="shared" si="66"/>
        <v/>
      </c>
      <c r="H30" s="27" t="str">
        <f t="shared" si="66"/>
        <v/>
      </c>
      <c r="I30" s="27" t="str">
        <f t="shared" si="66"/>
        <v/>
      </c>
      <c r="J30" s="27" t="str">
        <f t="shared" si="66"/>
        <v/>
      </c>
      <c r="K30" s="27" t="str">
        <f t="shared" si="66"/>
        <v/>
      </c>
      <c r="L30" s="27" t="str">
        <f t="shared" si="66"/>
        <v/>
      </c>
      <c r="M30" s="27" t="str">
        <f t="shared" si="66"/>
        <v/>
      </c>
      <c r="N30" s="27" t="str">
        <f t="shared" si="66"/>
        <v/>
      </c>
      <c r="O30" s="27" t="str">
        <f t="shared" si="66"/>
        <v/>
      </c>
      <c r="P30" s="27" t="str">
        <f t="shared" si="66"/>
        <v/>
      </c>
      <c r="Q30" s="27" t="str">
        <f t="shared" si="66"/>
        <v/>
      </c>
      <c r="R30" s="27" t="str">
        <f t="shared" si="66"/>
        <v/>
      </c>
      <c r="S30" s="27" t="str">
        <f t="shared" si="66"/>
        <v/>
      </c>
      <c r="T30" s="27" t="str">
        <f t="shared" si="66"/>
        <v/>
      </c>
      <c r="U30" s="27" t="str">
        <f t="shared" si="66"/>
        <v/>
      </c>
      <c r="V30" s="27" t="str">
        <f t="shared" si="66"/>
        <v/>
      </c>
      <c r="W30" s="27" t="str">
        <f t="shared" si="66"/>
        <v/>
      </c>
      <c r="X30" s="27" t="str">
        <f t="shared" si="66"/>
        <v/>
      </c>
      <c r="Y30" s="27" t="str">
        <f t="shared" si="66"/>
        <v/>
      </c>
    </row>
  </sheetData>
  <sheetProtection selectLockedCells="1" selectUnlockedCells="1"/>
  <mergeCells count="4">
    <mergeCell ref="A6:B6"/>
    <mergeCell ref="A3:B3"/>
    <mergeCell ref="A4:B4"/>
    <mergeCell ref="A5:B5"/>
  </mergeCells>
  <conditionalFormatting sqref="C4:R4 Y4">
    <cfRule type="expression" dxfId="41" priority="11">
      <formula>C4&gt;3</formula>
    </cfRule>
    <cfRule type="expression" dxfId="40" priority="12">
      <formula>AND(C4&gt;2,C4&lt;=3)</formula>
    </cfRule>
    <cfRule type="expression" dxfId="39" priority="13">
      <formula>AND(C4&gt;1,C4&lt;=2)</formula>
    </cfRule>
    <cfRule type="expression" dxfId="38" priority="14">
      <formula>C4&lt;=1</formula>
    </cfRule>
  </conditionalFormatting>
  <conditionalFormatting sqref="C8:Y10 C12:Y13">
    <cfRule type="expression" dxfId="37" priority="9">
      <formula>C$3/3-C8&lt;-0.75</formula>
    </cfRule>
    <cfRule type="expression" dxfId="36" priority="10">
      <formula>C$3/3-C8&gt;0.75</formula>
    </cfRule>
  </conditionalFormatting>
  <conditionalFormatting sqref="C11:D11">
    <cfRule type="expression" dxfId="35" priority="7">
      <formula>C$3/3-C11&lt;-0.75</formula>
    </cfRule>
    <cfRule type="expression" dxfId="34" priority="8">
      <formula>C$3/3-C11&gt;0.75</formula>
    </cfRule>
  </conditionalFormatting>
  <conditionalFormatting sqref="E11:Y11">
    <cfRule type="expression" dxfId="33" priority="5">
      <formula>E$3/3-E11&lt;-0.75</formula>
    </cfRule>
    <cfRule type="expression" dxfId="32" priority="6">
      <formula>E$3/3-E11&gt;0.75</formula>
    </cfRule>
  </conditionalFormatting>
  <conditionalFormatting sqref="S4:X4">
    <cfRule type="expression" dxfId="31" priority="1">
      <formula>S4&gt;3</formula>
    </cfRule>
    <cfRule type="expression" dxfId="30" priority="2">
      <formula>AND(S4&gt;2,S4&lt;=3)</formula>
    </cfRule>
    <cfRule type="expression" dxfId="29" priority="3">
      <formula>AND(S4&gt;1,S4&lt;=2)</formula>
    </cfRule>
    <cfRule type="expression" dxfId="28" priority="4">
      <formula>S4&lt;=1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Tabelle13"/>
  <dimension ref="A1:AF30"/>
  <sheetViews>
    <sheetView zoomScaleNormal="100" workbookViewId="0"/>
  </sheetViews>
  <sheetFormatPr baseColWidth="10" defaultColWidth="11.5703125" defaultRowHeight="12.75" x14ac:dyDescent="0.2"/>
  <cols>
    <col min="1" max="1" width="11.7109375" style="27" customWidth="1"/>
    <col min="2" max="2" width="14.85546875" style="27" customWidth="1"/>
    <col min="3" max="25" width="5.7109375" style="27" customWidth="1"/>
    <col min="26" max="27" width="6.7109375" style="27" customWidth="1"/>
    <col min="28" max="32" width="5.7109375" style="27" customWidth="1"/>
    <col min="33" max="16384" width="11.5703125" style="27"/>
  </cols>
  <sheetData>
    <row r="1" spans="1:32" ht="15" customHeight="1" x14ac:dyDescent="0.2">
      <c r="A1" s="27" t="str">
        <f>Doku!B46&amp;":"</f>
        <v>Paarung:</v>
      </c>
      <c r="B1" s="101" t="e">
        <f ca="1">INDIRECT("'"&amp;$A8&amp;"'!D8") &amp; "-" &amp; INDIRECT("'"&amp;$A8&amp;"'!D9") &amp; " (" &amp; INDIRECT("'"&amp;$A8&amp;"'!L8") &amp;")"</f>
        <v>#REF!</v>
      </c>
      <c r="Z1" s="110"/>
      <c r="AA1" s="110"/>
      <c r="AF1" s="103"/>
    </row>
    <row r="2" spans="1:32" ht="128.1" customHeight="1" x14ac:dyDescent="0.2">
      <c r="A2" s="104" t="str">
        <f>Doku!B44</f>
        <v>Position</v>
      </c>
      <c r="B2" s="104" t="str">
        <f>Doku!B50</f>
        <v>Name</v>
      </c>
      <c r="C2" s="98" t="str">
        <f>Doku!B51</f>
        <v>Angrüßen</v>
      </c>
      <c r="D2" s="98" t="s">
        <v>129</v>
      </c>
      <c r="E2" s="98" t="s">
        <v>130</v>
      </c>
      <c r="F2" s="98" t="s">
        <v>131</v>
      </c>
      <c r="G2" s="98" t="s">
        <v>132</v>
      </c>
      <c r="H2" s="98" t="s">
        <v>133</v>
      </c>
      <c r="I2" s="98" t="s">
        <v>134</v>
      </c>
      <c r="J2" s="98" t="s">
        <v>135</v>
      </c>
      <c r="K2" s="98" t="s">
        <v>151</v>
      </c>
      <c r="L2" s="98" t="s">
        <v>137</v>
      </c>
      <c r="M2" s="98" t="s">
        <v>152</v>
      </c>
      <c r="N2" s="98" t="s">
        <v>139</v>
      </c>
      <c r="O2" s="98" t="s">
        <v>153</v>
      </c>
      <c r="P2" s="98" t="s">
        <v>154</v>
      </c>
      <c r="Q2" s="98" t="s">
        <v>142</v>
      </c>
      <c r="R2" s="98" t="s">
        <v>144</v>
      </c>
      <c r="S2" s="98" t="s">
        <v>145</v>
      </c>
      <c r="T2" s="98" t="s">
        <v>146</v>
      </c>
      <c r="U2" s="98" t="s">
        <v>147</v>
      </c>
      <c r="V2" s="98" t="s">
        <v>148</v>
      </c>
      <c r="W2" s="98" t="s">
        <v>149</v>
      </c>
      <c r="X2" s="98" t="s">
        <v>150</v>
      </c>
      <c r="Y2" s="98" t="str">
        <f>Doku!B52</f>
        <v>Abgrüßen</v>
      </c>
      <c r="Z2" s="111" t="str">
        <f>Doku!B42</f>
        <v>Gesamt</v>
      </c>
      <c r="AA2" s="111" t="s">
        <v>191</v>
      </c>
      <c r="AB2" s="98" t="str">
        <f>Doku!B38</f>
        <v>Kleiner Fehler</v>
      </c>
      <c r="AC2" s="98" t="str">
        <f>Doku!B39</f>
        <v>Mittlerer Fehler</v>
      </c>
      <c r="AD2" s="98" t="str">
        <f>Doku!B40</f>
        <v>Großer Fehler</v>
      </c>
      <c r="AE2" s="98" t="str">
        <f>Doku!B53</f>
        <v>Korrektur</v>
      </c>
      <c r="AF2" s="98" t="str">
        <f>Doku!B41</f>
        <v>Technik vergessen</v>
      </c>
    </row>
    <row r="3" spans="1:32" ht="15" customHeight="1" x14ac:dyDescent="0.2">
      <c r="A3" s="388" t="s">
        <v>232</v>
      </c>
      <c r="B3" s="388"/>
      <c r="C3" s="264">
        <f ca="1">IF(COUNTIF(C8:C12,"")&gt;0,SUM(C8:C12),SUM(C8:C12)-MAX(C8:C12)-MIN(C8:C12))</f>
        <v>0</v>
      </c>
      <c r="D3" s="264">
        <f t="shared" ref="D3:Y3" ca="1" si="0">IF(COUNTIF(D8:D12,"")&gt;0,SUM(D8:D12),SUM(D8:D12)-MAX(D8:D12)-MIN(D8:D12))</f>
        <v>0</v>
      </c>
      <c r="E3" s="264">
        <f t="shared" ca="1" si="0"/>
        <v>0</v>
      </c>
      <c r="F3" s="264">
        <f t="shared" ca="1" si="0"/>
        <v>0</v>
      </c>
      <c r="G3" s="264">
        <f t="shared" ca="1" si="0"/>
        <v>0</v>
      </c>
      <c r="H3" s="264">
        <f t="shared" ca="1" si="0"/>
        <v>0</v>
      </c>
      <c r="I3" s="264">
        <f t="shared" ca="1" si="0"/>
        <v>0</v>
      </c>
      <c r="J3" s="264">
        <f t="shared" ca="1" si="0"/>
        <v>0</v>
      </c>
      <c r="K3" s="264">
        <f t="shared" ca="1" si="0"/>
        <v>0</v>
      </c>
      <c r="L3" s="264">
        <f t="shared" ca="1" si="0"/>
        <v>0</v>
      </c>
      <c r="M3" s="264">
        <f t="shared" ca="1" si="0"/>
        <v>0</v>
      </c>
      <c r="N3" s="264">
        <f t="shared" ca="1" si="0"/>
        <v>0</v>
      </c>
      <c r="O3" s="264">
        <f t="shared" ca="1" si="0"/>
        <v>0</v>
      </c>
      <c r="P3" s="264">
        <f t="shared" ca="1" si="0"/>
        <v>0</v>
      </c>
      <c r="Q3" s="264">
        <f t="shared" ca="1" si="0"/>
        <v>0</v>
      </c>
      <c r="R3" s="264">
        <f t="shared" ca="1" si="0"/>
        <v>0</v>
      </c>
      <c r="S3" s="264">
        <f t="shared" ca="1" si="0"/>
        <v>0</v>
      </c>
      <c r="T3" s="264">
        <f t="shared" ca="1" si="0"/>
        <v>0</v>
      </c>
      <c r="U3" s="264">
        <f t="shared" ca="1" si="0"/>
        <v>0</v>
      </c>
      <c r="V3" s="264">
        <f t="shared" ca="1" si="0"/>
        <v>0</v>
      </c>
      <c r="W3" s="264">
        <f t="shared" ca="1" si="0"/>
        <v>0</v>
      </c>
      <c r="X3" s="264">
        <f t="shared" ca="1" si="0"/>
        <v>0</v>
      </c>
      <c r="Y3" s="264">
        <f t="shared" ca="1" si="0"/>
        <v>0</v>
      </c>
      <c r="Z3" s="265">
        <f ca="1">IF(SUM(AF8:AF12)&gt;0,SUM(C3:Y3)/2,SUM(C3:Y3))</f>
        <v>0</v>
      </c>
      <c r="AA3" s="266"/>
      <c r="AB3" s="265">
        <f t="shared" ref="AB3:AF3" ca="1" si="1">IF(COUNTIF(AB8:AB12,"")&gt;0,SUM(AB8:AB12),SUM(AB8:AB12)-MAX(AB8:AB12)-MIN(AB8:AB12))</f>
        <v>0</v>
      </c>
      <c r="AC3" s="265">
        <f t="shared" ca="1" si="1"/>
        <v>0</v>
      </c>
      <c r="AD3" s="265">
        <f t="shared" ca="1" si="1"/>
        <v>0</v>
      </c>
      <c r="AE3" s="264">
        <f t="shared" ca="1" si="1"/>
        <v>0</v>
      </c>
      <c r="AF3" s="265">
        <f t="shared" ca="1" si="1"/>
        <v>0</v>
      </c>
    </row>
    <row r="4" spans="1:32" ht="15" customHeight="1" x14ac:dyDescent="0.2">
      <c r="A4" s="389" t="str">
        <f>Doku!B49&amp;":"</f>
        <v>Spannweite:</v>
      </c>
      <c r="B4" s="389"/>
      <c r="C4" s="112">
        <f t="shared" ref="C4:X4" ca="1" si="2">MAX(C8:C12)-MIN(C8:C12)</f>
        <v>0</v>
      </c>
      <c r="D4" s="112">
        <f t="shared" ca="1" si="2"/>
        <v>0</v>
      </c>
      <c r="E4" s="112">
        <f t="shared" ca="1" si="2"/>
        <v>0</v>
      </c>
      <c r="F4" s="112">
        <f t="shared" ca="1" si="2"/>
        <v>0</v>
      </c>
      <c r="G4" s="112">
        <f t="shared" ca="1" si="2"/>
        <v>0</v>
      </c>
      <c r="H4" s="112">
        <f t="shared" ca="1" si="2"/>
        <v>0</v>
      </c>
      <c r="I4" s="112">
        <f t="shared" ca="1" si="2"/>
        <v>0</v>
      </c>
      <c r="J4" s="112">
        <f t="shared" ca="1" si="2"/>
        <v>0</v>
      </c>
      <c r="K4" s="112">
        <f t="shared" ca="1" si="2"/>
        <v>0</v>
      </c>
      <c r="L4" s="112">
        <f t="shared" ca="1" si="2"/>
        <v>0</v>
      </c>
      <c r="M4" s="112">
        <f t="shared" ca="1" si="2"/>
        <v>0</v>
      </c>
      <c r="N4" s="112">
        <f t="shared" ca="1" si="2"/>
        <v>0</v>
      </c>
      <c r="O4" s="112">
        <f t="shared" ca="1" si="2"/>
        <v>0</v>
      </c>
      <c r="P4" s="112">
        <f t="shared" ca="1" si="2"/>
        <v>0</v>
      </c>
      <c r="Q4" s="112">
        <f t="shared" ca="1" si="2"/>
        <v>0</v>
      </c>
      <c r="R4" s="112">
        <f t="shared" ca="1" si="2"/>
        <v>0</v>
      </c>
      <c r="S4" s="112">
        <f t="shared" ca="1" si="2"/>
        <v>0</v>
      </c>
      <c r="T4" s="112">
        <f t="shared" ca="1" si="2"/>
        <v>0</v>
      </c>
      <c r="U4" s="112">
        <f t="shared" ca="1" si="2"/>
        <v>0</v>
      </c>
      <c r="V4" s="112">
        <f t="shared" ca="1" si="2"/>
        <v>0</v>
      </c>
      <c r="W4" s="112">
        <f t="shared" ca="1" si="2"/>
        <v>0</v>
      </c>
      <c r="X4" s="112">
        <f t="shared" ca="1" si="2"/>
        <v>0</v>
      </c>
      <c r="Y4" s="112">
        <f ca="1">MAX(Y8:Y12)-MIN(Y8:Y12)</f>
        <v>0</v>
      </c>
      <c r="Z4" s="113">
        <f ca="1">MAX(Z8:Z12)-MIN(Z8:Z12)</f>
        <v>0</v>
      </c>
      <c r="AA4" s="114"/>
      <c r="AB4" s="113">
        <f ca="1">MAX(AB8:AB12)-MIN(AB8:AB12)</f>
        <v>0</v>
      </c>
      <c r="AC4" s="113">
        <f ca="1">MAX(AC8:AC12)-MIN(AC8:AC12)</f>
        <v>0</v>
      </c>
      <c r="AD4" s="113">
        <f ca="1">MAX(AD8:AD12)-MIN(AD8:AD12)</f>
        <v>0</v>
      </c>
      <c r="AE4" s="112">
        <f ca="1">MAX(AE8:AE12)-MIN(AE8:AE12)</f>
        <v>0</v>
      </c>
      <c r="AF4" s="113">
        <f ca="1">MAX(AF8:AF12)-MIN(AF8:AF12)</f>
        <v>0</v>
      </c>
    </row>
    <row r="5" spans="1:32" ht="15" customHeight="1" x14ac:dyDescent="0.2">
      <c r="A5" s="389" t="str">
        <f>Doku!B47&amp;":"</f>
        <v>Mittelwert:</v>
      </c>
      <c r="B5" s="389"/>
      <c r="C5" s="112">
        <f ca="1">C3/3</f>
        <v>0</v>
      </c>
      <c r="D5" s="112">
        <f t="shared" ref="D5:AF5" ca="1" si="3">D3/3</f>
        <v>0</v>
      </c>
      <c r="E5" s="112">
        <f t="shared" ca="1" si="3"/>
        <v>0</v>
      </c>
      <c r="F5" s="112">
        <f t="shared" ca="1" si="3"/>
        <v>0</v>
      </c>
      <c r="G5" s="112">
        <f t="shared" ca="1" si="3"/>
        <v>0</v>
      </c>
      <c r="H5" s="112">
        <f t="shared" ca="1" si="3"/>
        <v>0</v>
      </c>
      <c r="I5" s="112">
        <f t="shared" ca="1" si="3"/>
        <v>0</v>
      </c>
      <c r="J5" s="112">
        <f t="shared" ca="1" si="3"/>
        <v>0</v>
      </c>
      <c r="K5" s="112">
        <f t="shared" ca="1" si="3"/>
        <v>0</v>
      </c>
      <c r="L5" s="112">
        <f t="shared" ca="1" si="3"/>
        <v>0</v>
      </c>
      <c r="M5" s="112">
        <f t="shared" ca="1" si="3"/>
        <v>0</v>
      </c>
      <c r="N5" s="112">
        <f t="shared" ca="1" si="3"/>
        <v>0</v>
      </c>
      <c r="O5" s="112">
        <f t="shared" ca="1" si="3"/>
        <v>0</v>
      </c>
      <c r="P5" s="112">
        <f t="shared" ca="1" si="3"/>
        <v>0</v>
      </c>
      <c r="Q5" s="112">
        <f t="shared" ca="1" si="3"/>
        <v>0</v>
      </c>
      <c r="R5" s="112">
        <f t="shared" ca="1" si="3"/>
        <v>0</v>
      </c>
      <c r="S5" s="112">
        <f t="shared" ca="1" si="3"/>
        <v>0</v>
      </c>
      <c r="T5" s="112">
        <f t="shared" ca="1" si="3"/>
        <v>0</v>
      </c>
      <c r="U5" s="112">
        <f t="shared" ca="1" si="3"/>
        <v>0</v>
      </c>
      <c r="V5" s="112">
        <f t="shared" ca="1" si="3"/>
        <v>0</v>
      </c>
      <c r="W5" s="112">
        <f t="shared" ca="1" si="3"/>
        <v>0</v>
      </c>
      <c r="X5" s="112">
        <f t="shared" ca="1" si="3"/>
        <v>0</v>
      </c>
      <c r="Y5" s="112">
        <f t="shared" ca="1" si="3"/>
        <v>0</v>
      </c>
      <c r="Z5" s="113">
        <f t="shared" ca="1" si="3"/>
        <v>0</v>
      </c>
      <c r="AA5" s="115"/>
      <c r="AB5" s="113">
        <f t="shared" ca="1" si="3"/>
        <v>0</v>
      </c>
      <c r="AC5" s="113">
        <f t="shared" ca="1" si="3"/>
        <v>0</v>
      </c>
      <c r="AD5" s="113">
        <f t="shared" ca="1" si="3"/>
        <v>0</v>
      </c>
      <c r="AE5" s="112">
        <f t="shared" ca="1" si="3"/>
        <v>0</v>
      </c>
      <c r="AF5" s="113">
        <f t="shared" ca="1" si="3"/>
        <v>0</v>
      </c>
    </row>
    <row r="6" spans="1:32" ht="15" hidden="1" customHeight="1" x14ac:dyDescent="0.2">
      <c r="A6" s="389"/>
      <c r="B6" s="389"/>
      <c r="C6" s="112"/>
      <c r="D6" s="112"/>
      <c r="E6" s="112"/>
      <c r="F6" s="112"/>
      <c r="G6" s="112"/>
      <c r="H6" s="112"/>
      <c r="I6" s="112"/>
      <c r="J6" s="112"/>
      <c r="K6" s="112"/>
      <c r="L6" s="112"/>
      <c r="M6" s="112"/>
      <c r="N6" s="112"/>
      <c r="O6" s="112"/>
      <c r="P6" s="112"/>
      <c r="Q6" s="112"/>
      <c r="R6" s="112"/>
      <c r="S6" s="112"/>
      <c r="T6" s="112"/>
      <c r="U6" s="112"/>
      <c r="V6" s="112"/>
      <c r="W6" s="112"/>
      <c r="X6" s="112"/>
      <c r="Y6" s="112"/>
      <c r="Z6" s="116"/>
      <c r="AA6" s="117"/>
      <c r="AB6" s="116"/>
      <c r="AC6" s="116"/>
      <c r="AD6" s="116"/>
      <c r="AE6" s="112"/>
      <c r="AF6" s="116"/>
    </row>
    <row r="7" spans="1:32" ht="15" customHeight="1" x14ac:dyDescent="0.2">
      <c r="A7" s="106"/>
      <c r="B7" s="106" t="str">
        <f ca="1">IF(A7&lt;&gt;"",INDIRECT("'"&amp;$A7&amp;"'!E5"),"")</f>
        <v/>
      </c>
      <c r="C7" s="118" t="str">
        <f ca="1">IF($A7&lt;&gt;"",INDIRECT("'"&amp;$A7&amp;"'!L13"),"")</f>
        <v/>
      </c>
      <c r="D7" s="118" t="str">
        <f ca="1">IF($A7&lt;&gt;"",INDIRECT("'"&amp;$A7&amp;"'!L14"),"")</f>
        <v/>
      </c>
      <c r="E7" s="118" t="str">
        <f ca="1">IF($A7&lt;&gt;"",INDIRECT("'"&amp;$A7&amp;"'!L15"),"")</f>
        <v/>
      </c>
      <c r="F7" s="118" t="str">
        <f ca="1">IF($A7&lt;&gt;"",INDIRECT("'"&amp;$A7&amp;"'!L16"),"")</f>
        <v/>
      </c>
      <c r="G7" s="118" t="str">
        <f ca="1">IF($A7&lt;&gt;"",INDIRECT("'"&amp;$A7&amp;"'!L17"),"")</f>
        <v/>
      </c>
      <c r="H7" s="118" t="str">
        <f ca="1">IF($A7&lt;&gt;"",INDIRECT("'"&amp;$A7&amp;"'!L18"),"")</f>
        <v/>
      </c>
      <c r="I7" s="118" t="str">
        <f ca="1">IF($A7&lt;&gt;"",INDIRECT("'"&amp;$A7&amp;"'!L19"),"")</f>
        <v/>
      </c>
      <c r="J7" s="118" t="str">
        <f ca="1">IF($A7&lt;&gt;"",INDIRECT("'"&amp;$A7&amp;"'!L20"),"")</f>
        <v/>
      </c>
      <c r="K7" s="118" t="str">
        <f ca="1">IF($A7&lt;&gt;"",INDIRECT("'"&amp;$A7&amp;"'!L21"),"")</f>
        <v/>
      </c>
      <c r="L7" s="118" t="str">
        <f ca="1">IF($A7&lt;&gt;"",INDIRECT("'"&amp;$A7&amp;"'!L22"),"")</f>
        <v/>
      </c>
      <c r="M7" s="118" t="str">
        <f ca="1">IF($A7&lt;&gt;"",INDIRECT("'"&amp;$A7&amp;"'!L23"),"")</f>
        <v/>
      </c>
      <c r="N7" s="118" t="str">
        <f ca="1">IF($A7&lt;&gt;"",INDIRECT("'"&amp;$A7&amp;"'!L24"),"")</f>
        <v/>
      </c>
      <c r="O7" s="118" t="str">
        <f ca="1">IF($A7&lt;&gt;"",INDIRECT("'"&amp;$A7&amp;"'!L25"),"")</f>
        <v/>
      </c>
      <c r="P7" s="118" t="str">
        <f ca="1">IF($A7&lt;&gt;"",INDIRECT("'"&amp;$A7&amp;"'!L26"),"")</f>
        <v/>
      </c>
      <c r="Q7" s="118" t="str">
        <f ca="1">IF($A7&lt;&gt;"",INDIRECT("'"&amp;$A7&amp;"'!L27"),"")</f>
        <v/>
      </c>
      <c r="R7" s="118" t="str">
        <f ca="1">IF($A7&lt;&gt;"",INDIRECT("'"&amp;$A7&amp;"'!L28"),"")</f>
        <v/>
      </c>
      <c r="S7" s="118" t="str">
        <f ca="1">IF($A7&lt;&gt;"",INDIRECT("'"&amp;$A7&amp;"'!L29"),"")</f>
        <v/>
      </c>
      <c r="T7" s="118" t="str">
        <f ca="1">IF($A7&lt;&gt;"",INDIRECT("'"&amp;$A7&amp;"'!L30"),"")</f>
        <v/>
      </c>
      <c r="U7" s="118" t="str">
        <f ca="1">IF($A7&lt;&gt;"",INDIRECT("'"&amp;$A7&amp;"'!L31"),"")</f>
        <v/>
      </c>
      <c r="V7" s="118" t="str">
        <f ca="1">IF($A7&lt;&gt;"",INDIRECT("'"&amp;$A7&amp;"'!L32"),"")</f>
        <v/>
      </c>
      <c r="W7" s="118" t="str">
        <f ca="1">IF($A7&lt;&gt;"",INDIRECT("'"&amp;$A7&amp;"'!L33"),"")</f>
        <v/>
      </c>
      <c r="X7" s="118" t="str">
        <f ca="1">IF($A7&lt;&gt;"",INDIRECT("'"&amp;$A7&amp;"'!L34"),"")</f>
        <v/>
      </c>
      <c r="Y7" s="118" t="str">
        <f ca="1">IF($A7&lt;&gt;"",INDIRECT("'"&amp;$A7&amp;"'!L35"),"")</f>
        <v/>
      </c>
      <c r="Z7" s="119" t="str">
        <f ca="1">IF($A7&lt;&gt;"",INDIRECT("'"&amp;$A7&amp;"'!L36"),"")</f>
        <v/>
      </c>
      <c r="AA7" s="120" t="str">
        <f t="shared" ref="AA7:AA13" si="4">IF($A7&lt;&gt;"",SUM(C21:Y21)/COUNT(C7:Y7),"")</f>
        <v/>
      </c>
      <c r="AB7" s="119" t="str">
        <f ca="1">IF($A7&lt;&gt;"",INDIRECT("'"&amp;$A7&amp;"'!F36"),"")</f>
        <v/>
      </c>
      <c r="AC7" s="119" t="str">
        <f ca="1">IF($A7&lt;&gt;"",INDIRECT("'"&amp;$A7&amp;"'!H36"),"")</f>
        <v/>
      </c>
      <c r="AD7" s="119" t="str">
        <f ca="1">IF($A7&lt;&gt;"",INDIRECT("'"&amp;$A7&amp;"'!I36"),"")</f>
        <v/>
      </c>
      <c r="AE7" s="118" t="str">
        <f ca="1">IF($A7&lt;&gt;"",INDIRECT("'"&amp;$A7&amp;"'!J36"),"")</f>
        <v/>
      </c>
      <c r="AF7" s="119" t="str">
        <f ca="1">IF($A7&lt;&gt;"",INDIRECT("'"&amp;$A7&amp;"'!K36"),"")</f>
        <v/>
      </c>
    </row>
    <row r="8" spans="1:32" ht="15" customHeight="1" x14ac:dyDescent="0.2">
      <c r="B8" s="27" t="str">
        <f t="shared" ref="B8:B13" ca="1" si="5">IF(A8&lt;&gt;"",INDIRECT("'"&amp;$A8&amp;"'!E5"),"")</f>
        <v/>
      </c>
      <c r="C8" s="112" t="str">
        <f t="shared" ref="C8:C13" ca="1" si="6">IF($A8&lt;&gt;"",INDIRECT("'"&amp;$A8&amp;"'!L13"),"")</f>
        <v/>
      </c>
      <c r="D8" s="112" t="str">
        <f t="shared" ref="D8:D13" ca="1" si="7">IF($A8&lt;&gt;"",INDIRECT("'"&amp;$A8&amp;"'!L14"),"")</f>
        <v/>
      </c>
      <c r="E8" s="112" t="str">
        <f t="shared" ref="E8:E13" ca="1" si="8">IF($A8&lt;&gt;"",INDIRECT("'"&amp;$A8&amp;"'!L15"),"")</f>
        <v/>
      </c>
      <c r="F8" s="112" t="str">
        <f t="shared" ref="F8:F13" ca="1" si="9">IF($A8&lt;&gt;"",INDIRECT("'"&amp;$A8&amp;"'!L16"),"")</f>
        <v/>
      </c>
      <c r="G8" s="112" t="str">
        <f t="shared" ref="G8:G13" ca="1" si="10">IF($A8&lt;&gt;"",INDIRECT("'"&amp;$A8&amp;"'!L17"),"")</f>
        <v/>
      </c>
      <c r="H8" s="112" t="str">
        <f t="shared" ref="H8:H13" ca="1" si="11">IF($A8&lt;&gt;"",INDIRECT("'"&amp;$A8&amp;"'!L18"),"")</f>
        <v/>
      </c>
      <c r="I8" s="112" t="str">
        <f t="shared" ref="I8:I13" ca="1" si="12">IF($A8&lt;&gt;"",INDIRECT("'"&amp;$A8&amp;"'!L19"),"")</f>
        <v/>
      </c>
      <c r="J8" s="112" t="str">
        <f t="shared" ref="J8:J13" ca="1" si="13">IF($A8&lt;&gt;"",INDIRECT("'"&amp;$A8&amp;"'!L20"),"")</f>
        <v/>
      </c>
      <c r="K8" s="112" t="str">
        <f t="shared" ref="K8:K13" ca="1" si="14">IF($A8&lt;&gt;"",INDIRECT("'"&amp;$A8&amp;"'!L21"),"")</f>
        <v/>
      </c>
      <c r="L8" s="112" t="str">
        <f t="shared" ref="L8:L13" ca="1" si="15">IF($A8&lt;&gt;"",INDIRECT("'"&amp;$A8&amp;"'!L22"),"")</f>
        <v/>
      </c>
      <c r="M8" s="112" t="str">
        <f t="shared" ref="M8:M13" ca="1" si="16">IF($A8&lt;&gt;"",INDIRECT("'"&amp;$A8&amp;"'!L23"),"")</f>
        <v/>
      </c>
      <c r="N8" s="112" t="str">
        <f t="shared" ref="N8:N13" ca="1" si="17">IF($A8&lt;&gt;"",INDIRECT("'"&amp;$A8&amp;"'!L24"),"")</f>
        <v/>
      </c>
      <c r="O8" s="112" t="str">
        <f t="shared" ref="O8:O13" ca="1" si="18">IF($A8&lt;&gt;"",INDIRECT("'"&amp;$A8&amp;"'!L25"),"")</f>
        <v/>
      </c>
      <c r="P8" s="112" t="str">
        <f t="shared" ref="P8:P13" ca="1" si="19">IF($A8&lt;&gt;"",INDIRECT("'"&amp;$A8&amp;"'!L26"),"")</f>
        <v/>
      </c>
      <c r="Q8" s="112" t="str">
        <f t="shared" ref="Q8:Q13" ca="1" si="20">IF($A8&lt;&gt;"",INDIRECT("'"&amp;$A8&amp;"'!L27"),"")</f>
        <v/>
      </c>
      <c r="R8" s="112" t="str">
        <f t="shared" ref="R8:R13" ca="1" si="21">IF($A8&lt;&gt;"",INDIRECT("'"&amp;$A8&amp;"'!L28"),"")</f>
        <v/>
      </c>
      <c r="S8" s="112" t="str">
        <f t="shared" ref="S8:S13" ca="1" si="22">IF($A8&lt;&gt;"",INDIRECT("'"&amp;$A8&amp;"'!L29"),"")</f>
        <v/>
      </c>
      <c r="T8" s="112" t="str">
        <f t="shared" ref="T8:T13" ca="1" si="23">IF($A8&lt;&gt;"",INDIRECT("'"&amp;$A8&amp;"'!L30"),"")</f>
        <v/>
      </c>
      <c r="U8" s="112" t="str">
        <f t="shared" ref="U8:U13" ca="1" si="24">IF($A8&lt;&gt;"",INDIRECT("'"&amp;$A8&amp;"'!L31"),"")</f>
        <v/>
      </c>
      <c r="V8" s="112" t="str">
        <f t="shared" ref="V8:V13" ca="1" si="25">IF($A8&lt;&gt;"",INDIRECT("'"&amp;$A8&amp;"'!L32"),"")</f>
        <v/>
      </c>
      <c r="W8" s="112" t="str">
        <f t="shared" ref="W8:W13" ca="1" si="26">IF($A8&lt;&gt;"",INDIRECT("'"&amp;$A8&amp;"'!L33"),"")</f>
        <v/>
      </c>
      <c r="X8" s="112" t="str">
        <f t="shared" ref="X8:X13" ca="1" si="27">IF($A8&lt;&gt;"",INDIRECT("'"&amp;$A8&amp;"'!L34"),"")</f>
        <v/>
      </c>
      <c r="Y8" s="112" t="str">
        <f t="shared" ref="Y8:Y13" ca="1" si="28">IF($A8&lt;&gt;"",INDIRECT("'"&amp;$A8&amp;"'!L35"),"")</f>
        <v/>
      </c>
      <c r="Z8" s="113" t="str">
        <f t="shared" ref="Z8:Z13" ca="1" si="29">IF($A8&lt;&gt;"",INDIRECT("'"&amp;$A8&amp;"'!L36"),"")</f>
        <v/>
      </c>
      <c r="AA8" s="121" t="str">
        <f t="shared" si="4"/>
        <v/>
      </c>
      <c r="AB8" s="113" t="str">
        <f t="shared" ref="AB8:AB13" ca="1" si="30">IF($A8&lt;&gt;"",INDIRECT("'"&amp;$A8&amp;"'!F36"),"")</f>
        <v/>
      </c>
      <c r="AC8" s="113" t="str">
        <f t="shared" ref="AC8:AC13" ca="1" si="31">IF($A8&lt;&gt;"",INDIRECT("'"&amp;$A8&amp;"'!H36"),"")</f>
        <v/>
      </c>
      <c r="AD8" s="113" t="str">
        <f t="shared" ref="AD8:AD13" ca="1" si="32">IF($A8&lt;&gt;"",INDIRECT("'"&amp;$A8&amp;"'!I36"),"")</f>
        <v/>
      </c>
      <c r="AE8" s="112" t="str">
        <f t="shared" ref="AE8:AE13" ca="1" si="33">IF($A8&lt;&gt;"",INDIRECT("'"&amp;$A8&amp;"'!J36"),"")</f>
        <v/>
      </c>
      <c r="AF8" s="113" t="str">
        <f t="shared" ref="AF8:AF13" ca="1" si="34">IF($A8&lt;&gt;"",INDIRECT("'"&amp;$A8&amp;"'!K36"),"")</f>
        <v/>
      </c>
    </row>
    <row r="9" spans="1:32" ht="15" customHeight="1" x14ac:dyDescent="0.2">
      <c r="B9" s="27" t="str">
        <f t="shared" ca="1" si="5"/>
        <v/>
      </c>
      <c r="C9" s="112" t="str">
        <f t="shared" ca="1" si="6"/>
        <v/>
      </c>
      <c r="D9" s="112" t="str">
        <f t="shared" ca="1" si="7"/>
        <v/>
      </c>
      <c r="E9" s="112" t="str">
        <f t="shared" ca="1" si="8"/>
        <v/>
      </c>
      <c r="F9" s="112" t="str">
        <f t="shared" ca="1" si="9"/>
        <v/>
      </c>
      <c r="G9" s="112" t="str">
        <f t="shared" ca="1" si="10"/>
        <v/>
      </c>
      <c r="H9" s="112" t="str">
        <f t="shared" ca="1" si="11"/>
        <v/>
      </c>
      <c r="I9" s="112" t="str">
        <f t="shared" ca="1" si="12"/>
        <v/>
      </c>
      <c r="J9" s="112" t="str">
        <f t="shared" ca="1" si="13"/>
        <v/>
      </c>
      <c r="K9" s="112" t="str">
        <f t="shared" ca="1" si="14"/>
        <v/>
      </c>
      <c r="L9" s="112" t="str">
        <f t="shared" ca="1" si="15"/>
        <v/>
      </c>
      <c r="M9" s="112" t="str">
        <f t="shared" ca="1" si="16"/>
        <v/>
      </c>
      <c r="N9" s="112" t="str">
        <f t="shared" ca="1" si="17"/>
        <v/>
      </c>
      <c r="O9" s="112" t="str">
        <f t="shared" ca="1" si="18"/>
        <v/>
      </c>
      <c r="P9" s="112" t="str">
        <f t="shared" ca="1" si="19"/>
        <v/>
      </c>
      <c r="Q9" s="112" t="str">
        <f t="shared" ca="1" si="20"/>
        <v/>
      </c>
      <c r="R9" s="112" t="str">
        <f t="shared" ca="1" si="21"/>
        <v/>
      </c>
      <c r="S9" s="112" t="str">
        <f t="shared" ca="1" si="22"/>
        <v/>
      </c>
      <c r="T9" s="112" t="str">
        <f t="shared" ca="1" si="23"/>
        <v/>
      </c>
      <c r="U9" s="112" t="str">
        <f t="shared" ca="1" si="24"/>
        <v/>
      </c>
      <c r="V9" s="112" t="str">
        <f t="shared" ca="1" si="25"/>
        <v/>
      </c>
      <c r="W9" s="112" t="str">
        <f t="shared" ca="1" si="26"/>
        <v/>
      </c>
      <c r="X9" s="112" t="str">
        <f t="shared" ca="1" si="27"/>
        <v/>
      </c>
      <c r="Y9" s="112" t="str">
        <f t="shared" ca="1" si="28"/>
        <v/>
      </c>
      <c r="Z9" s="113" t="str">
        <f t="shared" ca="1" si="29"/>
        <v/>
      </c>
      <c r="AA9" s="122" t="str">
        <f t="shared" si="4"/>
        <v/>
      </c>
      <c r="AB9" s="113" t="str">
        <f t="shared" ca="1" si="30"/>
        <v/>
      </c>
      <c r="AC9" s="113" t="str">
        <f t="shared" ca="1" si="31"/>
        <v/>
      </c>
      <c r="AD9" s="113" t="str">
        <f t="shared" ca="1" si="32"/>
        <v/>
      </c>
      <c r="AE9" s="112" t="str">
        <f t="shared" ca="1" si="33"/>
        <v/>
      </c>
      <c r="AF9" s="113" t="str">
        <f t="shared" ca="1" si="34"/>
        <v/>
      </c>
    </row>
    <row r="10" spans="1:32" ht="15" customHeight="1" x14ac:dyDescent="0.2">
      <c r="B10" s="27" t="str">
        <f t="shared" ca="1" si="5"/>
        <v/>
      </c>
      <c r="C10" s="112" t="str">
        <f t="shared" ca="1" si="6"/>
        <v/>
      </c>
      <c r="D10" s="112" t="str">
        <f t="shared" ca="1" si="7"/>
        <v/>
      </c>
      <c r="E10" s="112" t="str">
        <f t="shared" ca="1" si="8"/>
        <v/>
      </c>
      <c r="F10" s="112" t="str">
        <f t="shared" ca="1" si="9"/>
        <v/>
      </c>
      <c r="G10" s="112" t="str">
        <f t="shared" ca="1" si="10"/>
        <v/>
      </c>
      <c r="H10" s="112" t="str">
        <f t="shared" ca="1" si="11"/>
        <v/>
      </c>
      <c r="I10" s="112" t="str">
        <f t="shared" ca="1" si="12"/>
        <v/>
      </c>
      <c r="J10" s="112" t="str">
        <f t="shared" ca="1" si="13"/>
        <v/>
      </c>
      <c r="K10" s="112" t="str">
        <f t="shared" ca="1" si="14"/>
        <v/>
      </c>
      <c r="L10" s="112" t="str">
        <f t="shared" ca="1" si="15"/>
        <v/>
      </c>
      <c r="M10" s="112" t="str">
        <f t="shared" ca="1" si="16"/>
        <v/>
      </c>
      <c r="N10" s="112" t="str">
        <f t="shared" ca="1" si="17"/>
        <v/>
      </c>
      <c r="O10" s="112" t="str">
        <f t="shared" ca="1" si="18"/>
        <v/>
      </c>
      <c r="P10" s="112" t="str">
        <f t="shared" ca="1" si="19"/>
        <v/>
      </c>
      <c r="Q10" s="112" t="str">
        <f t="shared" ca="1" si="20"/>
        <v/>
      </c>
      <c r="R10" s="112" t="str">
        <f t="shared" ca="1" si="21"/>
        <v/>
      </c>
      <c r="S10" s="112" t="str">
        <f t="shared" ca="1" si="22"/>
        <v/>
      </c>
      <c r="T10" s="112" t="str">
        <f t="shared" ca="1" si="23"/>
        <v/>
      </c>
      <c r="U10" s="112" t="str">
        <f t="shared" ca="1" si="24"/>
        <v/>
      </c>
      <c r="V10" s="112" t="str">
        <f t="shared" ca="1" si="25"/>
        <v/>
      </c>
      <c r="W10" s="112" t="str">
        <f t="shared" ca="1" si="26"/>
        <v/>
      </c>
      <c r="X10" s="112" t="str">
        <f t="shared" ca="1" si="27"/>
        <v/>
      </c>
      <c r="Y10" s="112" t="str">
        <f t="shared" ca="1" si="28"/>
        <v/>
      </c>
      <c r="Z10" s="113" t="str">
        <f t="shared" ca="1" si="29"/>
        <v/>
      </c>
      <c r="AA10" s="122" t="str">
        <f t="shared" si="4"/>
        <v/>
      </c>
      <c r="AB10" s="113" t="str">
        <f t="shared" ca="1" si="30"/>
        <v/>
      </c>
      <c r="AC10" s="113" t="str">
        <f t="shared" ca="1" si="31"/>
        <v/>
      </c>
      <c r="AD10" s="113" t="str">
        <f t="shared" ca="1" si="32"/>
        <v/>
      </c>
      <c r="AE10" s="112" t="str">
        <f t="shared" ca="1" si="33"/>
        <v/>
      </c>
      <c r="AF10" s="113" t="str">
        <f t="shared" ca="1" si="34"/>
        <v/>
      </c>
    </row>
    <row r="11" spans="1:32" ht="15" customHeight="1" x14ac:dyDescent="0.2">
      <c r="B11" s="27" t="str">
        <f t="shared" ca="1" si="5"/>
        <v/>
      </c>
      <c r="C11" s="112" t="str">
        <f t="shared" ca="1" si="6"/>
        <v/>
      </c>
      <c r="D11" s="112" t="str">
        <f t="shared" ca="1" si="7"/>
        <v/>
      </c>
      <c r="E11" s="112" t="str">
        <f t="shared" ca="1" si="8"/>
        <v/>
      </c>
      <c r="F11" s="112" t="str">
        <f t="shared" ca="1" si="9"/>
        <v/>
      </c>
      <c r="G11" s="112" t="str">
        <f t="shared" ca="1" si="10"/>
        <v/>
      </c>
      <c r="H11" s="112" t="str">
        <f t="shared" ca="1" si="11"/>
        <v/>
      </c>
      <c r="I11" s="112" t="str">
        <f t="shared" ca="1" si="12"/>
        <v/>
      </c>
      <c r="J11" s="112" t="str">
        <f t="shared" ca="1" si="13"/>
        <v/>
      </c>
      <c r="K11" s="112" t="str">
        <f t="shared" ca="1" si="14"/>
        <v/>
      </c>
      <c r="L11" s="112" t="str">
        <f t="shared" ca="1" si="15"/>
        <v/>
      </c>
      <c r="M11" s="112" t="str">
        <f t="shared" ca="1" si="16"/>
        <v/>
      </c>
      <c r="N11" s="112" t="str">
        <f t="shared" ca="1" si="17"/>
        <v/>
      </c>
      <c r="O11" s="112" t="str">
        <f t="shared" ca="1" si="18"/>
        <v/>
      </c>
      <c r="P11" s="112" t="str">
        <f t="shared" ca="1" si="19"/>
        <v/>
      </c>
      <c r="Q11" s="112" t="str">
        <f t="shared" ca="1" si="20"/>
        <v/>
      </c>
      <c r="R11" s="112" t="str">
        <f t="shared" ca="1" si="21"/>
        <v/>
      </c>
      <c r="S11" s="112" t="str">
        <f t="shared" ca="1" si="22"/>
        <v/>
      </c>
      <c r="T11" s="112" t="str">
        <f t="shared" ca="1" si="23"/>
        <v/>
      </c>
      <c r="U11" s="112" t="str">
        <f t="shared" ca="1" si="24"/>
        <v/>
      </c>
      <c r="V11" s="112" t="str">
        <f t="shared" ca="1" si="25"/>
        <v/>
      </c>
      <c r="W11" s="112" t="str">
        <f t="shared" ca="1" si="26"/>
        <v/>
      </c>
      <c r="X11" s="112" t="str">
        <f t="shared" ca="1" si="27"/>
        <v/>
      </c>
      <c r="Y11" s="112" t="str">
        <f t="shared" ca="1" si="28"/>
        <v/>
      </c>
      <c r="Z11" s="113" t="str">
        <f t="shared" ca="1" si="29"/>
        <v/>
      </c>
      <c r="AA11" s="122" t="str">
        <f t="shared" si="4"/>
        <v/>
      </c>
      <c r="AB11" s="113" t="str">
        <f t="shared" ca="1" si="30"/>
        <v/>
      </c>
      <c r="AC11" s="113" t="str">
        <f t="shared" ca="1" si="31"/>
        <v/>
      </c>
      <c r="AD11" s="113" t="str">
        <f t="shared" ca="1" si="32"/>
        <v/>
      </c>
      <c r="AE11" s="112" t="str">
        <f t="shared" ca="1" si="33"/>
        <v/>
      </c>
      <c r="AF11" s="113" t="str">
        <f t="shared" ca="1" si="34"/>
        <v/>
      </c>
    </row>
    <row r="12" spans="1:32" ht="15" customHeight="1" thickBot="1" x14ac:dyDescent="0.25">
      <c r="B12" s="107" t="str">
        <f t="shared" ca="1" si="5"/>
        <v/>
      </c>
      <c r="C12" s="123" t="str">
        <f t="shared" ca="1" si="6"/>
        <v/>
      </c>
      <c r="D12" s="123" t="str">
        <f t="shared" ca="1" si="7"/>
        <v/>
      </c>
      <c r="E12" s="123" t="str">
        <f t="shared" ca="1" si="8"/>
        <v/>
      </c>
      <c r="F12" s="123" t="str">
        <f t="shared" ca="1" si="9"/>
        <v/>
      </c>
      <c r="G12" s="123" t="str">
        <f t="shared" ca="1" si="10"/>
        <v/>
      </c>
      <c r="H12" s="123" t="str">
        <f t="shared" ca="1" si="11"/>
        <v/>
      </c>
      <c r="I12" s="123" t="str">
        <f t="shared" ca="1" si="12"/>
        <v/>
      </c>
      <c r="J12" s="123" t="str">
        <f t="shared" ca="1" si="13"/>
        <v/>
      </c>
      <c r="K12" s="123" t="str">
        <f t="shared" ca="1" si="14"/>
        <v/>
      </c>
      <c r="L12" s="123" t="str">
        <f t="shared" ca="1" si="15"/>
        <v/>
      </c>
      <c r="M12" s="123" t="str">
        <f t="shared" ca="1" si="16"/>
        <v/>
      </c>
      <c r="N12" s="123" t="str">
        <f t="shared" ca="1" si="17"/>
        <v/>
      </c>
      <c r="O12" s="123" t="str">
        <f t="shared" ca="1" si="18"/>
        <v/>
      </c>
      <c r="P12" s="123" t="str">
        <f t="shared" ca="1" si="19"/>
        <v/>
      </c>
      <c r="Q12" s="123" t="str">
        <f t="shared" ca="1" si="20"/>
        <v/>
      </c>
      <c r="R12" s="123" t="str">
        <f t="shared" ca="1" si="21"/>
        <v/>
      </c>
      <c r="S12" s="123" t="str">
        <f t="shared" ca="1" si="22"/>
        <v/>
      </c>
      <c r="T12" s="123" t="str">
        <f t="shared" ca="1" si="23"/>
        <v/>
      </c>
      <c r="U12" s="123" t="str">
        <f t="shared" ca="1" si="24"/>
        <v/>
      </c>
      <c r="V12" s="123" t="str">
        <f t="shared" ca="1" si="25"/>
        <v/>
      </c>
      <c r="W12" s="123" t="str">
        <f t="shared" ca="1" si="26"/>
        <v/>
      </c>
      <c r="X12" s="123" t="str">
        <f t="shared" ca="1" si="27"/>
        <v/>
      </c>
      <c r="Y12" s="123" t="str">
        <f t="shared" ca="1" si="28"/>
        <v/>
      </c>
      <c r="Z12" s="124" t="str">
        <f t="shared" ca="1" si="29"/>
        <v/>
      </c>
      <c r="AA12" s="122" t="str">
        <f t="shared" si="4"/>
        <v/>
      </c>
      <c r="AB12" s="124" t="str">
        <f t="shared" ca="1" si="30"/>
        <v/>
      </c>
      <c r="AC12" s="124" t="str">
        <f t="shared" ca="1" si="31"/>
        <v/>
      </c>
      <c r="AD12" s="124" t="str">
        <f t="shared" ca="1" si="32"/>
        <v/>
      </c>
      <c r="AE12" s="123" t="str">
        <f t="shared" ca="1" si="33"/>
        <v/>
      </c>
      <c r="AF12" s="124" t="str">
        <f t="shared" ca="1" si="34"/>
        <v/>
      </c>
    </row>
    <row r="13" spans="1:32" ht="13.5" thickBot="1" x14ac:dyDescent="0.25">
      <c r="A13" s="108"/>
      <c r="B13" s="108" t="str">
        <f t="shared" ca="1" si="5"/>
        <v/>
      </c>
      <c r="C13" s="125" t="str">
        <f t="shared" ca="1" si="6"/>
        <v/>
      </c>
      <c r="D13" s="125" t="str">
        <f t="shared" ca="1" si="7"/>
        <v/>
      </c>
      <c r="E13" s="125" t="str">
        <f t="shared" ca="1" si="8"/>
        <v/>
      </c>
      <c r="F13" s="125" t="str">
        <f t="shared" ca="1" si="9"/>
        <v/>
      </c>
      <c r="G13" s="125" t="str">
        <f t="shared" ca="1" si="10"/>
        <v/>
      </c>
      <c r="H13" s="125" t="str">
        <f t="shared" ca="1" si="11"/>
        <v/>
      </c>
      <c r="I13" s="125" t="str">
        <f t="shared" ca="1" si="12"/>
        <v/>
      </c>
      <c r="J13" s="125" t="str">
        <f t="shared" ca="1" si="13"/>
        <v/>
      </c>
      <c r="K13" s="125" t="str">
        <f t="shared" ca="1" si="14"/>
        <v/>
      </c>
      <c r="L13" s="125" t="str">
        <f t="shared" ca="1" si="15"/>
        <v/>
      </c>
      <c r="M13" s="125" t="str">
        <f t="shared" ca="1" si="16"/>
        <v/>
      </c>
      <c r="N13" s="125" t="str">
        <f t="shared" ca="1" si="17"/>
        <v/>
      </c>
      <c r="O13" s="125" t="str">
        <f t="shared" ca="1" si="18"/>
        <v/>
      </c>
      <c r="P13" s="125" t="str">
        <f t="shared" ca="1" si="19"/>
        <v/>
      </c>
      <c r="Q13" s="125" t="str">
        <f t="shared" ca="1" si="20"/>
        <v/>
      </c>
      <c r="R13" s="125" t="str">
        <f t="shared" ca="1" si="21"/>
        <v/>
      </c>
      <c r="S13" s="125" t="str">
        <f t="shared" ca="1" si="22"/>
        <v/>
      </c>
      <c r="T13" s="125" t="str">
        <f t="shared" ca="1" si="23"/>
        <v/>
      </c>
      <c r="U13" s="125" t="str">
        <f t="shared" ca="1" si="24"/>
        <v/>
      </c>
      <c r="V13" s="125" t="str">
        <f t="shared" ca="1" si="25"/>
        <v/>
      </c>
      <c r="W13" s="125" t="str">
        <f t="shared" ca="1" si="26"/>
        <v/>
      </c>
      <c r="X13" s="125" t="str">
        <f t="shared" ca="1" si="27"/>
        <v/>
      </c>
      <c r="Y13" s="125" t="str">
        <f t="shared" ca="1" si="28"/>
        <v/>
      </c>
      <c r="Z13" s="126" t="str">
        <f t="shared" ca="1" si="29"/>
        <v/>
      </c>
      <c r="AA13" s="127" t="str">
        <f t="shared" si="4"/>
        <v/>
      </c>
      <c r="AB13" s="126" t="str">
        <f t="shared" ca="1" si="30"/>
        <v/>
      </c>
      <c r="AC13" s="126" t="str">
        <f t="shared" ca="1" si="31"/>
        <v/>
      </c>
      <c r="AD13" s="126" t="str">
        <f t="shared" ca="1" si="32"/>
        <v/>
      </c>
      <c r="AE13" s="125" t="str">
        <f t="shared" ca="1" si="33"/>
        <v/>
      </c>
      <c r="AF13" s="126" t="str">
        <f t="shared" ca="1" si="34"/>
        <v/>
      </c>
    </row>
    <row r="14" spans="1:32" ht="15" customHeight="1" x14ac:dyDescent="0.2">
      <c r="A14" s="109"/>
      <c r="B14" s="109"/>
      <c r="C14" s="128"/>
      <c r="D14" s="128"/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28"/>
      <c r="Q14" s="128"/>
      <c r="R14" s="128"/>
      <c r="S14" s="128"/>
      <c r="T14" s="128"/>
      <c r="U14" s="128"/>
      <c r="V14" s="128"/>
      <c r="W14" s="128"/>
      <c r="X14" s="128"/>
      <c r="Y14" s="128"/>
      <c r="Z14" s="129"/>
      <c r="AA14" s="130"/>
      <c r="AB14" s="131"/>
      <c r="AC14" s="131"/>
      <c r="AD14" s="131"/>
      <c r="AE14" s="128"/>
      <c r="AF14" s="131"/>
    </row>
    <row r="15" spans="1:32" x14ac:dyDescent="0.2">
      <c r="A15" s="109"/>
      <c r="B15" s="109" t="str">
        <f t="shared" ref="B15:B16" ca="1" si="35">IF(A15&lt;&gt;"",INDIRECT("'"&amp;$A15&amp;"'!E5"),"")</f>
        <v/>
      </c>
      <c r="C15" s="128" t="str">
        <f t="shared" ref="C15:C16" ca="1" si="36">IF($A15&lt;&gt;"",INDIRECT("'"&amp;$A15&amp;"'!L13"),"")</f>
        <v/>
      </c>
      <c r="D15" s="128" t="str">
        <f t="shared" ref="D15:D16" ca="1" si="37">IF($A15&lt;&gt;"",INDIRECT("'"&amp;$A15&amp;"'!L14"),"")</f>
        <v/>
      </c>
      <c r="E15" s="128" t="str">
        <f t="shared" ref="E15:E16" ca="1" si="38">IF($A15&lt;&gt;"",INDIRECT("'"&amp;$A15&amp;"'!L15"),"")</f>
        <v/>
      </c>
      <c r="F15" s="128" t="str">
        <f t="shared" ref="F15:F16" ca="1" si="39">IF($A15&lt;&gt;"",INDIRECT("'"&amp;$A15&amp;"'!L16"),"")</f>
        <v/>
      </c>
      <c r="G15" s="128" t="str">
        <f t="shared" ref="G15:G16" ca="1" si="40">IF($A15&lt;&gt;"",INDIRECT("'"&amp;$A15&amp;"'!L17"),"")</f>
        <v/>
      </c>
      <c r="H15" s="128" t="str">
        <f t="shared" ref="H15:H16" ca="1" si="41">IF($A15&lt;&gt;"",INDIRECT("'"&amp;$A15&amp;"'!L18"),"")</f>
        <v/>
      </c>
      <c r="I15" s="128" t="str">
        <f t="shared" ref="I15:I16" ca="1" si="42">IF($A15&lt;&gt;"",INDIRECT("'"&amp;$A15&amp;"'!L19"),"")</f>
        <v/>
      </c>
      <c r="J15" s="128" t="str">
        <f t="shared" ref="J15:J16" ca="1" si="43">IF($A15&lt;&gt;"",INDIRECT("'"&amp;$A15&amp;"'!L20"),"")</f>
        <v/>
      </c>
      <c r="K15" s="128" t="str">
        <f t="shared" ref="K15:K16" ca="1" si="44">IF($A15&lt;&gt;"",INDIRECT("'"&amp;$A15&amp;"'!L21"),"")</f>
        <v/>
      </c>
      <c r="L15" s="128" t="str">
        <f t="shared" ref="L15:L16" ca="1" si="45">IF($A15&lt;&gt;"",INDIRECT("'"&amp;$A15&amp;"'!L22"),"")</f>
        <v/>
      </c>
      <c r="M15" s="128" t="str">
        <f t="shared" ref="M15:M16" ca="1" si="46">IF($A15&lt;&gt;"",INDIRECT("'"&amp;$A15&amp;"'!L23"),"")</f>
        <v/>
      </c>
      <c r="N15" s="128" t="str">
        <f t="shared" ref="N15:N16" ca="1" si="47">IF($A15&lt;&gt;"",INDIRECT("'"&amp;$A15&amp;"'!L24"),"")</f>
        <v/>
      </c>
      <c r="O15" s="128" t="str">
        <f t="shared" ref="O15:O16" ca="1" si="48">IF($A15&lt;&gt;"",INDIRECT("'"&amp;$A15&amp;"'!L25"),"")</f>
        <v/>
      </c>
      <c r="P15" s="128" t="str">
        <f t="shared" ref="P15:P16" ca="1" si="49">IF($A15&lt;&gt;"",INDIRECT("'"&amp;$A15&amp;"'!L26"),"")</f>
        <v/>
      </c>
      <c r="Q15" s="128" t="str">
        <f t="shared" ref="Q15:Q16" ca="1" si="50">IF($A15&lt;&gt;"",INDIRECT("'"&amp;$A15&amp;"'!L27"),"")</f>
        <v/>
      </c>
      <c r="R15" s="128" t="str">
        <f t="shared" ref="R15:R16" ca="1" si="51">IF($A15&lt;&gt;"",INDIRECT("'"&amp;$A15&amp;"'!L28"),"")</f>
        <v/>
      </c>
      <c r="S15" s="128" t="str">
        <f t="shared" ref="S15:S16" ca="1" si="52">IF($A15&lt;&gt;"",INDIRECT("'"&amp;$A15&amp;"'!L29"),"")</f>
        <v/>
      </c>
      <c r="T15" s="128" t="str">
        <f t="shared" ref="T15:T16" ca="1" si="53">IF($A15&lt;&gt;"",INDIRECT("'"&amp;$A15&amp;"'!L30"),"")</f>
        <v/>
      </c>
      <c r="U15" s="128" t="str">
        <f t="shared" ref="U15:U16" ca="1" si="54">IF($A15&lt;&gt;"",INDIRECT("'"&amp;$A15&amp;"'!L31"),"")</f>
        <v/>
      </c>
      <c r="V15" s="128" t="str">
        <f t="shared" ref="V15:V16" ca="1" si="55">IF($A15&lt;&gt;"",INDIRECT("'"&amp;$A15&amp;"'!L32"),"")</f>
        <v/>
      </c>
      <c r="W15" s="128" t="str">
        <f t="shared" ref="W15:W16" ca="1" si="56">IF($A15&lt;&gt;"",INDIRECT("'"&amp;$A15&amp;"'!L33"),"")</f>
        <v/>
      </c>
      <c r="X15" s="128" t="str">
        <f t="shared" ref="X15:X16" ca="1" si="57">IF($A15&lt;&gt;"",INDIRECT("'"&amp;$A15&amp;"'!L34"),"")</f>
        <v/>
      </c>
      <c r="Y15" s="128" t="str">
        <f t="shared" ref="Y15:Y16" ca="1" si="58">IF($A15&lt;&gt;"",INDIRECT("'"&amp;$A15&amp;"'!L35"),"")</f>
        <v/>
      </c>
      <c r="Z15" s="131" t="str">
        <f t="shared" ref="Z15:Z16" ca="1" si="59">IF($A15&lt;&gt;"",INDIRECT("'"&amp;$A15&amp;"'!L36"),"")</f>
        <v/>
      </c>
      <c r="AA15" s="132" t="str">
        <f t="shared" ref="AA15:AA16" si="60">IF($A15&lt;&gt;"",SUM(C29:Y29)/COUNT(C15:Y15),"")</f>
        <v/>
      </c>
      <c r="AB15" s="131" t="str">
        <f t="shared" ref="AB15:AB16" ca="1" si="61">IF($A15&lt;&gt;"",INDIRECT("'"&amp;$A15&amp;"'!F36"),"")</f>
        <v/>
      </c>
      <c r="AC15" s="131" t="str">
        <f t="shared" ref="AC15:AC16" ca="1" si="62">IF($A15&lt;&gt;"",INDIRECT("'"&amp;$A15&amp;"'!H36"),"")</f>
        <v/>
      </c>
      <c r="AD15" s="131" t="str">
        <f t="shared" ref="AD15:AD16" ca="1" si="63">IF($A15&lt;&gt;"",INDIRECT("'"&amp;$A15&amp;"'!I36"),"")</f>
        <v/>
      </c>
      <c r="AE15" s="128" t="str">
        <f t="shared" ref="AE15:AE16" ca="1" si="64">IF($A15&lt;&gt;"",INDIRECT("'"&amp;$A15&amp;"'!J36"),"")</f>
        <v/>
      </c>
      <c r="AF15" s="131" t="str">
        <f t="shared" ref="AF15:AF16" ca="1" si="65">IF($A15&lt;&gt;"",INDIRECT("'"&amp;$A15&amp;"'!K36"),"")</f>
        <v/>
      </c>
    </row>
    <row r="16" spans="1:32" x14ac:dyDescent="0.2">
      <c r="A16" s="109"/>
      <c r="B16" s="109" t="str">
        <f t="shared" ca="1" si="35"/>
        <v/>
      </c>
      <c r="C16" s="128" t="str">
        <f t="shared" ca="1" si="36"/>
        <v/>
      </c>
      <c r="D16" s="128" t="str">
        <f t="shared" ca="1" si="37"/>
        <v/>
      </c>
      <c r="E16" s="128" t="str">
        <f t="shared" ca="1" si="38"/>
        <v/>
      </c>
      <c r="F16" s="128" t="str">
        <f t="shared" ca="1" si="39"/>
        <v/>
      </c>
      <c r="G16" s="128" t="str">
        <f t="shared" ca="1" si="40"/>
        <v/>
      </c>
      <c r="H16" s="128" t="str">
        <f t="shared" ca="1" si="41"/>
        <v/>
      </c>
      <c r="I16" s="128" t="str">
        <f t="shared" ca="1" si="42"/>
        <v/>
      </c>
      <c r="J16" s="128" t="str">
        <f t="shared" ca="1" si="43"/>
        <v/>
      </c>
      <c r="K16" s="128" t="str">
        <f t="shared" ca="1" si="44"/>
        <v/>
      </c>
      <c r="L16" s="128" t="str">
        <f t="shared" ca="1" si="45"/>
        <v/>
      </c>
      <c r="M16" s="128" t="str">
        <f t="shared" ca="1" si="46"/>
        <v/>
      </c>
      <c r="N16" s="128" t="str">
        <f t="shared" ca="1" si="47"/>
        <v/>
      </c>
      <c r="O16" s="128" t="str">
        <f t="shared" ca="1" si="48"/>
        <v/>
      </c>
      <c r="P16" s="128" t="str">
        <f t="shared" ca="1" si="49"/>
        <v/>
      </c>
      <c r="Q16" s="128" t="str">
        <f t="shared" ca="1" si="50"/>
        <v/>
      </c>
      <c r="R16" s="128" t="str">
        <f t="shared" ca="1" si="51"/>
        <v/>
      </c>
      <c r="S16" s="128" t="str">
        <f t="shared" ca="1" si="52"/>
        <v/>
      </c>
      <c r="T16" s="128" t="str">
        <f t="shared" ca="1" si="53"/>
        <v/>
      </c>
      <c r="U16" s="128" t="str">
        <f t="shared" ca="1" si="54"/>
        <v/>
      </c>
      <c r="V16" s="128" t="str">
        <f t="shared" ca="1" si="55"/>
        <v/>
      </c>
      <c r="W16" s="128" t="str">
        <f t="shared" ca="1" si="56"/>
        <v/>
      </c>
      <c r="X16" s="128" t="str">
        <f t="shared" ca="1" si="57"/>
        <v/>
      </c>
      <c r="Y16" s="128" t="str">
        <f t="shared" ca="1" si="58"/>
        <v/>
      </c>
      <c r="Z16" s="131" t="str">
        <f t="shared" ca="1" si="59"/>
        <v/>
      </c>
      <c r="AA16" s="132" t="str">
        <f t="shared" si="60"/>
        <v/>
      </c>
      <c r="AB16" s="131" t="str">
        <f t="shared" ca="1" si="61"/>
        <v/>
      </c>
      <c r="AC16" s="131" t="str">
        <f t="shared" ca="1" si="62"/>
        <v/>
      </c>
      <c r="AD16" s="131" t="str">
        <f t="shared" ca="1" si="63"/>
        <v/>
      </c>
      <c r="AE16" s="128" t="str">
        <f t="shared" ca="1" si="64"/>
        <v/>
      </c>
      <c r="AF16" s="131" t="str">
        <f t="shared" ca="1" si="65"/>
        <v/>
      </c>
    </row>
    <row r="17" spans="1:32" x14ac:dyDescent="0.2">
      <c r="AF17" s="100"/>
    </row>
    <row r="18" spans="1:32" x14ac:dyDescent="0.2">
      <c r="AF18" s="99"/>
    </row>
    <row r="21" spans="1:32" hidden="1" x14ac:dyDescent="0.2">
      <c r="A21" s="27" t="s">
        <v>192</v>
      </c>
    </row>
    <row r="22" spans="1:32" hidden="1" x14ac:dyDescent="0.2">
      <c r="A22" s="27">
        <f>A8</f>
        <v>0</v>
      </c>
      <c r="B22" s="27" t="str">
        <f ca="1">B8</f>
        <v/>
      </c>
      <c r="C22" s="27" t="str">
        <f t="shared" ref="C22:Y30" si="66">IF($A8&lt;&gt;"",IF(ABS(C$3/3-C8)&lt;=0.75,1,0),"")</f>
        <v/>
      </c>
      <c r="D22" s="27" t="str">
        <f t="shared" si="66"/>
        <v/>
      </c>
      <c r="E22" s="27" t="str">
        <f t="shared" si="66"/>
        <v/>
      </c>
      <c r="F22" s="27" t="str">
        <f t="shared" si="66"/>
        <v/>
      </c>
      <c r="G22" s="27" t="str">
        <f t="shared" si="66"/>
        <v/>
      </c>
      <c r="H22" s="27" t="str">
        <f t="shared" si="66"/>
        <v/>
      </c>
      <c r="I22" s="27" t="str">
        <f t="shared" si="66"/>
        <v/>
      </c>
      <c r="J22" s="27" t="str">
        <f t="shared" si="66"/>
        <v/>
      </c>
      <c r="K22" s="27" t="str">
        <f t="shared" si="66"/>
        <v/>
      </c>
      <c r="L22" s="27" t="str">
        <f t="shared" si="66"/>
        <v/>
      </c>
      <c r="M22" s="27" t="str">
        <f t="shared" si="66"/>
        <v/>
      </c>
      <c r="N22" s="27" t="str">
        <f t="shared" si="66"/>
        <v/>
      </c>
      <c r="O22" s="27" t="str">
        <f t="shared" si="66"/>
        <v/>
      </c>
      <c r="P22" s="27" t="str">
        <f t="shared" si="66"/>
        <v/>
      </c>
      <c r="Q22" s="27" t="str">
        <f t="shared" si="66"/>
        <v/>
      </c>
      <c r="R22" s="27" t="str">
        <f t="shared" si="66"/>
        <v/>
      </c>
      <c r="S22" s="27" t="str">
        <f t="shared" si="66"/>
        <v/>
      </c>
      <c r="T22" s="27" t="str">
        <f t="shared" si="66"/>
        <v/>
      </c>
      <c r="U22" s="27" t="str">
        <f t="shared" si="66"/>
        <v/>
      </c>
      <c r="V22" s="27" t="str">
        <f t="shared" si="66"/>
        <v/>
      </c>
      <c r="W22" s="27" t="str">
        <f t="shared" si="66"/>
        <v/>
      </c>
      <c r="X22" s="27" t="str">
        <f t="shared" si="66"/>
        <v/>
      </c>
      <c r="Y22" s="27" t="str">
        <f t="shared" si="66"/>
        <v/>
      </c>
    </row>
    <row r="23" spans="1:32" hidden="1" x14ac:dyDescent="0.2">
      <c r="A23" s="27">
        <f>A9</f>
        <v>0</v>
      </c>
      <c r="B23" s="27" t="str">
        <f ca="1">B9</f>
        <v/>
      </c>
      <c r="C23" s="27" t="str">
        <f t="shared" si="66"/>
        <v/>
      </c>
      <c r="D23" s="27" t="str">
        <f t="shared" si="66"/>
        <v/>
      </c>
      <c r="E23" s="27" t="str">
        <f t="shared" si="66"/>
        <v/>
      </c>
      <c r="F23" s="27" t="str">
        <f t="shared" si="66"/>
        <v/>
      </c>
      <c r="G23" s="27" t="str">
        <f t="shared" si="66"/>
        <v/>
      </c>
      <c r="H23" s="27" t="str">
        <f t="shared" si="66"/>
        <v/>
      </c>
      <c r="I23" s="27" t="str">
        <f t="shared" si="66"/>
        <v/>
      </c>
      <c r="J23" s="27" t="str">
        <f t="shared" si="66"/>
        <v/>
      </c>
      <c r="K23" s="27" t="str">
        <f t="shared" si="66"/>
        <v/>
      </c>
      <c r="L23" s="27" t="str">
        <f t="shared" si="66"/>
        <v/>
      </c>
      <c r="M23" s="27" t="str">
        <f t="shared" si="66"/>
        <v/>
      </c>
      <c r="N23" s="27" t="str">
        <f t="shared" si="66"/>
        <v/>
      </c>
      <c r="O23" s="27" t="str">
        <f t="shared" si="66"/>
        <v/>
      </c>
      <c r="P23" s="27" t="str">
        <f t="shared" si="66"/>
        <v/>
      </c>
      <c r="Q23" s="27" t="str">
        <f t="shared" si="66"/>
        <v/>
      </c>
      <c r="R23" s="27" t="str">
        <f t="shared" si="66"/>
        <v/>
      </c>
      <c r="S23" s="27" t="str">
        <f t="shared" si="66"/>
        <v/>
      </c>
      <c r="T23" s="27" t="str">
        <f t="shared" si="66"/>
        <v/>
      </c>
      <c r="U23" s="27" t="str">
        <f t="shared" si="66"/>
        <v/>
      </c>
      <c r="V23" s="27" t="str">
        <f t="shared" si="66"/>
        <v/>
      </c>
      <c r="W23" s="27" t="str">
        <f t="shared" si="66"/>
        <v/>
      </c>
      <c r="X23" s="27" t="str">
        <f t="shared" si="66"/>
        <v/>
      </c>
      <c r="Y23" s="27" t="str">
        <f t="shared" si="66"/>
        <v/>
      </c>
    </row>
    <row r="24" spans="1:32" hidden="1" x14ac:dyDescent="0.2">
      <c r="A24" s="27">
        <f>A10</f>
        <v>0</v>
      </c>
      <c r="B24" s="27" t="str">
        <f t="shared" ref="B24:B30" ca="1" si="67">B10</f>
        <v/>
      </c>
      <c r="C24" s="27" t="str">
        <f t="shared" si="66"/>
        <v/>
      </c>
      <c r="D24" s="27" t="str">
        <f t="shared" si="66"/>
        <v/>
      </c>
      <c r="E24" s="27" t="str">
        <f t="shared" si="66"/>
        <v/>
      </c>
      <c r="F24" s="27" t="str">
        <f t="shared" si="66"/>
        <v/>
      </c>
      <c r="G24" s="27" t="str">
        <f t="shared" si="66"/>
        <v/>
      </c>
      <c r="H24" s="27" t="str">
        <f t="shared" si="66"/>
        <v/>
      </c>
      <c r="I24" s="27" t="str">
        <f t="shared" si="66"/>
        <v/>
      </c>
      <c r="J24" s="27" t="str">
        <f t="shared" si="66"/>
        <v/>
      </c>
      <c r="K24" s="27" t="str">
        <f t="shared" si="66"/>
        <v/>
      </c>
      <c r="L24" s="27" t="str">
        <f t="shared" si="66"/>
        <v/>
      </c>
      <c r="M24" s="27" t="str">
        <f t="shared" si="66"/>
        <v/>
      </c>
      <c r="N24" s="27" t="str">
        <f t="shared" si="66"/>
        <v/>
      </c>
      <c r="O24" s="27" t="str">
        <f t="shared" si="66"/>
        <v/>
      </c>
      <c r="P24" s="27" t="str">
        <f t="shared" si="66"/>
        <v/>
      </c>
      <c r="Q24" s="27" t="str">
        <f t="shared" si="66"/>
        <v/>
      </c>
      <c r="R24" s="27" t="str">
        <f t="shared" si="66"/>
        <v/>
      </c>
      <c r="S24" s="27" t="str">
        <f t="shared" si="66"/>
        <v/>
      </c>
      <c r="T24" s="27" t="str">
        <f t="shared" si="66"/>
        <v/>
      </c>
      <c r="U24" s="27" t="str">
        <f t="shared" si="66"/>
        <v/>
      </c>
      <c r="V24" s="27" t="str">
        <f t="shared" si="66"/>
        <v/>
      </c>
      <c r="W24" s="27" t="str">
        <f t="shared" si="66"/>
        <v/>
      </c>
      <c r="X24" s="27" t="str">
        <f t="shared" si="66"/>
        <v/>
      </c>
      <c r="Y24" s="27" t="str">
        <f t="shared" si="66"/>
        <v/>
      </c>
    </row>
    <row r="25" spans="1:32" hidden="1" x14ac:dyDescent="0.2">
      <c r="A25" s="27">
        <f>A11</f>
        <v>0</v>
      </c>
      <c r="B25" s="27" t="str">
        <f t="shared" ca="1" si="67"/>
        <v/>
      </c>
      <c r="C25" s="27" t="str">
        <f t="shared" si="66"/>
        <v/>
      </c>
      <c r="D25" s="27" t="str">
        <f t="shared" si="66"/>
        <v/>
      </c>
      <c r="E25" s="27" t="str">
        <f t="shared" si="66"/>
        <v/>
      </c>
      <c r="F25" s="27" t="str">
        <f t="shared" si="66"/>
        <v/>
      </c>
      <c r="G25" s="27" t="str">
        <f t="shared" si="66"/>
        <v/>
      </c>
      <c r="H25" s="27" t="str">
        <f t="shared" si="66"/>
        <v/>
      </c>
      <c r="I25" s="27" t="str">
        <f t="shared" si="66"/>
        <v/>
      </c>
      <c r="J25" s="27" t="str">
        <f t="shared" si="66"/>
        <v/>
      </c>
      <c r="K25" s="27" t="str">
        <f t="shared" si="66"/>
        <v/>
      </c>
      <c r="L25" s="27" t="str">
        <f t="shared" si="66"/>
        <v/>
      </c>
      <c r="M25" s="27" t="str">
        <f t="shared" si="66"/>
        <v/>
      </c>
      <c r="N25" s="27" t="str">
        <f t="shared" si="66"/>
        <v/>
      </c>
      <c r="O25" s="27" t="str">
        <f t="shared" si="66"/>
        <v/>
      </c>
      <c r="P25" s="27" t="str">
        <f t="shared" si="66"/>
        <v/>
      </c>
      <c r="Q25" s="27" t="str">
        <f t="shared" si="66"/>
        <v/>
      </c>
      <c r="R25" s="27" t="str">
        <f t="shared" si="66"/>
        <v/>
      </c>
      <c r="S25" s="27" t="str">
        <f t="shared" si="66"/>
        <v/>
      </c>
      <c r="T25" s="27" t="str">
        <f t="shared" si="66"/>
        <v/>
      </c>
      <c r="U25" s="27" t="str">
        <f t="shared" si="66"/>
        <v/>
      </c>
      <c r="V25" s="27" t="str">
        <f t="shared" si="66"/>
        <v/>
      </c>
      <c r="W25" s="27" t="str">
        <f t="shared" si="66"/>
        <v/>
      </c>
      <c r="X25" s="27" t="str">
        <f t="shared" si="66"/>
        <v/>
      </c>
      <c r="Y25" s="27" t="str">
        <f t="shared" si="66"/>
        <v/>
      </c>
    </row>
    <row r="26" spans="1:32" hidden="1" x14ac:dyDescent="0.2">
      <c r="A26" s="27">
        <f>A12</f>
        <v>0</v>
      </c>
      <c r="B26" s="27" t="str">
        <f t="shared" ca="1" si="67"/>
        <v/>
      </c>
      <c r="C26" s="27" t="str">
        <f t="shared" si="66"/>
        <v/>
      </c>
      <c r="D26" s="27" t="str">
        <f t="shared" si="66"/>
        <v/>
      </c>
      <c r="E26" s="27" t="str">
        <f t="shared" si="66"/>
        <v/>
      </c>
      <c r="F26" s="27" t="str">
        <f t="shared" si="66"/>
        <v/>
      </c>
      <c r="G26" s="27" t="str">
        <f t="shared" si="66"/>
        <v/>
      </c>
      <c r="H26" s="27" t="str">
        <f t="shared" si="66"/>
        <v/>
      </c>
      <c r="I26" s="27" t="str">
        <f t="shared" si="66"/>
        <v/>
      </c>
      <c r="J26" s="27" t="str">
        <f t="shared" si="66"/>
        <v/>
      </c>
      <c r="K26" s="27" t="str">
        <f t="shared" si="66"/>
        <v/>
      </c>
      <c r="L26" s="27" t="str">
        <f t="shared" si="66"/>
        <v/>
      </c>
      <c r="M26" s="27" t="str">
        <f t="shared" si="66"/>
        <v/>
      </c>
      <c r="N26" s="27" t="str">
        <f t="shared" si="66"/>
        <v/>
      </c>
      <c r="O26" s="27" t="str">
        <f t="shared" si="66"/>
        <v/>
      </c>
      <c r="P26" s="27" t="str">
        <f t="shared" si="66"/>
        <v/>
      </c>
      <c r="Q26" s="27" t="str">
        <f t="shared" si="66"/>
        <v/>
      </c>
      <c r="R26" s="27" t="str">
        <f t="shared" si="66"/>
        <v/>
      </c>
      <c r="S26" s="27" t="str">
        <f t="shared" si="66"/>
        <v/>
      </c>
      <c r="T26" s="27" t="str">
        <f t="shared" si="66"/>
        <v/>
      </c>
      <c r="U26" s="27" t="str">
        <f t="shared" si="66"/>
        <v/>
      </c>
      <c r="V26" s="27" t="str">
        <f t="shared" si="66"/>
        <v/>
      </c>
      <c r="W26" s="27" t="str">
        <f t="shared" si="66"/>
        <v/>
      </c>
      <c r="X26" s="27" t="str">
        <f t="shared" si="66"/>
        <v/>
      </c>
      <c r="Y26" s="27" t="str">
        <f t="shared" si="66"/>
        <v/>
      </c>
    </row>
    <row r="27" spans="1:32" hidden="1" x14ac:dyDescent="0.2">
      <c r="A27" s="27">
        <f>A13</f>
        <v>0</v>
      </c>
      <c r="B27" s="27" t="str">
        <f t="shared" ca="1" si="67"/>
        <v/>
      </c>
      <c r="C27" s="27" t="str">
        <f t="shared" si="66"/>
        <v/>
      </c>
      <c r="D27" s="27" t="str">
        <f t="shared" si="66"/>
        <v/>
      </c>
      <c r="E27" s="27" t="str">
        <f t="shared" si="66"/>
        <v/>
      </c>
      <c r="F27" s="27" t="str">
        <f t="shared" si="66"/>
        <v/>
      </c>
      <c r="G27" s="27" t="str">
        <f t="shared" si="66"/>
        <v/>
      </c>
      <c r="H27" s="27" t="str">
        <f t="shared" si="66"/>
        <v/>
      </c>
      <c r="I27" s="27" t="str">
        <f t="shared" si="66"/>
        <v/>
      </c>
      <c r="J27" s="27" t="str">
        <f t="shared" si="66"/>
        <v/>
      </c>
      <c r="K27" s="27" t="str">
        <f t="shared" si="66"/>
        <v/>
      </c>
      <c r="L27" s="27" t="str">
        <f t="shared" si="66"/>
        <v/>
      </c>
      <c r="M27" s="27" t="str">
        <f t="shared" si="66"/>
        <v/>
      </c>
      <c r="N27" s="27" t="str">
        <f t="shared" si="66"/>
        <v/>
      </c>
      <c r="O27" s="27" t="str">
        <f t="shared" si="66"/>
        <v/>
      </c>
      <c r="P27" s="27" t="str">
        <f t="shared" si="66"/>
        <v/>
      </c>
      <c r="Q27" s="27" t="str">
        <f t="shared" si="66"/>
        <v/>
      </c>
      <c r="R27" s="27" t="str">
        <f t="shared" si="66"/>
        <v/>
      </c>
      <c r="S27" s="27" t="str">
        <f t="shared" si="66"/>
        <v/>
      </c>
      <c r="T27" s="27" t="str">
        <f t="shared" si="66"/>
        <v/>
      </c>
      <c r="U27" s="27" t="str">
        <f t="shared" si="66"/>
        <v/>
      </c>
      <c r="V27" s="27" t="str">
        <f t="shared" si="66"/>
        <v/>
      </c>
      <c r="W27" s="27" t="str">
        <f t="shared" si="66"/>
        <v/>
      </c>
      <c r="X27" s="27" t="str">
        <f t="shared" si="66"/>
        <v/>
      </c>
      <c r="Y27" s="27" t="str">
        <f t="shared" si="66"/>
        <v/>
      </c>
    </row>
    <row r="28" spans="1:32" hidden="1" x14ac:dyDescent="0.2"/>
    <row r="29" spans="1:32" hidden="1" x14ac:dyDescent="0.2">
      <c r="A29" s="27">
        <f>A15</f>
        <v>0</v>
      </c>
      <c r="B29" s="27" t="str">
        <f t="shared" ca="1" si="67"/>
        <v/>
      </c>
      <c r="C29" s="27" t="str">
        <f t="shared" si="66"/>
        <v/>
      </c>
      <c r="D29" s="27" t="str">
        <f t="shared" si="66"/>
        <v/>
      </c>
      <c r="E29" s="27" t="str">
        <f t="shared" si="66"/>
        <v/>
      </c>
      <c r="F29" s="27" t="str">
        <f t="shared" si="66"/>
        <v/>
      </c>
      <c r="G29" s="27" t="str">
        <f t="shared" si="66"/>
        <v/>
      </c>
      <c r="H29" s="27" t="str">
        <f t="shared" si="66"/>
        <v/>
      </c>
      <c r="I29" s="27" t="str">
        <f t="shared" si="66"/>
        <v/>
      </c>
      <c r="J29" s="27" t="str">
        <f t="shared" si="66"/>
        <v/>
      </c>
      <c r="K29" s="27" t="str">
        <f t="shared" si="66"/>
        <v/>
      </c>
      <c r="L29" s="27" t="str">
        <f t="shared" si="66"/>
        <v/>
      </c>
      <c r="M29" s="27" t="str">
        <f t="shared" si="66"/>
        <v/>
      </c>
      <c r="N29" s="27" t="str">
        <f t="shared" si="66"/>
        <v/>
      </c>
      <c r="O29" s="27" t="str">
        <f t="shared" si="66"/>
        <v/>
      </c>
      <c r="P29" s="27" t="str">
        <f t="shared" si="66"/>
        <v/>
      </c>
      <c r="Q29" s="27" t="str">
        <f t="shared" si="66"/>
        <v/>
      </c>
      <c r="R29" s="27" t="str">
        <f t="shared" si="66"/>
        <v/>
      </c>
      <c r="S29" s="27" t="str">
        <f t="shared" si="66"/>
        <v/>
      </c>
      <c r="T29" s="27" t="str">
        <f t="shared" si="66"/>
        <v/>
      </c>
      <c r="U29" s="27" t="str">
        <f t="shared" si="66"/>
        <v/>
      </c>
      <c r="V29" s="27" t="str">
        <f t="shared" si="66"/>
        <v/>
      </c>
      <c r="W29" s="27" t="str">
        <f t="shared" si="66"/>
        <v/>
      </c>
      <c r="X29" s="27" t="str">
        <f t="shared" si="66"/>
        <v/>
      </c>
      <c r="Y29" s="27" t="str">
        <f t="shared" si="66"/>
        <v/>
      </c>
    </row>
    <row r="30" spans="1:32" hidden="1" x14ac:dyDescent="0.2">
      <c r="A30" s="27">
        <f>A16</f>
        <v>0</v>
      </c>
      <c r="B30" s="27" t="str">
        <f t="shared" ca="1" si="67"/>
        <v/>
      </c>
      <c r="C30" s="27" t="str">
        <f t="shared" si="66"/>
        <v/>
      </c>
      <c r="D30" s="27" t="str">
        <f t="shared" si="66"/>
        <v/>
      </c>
      <c r="E30" s="27" t="str">
        <f t="shared" si="66"/>
        <v/>
      </c>
      <c r="F30" s="27" t="str">
        <f t="shared" si="66"/>
        <v/>
      </c>
      <c r="G30" s="27" t="str">
        <f t="shared" si="66"/>
        <v/>
      </c>
      <c r="H30" s="27" t="str">
        <f t="shared" si="66"/>
        <v/>
      </c>
      <c r="I30" s="27" t="str">
        <f t="shared" si="66"/>
        <v/>
      </c>
      <c r="J30" s="27" t="str">
        <f t="shared" si="66"/>
        <v/>
      </c>
      <c r="K30" s="27" t="str">
        <f t="shared" si="66"/>
        <v/>
      </c>
      <c r="L30" s="27" t="str">
        <f t="shared" si="66"/>
        <v/>
      </c>
      <c r="M30" s="27" t="str">
        <f t="shared" si="66"/>
        <v/>
      </c>
      <c r="N30" s="27" t="str">
        <f t="shared" si="66"/>
        <v/>
      </c>
      <c r="O30" s="27" t="str">
        <f t="shared" si="66"/>
        <v/>
      </c>
      <c r="P30" s="27" t="str">
        <f t="shared" si="66"/>
        <v/>
      </c>
      <c r="Q30" s="27" t="str">
        <f t="shared" si="66"/>
        <v/>
      </c>
      <c r="R30" s="27" t="str">
        <f t="shared" si="66"/>
        <v/>
      </c>
      <c r="S30" s="27" t="str">
        <f t="shared" si="66"/>
        <v/>
      </c>
      <c r="T30" s="27" t="str">
        <f t="shared" si="66"/>
        <v/>
      </c>
      <c r="U30" s="27" t="str">
        <f t="shared" si="66"/>
        <v/>
      </c>
      <c r="V30" s="27" t="str">
        <f t="shared" si="66"/>
        <v/>
      </c>
      <c r="W30" s="27" t="str">
        <f t="shared" si="66"/>
        <v/>
      </c>
      <c r="X30" s="27" t="str">
        <f t="shared" si="66"/>
        <v/>
      </c>
      <c r="Y30" s="27" t="str">
        <f t="shared" si="66"/>
        <v/>
      </c>
    </row>
  </sheetData>
  <sheetProtection selectLockedCells="1" selectUnlockedCells="1"/>
  <mergeCells count="4">
    <mergeCell ref="A6:B6"/>
    <mergeCell ref="A3:B3"/>
    <mergeCell ref="A4:B4"/>
    <mergeCell ref="A5:B5"/>
  </mergeCells>
  <conditionalFormatting sqref="C4:R4 Y4">
    <cfRule type="expression" dxfId="27" priority="11">
      <formula>C4&gt;3</formula>
    </cfRule>
    <cfRule type="expression" dxfId="26" priority="12">
      <formula>AND(C4&gt;2,C4&lt;=3)</formula>
    </cfRule>
    <cfRule type="expression" dxfId="25" priority="13">
      <formula>AND(C4&gt;1,C4&lt;=2)</formula>
    </cfRule>
    <cfRule type="expression" dxfId="24" priority="14">
      <formula>C4&lt;=1</formula>
    </cfRule>
  </conditionalFormatting>
  <conditionalFormatting sqref="C8:Y10 C12:Y13">
    <cfRule type="expression" dxfId="23" priority="9">
      <formula>C$3/3-C8&lt;-0.75</formula>
    </cfRule>
    <cfRule type="expression" dxfId="22" priority="10">
      <formula>C$3/3-C8&gt;0.75</formula>
    </cfRule>
  </conditionalFormatting>
  <conditionalFormatting sqref="C11:D11">
    <cfRule type="expression" dxfId="21" priority="7">
      <formula>C$3/3-C11&lt;-0.75</formula>
    </cfRule>
    <cfRule type="expression" dxfId="20" priority="8">
      <formula>C$3/3-C11&gt;0.75</formula>
    </cfRule>
  </conditionalFormatting>
  <conditionalFormatting sqref="E11:Y11">
    <cfRule type="expression" dxfId="19" priority="5">
      <formula>E$3/3-E11&lt;-0.75</formula>
    </cfRule>
    <cfRule type="expression" dxfId="18" priority="6">
      <formula>E$3/3-E11&gt;0.75</formula>
    </cfRule>
  </conditionalFormatting>
  <conditionalFormatting sqref="S4:X4">
    <cfRule type="expression" dxfId="17" priority="1">
      <formula>S4&gt;3</formula>
    </cfRule>
    <cfRule type="expression" dxfId="16" priority="2">
      <formula>AND(S4&gt;2,S4&lt;=3)</formula>
    </cfRule>
    <cfRule type="expression" dxfId="15" priority="3">
      <formula>AND(S4&gt;1,S4&lt;=2)</formula>
    </cfRule>
    <cfRule type="expression" dxfId="14" priority="4">
      <formula>S4&lt;=1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CEC443-8093-4BDD-A169-47F7C76D4337}">
  <sheetPr codeName="Tabelle19"/>
  <dimension ref="A1:AF30"/>
  <sheetViews>
    <sheetView zoomScaleNormal="100" workbookViewId="0"/>
  </sheetViews>
  <sheetFormatPr baseColWidth="10" defaultColWidth="11.5703125" defaultRowHeight="12.75" x14ac:dyDescent="0.2"/>
  <cols>
    <col min="1" max="1" width="11.7109375" style="27" customWidth="1"/>
    <col min="2" max="2" width="18.5703125" style="27" customWidth="1"/>
    <col min="3" max="21" width="5.7109375" style="27" customWidth="1"/>
    <col min="22" max="24" width="5.7109375" style="27" hidden="1" customWidth="1"/>
    <col min="25" max="25" width="5.7109375" style="27" customWidth="1"/>
    <col min="26" max="27" width="6.7109375" style="27" customWidth="1"/>
    <col min="28" max="32" width="5.7109375" style="27" customWidth="1"/>
    <col min="33" max="16384" width="11.5703125" style="27"/>
  </cols>
  <sheetData>
    <row r="1" spans="1:32" ht="15" customHeight="1" x14ac:dyDescent="0.2">
      <c r="A1" s="27" t="str">
        <f>Doku!B46&amp;":"</f>
        <v>Paarung:</v>
      </c>
      <c r="B1" s="101" t="e">
        <f ca="1">INDIRECT("'"&amp;$A8&amp;"'!D8") &amp; "-" &amp; INDIRECT("'"&amp;$A8&amp;"'!D9") &amp; " (" &amp; INDIRECT("'"&amp;$A8&amp;"'!L8") &amp;")"</f>
        <v>#REF!</v>
      </c>
      <c r="Z1" s="110"/>
      <c r="AA1" s="110"/>
      <c r="AF1" s="103"/>
    </row>
    <row r="2" spans="1:32" ht="128.1" customHeight="1" x14ac:dyDescent="0.2">
      <c r="A2" s="104" t="str">
        <f>Doku!B44</f>
        <v>Position</v>
      </c>
      <c r="B2" s="104" t="str">
        <f>Doku!B50</f>
        <v>Name</v>
      </c>
      <c r="C2" s="98" t="str">
        <f>Doku!B51</f>
        <v>Angrüßen</v>
      </c>
      <c r="D2" s="98" t="s">
        <v>214</v>
      </c>
      <c r="E2" s="98" t="s">
        <v>215</v>
      </c>
      <c r="F2" s="98" t="s">
        <v>216</v>
      </c>
      <c r="G2" s="98" t="s">
        <v>217</v>
      </c>
      <c r="H2" s="98" t="s">
        <v>218</v>
      </c>
      <c r="I2" s="98" t="s">
        <v>219</v>
      </c>
      <c r="J2" s="98" t="s">
        <v>220</v>
      </c>
      <c r="K2" s="98" t="s">
        <v>221</v>
      </c>
      <c r="L2" s="98" t="s">
        <v>222</v>
      </c>
      <c r="M2" s="98" t="s">
        <v>223</v>
      </c>
      <c r="N2" s="98" t="s">
        <v>224</v>
      </c>
      <c r="O2" s="98" t="s">
        <v>225</v>
      </c>
      <c r="P2" s="98" t="s">
        <v>226</v>
      </c>
      <c r="Q2" s="98" t="s">
        <v>227</v>
      </c>
      <c r="R2" s="98" t="s">
        <v>228</v>
      </c>
      <c r="S2" s="98" t="s">
        <v>229</v>
      </c>
      <c r="T2" s="98" t="s">
        <v>230</v>
      </c>
      <c r="U2" s="98" t="s">
        <v>231</v>
      </c>
      <c r="Y2" s="98" t="str">
        <f>Doku!B52</f>
        <v>Abgrüßen</v>
      </c>
      <c r="Z2" s="111" t="str">
        <f>Doku!B42</f>
        <v>Gesamt</v>
      </c>
      <c r="AA2" s="111" t="s">
        <v>191</v>
      </c>
      <c r="AB2" s="98" t="str">
        <f>Doku!B38</f>
        <v>Kleiner Fehler</v>
      </c>
      <c r="AC2" s="98" t="str">
        <f>Doku!B39</f>
        <v>Mittlerer Fehler</v>
      </c>
      <c r="AD2" s="98" t="str">
        <f>Doku!B40</f>
        <v>Großer Fehler</v>
      </c>
      <c r="AE2" s="98" t="str">
        <f>Doku!B53</f>
        <v>Korrektur</v>
      </c>
      <c r="AF2" s="98" t="str">
        <f>Doku!B41</f>
        <v>Technik vergessen</v>
      </c>
    </row>
    <row r="3" spans="1:32" ht="15" customHeight="1" x14ac:dyDescent="0.2">
      <c r="A3" s="388" t="s">
        <v>232</v>
      </c>
      <c r="B3" s="388"/>
      <c r="C3" s="264">
        <f ca="1">IF(COUNTIF(C8:C12,"")&gt;0,SUM(C8:C12),SUM(C8:C12)-MAX(C8:C12)-MIN(C8:C12))</f>
        <v>0</v>
      </c>
      <c r="D3" s="264">
        <f t="shared" ref="D3:Y3" ca="1" si="0">IF(COUNTIF(D8:D12,"")&gt;0,SUM(D8:D12),SUM(D8:D12)-MAX(D8:D12)-MIN(D8:D12))</f>
        <v>0</v>
      </c>
      <c r="E3" s="264">
        <f t="shared" ca="1" si="0"/>
        <v>0</v>
      </c>
      <c r="F3" s="264">
        <f t="shared" ca="1" si="0"/>
        <v>0</v>
      </c>
      <c r="G3" s="264">
        <f t="shared" ca="1" si="0"/>
        <v>0</v>
      </c>
      <c r="H3" s="264">
        <f t="shared" ca="1" si="0"/>
        <v>0</v>
      </c>
      <c r="I3" s="264">
        <f t="shared" ca="1" si="0"/>
        <v>0</v>
      </c>
      <c r="J3" s="264">
        <f t="shared" ca="1" si="0"/>
        <v>0</v>
      </c>
      <c r="K3" s="264">
        <f t="shared" ca="1" si="0"/>
        <v>0</v>
      </c>
      <c r="L3" s="264">
        <f t="shared" ca="1" si="0"/>
        <v>0</v>
      </c>
      <c r="M3" s="264">
        <f t="shared" ca="1" si="0"/>
        <v>0</v>
      </c>
      <c r="N3" s="264">
        <f t="shared" ca="1" si="0"/>
        <v>0</v>
      </c>
      <c r="O3" s="264">
        <f t="shared" ca="1" si="0"/>
        <v>0</v>
      </c>
      <c r="P3" s="264">
        <f t="shared" ca="1" si="0"/>
        <v>0</v>
      </c>
      <c r="Q3" s="264">
        <f t="shared" ca="1" si="0"/>
        <v>0</v>
      </c>
      <c r="R3" s="264">
        <f t="shared" ca="1" si="0"/>
        <v>0</v>
      </c>
      <c r="S3" s="264">
        <f t="shared" ca="1" si="0"/>
        <v>0</v>
      </c>
      <c r="T3" s="264">
        <f t="shared" ca="1" si="0"/>
        <v>0</v>
      </c>
      <c r="U3" s="264">
        <f t="shared" ca="1" si="0"/>
        <v>0</v>
      </c>
      <c r="Y3" s="264">
        <f t="shared" ca="1" si="0"/>
        <v>0</v>
      </c>
      <c r="Z3" s="265">
        <f ca="1">IF(SUM(AF8:AF12)&gt;0,SUM(C3:Y3)/2,SUM(C3:Y3))</f>
        <v>0</v>
      </c>
      <c r="AA3" s="266"/>
      <c r="AB3" s="265">
        <f t="shared" ref="AB3:AF3" ca="1" si="1">IF(COUNTIF(AB8:AB12,"")&gt;0,SUM(AB8:AB12),SUM(AB8:AB12)-MAX(AB8:AB12)-MIN(AB8:AB12))</f>
        <v>0</v>
      </c>
      <c r="AC3" s="265">
        <f t="shared" ca="1" si="1"/>
        <v>0</v>
      </c>
      <c r="AD3" s="265">
        <f t="shared" ca="1" si="1"/>
        <v>0</v>
      </c>
      <c r="AE3" s="264">
        <f t="shared" ca="1" si="1"/>
        <v>0</v>
      </c>
      <c r="AF3" s="265">
        <f t="shared" ca="1" si="1"/>
        <v>0</v>
      </c>
    </row>
    <row r="4" spans="1:32" ht="15" customHeight="1" x14ac:dyDescent="0.2">
      <c r="A4" s="389" t="str">
        <f>Doku!B49&amp;":"</f>
        <v>Spannweite:</v>
      </c>
      <c r="B4" s="389"/>
      <c r="C4" s="112">
        <f t="shared" ref="C4:U4" ca="1" si="2">MAX(C8:C12)-MIN(C8:C12)</f>
        <v>0</v>
      </c>
      <c r="D4" s="112">
        <f t="shared" ca="1" si="2"/>
        <v>0</v>
      </c>
      <c r="E4" s="112">
        <f t="shared" ca="1" si="2"/>
        <v>0</v>
      </c>
      <c r="F4" s="112">
        <f t="shared" ca="1" si="2"/>
        <v>0</v>
      </c>
      <c r="G4" s="112">
        <f t="shared" ca="1" si="2"/>
        <v>0</v>
      </c>
      <c r="H4" s="112">
        <f t="shared" ca="1" si="2"/>
        <v>0</v>
      </c>
      <c r="I4" s="112">
        <f t="shared" ca="1" si="2"/>
        <v>0</v>
      </c>
      <c r="J4" s="112">
        <f t="shared" ca="1" si="2"/>
        <v>0</v>
      </c>
      <c r="K4" s="112">
        <f t="shared" ca="1" si="2"/>
        <v>0</v>
      </c>
      <c r="L4" s="112">
        <f t="shared" ca="1" si="2"/>
        <v>0</v>
      </c>
      <c r="M4" s="112">
        <f t="shared" ca="1" si="2"/>
        <v>0</v>
      </c>
      <c r="N4" s="112">
        <f t="shared" ca="1" si="2"/>
        <v>0</v>
      </c>
      <c r="O4" s="112">
        <f t="shared" ca="1" si="2"/>
        <v>0</v>
      </c>
      <c r="P4" s="112">
        <f t="shared" ca="1" si="2"/>
        <v>0</v>
      </c>
      <c r="Q4" s="112">
        <f t="shared" ca="1" si="2"/>
        <v>0</v>
      </c>
      <c r="R4" s="112">
        <f t="shared" ca="1" si="2"/>
        <v>0</v>
      </c>
      <c r="S4" s="112">
        <f t="shared" ca="1" si="2"/>
        <v>0</v>
      </c>
      <c r="T4" s="112">
        <f t="shared" ca="1" si="2"/>
        <v>0</v>
      </c>
      <c r="U4" s="112">
        <f t="shared" ca="1" si="2"/>
        <v>0</v>
      </c>
      <c r="Y4" s="112">
        <f ca="1">MAX(Y8:Y12)-MIN(Y8:Y12)</f>
        <v>0</v>
      </c>
      <c r="Z4" s="113">
        <f ca="1">MAX(Z8:Z12)-MIN(Z8:Z12)</f>
        <v>0</v>
      </c>
      <c r="AA4" s="114"/>
      <c r="AB4" s="113">
        <f ca="1">MAX(AB8:AB12)-MIN(AB8:AB12)</f>
        <v>0</v>
      </c>
      <c r="AC4" s="113">
        <f ca="1">MAX(AC8:AC12)-MIN(AC8:AC12)</f>
        <v>0</v>
      </c>
      <c r="AD4" s="113">
        <f ca="1">MAX(AD8:AD12)-MIN(AD8:AD12)</f>
        <v>0</v>
      </c>
      <c r="AE4" s="112">
        <f ca="1">MAX(AE8:AE12)-MIN(AE8:AE12)</f>
        <v>0</v>
      </c>
      <c r="AF4" s="113">
        <f ca="1">MAX(AF8:AF12)-MIN(AF8:AF12)</f>
        <v>0</v>
      </c>
    </row>
    <row r="5" spans="1:32" ht="15" customHeight="1" x14ac:dyDescent="0.2">
      <c r="A5" s="389" t="str">
        <f>Doku!B47&amp;":"</f>
        <v>Mittelwert:</v>
      </c>
      <c r="B5" s="389"/>
      <c r="C5" s="112">
        <f ca="1">C3/3</f>
        <v>0</v>
      </c>
      <c r="D5" s="112">
        <f t="shared" ref="D5:AF5" ca="1" si="3">D3/3</f>
        <v>0</v>
      </c>
      <c r="E5" s="112">
        <f t="shared" ca="1" si="3"/>
        <v>0</v>
      </c>
      <c r="F5" s="112">
        <f t="shared" ca="1" si="3"/>
        <v>0</v>
      </c>
      <c r="G5" s="112">
        <f t="shared" ca="1" si="3"/>
        <v>0</v>
      </c>
      <c r="H5" s="112">
        <f t="shared" ca="1" si="3"/>
        <v>0</v>
      </c>
      <c r="I5" s="112">
        <f t="shared" ca="1" si="3"/>
        <v>0</v>
      </c>
      <c r="J5" s="112">
        <f t="shared" ca="1" si="3"/>
        <v>0</v>
      </c>
      <c r="K5" s="112">
        <f t="shared" ca="1" si="3"/>
        <v>0</v>
      </c>
      <c r="L5" s="112">
        <f t="shared" ca="1" si="3"/>
        <v>0</v>
      </c>
      <c r="M5" s="112">
        <f t="shared" ca="1" si="3"/>
        <v>0</v>
      </c>
      <c r="N5" s="112">
        <f t="shared" ca="1" si="3"/>
        <v>0</v>
      </c>
      <c r="O5" s="112">
        <f t="shared" ca="1" si="3"/>
        <v>0</v>
      </c>
      <c r="P5" s="112">
        <f t="shared" ca="1" si="3"/>
        <v>0</v>
      </c>
      <c r="Q5" s="112">
        <f t="shared" ca="1" si="3"/>
        <v>0</v>
      </c>
      <c r="R5" s="112">
        <f t="shared" ca="1" si="3"/>
        <v>0</v>
      </c>
      <c r="S5" s="112">
        <f t="shared" ca="1" si="3"/>
        <v>0</v>
      </c>
      <c r="T5" s="112">
        <f t="shared" ca="1" si="3"/>
        <v>0</v>
      </c>
      <c r="U5" s="112">
        <f t="shared" ca="1" si="3"/>
        <v>0</v>
      </c>
      <c r="Y5" s="112">
        <f t="shared" ca="1" si="3"/>
        <v>0</v>
      </c>
      <c r="Z5" s="113">
        <f t="shared" ca="1" si="3"/>
        <v>0</v>
      </c>
      <c r="AA5" s="115"/>
      <c r="AB5" s="113">
        <f t="shared" ca="1" si="3"/>
        <v>0</v>
      </c>
      <c r="AC5" s="113">
        <f t="shared" ca="1" si="3"/>
        <v>0</v>
      </c>
      <c r="AD5" s="113">
        <f t="shared" ca="1" si="3"/>
        <v>0</v>
      </c>
      <c r="AE5" s="112">
        <f t="shared" ca="1" si="3"/>
        <v>0</v>
      </c>
      <c r="AF5" s="113">
        <f t="shared" ca="1" si="3"/>
        <v>0</v>
      </c>
    </row>
    <row r="6" spans="1:32" ht="15" hidden="1" customHeight="1" x14ac:dyDescent="0.2">
      <c r="A6" s="389"/>
      <c r="B6" s="389"/>
      <c r="C6" s="112"/>
      <c r="D6" s="112"/>
      <c r="E6" s="112"/>
      <c r="F6" s="112"/>
      <c r="G6" s="112"/>
      <c r="H6" s="112"/>
      <c r="I6" s="112"/>
      <c r="J6" s="112"/>
      <c r="K6" s="112"/>
      <c r="L6" s="112"/>
      <c r="M6" s="112"/>
      <c r="N6" s="112"/>
      <c r="O6" s="112"/>
      <c r="P6" s="112"/>
      <c r="Q6" s="112"/>
      <c r="R6" s="112"/>
      <c r="S6" s="112"/>
      <c r="T6" s="112"/>
      <c r="U6" s="112"/>
      <c r="Y6" s="112"/>
      <c r="Z6" s="116"/>
      <c r="AA6" s="117"/>
      <c r="AB6" s="116"/>
      <c r="AC6" s="116"/>
      <c r="AD6" s="116"/>
      <c r="AE6" s="112"/>
      <c r="AF6" s="116"/>
    </row>
    <row r="7" spans="1:32" ht="15" customHeight="1" x14ac:dyDescent="0.2">
      <c r="A7" s="106"/>
      <c r="B7" s="106" t="str">
        <f ca="1">IF(A7&lt;&gt;"",INDIRECT("'"&amp;$A7&amp;"'!E5"),"")</f>
        <v/>
      </c>
      <c r="C7" s="118" t="str">
        <f ca="1">IF($A7&lt;&gt;"",INDIRECT("'"&amp;$A7&amp;"'!L13"),"")</f>
        <v/>
      </c>
      <c r="D7" s="118" t="str">
        <f ca="1">IF($A7&lt;&gt;"",INDIRECT("'"&amp;$A7&amp;"'!L14"),"")</f>
        <v/>
      </c>
      <c r="E7" s="118" t="str">
        <f ca="1">IF($A7&lt;&gt;"",INDIRECT("'"&amp;$A7&amp;"'!L15"),"")</f>
        <v/>
      </c>
      <c r="F7" s="118" t="str">
        <f ca="1">IF($A7&lt;&gt;"",INDIRECT("'"&amp;$A7&amp;"'!L16"),"")</f>
        <v/>
      </c>
      <c r="G7" s="118" t="str">
        <f ca="1">IF($A7&lt;&gt;"",INDIRECT("'"&amp;$A7&amp;"'!L17"),"")</f>
        <v/>
      </c>
      <c r="H7" s="118" t="str">
        <f ca="1">IF($A7&lt;&gt;"",INDIRECT("'"&amp;$A7&amp;"'!L18"),"")</f>
        <v/>
      </c>
      <c r="I7" s="118" t="str">
        <f ca="1">IF($A7&lt;&gt;"",INDIRECT("'"&amp;$A7&amp;"'!L19"),"")</f>
        <v/>
      </c>
      <c r="J7" s="118" t="str">
        <f ca="1">IF($A7&lt;&gt;"",INDIRECT("'"&amp;$A7&amp;"'!L20"),"")</f>
        <v/>
      </c>
      <c r="K7" s="118" t="str">
        <f ca="1">IF($A7&lt;&gt;"",INDIRECT("'"&amp;$A7&amp;"'!L21"),"")</f>
        <v/>
      </c>
      <c r="L7" s="118" t="str">
        <f ca="1">IF($A7&lt;&gt;"",INDIRECT("'"&amp;$A7&amp;"'!L22"),"")</f>
        <v/>
      </c>
      <c r="M7" s="118" t="str">
        <f ca="1">IF($A7&lt;&gt;"",INDIRECT("'"&amp;$A7&amp;"'!L23"),"")</f>
        <v/>
      </c>
      <c r="N7" s="118" t="str">
        <f ca="1">IF($A7&lt;&gt;"",INDIRECT("'"&amp;$A7&amp;"'!L24"),"")</f>
        <v/>
      </c>
      <c r="O7" s="118" t="str">
        <f ca="1">IF($A7&lt;&gt;"",INDIRECT("'"&amp;$A7&amp;"'!L25"),"")</f>
        <v/>
      </c>
      <c r="P7" s="118" t="str">
        <f ca="1">IF($A7&lt;&gt;"",INDIRECT("'"&amp;$A7&amp;"'!L26"),"")</f>
        <v/>
      </c>
      <c r="Q7" s="118" t="str">
        <f ca="1">IF($A7&lt;&gt;"",INDIRECT("'"&amp;$A7&amp;"'!L27"),"")</f>
        <v/>
      </c>
      <c r="R7" s="118" t="str">
        <f ca="1">IF($A7&lt;&gt;"",INDIRECT("'"&amp;$A7&amp;"'!L28"),"")</f>
        <v/>
      </c>
      <c r="S7" s="118" t="str">
        <f ca="1">IF($A7&lt;&gt;"",INDIRECT("'"&amp;$A7&amp;"'!L29"),"")</f>
        <v/>
      </c>
      <c r="T7" s="118" t="str">
        <f ca="1">IF($A7&lt;&gt;"",INDIRECT("'"&amp;$A7&amp;"'!L30"),"")</f>
        <v/>
      </c>
      <c r="U7" s="118" t="str">
        <f ca="1">IF($A7&lt;&gt;"",INDIRECT("'"&amp;$A7&amp;"'!L31"),"")</f>
        <v/>
      </c>
      <c r="Y7" s="118" t="str">
        <f ca="1">IF($A7&lt;&gt;"",INDIRECT("'"&amp;$A7&amp;"'!L35"),"")</f>
        <v/>
      </c>
      <c r="Z7" s="119" t="str">
        <f ca="1">IF($A7&lt;&gt;"",INDIRECT("'"&amp;$A7&amp;"'!L36"),"")</f>
        <v/>
      </c>
      <c r="AA7" s="120" t="str">
        <f t="shared" ref="AA7:AA13" si="4">IF($A7&lt;&gt;"",SUM(C21:Y21)/COUNT(C7:Y7),"")</f>
        <v/>
      </c>
      <c r="AB7" s="119" t="str">
        <f ca="1">IF($A7&lt;&gt;"",INDIRECT("'"&amp;$A7&amp;"'!F36"),"")</f>
        <v/>
      </c>
      <c r="AC7" s="119" t="str">
        <f ca="1">IF($A7&lt;&gt;"",INDIRECT("'"&amp;$A7&amp;"'!H36"),"")</f>
        <v/>
      </c>
      <c r="AD7" s="119" t="str">
        <f ca="1">IF($A7&lt;&gt;"",INDIRECT("'"&amp;$A7&amp;"'!I36"),"")</f>
        <v/>
      </c>
      <c r="AE7" s="118" t="str">
        <f ca="1">IF($A7&lt;&gt;"",INDIRECT("'"&amp;$A7&amp;"'!J36"),"")</f>
        <v/>
      </c>
      <c r="AF7" s="119" t="str">
        <f ca="1">IF($A7&lt;&gt;"",INDIRECT("'"&amp;$A7&amp;"'!K36"),"")</f>
        <v/>
      </c>
    </row>
    <row r="8" spans="1:32" ht="15" customHeight="1" x14ac:dyDescent="0.2">
      <c r="B8" s="27" t="str">
        <f t="shared" ref="B8:B13" ca="1" si="5">IF(A8&lt;&gt;"",INDIRECT("'"&amp;$A8&amp;"'!E5"),"")</f>
        <v/>
      </c>
      <c r="C8" s="112" t="str">
        <f t="shared" ref="C8:C13" ca="1" si="6">IF($A8&lt;&gt;"",INDIRECT("'"&amp;$A8&amp;"'!L13"),"")</f>
        <v/>
      </c>
      <c r="D8" s="112" t="str">
        <f t="shared" ref="D8:D13" ca="1" si="7">IF($A8&lt;&gt;"",INDIRECT("'"&amp;$A8&amp;"'!L14"),"")</f>
        <v/>
      </c>
      <c r="E8" s="112" t="str">
        <f t="shared" ref="E8:E13" ca="1" si="8">IF($A8&lt;&gt;"",INDIRECT("'"&amp;$A8&amp;"'!L15"),"")</f>
        <v/>
      </c>
      <c r="F8" s="112" t="str">
        <f t="shared" ref="F8:F13" ca="1" si="9">IF($A8&lt;&gt;"",INDIRECT("'"&amp;$A8&amp;"'!L16"),"")</f>
        <v/>
      </c>
      <c r="G8" s="112" t="str">
        <f t="shared" ref="G8:G13" ca="1" si="10">IF($A8&lt;&gt;"",INDIRECT("'"&amp;$A8&amp;"'!L17"),"")</f>
        <v/>
      </c>
      <c r="H8" s="112" t="str">
        <f t="shared" ref="H8:H13" ca="1" si="11">IF($A8&lt;&gt;"",INDIRECT("'"&amp;$A8&amp;"'!L18"),"")</f>
        <v/>
      </c>
      <c r="I8" s="112" t="str">
        <f t="shared" ref="I8:I13" ca="1" si="12">IF($A8&lt;&gt;"",INDIRECT("'"&amp;$A8&amp;"'!L19"),"")</f>
        <v/>
      </c>
      <c r="J8" s="112" t="str">
        <f t="shared" ref="J8:J13" ca="1" si="13">IF($A8&lt;&gt;"",INDIRECT("'"&amp;$A8&amp;"'!L20"),"")</f>
        <v/>
      </c>
      <c r="K8" s="112" t="str">
        <f t="shared" ref="K8:K13" ca="1" si="14">IF($A8&lt;&gt;"",INDIRECT("'"&amp;$A8&amp;"'!L21"),"")</f>
        <v/>
      </c>
      <c r="L8" s="112" t="str">
        <f t="shared" ref="L8:L13" ca="1" si="15">IF($A8&lt;&gt;"",INDIRECT("'"&amp;$A8&amp;"'!L22"),"")</f>
        <v/>
      </c>
      <c r="M8" s="112" t="str">
        <f t="shared" ref="M8:M13" ca="1" si="16">IF($A8&lt;&gt;"",INDIRECT("'"&amp;$A8&amp;"'!L23"),"")</f>
        <v/>
      </c>
      <c r="N8" s="112" t="str">
        <f t="shared" ref="N8:N13" ca="1" si="17">IF($A8&lt;&gt;"",INDIRECT("'"&amp;$A8&amp;"'!L24"),"")</f>
        <v/>
      </c>
      <c r="O8" s="112" t="str">
        <f t="shared" ref="O8:O13" ca="1" si="18">IF($A8&lt;&gt;"",INDIRECT("'"&amp;$A8&amp;"'!L25"),"")</f>
        <v/>
      </c>
      <c r="P8" s="112" t="str">
        <f t="shared" ref="P8:P13" ca="1" si="19">IF($A8&lt;&gt;"",INDIRECT("'"&amp;$A8&amp;"'!L26"),"")</f>
        <v/>
      </c>
      <c r="Q8" s="112" t="str">
        <f t="shared" ref="Q8:Q13" ca="1" si="20">IF($A8&lt;&gt;"",INDIRECT("'"&amp;$A8&amp;"'!L27"),"")</f>
        <v/>
      </c>
      <c r="R8" s="112" t="str">
        <f t="shared" ref="R8:R13" ca="1" si="21">IF($A8&lt;&gt;"",INDIRECT("'"&amp;$A8&amp;"'!L28"),"")</f>
        <v/>
      </c>
      <c r="S8" s="112" t="str">
        <f t="shared" ref="S8:S13" ca="1" si="22">IF($A8&lt;&gt;"",INDIRECT("'"&amp;$A8&amp;"'!L29"),"")</f>
        <v/>
      </c>
      <c r="T8" s="112" t="str">
        <f t="shared" ref="T8:T13" ca="1" si="23">IF($A8&lt;&gt;"",INDIRECT("'"&amp;$A8&amp;"'!L30"),"")</f>
        <v/>
      </c>
      <c r="U8" s="112" t="str">
        <f t="shared" ref="U8:U13" ca="1" si="24">IF($A8&lt;&gt;"",INDIRECT("'"&amp;$A8&amp;"'!L31"),"")</f>
        <v/>
      </c>
      <c r="Y8" s="112" t="str">
        <f t="shared" ref="Y8:Y13" ca="1" si="25">IF($A8&lt;&gt;"",INDIRECT("'"&amp;$A8&amp;"'!L35"),"")</f>
        <v/>
      </c>
      <c r="Z8" s="113" t="str">
        <f t="shared" ref="Z8:Z13" ca="1" si="26">IF($A8&lt;&gt;"",INDIRECT("'"&amp;$A8&amp;"'!L36"),"")</f>
        <v/>
      </c>
      <c r="AA8" s="121" t="str">
        <f t="shared" si="4"/>
        <v/>
      </c>
      <c r="AB8" s="113" t="str">
        <f t="shared" ref="AB8:AB13" ca="1" si="27">IF($A8&lt;&gt;"",INDIRECT("'"&amp;$A8&amp;"'!F36"),"")</f>
        <v/>
      </c>
      <c r="AC8" s="113" t="str">
        <f t="shared" ref="AC8:AC13" ca="1" si="28">IF($A8&lt;&gt;"",INDIRECT("'"&amp;$A8&amp;"'!H36"),"")</f>
        <v/>
      </c>
      <c r="AD8" s="113" t="str">
        <f t="shared" ref="AD8:AD13" ca="1" si="29">IF($A8&lt;&gt;"",INDIRECT("'"&amp;$A8&amp;"'!I36"),"")</f>
        <v/>
      </c>
      <c r="AE8" s="112" t="str">
        <f t="shared" ref="AE8:AE13" ca="1" si="30">IF($A8&lt;&gt;"",INDIRECT("'"&amp;$A8&amp;"'!J36"),"")</f>
        <v/>
      </c>
      <c r="AF8" s="113" t="str">
        <f t="shared" ref="AF8:AF13" ca="1" si="31">IF($A8&lt;&gt;"",INDIRECT("'"&amp;$A8&amp;"'!K36"),"")</f>
        <v/>
      </c>
    </row>
    <row r="9" spans="1:32" ht="15" customHeight="1" x14ac:dyDescent="0.2">
      <c r="B9" s="27" t="str">
        <f t="shared" ca="1" si="5"/>
        <v/>
      </c>
      <c r="C9" s="112" t="str">
        <f t="shared" ca="1" si="6"/>
        <v/>
      </c>
      <c r="D9" s="112" t="str">
        <f t="shared" ca="1" si="7"/>
        <v/>
      </c>
      <c r="E9" s="112" t="str">
        <f t="shared" ca="1" si="8"/>
        <v/>
      </c>
      <c r="F9" s="112" t="str">
        <f t="shared" ca="1" si="9"/>
        <v/>
      </c>
      <c r="G9" s="112" t="str">
        <f t="shared" ca="1" si="10"/>
        <v/>
      </c>
      <c r="H9" s="112" t="str">
        <f t="shared" ca="1" si="11"/>
        <v/>
      </c>
      <c r="I9" s="112" t="str">
        <f t="shared" ca="1" si="12"/>
        <v/>
      </c>
      <c r="J9" s="112" t="str">
        <f t="shared" ca="1" si="13"/>
        <v/>
      </c>
      <c r="K9" s="112" t="str">
        <f t="shared" ca="1" si="14"/>
        <v/>
      </c>
      <c r="L9" s="112" t="str">
        <f t="shared" ca="1" si="15"/>
        <v/>
      </c>
      <c r="M9" s="112" t="str">
        <f t="shared" ca="1" si="16"/>
        <v/>
      </c>
      <c r="N9" s="112" t="str">
        <f t="shared" ca="1" si="17"/>
        <v/>
      </c>
      <c r="O9" s="112" t="str">
        <f t="shared" ca="1" si="18"/>
        <v/>
      </c>
      <c r="P9" s="112" t="str">
        <f t="shared" ca="1" si="19"/>
        <v/>
      </c>
      <c r="Q9" s="112" t="str">
        <f t="shared" ca="1" si="20"/>
        <v/>
      </c>
      <c r="R9" s="112" t="str">
        <f t="shared" ca="1" si="21"/>
        <v/>
      </c>
      <c r="S9" s="112" t="str">
        <f t="shared" ca="1" si="22"/>
        <v/>
      </c>
      <c r="T9" s="112" t="str">
        <f t="shared" ca="1" si="23"/>
        <v/>
      </c>
      <c r="U9" s="112" t="str">
        <f t="shared" ca="1" si="24"/>
        <v/>
      </c>
      <c r="Y9" s="112" t="str">
        <f t="shared" ca="1" si="25"/>
        <v/>
      </c>
      <c r="Z9" s="113" t="str">
        <f t="shared" ca="1" si="26"/>
        <v/>
      </c>
      <c r="AA9" s="122" t="str">
        <f t="shared" si="4"/>
        <v/>
      </c>
      <c r="AB9" s="113" t="str">
        <f t="shared" ca="1" si="27"/>
        <v/>
      </c>
      <c r="AC9" s="113" t="str">
        <f t="shared" ca="1" si="28"/>
        <v/>
      </c>
      <c r="AD9" s="113" t="str">
        <f t="shared" ca="1" si="29"/>
        <v/>
      </c>
      <c r="AE9" s="112" t="str">
        <f t="shared" ca="1" si="30"/>
        <v/>
      </c>
      <c r="AF9" s="113" t="str">
        <f t="shared" ca="1" si="31"/>
        <v/>
      </c>
    </row>
    <row r="10" spans="1:32" ht="15" customHeight="1" x14ac:dyDescent="0.2">
      <c r="B10" s="27" t="str">
        <f t="shared" ca="1" si="5"/>
        <v/>
      </c>
      <c r="C10" s="112" t="str">
        <f t="shared" ca="1" si="6"/>
        <v/>
      </c>
      <c r="D10" s="112" t="str">
        <f t="shared" ca="1" si="7"/>
        <v/>
      </c>
      <c r="E10" s="112" t="str">
        <f t="shared" ca="1" si="8"/>
        <v/>
      </c>
      <c r="F10" s="112" t="str">
        <f t="shared" ca="1" si="9"/>
        <v/>
      </c>
      <c r="G10" s="112" t="str">
        <f t="shared" ca="1" si="10"/>
        <v/>
      </c>
      <c r="H10" s="112" t="str">
        <f t="shared" ca="1" si="11"/>
        <v/>
      </c>
      <c r="I10" s="112" t="str">
        <f t="shared" ca="1" si="12"/>
        <v/>
      </c>
      <c r="J10" s="112" t="str">
        <f t="shared" ca="1" si="13"/>
        <v/>
      </c>
      <c r="K10" s="112" t="str">
        <f t="shared" ca="1" si="14"/>
        <v/>
      </c>
      <c r="L10" s="112" t="str">
        <f t="shared" ca="1" si="15"/>
        <v/>
      </c>
      <c r="M10" s="112" t="str">
        <f t="shared" ca="1" si="16"/>
        <v/>
      </c>
      <c r="N10" s="112" t="str">
        <f t="shared" ca="1" si="17"/>
        <v/>
      </c>
      <c r="O10" s="112" t="str">
        <f t="shared" ca="1" si="18"/>
        <v/>
      </c>
      <c r="P10" s="112" t="str">
        <f t="shared" ca="1" si="19"/>
        <v/>
      </c>
      <c r="Q10" s="112" t="str">
        <f t="shared" ca="1" si="20"/>
        <v/>
      </c>
      <c r="R10" s="112" t="str">
        <f t="shared" ca="1" si="21"/>
        <v/>
      </c>
      <c r="S10" s="112" t="str">
        <f t="shared" ca="1" si="22"/>
        <v/>
      </c>
      <c r="T10" s="112" t="str">
        <f t="shared" ca="1" si="23"/>
        <v/>
      </c>
      <c r="U10" s="112" t="str">
        <f t="shared" ca="1" si="24"/>
        <v/>
      </c>
      <c r="Y10" s="112" t="str">
        <f t="shared" ca="1" si="25"/>
        <v/>
      </c>
      <c r="Z10" s="113" t="str">
        <f t="shared" ca="1" si="26"/>
        <v/>
      </c>
      <c r="AA10" s="122" t="str">
        <f t="shared" si="4"/>
        <v/>
      </c>
      <c r="AB10" s="113" t="str">
        <f t="shared" ca="1" si="27"/>
        <v/>
      </c>
      <c r="AC10" s="113" t="str">
        <f t="shared" ca="1" si="28"/>
        <v/>
      </c>
      <c r="AD10" s="113" t="str">
        <f t="shared" ca="1" si="29"/>
        <v/>
      </c>
      <c r="AE10" s="112" t="str">
        <f t="shared" ca="1" si="30"/>
        <v/>
      </c>
      <c r="AF10" s="113" t="str">
        <f t="shared" ca="1" si="31"/>
        <v/>
      </c>
    </row>
    <row r="11" spans="1:32" ht="15" customHeight="1" x14ac:dyDescent="0.2">
      <c r="B11" s="27" t="str">
        <f t="shared" ca="1" si="5"/>
        <v/>
      </c>
      <c r="C11" s="112" t="str">
        <f t="shared" ca="1" si="6"/>
        <v/>
      </c>
      <c r="D11" s="112" t="str">
        <f t="shared" ca="1" si="7"/>
        <v/>
      </c>
      <c r="E11" s="112" t="str">
        <f t="shared" ca="1" si="8"/>
        <v/>
      </c>
      <c r="F11" s="112" t="str">
        <f t="shared" ca="1" si="9"/>
        <v/>
      </c>
      <c r="G11" s="112" t="str">
        <f t="shared" ca="1" si="10"/>
        <v/>
      </c>
      <c r="H11" s="112" t="str">
        <f t="shared" ca="1" si="11"/>
        <v/>
      </c>
      <c r="I11" s="112" t="str">
        <f t="shared" ca="1" si="12"/>
        <v/>
      </c>
      <c r="J11" s="112" t="str">
        <f t="shared" ca="1" si="13"/>
        <v/>
      </c>
      <c r="K11" s="112" t="str">
        <f t="shared" ca="1" si="14"/>
        <v/>
      </c>
      <c r="L11" s="112" t="str">
        <f t="shared" ca="1" si="15"/>
        <v/>
      </c>
      <c r="M11" s="112" t="str">
        <f t="shared" ca="1" si="16"/>
        <v/>
      </c>
      <c r="N11" s="112" t="str">
        <f t="shared" ca="1" si="17"/>
        <v/>
      </c>
      <c r="O11" s="112" t="str">
        <f t="shared" ca="1" si="18"/>
        <v/>
      </c>
      <c r="P11" s="112" t="str">
        <f t="shared" ca="1" si="19"/>
        <v/>
      </c>
      <c r="Q11" s="112" t="str">
        <f t="shared" ca="1" si="20"/>
        <v/>
      </c>
      <c r="R11" s="112" t="str">
        <f t="shared" ca="1" si="21"/>
        <v/>
      </c>
      <c r="S11" s="112" t="str">
        <f t="shared" ca="1" si="22"/>
        <v/>
      </c>
      <c r="T11" s="112" t="str">
        <f t="shared" ca="1" si="23"/>
        <v/>
      </c>
      <c r="U11" s="112" t="str">
        <f t="shared" ca="1" si="24"/>
        <v/>
      </c>
      <c r="Y11" s="112" t="str">
        <f t="shared" ca="1" si="25"/>
        <v/>
      </c>
      <c r="Z11" s="113" t="str">
        <f t="shared" ca="1" si="26"/>
        <v/>
      </c>
      <c r="AA11" s="122" t="str">
        <f t="shared" si="4"/>
        <v/>
      </c>
      <c r="AB11" s="113" t="str">
        <f t="shared" ca="1" si="27"/>
        <v/>
      </c>
      <c r="AC11" s="113" t="str">
        <f t="shared" ca="1" si="28"/>
        <v/>
      </c>
      <c r="AD11" s="113" t="str">
        <f t="shared" ca="1" si="29"/>
        <v/>
      </c>
      <c r="AE11" s="112" t="str">
        <f t="shared" ca="1" si="30"/>
        <v/>
      </c>
      <c r="AF11" s="113" t="str">
        <f t="shared" ca="1" si="31"/>
        <v/>
      </c>
    </row>
    <row r="12" spans="1:32" ht="15" customHeight="1" thickBot="1" x14ac:dyDescent="0.25">
      <c r="B12" s="107" t="str">
        <f t="shared" ca="1" si="5"/>
        <v/>
      </c>
      <c r="C12" s="123" t="str">
        <f t="shared" ca="1" si="6"/>
        <v/>
      </c>
      <c r="D12" s="123" t="str">
        <f t="shared" ca="1" si="7"/>
        <v/>
      </c>
      <c r="E12" s="123" t="str">
        <f t="shared" ca="1" si="8"/>
        <v/>
      </c>
      <c r="F12" s="123" t="str">
        <f t="shared" ca="1" si="9"/>
        <v/>
      </c>
      <c r="G12" s="123" t="str">
        <f t="shared" ca="1" si="10"/>
        <v/>
      </c>
      <c r="H12" s="123" t="str">
        <f t="shared" ca="1" si="11"/>
        <v/>
      </c>
      <c r="I12" s="123" t="str">
        <f t="shared" ca="1" si="12"/>
        <v/>
      </c>
      <c r="J12" s="123" t="str">
        <f t="shared" ca="1" si="13"/>
        <v/>
      </c>
      <c r="K12" s="123" t="str">
        <f t="shared" ca="1" si="14"/>
        <v/>
      </c>
      <c r="L12" s="123" t="str">
        <f t="shared" ca="1" si="15"/>
        <v/>
      </c>
      <c r="M12" s="123" t="str">
        <f t="shared" ca="1" si="16"/>
        <v/>
      </c>
      <c r="N12" s="123" t="str">
        <f t="shared" ca="1" si="17"/>
        <v/>
      </c>
      <c r="O12" s="123" t="str">
        <f t="shared" ca="1" si="18"/>
        <v/>
      </c>
      <c r="P12" s="123" t="str">
        <f t="shared" ca="1" si="19"/>
        <v/>
      </c>
      <c r="Q12" s="123" t="str">
        <f t="shared" ca="1" si="20"/>
        <v/>
      </c>
      <c r="R12" s="123" t="str">
        <f t="shared" ca="1" si="21"/>
        <v/>
      </c>
      <c r="S12" s="123" t="str">
        <f t="shared" ca="1" si="22"/>
        <v/>
      </c>
      <c r="T12" s="123" t="str">
        <f t="shared" ca="1" si="23"/>
        <v/>
      </c>
      <c r="U12" s="123" t="str">
        <f t="shared" ca="1" si="24"/>
        <v/>
      </c>
      <c r="Y12" s="123" t="str">
        <f t="shared" ca="1" si="25"/>
        <v/>
      </c>
      <c r="Z12" s="124" t="str">
        <f t="shared" ca="1" si="26"/>
        <v/>
      </c>
      <c r="AA12" s="122" t="str">
        <f t="shared" si="4"/>
        <v/>
      </c>
      <c r="AB12" s="124" t="str">
        <f t="shared" ca="1" si="27"/>
        <v/>
      </c>
      <c r="AC12" s="124" t="str">
        <f t="shared" ca="1" si="28"/>
        <v/>
      </c>
      <c r="AD12" s="124" t="str">
        <f t="shared" ca="1" si="29"/>
        <v/>
      </c>
      <c r="AE12" s="123" t="str">
        <f t="shared" ca="1" si="30"/>
        <v/>
      </c>
      <c r="AF12" s="124" t="str">
        <f t="shared" ca="1" si="31"/>
        <v/>
      </c>
    </row>
    <row r="13" spans="1:32" ht="13.5" thickBot="1" x14ac:dyDescent="0.25">
      <c r="A13" s="108"/>
      <c r="B13" s="108" t="str">
        <f t="shared" ca="1" si="5"/>
        <v/>
      </c>
      <c r="C13" s="125" t="str">
        <f t="shared" ca="1" si="6"/>
        <v/>
      </c>
      <c r="D13" s="125" t="str">
        <f t="shared" ca="1" si="7"/>
        <v/>
      </c>
      <c r="E13" s="125" t="str">
        <f t="shared" ca="1" si="8"/>
        <v/>
      </c>
      <c r="F13" s="125" t="str">
        <f t="shared" ca="1" si="9"/>
        <v/>
      </c>
      <c r="G13" s="125" t="str">
        <f t="shared" ca="1" si="10"/>
        <v/>
      </c>
      <c r="H13" s="125" t="str">
        <f t="shared" ca="1" si="11"/>
        <v/>
      </c>
      <c r="I13" s="125" t="str">
        <f t="shared" ca="1" si="12"/>
        <v/>
      </c>
      <c r="J13" s="125" t="str">
        <f t="shared" ca="1" si="13"/>
        <v/>
      </c>
      <c r="K13" s="125" t="str">
        <f t="shared" ca="1" si="14"/>
        <v/>
      </c>
      <c r="L13" s="125" t="str">
        <f t="shared" ca="1" si="15"/>
        <v/>
      </c>
      <c r="M13" s="125" t="str">
        <f t="shared" ca="1" si="16"/>
        <v/>
      </c>
      <c r="N13" s="125" t="str">
        <f t="shared" ca="1" si="17"/>
        <v/>
      </c>
      <c r="O13" s="125" t="str">
        <f t="shared" ca="1" si="18"/>
        <v/>
      </c>
      <c r="P13" s="125" t="str">
        <f t="shared" ca="1" si="19"/>
        <v/>
      </c>
      <c r="Q13" s="125" t="str">
        <f t="shared" ca="1" si="20"/>
        <v/>
      </c>
      <c r="R13" s="125" t="str">
        <f t="shared" ca="1" si="21"/>
        <v/>
      </c>
      <c r="S13" s="125" t="str">
        <f t="shared" ca="1" si="22"/>
        <v/>
      </c>
      <c r="T13" s="125" t="str">
        <f t="shared" ca="1" si="23"/>
        <v/>
      </c>
      <c r="U13" s="125" t="str">
        <f t="shared" ca="1" si="24"/>
        <v/>
      </c>
      <c r="Y13" s="125" t="str">
        <f t="shared" ca="1" si="25"/>
        <v/>
      </c>
      <c r="Z13" s="126" t="str">
        <f t="shared" ca="1" si="26"/>
        <v/>
      </c>
      <c r="AA13" s="127" t="str">
        <f t="shared" si="4"/>
        <v/>
      </c>
      <c r="AB13" s="126" t="str">
        <f t="shared" ca="1" si="27"/>
        <v/>
      </c>
      <c r="AC13" s="126" t="str">
        <f t="shared" ca="1" si="28"/>
        <v/>
      </c>
      <c r="AD13" s="126" t="str">
        <f t="shared" ca="1" si="29"/>
        <v/>
      </c>
      <c r="AE13" s="125" t="str">
        <f t="shared" ca="1" si="30"/>
        <v/>
      </c>
      <c r="AF13" s="126" t="str">
        <f t="shared" ca="1" si="31"/>
        <v/>
      </c>
    </row>
    <row r="14" spans="1:32" ht="15" customHeight="1" x14ac:dyDescent="0.2">
      <c r="A14" s="109"/>
      <c r="B14" s="109"/>
      <c r="C14" s="128"/>
      <c r="D14" s="128"/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28"/>
      <c r="Q14" s="128"/>
      <c r="R14" s="128"/>
      <c r="S14" s="128"/>
      <c r="T14" s="128"/>
      <c r="U14" s="128"/>
      <c r="Y14" s="128"/>
      <c r="Z14" s="129"/>
      <c r="AA14" s="130"/>
      <c r="AB14" s="131"/>
      <c r="AC14" s="131"/>
      <c r="AD14" s="131"/>
      <c r="AE14" s="128"/>
      <c r="AF14" s="131"/>
    </row>
    <row r="15" spans="1:32" ht="15" customHeight="1" x14ac:dyDescent="0.2">
      <c r="A15" s="109"/>
      <c r="B15" s="109" t="str">
        <f t="shared" ref="B15:B16" ca="1" si="32">IF(A15&lt;&gt;"",INDIRECT("'"&amp;$A15&amp;"'!E5"),"")</f>
        <v/>
      </c>
      <c r="C15" s="128" t="str">
        <f t="shared" ref="C15:C16" ca="1" si="33">IF($A15&lt;&gt;"",INDIRECT("'"&amp;$A15&amp;"'!L13"),"")</f>
        <v/>
      </c>
      <c r="D15" s="128" t="str">
        <f t="shared" ref="D15:D16" ca="1" si="34">IF($A15&lt;&gt;"",INDIRECT("'"&amp;$A15&amp;"'!L14"),"")</f>
        <v/>
      </c>
      <c r="E15" s="128" t="str">
        <f t="shared" ref="E15:E16" ca="1" si="35">IF($A15&lt;&gt;"",INDIRECT("'"&amp;$A15&amp;"'!L15"),"")</f>
        <v/>
      </c>
      <c r="F15" s="128" t="str">
        <f t="shared" ref="F15:F16" ca="1" si="36">IF($A15&lt;&gt;"",INDIRECT("'"&amp;$A15&amp;"'!L16"),"")</f>
        <v/>
      </c>
      <c r="G15" s="128" t="str">
        <f t="shared" ref="G15:G16" ca="1" si="37">IF($A15&lt;&gt;"",INDIRECT("'"&amp;$A15&amp;"'!L17"),"")</f>
        <v/>
      </c>
      <c r="H15" s="128" t="str">
        <f t="shared" ref="H15:H16" ca="1" si="38">IF($A15&lt;&gt;"",INDIRECT("'"&amp;$A15&amp;"'!L18"),"")</f>
        <v/>
      </c>
      <c r="I15" s="128" t="str">
        <f t="shared" ref="I15:I16" ca="1" si="39">IF($A15&lt;&gt;"",INDIRECT("'"&amp;$A15&amp;"'!L19"),"")</f>
        <v/>
      </c>
      <c r="J15" s="128" t="str">
        <f t="shared" ref="J15:J16" ca="1" si="40">IF($A15&lt;&gt;"",INDIRECT("'"&amp;$A15&amp;"'!L20"),"")</f>
        <v/>
      </c>
      <c r="K15" s="128" t="str">
        <f t="shared" ref="K15:K16" ca="1" si="41">IF($A15&lt;&gt;"",INDIRECT("'"&amp;$A15&amp;"'!L21"),"")</f>
        <v/>
      </c>
      <c r="L15" s="128" t="str">
        <f t="shared" ref="L15:L16" ca="1" si="42">IF($A15&lt;&gt;"",INDIRECT("'"&amp;$A15&amp;"'!L22"),"")</f>
        <v/>
      </c>
      <c r="M15" s="128" t="str">
        <f t="shared" ref="M15:M16" ca="1" si="43">IF($A15&lt;&gt;"",INDIRECT("'"&amp;$A15&amp;"'!L23"),"")</f>
        <v/>
      </c>
      <c r="N15" s="128" t="str">
        <f t="shared" ref="N15:N16" ca="1" si="44">IF($A15&lt;&gt;"",INDIRECT("'"&amp;$A15&amp;"'!L24"),"")</f>
        <v/>
      </c>
      <c r="O15" s="128" t="str">
        <f t="shared" ref="O15:O16" ca="1" si="45">IF($A15&lt;&gt;"",INDIRECT("'"&amp;$A15&amp;"'!L25"),"")</f>
        <v/>
      </c>
      <c r="P15" s="128" t="str">
        <f t="shared" ref="P15:P16" ca="1" si="46">IF($A15&lt;&gt;"",INDIRECT("'"&amp;$A15&amp;"'!L26"),"")</f>
        <v/>
      </c>
      <c r="Q15" s="128" t="str">
        <f t="shared" ref="Q15:Q16" ca="1" si="47">IF($A15&lt;&gt;"",INDIRECT("'"&amp;$A15&amp;"'!L27"),"")</f>
        <v/>
      </c>
      <c r="R15" s="128" t="str">
        <f t="shared" ref="R15:R16" ca="1" si="48">IF($A15&lt;&gt;"",INDIRECT("'"&amp;$A15&amp;"'!L28"),"")</f>
        <v/>
      </c>
      <c r="S15" s="128" t="str">
        <f t="shared" ref="S15:S16" ca="1" si="49">IF($A15&lt;&gt;"",INDIRECT("'"&amp;$A15&amp;"'!L29"),"")</f>
        <v/>
      </c>
      <c r="T15" s="128" t="str">
        <f t="shared" ref="T15:T16" ca="1" si="50">IF($A15&lt;&gt;"",INDIRECT("'"&amp;$A15&amp;"'!L30"),"")</f>
        <v/>
      </c>
      <c r="U15" s="128" t="str">
        <f t="shared" ref="U15:U16" ca="1" si="51">IF($A15&lt;&gt;"",INDIRECT("'"&amp;$A15&amp;"'!L31"),"")</f>
        <v/>
      </c>
      <c r="Y15" s="128" t="str">
        <f t="shared" ref="Y15:Y16" ca="1" si="52">IF($A15&lt;&gt;"",INDIRECT("'"&amp;$A15&amp;"'!L35"),"")</f>
        <v/>
      </c>
      <c r="Z15" s="131" t="str">
        <f t="shared" ref="Z15:Z16" ca="1" si="53">IF($A15&lt;&gt;"",INDIRECT("'"&amp;$A15&amp;"'!L36"),"")</f>
        <v/>
      </c>
      <c r="AA15" s="132" t="str">
        <f t="shared" ref="AA15:AA16" si="54">IF($A15&lt;&gt;"",SUM(C29:Y29)/COUNT(C15:Y15),"")</f>
        <v/>
      </c>
      <c r="AB15" s="131" t="str">
        <f t="shared" ref="AB15:AB16" ca="1" si="55">IF($A15&lt;&gt;"",INDIRECT("'"&amp;$A15&amp;"'!F36"),"")</f>
        <v/>
      </c>
      <c r="AC15" s="131" t="str">
        <f t="shared" ref="AC15:AC16" ca="1" si="56">IF($A15&lt;&gt;"",INDIRECT("'"&amp;$A15&amp;"'!H36"),"")</f>
        <v/>
      </c>
      <c r="AD15" s="131" t="str">
        <f t="shared" ref="AD15:AD16" ca="1" si="57">IF($A15&lt;&gt;"",INDIRECT("'"&amp;$A15&amp;"'!I36"),"")</f>
        <v/>
      </c>
      <c r="AE15" s="128" t="str">
        <f t="shared" ref="AE15:AE16" ca="1" si="58">IF($A15&lt;&gt;"",INDIRECT("'"&amp;$A15&amp;"'!J36"),"")</f>
        <v/>
      </c>
      <c r="AF15" s="131" t="str">
        <f t="shared" ref="AF15:AF16" ca="1" si="59">IF($A15&lt;&gt;"",INDIRECT("'"&amp;$A15&amp;"'!K36"),"")</f>
        <v/>
      </c>
    </row>
    <row r="16" spans="1:32" ht="15" customHeight="1" x14ac:dyDescent="0.2">
      <c r="A16" s="109"/>
      <c r="B16" s="109" t="str">
        <f t="shared" ca="1" si="32"/>
        <v/>
      </c>
      <c r="C16" s="128" t="str">
        <f t="shared" ca="1" si="33"/>
        <v/>
      </c>
      <c r="D16" s="128" t="str">
        <f t="shared" ca="1" si="34"/>
        <v/>
      </c>
      <c r="E16" s="128" t="str">
        <f t="shared" ca="1" si="35"/>
        <v/>
      </c>
      <c r="F16" s="128" t="str">
        <f t="shared" ca="1" si="36"/>
        <v/>
      </c>
      <c r="G16" s="128" t="str">
        <f t="shared" ca="1" si="37"/>
        <v/>
      </c>
      <c r="H16" s="128" t="str">
        <f t="shared" ca="1" si="38"/>
        <v/>
      </c>
      <c r="I16" s="128" t="str">
        <f t="shared" ca="1" si="39"/>
        <v/>
      </c>
      <c r="J16" s="128" t="str">
        <f t="shared" ca="1" si="40"/>
        <v/>
      </c>
      <c r="K16" s="128" t="str">
        <f t="shared" ca="1" si="41"/>
        <v/>
      </c>
      <c r="L16" s="128" t="str">
        <f t="shared" ca="1" si="42"/>
        <v/>
      </c>
      <c r="M16" s="128" t="str">
        <f t="shared" ca="1" si="43"/>
        <v/>
      </c>
      <c r="N16" s="128" t="str">
        <f t="shared" ca="1" si="44"/>
        <v/>
      </c>
      <c r="O16" s="128" t="str">
        <f t="shared" ca="1" si="45"/>
        <v/>
      </c>
      <c r="P16" s="128" t="str">
        <f t="shared" ca="1" si="46"/>
        <v/>
      </c>
      <c r="Q16" s="128" t="str">
        <f t="shared" ca="1" si="47"/>
        <v/>
      </c>
      <c r="R16" s="128" t="str">
        <f t="shared" ca="1" si="48"/>
        <v/>
      </c>
      <c r="S16" s="128" t="str">
        <f t="shared" ca="1" si="49"/>
        <v/>
      </c>
      <c r="T16" s="128" t="str">
        <f t="shared" ca="1" si="50"/>
        <v/>
      </c>
      <c r="U16" s="128" t="str">
        <f t="shared" ca="1" si="51"/>
        <v/>
      </c>
      <c r="Y16" s="128" t="str">
        <f t="shared" ca="1" si="52"/>
        <v/>
      </c>
      <c r="Z16" s="131" t="str">
        <f t="shared" ca="1" si="53"/>
        <v/>
      </c>
      <c r="AA16" s="132" t="str">
        <f t="shared" si="54"/>
        <v/>
      </c>
      <c r="AB16" s="131" t="str">
        <f t="shared" ca="1" si="55"/>
        <v/>
      </c>
      <c r="AC16" s="131" t="str">
        <f t="shared" ca="1" si="56"/>
        <v/>
      </c>
      <c r="AD16" s="131" t="str">
        <f t="shared" ca="1" si="57"/>
        <v/>
      </c>
      <c r="AE16" s="128" t="str">
        <f t="shared" ca="1" si="58"/>
        <v/>
      </c>
      <c r="AF16" s="131" t="str">
        <f t="shared" ca="1" si="59"/>
        <v/>
      </c>
    </row>
    <row r="17" spans="1:32" ht="15" customHeight="1" x14ac:dyDescent="0.2">
      <c r="A17" s="389"/>
      <c r="B17" s="389"/>
      <c r="C17" s="100"/>
      <c r="D17" s="100"/>
      <c r="E17" s="100"/>
      <c r="F17" s="100"/>
      <c r="G17" s="100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Y17" s="100"/>
      <c r="AF17" s="100"/>
    </row>
    <row r="18" spans="1:32" ht="15" customHeight="1" x14ac:dyDescent="0.2">
      <c r="A18" s="389"/>
      <c r="B18" s="389"/>
      <c r="C18" s="99"/>
      <c r="D18" s="99"/>
      <c r="E18" s="99"/>
      <c r="F18" s="99"/>
      <c r="G18" s="99"/>
      <c r="H18" s="99"/>
      <c r="I18" s="99"/>
      <c r="J18" s="99"/>
      <c r="K18" s="99"/>
      <c r="L18" s="99"/>
      <c r="M18" s="99"/>
      <c r="N18" s="99"/>
      <c r="O18" s="99"/>
      <c r="P18" s="99"/>
      <c r="Q18" s="99"/>
      <c r="R18" s="99"/>
      <c r="S18" s="99"/>
      <c r="T18" s="99"/>
      <c r="U18" s="99"/>
      <c r="Y18" s="99"/>
      <c r="AF18" s="99"/>
    </row>
    <row r="21" spans="1:32" hidden="1" x14ac:dyDescent="0.2">
      <c r="A21" s="27" t="s">
        <v>192</v>
      </c>
    </row>
    <row r="22" spans="1:32" hidden="1" x14ac:dyDescent="0.2">
      <c r="A22" s="27">
        <f>A8</f>
        <v>0</v>
      </c>
      <c r="B22" s="27" t="str">
        <f ca="1">B8</f>
        <v/>
      </c>
      <c r="C22" s="27" t="str">
        <f t="shared" ref="C22:Y30" si="60">IF($A8&lt;&gt;"",IF(ABS(C$3/3-C8)&lt;=0.75,1,0),"")</f>
        <v/>
      </c>
      <c r="D22" s="27" t="str">
        <f t="shared" si="60"/>
        <v/>
      </c>
      <c r="E22" s="27" t="str">
        <f t="shared" si="60"/>
        <v/>
      </c>
      <c r="F22" s="27" t="str">
        <f t="shared" si="60"/>
        <v/>
      </c>
      <c r="G22" s="27" t="str">
        <f t="shared" si="60"/>
        <v/>
      </c>
      <c r="H22" s="27" t="str">
        <f t="shared" si="60"/>
        <v/>
      </c>
      <c r="I22" s="27" t="str">
        <f t="shared" si="60"/>
        <v/>
      </c>
      <c r="J22" s="27" t="str">
        <f t="shared" si="60"/>
        <v/>
      </c>
      <c r="K22" s="27" t="str">
        <f t="shared" si="60"/>
        <v/>
      </c>
      <c r="L22" s="27" t="str">
        <f t="shared" si="60"/>
        <v/>
      </c>
      <c r="M22" s="27" t="str">
        <f t="shared" si="60"/>
        <v/>
      </c>
      <c r="N22" s="27" t="str">
        <f t="shared" si="60"/>
        <v/>
      </c>
      <c r="O22" s="27" t="str">
        <f t="shared" si="60"/>
        <v/>
      </c>
      <c r="P22" s="27" t="str">
        <f t="shared" si="60"/>
        <v/>
      </c>
      <c r="Q22" s="27" t="str">
        <f t="shared" si="60"/>
        <v/>
      </c>
      <c r="R22" s="27" t="str">
        <f t="shared" si="60"/>
        <v/>
      </c>
      <c r="S22" s="27" t="str">
        <f t="shared" si="60"/>
        <v/>
      </c>
      <c r="T22" s="27" t="str">
        <f t="shared" si="60"/>
        <v/>
      </c>
      <c r="U22" s="27" t="str">
        <f t="shared" si="60"/>
        <v/>
      </c>
      <c r="Y22" s="27" t="str">
        <f t="shared" si="60"/>
        <v/>
      </c>
    </row>
    <row r="23" spans="1:32" hidden="1" x14ac:dyDescent="0.2">
      <c r="A23" s="27">
        <f>A9</f>
        <v>0</v>
      </c>
      <c r="B23" s="27" t="str">
        <f ca="1">B9</f>
        <v/>
      </c>
      <c r="C23" s="27" t="str">
        <f t="shared" si="60"/>
        <v/>
      </c>
      <c r="D23" s="27" t="str">
        <f t="shared" si="60"/>
        <v/>
      </c>
      <c r="E23" s="27" t="str">
        <f t="shared" si="60"/>
        <v/>
      </c>
      <c r="F23" s="27" t="str">
        <f t="shared" si="60"/>
        <v/>
      </c>
      <c r="G23" s="27" t="str">
        <f t="shared" si="60"/>
        <v/>
      </c>
      <c r="H23" s="27" t="str">
        <f t="shared" si="60"/>
        <v/>
      </c>
      <c r="I23" s="27" t="str">
        <f t="shared" si="60"/>
        <v/>
      </c>
      <c r="J23" s="27" t="str">
        <f t="shared" si="60"/>
        <v/>
      </c>
      <c r="K23" s="27" t="str">
        <f t="shared" si="60"/>
        <v/>
      </c>
      <c r="L23" s="27" t="str">
        <f t="shared" si="60"/>
        <v/>
      </c>
      <c r="M23" s="27" t="str">
        <f t="shared" si="60"/>
        <v/>
      </c>
      <c r="N23" s="27" t="str">
        <f t="shared" si="60"/>
        <v/>
      </c>
      <c r="O23" s="27" t="str">
        <f t="shared" si="60"/>
        <v/>
      </c>
      <c r="P23" s="27" t="str">
        <f t="shared" si="60"/>
        <v/>
      </c>
      <c r="Q23" s="27" t="str">
        <f t="shared" si="60"/>
        <v/>
      </c>
      <c r="R23" s="27" t="str">
        <f t="shared" si="60"/>
        <v/>
      </c>
      <c r="S23" s="27" t="str">
        <f t="shared" si="60"/>
        <v/>
      </c>
      <c r="T23" s="27" t="str">
        <f t="shared" si="60"/>
        <v/>
      </c>
      <c r="U23" s="27" t="str">
        <f t="shared" si="60"/>
        <v/>
      </c>
      <c r="Y23" s="27" t="str">
        <f t="shared" si="60"/>
        <v/>
      </c>
    </row>
    <row r="24" spans="1:32" hidden="1" x14ac:dyDescent="0.2">
      <c r="A24" s="27">
        <f>A10</f>
        <v>0</v>
      </c>
      <c r="B24" s="27" t="str">
        <f t="shared" ref="B24:B30" ca="1" si="61">B10</f>
        <v/>
      </c>
      <c r="C24" s="27" t="str">
        <f t="shared" si="60"/>
        <v/>
      </c>
      <c r="D24" s="27" t="str">
        <f t="shared" si="60"/>
        <v/>
      </c>
      <c r="E24" s="27" t="str">
        <f t="shared" si="60"/>
        <v/>
      </c>
      <c r="F24" s="27" t="str">
        <f t="shared" si="60"/>
        <v/>
      </c>
      <c r="G24" s="27" t="str">
        <f t="shared" si="60"/>
        <v/>
      </c>
      <c r="H24" s="27" t="str">
        <f t="shared" si="60"/>
        <v/>
      </c>
      <c r="I24" s="27" t="str">
        <f t="shared" si="60"/>
        <v/>
      </c>
      <c r="J24" s="27" t="str">
        <f t="shared" si="60"/>
        <v/>
      </c>
      <c r="K24" s="27" t="str">
        <f t="shared" si="60"/>
        <v/>
      </c>
      <c r="L24" s="27" t="str">
        <f t="shared" si="60"/>
        <v/>
      </c>
      <c r="M24" s="27" t="str">
        <f t="shared" si="60"/>
        <v/>
      </c>
      <c r="N24" s="27" t="str">
        <f t="shared" si="60"/>
        <v/>
      </c>
      <c r="O24" s="27" t="str">
        <f t="shared" si="60"/>
        <v/>
      </c>
      <c r="P24" s="27" t="str">
        <f t="shared" si="60"/>
        <v/>
      </c>
      <c r="Q24" s="27" t="str">
        <f t="shared" si="60"/>
        <v/>
      </c>
      <c r="R24" s="27" t="str">
        <f t="shared" si="60"/>
        <v/>
      </c>
      <c r="S24" s="27" t="str">
        <f t="shared" si="60"/>
        <v/>
      </c>
      <c r="T24" s="27" t="str">
        <f t="shared" si="60"/>
        <v/>
      </c>
      <c r="U24" s="27" t="str">
        <f t="shared" si="60"/>
        <v/>
      </c>
      <c r="Y24" s="27" t="str">
        <f t="shared" si="60"/>
        <v/>
      </c>
    </row>
    <row r="25" spans="1:32" hidden="1" x14ac:dyDescent="0.2">
      <c r="A25" s="27">
        <f>A11</f>
        <v>0</v>
      </c>
      <c r="B25" s="27" t="str">
        <f t="shared" ca="1" si="61"/>
        <v/>
      </c>
      <c r="C25" s="27" t="str">
        <f t="shared" si="60"/>
        <v/>
      </c>
      <c r="D25" s="27" t="str">
        <f t="shared" si="60"/>
        <v/>
      </c>
      <c r="E25" s="27" t="str">
        <f t="shared" si="60"/>
        <v/>
      </c>
      <c r="F25" s="27" t="str">
        <f t="shared" si="60"/>
        <v/>
      </c>
      <c r="G25" s="27" t="str">
        <f t="shared" si="60"/>
        <v/>
      </c>
      <c r="H25" s="27" t="str">
        <f t="shared" si="60"/>
        <v/>
      </c>
      <c r="I25" s="27" t="str">
        <f t="shared" si="60"/>
        <v/>
      </c>
      <c r="J25" s="27" t="str">
        <f t="shared" si="60"/>
        <v/>
      </c>
      <c r="K25" s="27" t="str">
        <f t="shared" si="60"/>
        <v/>
      </c>
      <c r="L25" s="27" t="str">
        <f t="shared" si="60"/>
        <v/>
      </c>
      <c r="M25" s="27" t="str">
        <f t="shared" si="60"/>
        <v/>
      </c>
      <c r="N25" s="27" t="str">
        <f t="shared" si="60"/>
        <v/>
      </c>
      <c r="O25" s="27" t="str">
        <f t="shared" si="60"/>
        <v/>
      </c>
      <c r="P25" s="27" t="str">
        <f t="shared" si="60"/>
        <v/>
      </c>
      <c r="Q25" s="27" t="str">
        <f t="shared" si="60"/>
        <v/>
      </c>
      <c r="R25" s="27" t="str">
        <f t="shared" si="60"/>
        <v/>
      </c>
      <c r="S25" s="27" t="str">
        <f t="shared" si="60"/>
        <v/>
      </c>
      <c r="T25" s="27" t="str">
        <f t="shared" si="60"/>
        <v/>
      </c>
      <c r="U25" s="27" t="str">
        <f t="shared" si="60"/>
        <v/>
      </c>
      <c r="Y25" s="27" t="str">
        <f t="shared" si="60"/>
        <v/>
      </c>
    </row>
    <row r="26" spans="1:32" hidden="1" x14ac:dyDescent="0.2">
      <c r="A26" s="27">
        <f>A12</f>
        <v>0</v>
      </c>
      <c r="B26" s="27" t="str">
        <f t="shared" ca="1" si="61"/>
        <v/>
      </c>
      <c r="C26" s="27" t="str">
        <f t="shared" si="60"/>
        <v/>
      </c>
      <c r="D26" s="27" t="str">
        <f t="shared" si="60"/>
        <v/>
      </c>
      <c r="E26" s="27" t="str">
        <f t="shared" si="60"/>
        <v/>
      </c>
      <c r="F26" s="27" t="str">
        <f t="shared" si="60"/>
        <v/>
      </c>
      <c r="G26" s="27" t="str">
        <f t="shared" si="60"/>
        <v/>
      </c>
      <c r="H26" s="27" t="str">
        <f t="shared" si="60"/>
        <v/>
      </c>
      <c r="I26" s="27" t="str">
        <f t="shared" si="60"/>
        <v/>
      </c>
      <c r="J26" s="27" t="str">
        <f t="shared" si="60"/>
        <v/>
      </c>
      <c r="K26" s="27" t="str">
        <f t="shared" si="60"/>
        <v/>
      </c>
      <c r="L26" s="27" t="str">
        <f t="shared" si="60"/>
        <v/>
      </c>
      <c r="M26" s="27" t="str">
        <f t="shared" si="60"/>
        <v/>
      </c>
      <c r="N26" s="27" t="str">
        <f t="shared" si="60"/>
        <v/>
      </c>
      <c r="O26" s="27" t="str">
        <f t="shared" si="60"/>
        <v/>
      </c>
      <c r="P26" s="27" t="str">
        <f t="shared" si="60"/>
        <v/>
      </c>
      <c r="Q26" s="27" t="str">
        <f t="shared" si="60"/>
        <v/>
      </c>
      <c r="R26" s="27" t="str">
        <f t="shared" si="60"/>
        <v/>
      </c>
      <c r="S26" s="27" t="str">
        <f t="shared" si="60"/>
        <v/>
      </c>
      <c r="T26" s="27" t="str">
        <f t="shared" si="60"/>
        <v/>
      </c>
      <c r="U26" s="27" t="str">
        <f t="shared" si="60"/>
        <v/>
      </c>
      <c r="Y26" s="27" t="str">
        <f t="shared" si="60"/>
        <v/>
      </c>
    </row>
    <row r="27" spans="1:32" hidden="1" x14ac:dyDescent="0.2">
      <c r="A27" s="27">
        <f>A13</f>
        <v>0</v>
      </c>
      <c r="B27" s="27" t="str">
        <f t="shared" ca="1" si="61"/>
        <v/>
      </c>
      <c r="C27" s="27" t="str">
        <f t="shared" si="60"/>
        <v/>
      </c>
      <c r="D27" s="27" t="str">
        <f t="shared" si="60"/>
        <v/>
      </c>
      <c r="E27" s="27" t="str">
        <f t="shared" si="60"/>
        <v/>
      </c>
      <c r="F27" s="27" t="str">
        <f t="shared" si="60"/>
        <v/>
      </c>
      <c r="G27" s="27" t="str">
        <f t="shared" si="60"/>
        <v/>
      </c>
      <c r="H27" s="27" t="str">
        <f t="shared" si="60"/>
        <v/>
      </c>
      <c r="I27" s="27" t="str">
        <f t="shared" si="60"/>
        <v/>
      </c>
      <c r="J27" s="27" t="str">
        <f t="shared" si="60"/>
        <v/>
      </c>
      <c r="K27" s="27" t="str">
        <f t="shared" si="60"/>
        <v/>
      </c>
      <c r="L27" s="27" t="str">
        <f t="shared" si="60"/>
        <v/>
      </c>
      <c r="M27" s="27" t="str">
        <f t="shared" si="60"/>
        <v/>
      </c>
      <c r="N27" s="27" t="str">
        <f t="shared" si="60"/>
        <v/>
      </c>
      <c r="O27" s="27" t="str">
        <f t="shared" si="60"/>
        <v/>
      </c>
      <c r="P27" s="27" t="str">
        <f t="shared" si="60"/>
        <v/>
      </c>
      <c r="Q27" s="27" t="str">
        <f t="shared" si="60"/>
        <v/>
      </c>
      <c r="R27" s="27" t="str">
        <f t="shared" si="60"/>
        <v/>
      </c>
      <c r="S27" s="27" t="str">
        <f t="shared" si="60"/>
        <v/>
      </c>
      <c r="T27" s="27" t="str">
        <f t="shared" si="60"/>
        <v/>
      </c>
      <c r="U27" s="27" t="str">
        <f t="shared" si="60"/>
        <v/>
      </c>
      <c r="Y27" s="27" t="str">
        <f t="shared" si="60"/>
        <v/>
      </c>
    </row>
    <row r="28" spans="1:32" hidden="1" x14ac:dyDescent="0.2"/>
    <row r="29" spans="1:32" hidden="1" x14ac:dyDescent="0.2">
      <c r="A29" s="27">
        <f>A15</f>
        <v>0</v>
      </c>
      <c r="B29" s="27" t="str">
        <f t="shared" ca="1" si="61"/>
        <v/>
      </c>
      <c r="C29" s="27" t="str">
        <f t="shared" si="60"/>
        <v/>
      </c>
      <c r="D29" s="27" t="str">
        <f t="shared" si="60"/>
        <v/>
      </c>
      <c r="E29" s="27" t="str">
        <f t="shared" si="60"/>
        <v/>
      </c>
      <c r="F29" s="27" t="str">
        <f t="shared" si="60"/>
        <v/>
      </c>
      <c r="G29" s="27" t="str">
        <f t="shared" si="60"/>
        <v/>
      </c>
      <c r="H29" s="27" t="str">
        <f t="shared" si="60"/>
        <v/>
      </c>
      <c r="I29" s="27" t="str">
        <f t="shared" si="60"/>
        <v/>
      </c>
      <c r="J29" s="27" t="str">
        <f t="shared" si="60"/>
        <v/>
      </c>
      <c r="K29" s="27" t="str">
        <f t="shared" si="60"/>
        <v/>
      </c>
      <c r="L29" s="27" t="str">
        <f t="shared" si="60"/>
        <v/>
      </c>
      <c r="M29" s="27" t="str">
        <f t="shared" si="60"/>
        <v/>
      </c>
      <c r="N29" s="27" t="str">
        <f t="shared" si="60"/>
        <v/>
      </c>
      <c r="O29" s="27" t="str">
        <f t="shared" si="60"/>
        <v/>
      </c>
      <c r="P29" s="27" t="str">
        <f t="shared" si="60"/>
        <v/>
      </c>
      <c r="Q29" s="27" t="str">
        <f t="shared" si="60"/>
        <v/>
      </c>
      <c r="R29" s="27" t="str">
        <f t="shared" si="60"/>
        <v/>
      </c>
      <c r="S29" s="27" t="str">
        <f t="shared" si="60"/>
        <v/>
      </c>
      <c r="T29" s="27" t="str">
        <f t="shared" si="60"/>
        <v/>
      </c>
      <c r="U29" s="27" t="str">
        <f t="shared" si="60"/>
        <v/>
      </c>
      <c r="Y29" s="27" t="str">
        <f t="shared" si="60"/>
        <v/>
      </c>
    </row>
    <row r="30" spans="1:32" hidden="1" x14ac:dyDescent="0.2">
      <c r="A30" s="27">
        <f>A16</f>
        <v>0</v>
      </c>
      <c r="B30" s="27" t="str">
        <f t="shared" ca="1" si="61"/>
        <v/>
      </c>
      <c r="C30" s="27" t="str">
        <f t="shared" si="60"/>
        <v/>
      </c>
      <c r="D30" s="27" t="str">
        <f t="shared" si="60"/>
        <v/>
      </c>
      <c r="E30" s="27" t="str">
        <f t="shared" si="60"/>
        <v/>
      </c>
      <c r="F30" s="27" t="str">
        <f t="shared" si="60"/>
        <v/>
      </c>
      <c r="G30" s="27" t="str">
        <f t="shared" si="60"/>
        <v/>
      </c>
      <c r="H30" s="27" t="str">
        <f t="shared" si="60"/>
        <v/>
      </c>
      <c r="I30" s="27" t="str">
        <f t="shared" si="60"/>
        <v/>
      </c>
      <c r="J30" s="27" t="str">
        <f t="shared" si="60"/>
        <v/>
      </c>
      <c r="K30" s="27" t="str">
        <f t="shared" si="60"/>
        <v/>
      </c>
      <c r="L30" s="27" t="str">
        <f t="shared" si="60"/>
        <v/>
      </c>
      <c r="M30" s="27" t="str">
        <f t="shared" si="60"/>
        <v/>
      </c>
      <c r="N30" s="27" t="str">
        <f t="shared" si="60"/>
        <v/>
      </c>
      <c r="O30" s="27" t="str">
        <f t="shared" si="60"/>
        <v/>
      </c>
      <c r="P30" s="27" t="str">
        <f t="shared" si="60"/>
        <v/>
      </c>
      <c r="Q30" s="27" t="str">
        <f t="shared" si="60"/>
        <v/>
      </c>
      <c r="R30" s="27" t="str">
        <f t="shared" si="60"/>
        <v/>
      </c>
      <c r="S30" s="27" t="str">
        <f t="shared" si="60"/>
        <v/>
      </c>
      <c r="T30" s="27" t="str">
        <f t="shared" si="60"/>
        <v/>
      </c>
      <c r="U30" s="27" t="str">
        <f t="shared" si="60"/>
        <v/>
      </c>
      <c r="Y30" s="27" t="str">
        <f t="shared" si="60"/>
        <v/>
      </c>
    </row>
  </sheetData>
  <sheetProtection selectLockedCells="1" selectUnlockedCells="1"/>
  <mergeCells count="6">
    <mergeCell ref="A18:B18"/>
    <mergeCell ref="A3:B3"/>
    <mergeCell ref="A4:B4"/>
    <mergeCell ref="A5:B5"/>
    <mergeCell ref="A6:B6"/>
    <mergeCell ref="A17:B17"/>
  </mergeCells>
  <conditionalFormatting sqref="C4:R4 Y4">
    <cfRule type="expression" dxfId="13" priority="11">
      <formula>C4&gt;3</formula>
    </cfRule>
    <cfRule type="expression" dxfId="12" priority="12">
      <formula>AND(C4&gt;2,C4&lt;=3)</formula>
    </cfRule>
    <cfRule type="expression" dxfId="11" priority="13">
      <formula>AND(C4&gt;1,C4&lt;=2)</formula>
    </cfRule>
    <cfRule type="expression" dxfId="10" priority="14">
      <formula>C4&lt;=1</formula>
    </cfRule>
  </conditionalFormatting>
  <conditionalFormatting sqref="C8:U10 C12:U13 Y12:Y13 Y8:Y10">
    <cfRule type="expression" dxfId="9" priority="9">
      <formula>C$3/3-C8&lt;-0.75</formula>
    </cfRule>
    <cfRule type="expression" dxfId="8" priority="10">
      <formula>C$3/3-C8&gt;0.75</formula>
    </cfRule>
  </conditionalFormatting>
  <conditionalFormatting sqref="C11:D11">
    <cfRule type="expression" dxfId="7" priority="7">
      <formula>C$3/3-C11&lt;-0.75</formula>
    </cfRule>
    <cfRule type="expression" dxfId="6" priority="8">
      <formula>C$3/3-C11&gt;0.75</formula>
    </cfRule>
  </conditionalFormatting>
  <conditionalFormatting sqref="E11:U11 Y11">
    <cfRule type="expression" dxfId="5" priority="5">
      <formula>E$3/3-E11&lt;-0.75</formula>
    </cfRule>
    <cfRule type="expression" dxfId="4" priority="6">
      <formula>E$3/3-E11&gt;0.75</formula>
    </cfRule>
  </conditionalFormatting>
  <conditionalFormatting sqref="S4:U4">
    <cfRule type="expression" dxfId="3" priority="1">
      <formula>S4&gt;3</formula>
    </cfRule>
    <cfRule type="expression" dxfId="2" priority="2">
      <formula>AND(S4&gt;2,S4&lt;=3)</formula>
    </cfRule>
    <cfRule type="expression" dxfId="1" priority="3">
      <formula>AND(S4&gt;1,S4&lt;=2)</formula>
    </cfRule>
    <cfRule type="expression" dxfId="0" priority="4">
      <formula>S4&lt;=1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Tabelle3"/>
  <dimension ref="A1:H53"/>
  <sheetViews>
    <sheetView workbookViewId="0"/>
  </sheetViews>
  <sheetFormatPr baseColWidth="10" defaultColWidth="11.5703125" defaultRowHeight="15" x14ac:dyDescent="0.25"/>
  <cols>
    <col min="1" max="16384" width="11.5703125" style="53"/>
  </cols>
  <sheetData>
    <row r="1" spans="1:3" x14ac:dyDescent="0.25">
      <c r="A1" s="53" t="s">
        <v>31</v>
      </c>
      <c r="B1" s="25" t="s">
        <v>190</v>
      </c>
    </row>
    <row r="2" spans="1:3" x14ac:dyDescent="0.25">
      <c r="A2" s="53" t="s">
        <v>32</v>
      </c>
      <c r="B2" s="53" t="s">
        <v>33</v>
      </c>
    </row>
    <row r="3" spans="1:3" x14ac:dyDescent="0.25">
      <c r="A3" t="s">
        <v>196</v>
      </c>
    </row>
    <row r="4" spans="1:3" x14ac:dyDescent="0.25">
      <c r="A4" s="53" t="s">
        <v>34</v>
      </c>
    </row>
    <row r="5" spans="1:3" x14ac:dyDescent="0.25">
      <c r="A5" s="53" t="s">
        <v>35</v>
      </c>
      <c r="B5" s="53" t="s">
        <v>36</v>
      </c>
    </row>
    <row r="7" spans="1:3" x14ac:dyDescent="0.25">
      <c r="B7" t="s">
        <v>197</v>
      </c>
      <c r="C7" t="s">
        <v>198</v>
      </c>
    </row>
    <row r="8" spans="1:3" x14ac:dyDescent="0.25">
      <c r="B8" t="s">
        <v>199</v>
      </c>
      <c r="C8" t="s">
        <v>194</v>
      </c>
    </row>
    <row r="9" spans="1:3" x14ac:dyDescent="0.25">
      <c r="B9" t="s">
        <v>195</v>
      </c>
      <c r="C9" s="53" t="s">
        <v>37</v>
      </c>
    </row>
    <row r="10" spans="1:3" x14ac:dyDescent="0.25">
      <c r="B10" t="s">
        <v>200</v>
      </c>
      <c r="C10" s="53" t="s">
        <v>38</v>
      </c>
    </row>
    <row r="11" spans="1:3" x14ac:dyDescent="0.25">
      <c r="B11" t="s">
        <v>201</v>
      </c>
      <c r="C11" s="53" t="s">
        <v>39</v>
      </c>
    </row>
    <row r="12" spans="1:3" x14ac:dyDescent="0.25">
      <c r="B12" t="s">
        <v>202</v>
      </c>
      <c r="C12" t="s">
        <v>203</v>
      </c>
    </row>
    <row r="20" spans="1:3" x14ac:dyDescent="0.25">
      <c r="B20" t="s">
        <v>204</v>
      </c>
      <c r="C20" s="53" t="s">
        <v>40</v>
      </c>
    </row>
    <row r="24" spans="1:3" x14ac:dyDescent="0.25">
      <c r="A24" s="53" t="s">
        <v>44</v>
      </c>
    </row>
    <row r="25" spans="1:3" x14ac:dyDescent="0.25">
      <c r="B25" s="53" t="s">
        <v>45</v>
      </c>
    </row>
    <row r="26" spans="1:3" ht="15" customHeight="1" x14ac:dyDescent="0.25">
      <c r="A26" s="53" t="s">
        <v>161</v>
      </c>
    </row>
    <row r="27" spans="1:3" ht="15" customHeight="1" x14ac:dyDescent="0.25"/>
    <row r="28" spans="1:3" ht="15" customHeight="1" x14ac:dyDescent="0.25">
      <c r="A28" s="53" t="s">
        <v>156</v>
      </c>
      <c r="B28" t="s">
        <v>193</v>
      </c>
    </row>
    <row r="29" spans="1:3" ht="15" customHeight="1" x14ac:dyDescent="0.25">
      <c r="A29" s="53" t="s">
        <v>155</v>
      </c>
      <c r="B29" t="s">
        <v>194</v>
      </c>
    </row>
    <row r="30" spans="1:3" ht="15" customHeight="1" x14ac:dyDescent="0.25">
      <c r="A30" s="53" t="s">
        <v>159</v>
      </c>
      <c r="B30" s="53" t="s">
        <v>160</v>
      </c>
    </row>
    <row r="31" spans="1:3" ht="15" customHeight="1" x14ac:dyDescent="0.25">
      <c r="A31" s="53" t="s">
        <v>157</v>
      </c>
      <c r="B31" s="53" t="s">
        <v>158</v>
      </c>
    </row>
    <row r="32" spans="1:3" ht="15" customHeight="1" x14ac:dyDescent="0.25">
      <c r="A32" s="53" t="s">
        <v>162</v>
      </c>
      <c r="B32" s="53" t="s">
        <v>189</v>
      </c>
    </row>
    <row r="33" spans="1:2" ht="15" customHeight="1" x14ac:dyDescent="0.25">
      <c r="A33" s="53" t="s">
        <v>163</v>
      </c>
      <c r="B33" s="53" t="s">
        <v>1</v>
      </c>
    </row>
    <row r="34" spans="1:2" ht="15" customHeight="1" x14ac:dyDescent="0.25">
      <c r="A34" s="53" t="s">
        <v>164</v>
      </c>
      <c r="B34" s="53" t="s">
        <v>2</v>
      </c>
    </row>
    <row r="35" spans="1:2" ht="15" customHeight="1" x14ac:dyDescent="0.25">
      <c r="A35" s="53" t="s">
        <v>165</v>
      </c>
      <c r="B35" s="53" t="s">
        <v>3</v>
      </c>
    </row>
    <row r="36" spans="1:2" ht="15" customHeight="1" x14ac:dyDescent="0.25">
      <c r="A36" s="53" t="s">
        <v>166</v>
      </c>
      <c r="B36" s="53" t="s">
        <v>4</v>
      </c>
    </row>
    <row r="37" spans="1:2" ht="15" customHeight="1" x14ac:dyDescent="0.25">
      <c r="A37" s="53" t="s">
        <v>167</v>
      </c>
      <c r="B37" s="53" t="s">
        <v>6</v>
      </c>
    </row>
    <row r="38" spans="1:2" ht="15" customHeight="1" x14ac:dyDescent="0.25">
      <c r="A38" s="53" t="s">
        <v>168</v>
      </c>
      <c r="B38" s="53" t="s">
        <v>67</v>
      </c>
    </row>
    <row r="39" spans="1:2" ht="15" customHeight="1" x14ac:dyDescent="0.25">
      <c r="A39" s="53" t="s">
        <v>169</v>
      </c>
      <c r="B39" s="53" t="s">
        <v>66</v>
      </c>
    </row>
    <row r="40" spans="1:2" ht="15" customHeight="1" x14ac:dyDescent="0.25">
      <c r="A40" s="53" t="s">
        <v>170</v>
      </c>
      <c r="B40" s="53" t="s">
        <v>65</v>
      </c>
    </row>
    <row r="41" spans="1:2" ht="15" customHeight="1" x14ac:dyDescent="0.25">
      <c r="A41" s="53" t="s">
        <v>171</v>
      </c>
      <c r="B41" s="53" t="s">
        <v>5</v>
      </c>
    </row>
    <row r="42" spans="1:2" ht="15" customHeight="1" x14ac:dyDescent="0.25">
      <c r="A42" s="53" t="s">
        <v>172</v>
      </c>
      <c r="B42" s="53" t="s">
        <v>41</v>
      </c>
    </row>
    <row r="43" spans="1:2" ht="15" customHeight="1" x14ac:dyDescent="0.25">
      <c r="A43" s="53" t="s">
        <v>173</v>
      </c>
      <c r="B43" s="53" t="s">
        <v>174</v>
      </c>
    </row>
    <row r="44" spans="1:2" ht="15" customHeight="1" x14ac:dyDescent="0.25">
      <c r="A44" s="53" t="s">
        <v>175</v>
      </c>
      <c r="B44" s="53" t="s">
        <v>42</v>
      </c>
    </row>
    <row r="45" spans="1:2" ht="15" customHeight="1" x14ac:dyDescent="0.25">
      <c r="A45" s="53" t="s">
        <v>176</v>
      </c>
      <c r="B45" s="53" t="s">
        <v>177</v>
      </c>
    </row>
    <row r="46" spans="1:2" ht="15" customHeight="1" x14ac:dyDescent="0.25">
      <c r="A46" s="53" t="s">
        <v>178</v>
      </c>
      <c r="B46" s="53" t="s">
        <v>179</v>
      </c>
    </row>
    <row r="47" spans="1:2" ht="15" customHeight="1" x14ac:dyDescent="0.25">
      <c r="A47" s="53" t="s">
        <v>180</v>
      </c>
      <c r="B47" s="53" t="s">
        <v>181</v>
      </c>
    </row>
    <row r="48" spans="1:2" ht="15" customHeight="1" x14ac:dyDescent="0.25">
      <c r="A48" s="53" t="s">
        <v>182</v>
      </c>
      <c r="B48" s="53" t="s">
        <v>183</v>
      </c>
    </row>
    <row r="49" spans="1:8" x14ac:dyDescent="0.25">
      <c r="A49" s="53" t="s">
        <v>184</v>
      </c>
      <c r="B49" s="53" t="s">
        <v>185</v>
      </c>
    </row>
    <row r="50" spans="1:8" x14ac:dyDescent="0.25">
      <c r="A50" s="53" t="s">
        <v>186</v>
      </c>
      <c r="B50" s="53" t="s">
        <v>43</v>
      </c>
    </row>
    <row r="51" spans="1:8" x14ac:dyDescent="0.25">
      <c r="A51" s="53" t="s">
        <v>187</v>
      </c>
      <c r="B51" s="53" t="s">
        <v>7</v>
      </c>
      <c r="F51"/>
      <c r="G51" s="29"/>
      <c r="H51"/>
    </row>
    <row r="52" spans="1:8" x14ac:dyDescent="0.25">
      <c r="A52" s="53" t="s">
        <v>188</v>
      </c>
      <c r="B52" s="53" t="s">
        <v>28</v>
      </c>
      <c r="F52" s="25"/>
      <c r="G52" s="25"/>
      <c r="H52" s="28"/>
    </row>
    <row r="53" spans="1:8" x14ac:dyDescent="0.25">
      <c r="A53" t="s">
        <v>206</v>
      </c>
      <c r="B53" t="s">
        <v>205</v>
      </c>
    </row>
  </sheetData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PrintBlanko">
                <anchor moveWithCells="1" sizeWithCells="1">
                  <from>
                    <xdr:col>5</xdr:col>
                    <xdr:colOff>66675</xdr:colOff>
                    <xdr:row>3</xdr:row>
                    <xdr:rowOff>66675</xdr:rowOff>
                  </from>
                  <to>
                    <xdr:col>6</xdr:col>
                    <xdr:colOff>657225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15</vt:i4>
      </vt:variant>
      <vt:variant>
        <vt:lpstr>Benannte Bereiche</vt:lpstr>
      </vt:variant>
      <vt:variant>
        <vt:i4>14</vt:i4>
      </vt:variant>
    </vt:vector>
  </HeadingPairs>
  <TitlesOfParts>
    <vt:vector size="29" baseType="lpstr">
      <vt:lpstr>1 Nage</vt:lpstr>
      <vt:lpstr>2 Katame</vt:lpstr>
      <vt:lpstr>3 Ju</vt:lpstr>
      <vt:lpstr>4 Kime</vt:lpstr>
      <vt:lpstr>5 Goshin</vt:lpstr>
      <vt:lpstr>6 Koshiki</vt:lpstr>
      <vt:lpstr>7 Jugend</vt:lpstr>
      <vt:lpstr>1 Nage A</vt:lpstr>
      <vt:lpstr>2 Katame A</vt:lpstr>
      <vt:lpstr>3 Ju A</vt:lpstr>
      <vt:lpstr>4 Kime A</vt:lpstr>
      <vt:lpstr>5 Goshin A</vt:lpstr>
      <vt:lpstr>6 Koshiki A</vt:lpstr>
      <vt:lpstr>7 Jugend A</vt:lpstr>
      <vt:lpstr>Doku</vt:lpstr>
      <vt:lpstr>'1 Nage'!Druckbereich</vt:lpstr>
      <vt:lpstr>'1 Nage A'!Druckbereich</vt:lpstr>
      <vt:lpstr>'2 Katame'!Druckbereich</vt:lpstr>
      <vt:lpstr>'2 Katame A'!Druckbereich</vt:lpstr>
      <vt:lpstr>'3 Ju'!Druckbereich</vt:lpstr>
      <vt:lpstr>'3 Ju A'!Druckbereich</vt:lpstr>
      <vt:lpstr>'4 Kime'!Druckbereich</vt:lpstr>
      <vt:lpstr>'4 Kime A'!Druckbereich</vt:lpstr>
      <vt:lpstr>'5 Goshin'!Druckbereich</vt:lpstr>
      <vt:lpstr>'5 Goshin A'!Druckbereich</vt:lpstr>
      <vt:lpstr>'6 Koshiki'!Druckbereich</vt:lpstr>
      <vt:lpstr>'6 Koshiki A'!Druckbereich</vt:lpstr>
      <vt:lpstr>'7 Jugend'!Druckbereich</vt:lpstr>
      <vt:lpstr>'7 Jugend A'!Druckbereich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Jung</dc:creator>
  <cp:lastModifiedBy>Dr. Martin Jung</cp:lastModifiedBy>
  <cp:lastPrinted>2019-03-31T22:24:11Z</cp:lastPrinted>
  <dcterms:created xsi:type="dcterms:W3CDTF">2016-05-27T20:14:04Z</dcterms:created>
  <dcterms:modified xsi:type="dcterms:W3CDTF">2019-04-01T00:41:18Z</dcterms:modified>
</cp:coreProperties>
</file>