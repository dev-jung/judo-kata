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708AA64D-79D5-4E73-AB42-68DB9EF11120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J5" i="22" l="1"/>
  <c r="G5" i="22"/>
  <c r="A5" i="22"/>
  <c r="J36" i="22" l="1"/>
  <c r="J36" i="12"/>
  <c r="J36" i="10"/>
  <c r="J36" i="8"/>
  <c r="J36" i="20"/>
  <c r="J36" i="18"/>
  <c r="J36" i="1"/>
  <c r="Z9" i="13"/>
  <c r="Z10" i="23"/>
  <c r="Z7" i="9"/>
  <c r="Z15" i="9"/>
  <c r="Z16" i="11"/>
  <c r="Z8" i="11"/>
  <c r="Z13" i="11"/>
  <c r="Z13" i="23"/>
  <c r="Z12" i="11"/>
  <c r="Z11" i="13"/>
  <c r="Z9" i="11"/>
  <c r="Z12" i="9"/>
  <c r="Z8" i="23"/>
  <c r="Z16" i="9"/>
  <c r="Z16" i="13"/>
  <c r="Z12" i="23"/>
  <c r="Z15" i="23"/>
  <c r="Z15" i="13"/>
  <c r="Z11" i="23"/>
  <c r="Z9" i="9"/>
  <c r="Z7" i="13"/>
  <c r="Z13" i="13"/>
  <c r="Z11" i="9"/>
  <c r="Z10" i="13"/>
  <c r="Z12" i="13"/>
  <c r="Z7" i="23"/>
  <c r="Z7" i="11"/>
  <c r="Z10" i="9"/>
  <c r="Z15" i="11"/>
  <c r="Z8" i="9"/>
  <c r="Z10" i="11"/>
  <c r="Z11" i="11"/>
  <c r="Z16" i="23"/>
  <c r="Z9" i="23"/>
  <c r="Z8" i="13"/>
  <c r="Z13" i="9"/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J8" i="19"/>
  <c r="J9" i="17"/>
  <c r="K10" i="19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Y12" i="23"/>
  <c r="E15" i="23"/>
  <c r="M7" i="23"/>
  <c r="R15" i="23"/>
  <c r="F13" i="23"/>
  <c r="J15" i="23"/>
  <c r="F8" i="23"/>
  <c r="L15" i="23"/>
  <c r="AB16" i="23"/>
  <c r="AF8" i="23"/>
  <c r="AD7" i="23"/>
  <c r="AC7" i="23"/>
  <c r="K16" i="23"/>
  <c r="P11" i="23"/>
  <c r="T16" i="23"/>
  <c r="F7" i="23"/>
  <c r="F16" i="23"/>
  <c r="AC13" i="23"/>
  <c r="Q12" i="23"/>
  <c r="E11" i="23"/>
  <c r="AD15" i="23"/>
  <c r="G7" i="23"/>
  <c r="K12" i="23"/>
  <c r="P15" i="23"/>
  <c r="R16" i="23"/>
  <c r="T12" i="23"/>
  <c r="AF13" i="23"/>
  <c r="S15" i="23"/>
  <c r="T13" i="23"/>
  <c r="N13" i="23"/>
  <c r="B9" i="23"/>
  <c r="I10" i="23"/>
  <c r="AD10" i="23"/>
  <c r="Y15" i="23"/>
  <c r="O13" i="23"/>
  <c r="AB10" i="23"/>
  <c r="H16" i="23"/>
  <c r="K11" i="23"/>
  <c r="N16" i="23"/>
  <c r="E9" i="23"/>
  <c r="AC9" i="23"/>
  <c r="N7" i="23"/>
  <c r="P12" i="23"/>
  <c r="O12" i="23"/>
  <c r="U15" i="23"/>
  <c r="K7" i="23"/>
  <c r="T9" i="23"/>
  <c r="O10" i="23"/>
  <c r="J12" i="23"/>
  <c r="L11" i="23"/>
  <c r="E8" i="23"/>
  <c r="T15" i="23"/>
  <c r="S16" i="23"/>
  <c r="AC10" i="23"/>
  <c r="M15" i="23"/>
  <c r="D8" i="23"/>
  <c r="H13" i="23"/>
  <c r="F10" i="23"/>
  <c r="S7" i="23"/>
  <c r="B11" i="23"/>
  <c r="I13" i="23"/>
  <c r="F9" i="23"/>
  <c r="G16" i="23"/>
  <c r="O9" i="23"/>
  <c r="E10" i="23"/>
  <c r="S12" i="23"/>
  <c r="U11" i="23"/>
  <c r="B13" i="23"/>
  <c r="O16" i="23"/>
  <c r="K10" i="23"/>
  <c r="H15" i="23"/>
  <c r="L12" i="23"/>
  <c r="G15" i="23"/>
  <c r="B8" i="23"/>
  <c r="S13" i="23"/>
  <c r="S8" i="23"/>
  <c r="T7" i="23"/>
  <c r="E16" i="23"/>
  <c r="P16" i="23"/>
  <c r="Y10" i="23"/>
  <c r="R11" i="23"/>
  <c r="N9" i="23"/>
  <c r="AF7" i="23"/>
  <c r="B16" i="23"/>
  <c r="T10" i="23"/>
  <c r="I7" i="23"/>
  <c r="AB7" i="23"/>
  <c r="B15" i="23"/>
  <c r="AB13" i="23"/>
  <c r="K13" i="23"/>
  <c r="Q11" i="23"/>
  <c r="C12" i="23"/>
  <c r="J11" i="23"/>
  <c r="H8" i="23"/>
  <c r="M8" i="23"/>
  <c r="O8" i="23"/>
  <c r="L9" i="23"/>
  <c r="C7" i="23"/>
  <c r="AF10" i="23"/>
  <c r="AD13" i="23"/>
  <c r="N11" i="23"/>
  <c r="I8" i="23"/>
  <c r="AD16" i="23"/>
  <c r="U13" i="23"/>
  <c r="AD9" i="23"/>
  <c r="D10" i="23"/>
  <c r="S11" i="23"/>
  <c r="M12" i="23"/>
  <c r="I12" i="23"/>
  <c r="AD11" i="23"/>
  <c r="C10" i="23"/>
  <c r="L16" i="23"/>
  <c r="Y13" i="23"/>
  <c r="AE8" i="23"/>
  <c r="Y16" i="23"/>
  <c r="P8" i="23"/>
  <c r="M11" i="23"/>
  <c r="C11" i="23"/>
  <c r="U8" i="23"/>
  <c r="J16" i="23"/>
  <c r="E12" i="23"/>
  <c r="Y7" i="23"/>
  <c r="C16" i="23"/>
  <c r="U7" i="23"/>
  <c r="Y9" i="23"/>
  <c r="AE7" i="23"/>
  <c r="F15" i="23"/>
  <c r="AC15" i="23"/>
  <c r="H9" i="23"/>
  <c r="AE9" i="23"/>
  <c r="AE11" i="23"/>
  <c r="J8" i="23"/>
  <c r="G9" i="23"/>
  <c r="C8" i="23"/>
  <c r="R12" i="23"/>
  <c r="AC11" i="23"/>
  <c r="P9" i="23"/>
  <c r="R9" i="23"/>
  <c r="U12" i="23"/>
  <c r="P10" i="23"/>
  <c r="M9" i="23"/>
  <c r="AC8" i="23"/>
  <c r="H12" i="23"/>
  <c r="E13" i="23"/>
  <c r="Q13" i="23"/>
  <c r="AF11" i="23"/>
  <c r="L7" i="23"/>
  <c r="AE13" i="23"/>
  <c r="J9" i="23"/>
  <c r="AF12" i="23"/>
  <c r="G12" i="23"/>
  <c r="AB8" i="23"/>
  <c r="S10" i="23"/>
  <c r="G8" i="23"/>
  <c r="O11" i="23"/>
  <c r="D12" i="23"/>
  <c r="D9" i="23"/>
  <c r="J13" i="23"/>
  <c r="AE10" i="23"/>
  <c r="AC12" i="23"/>
  <c r="Q10" i="23"/>
  <c r="K9" i="23"/>
  <c r="J7" i="23"/>
  <c r="M10" i="23"/>
  <c r="U16" i="23"/>
  <c r="G11" i="23"/>
  <c r="E7" i="23"/>
  <c r="B10" i="23"/>
  <c r="I15" i="23"/>
  <c r="Q7" i="23"/>
  <c r="G10" i="23"/>
  <c r="I16" i="23"/>
  <c r="M13" i="23"/>
  <c r="AE16" i="23"/>
  <c r="AB11" i="23"/>
  <c r="K15" i="23"/>
  <c r="B12" i="23"/>
  <c r="R10" i="23"/>
  <c r="F11" i="23"/>
  <c r="S9" i="23"/>
  <c r="AC16" i="23"/>
  <c r="G13" i="23"/>
  <c r="C13" i="23"/>
  <c r="Y11" i="23"/>
  <c r="AB15" i="23"/>
  <c r="D7" i="23"/>
  <c r="Q15" i="23"/>
  <c r="T8" i="23"/>
  <c r="AF9" i="23"/>
  <c r="O7" i="23"/>
  <c r="R8" i="23"/>
  <c r="O15" i="23"/>
  <c r="H11" i="23"/>
  <c r="C15" i="23"/>
  <c r="H7" i="23"/>
  <c r="AB9" i="23"/>
  <c r="AB12" i="23"/>
  <c r="AE15" i="23"/>
  <c r="M16" i="23"/>
  <c r="L8" i="23"/>
  <c r="Q8" i="23"/>
  <c r="Q16" i="23"/>
  <c r="N12" i="23"/>
  <c r="L10" i="23"/>
  <c r="N8" i="23"/>
  <c r="H10" i="23"/>
  <c r="P13" i="23"/>
  <c r="R13" i="23"/>
  <c r="N10" i="23"/>
  <c r="C9" i="23"/>
  <c r="AF16" i="23"/>
  <c r="P7" i="23"/>
  <c r="T11" i="23"/>
  <c r="R7" i="23"/>
  <c r="L13" i="23"/>
  <c r="N15" i="23"/>
  <c r="D15" i="23"/>
  <c r="F12" i="23"/>
  <c r="I11" i="23"/>
  <c r="D11" i="23"/>
  <c r="B7" i="23"/>
  <c r="AD12" i="23"/>
  <c r="U10" i="23"/>
  <c r="K8" i="23"/>
  <c r="AD8" i="23"/>
  <c r="Q9" i="23"/>
  <c r="AE12" i="23"/>
  <c r="B1" i="23"/>
  <c r="I9" i="23"/>
  <c r="Y8" i="23"/>
  <c r="U9" i="23"/>
  <c r="D16" i="23"/>
  <c r="D13" i="23"/>
  <c r="AF15" i="23"/>
  <c r="J10" i="23"/>
  <c r="L36" i="22" l="1"/>
  <c r="R3" i="23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19"/>
  <c r="B1" i="21"/>
  <c r="B1" i="9"/>
  <c r="B1" i="13"/>
  <c r="B1" i="17"/>
  <c r="B1" i="1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L36" i="12" l="1"/>
  <c r="L36" i="10"/>
  <c r="L36" i="8"/>
  <c r="A30" i="2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J3" i="19" l="1"/>
  <c r="J4" i="19"/>
  <c r="E1" i="12"/>
  <c r="E1" i="10"/>
  <c r="E1" i="8"/>
  <c r="E1" i="1"/>
  <c r="J5" i="19" l="1"/>
  <c r="J22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E11" i="17"/>
  <c r="O16" i="9"/>
  <c r="AF11" i="21"/>
  <c r="O12" i="13"/>
  <c r="C8" i="17"/>
  <c r="M12" i="19"/>
  <c r="I13" i="21"/>
  <c r="E12" i="9"/>
  <c r="P10" i="13"/>
  <c r="M13" i="19"/>
  <c r="N8" i="11"/>
  <c r="K15" i="11"/>
  <c r="AD13" i="13"/>
  <c r="G13" i="19"/>
  <c r="J12" i="13"/>
  <c r="AF7" i="11"/>
  <c r="Q15" i="13"/>
  <c r="Y10" i="21"/>
  <c r="I7" i="11"/>
  <c r="AC8" i="21"/>
  <c r="X16" i="11"/>
  <c r="E11" i="13"/>
  <c r="AE8" i="9"/>
  <c r="F10" i="11"/>
  <c r="T11" i="13"/>
  <c r="AD7" i="19"/>
  <c r="L8" i="13"/>
  <c r="Y9" i="9"/>
  <c r="F11" i="13"/>
  <c r="E16" i="13"/>
  <c r="K16" i="19"/>
  <c r="Q15" i="19"/>
  <c r="J15" i="19"/>
  <c r="L8" i="11"/>
  <c r="C15" i="13"/>
  <c r="AB11" i="13"/>
  <c r="D10" i="13"/>
  <c r="K12" i="11"/>
  <c r="AE7" i="17"/>
  <c r="W13" i="13"/>
  <c r="E12" i="13"/>
  <c r="H15" i="9"/>
  <c r="P9" i="13"/>
  <c r="I13" i="9"/>
  <c r="F11" i="21"/>
  <c r="L10" i="11"/>
  <c r="G9" i="11"/>
  <c r="B10" i="21"/>
  <c r="D7" i="9"/>
  <c r="R11" i="17"/>
  <c r="Q7" i="17"/>
  <c r="P8" i="17"/>
  <c r="D11" i="19"/>
  <c r="G15" i="9"/>
  <c r="S12" i="13"/>
  <c r="C9" i="19"/>
  <c r="P16" i="21"/>
  <c r="H9" i="9"/>
  <c r="E16" i="9"/>
  <c r="F16" i="17"/>
  <c r="Q16" i="9"/>
  <c r="O11" i="19"/>
  <c r="M8" i="17"/>
  <c r="Y13" i="17"/>
  <c r="AC13" i="19"/>
  <c r="Z8" i="19"/>
  <c r="M11" i="9"/>
  <c r="E12" i="21"/>
  <c r="AD16" i="17"/>
  <c r="R7" i="13"/>
  <c r="L10" i="9"/>
  <c r="L11" i="19"/>
  <c r="AF15" i="17"/>
  <c r="L13" i="19"/>
  <c r="AD13" i="21"/>
  <c r="Y11" i="21"/>
  <c r="K9" i="19"/>
  <c r="AD16" i="21"/>
  <c r="AF7" i="17"/>
  <c r="S7" i="13"/>
  <c r="M12" i="17"/>
  <c r="V15" i="9"/>
  <c r="R16" i="11"/>
  <c r="C10" i="21"/>
  <c r="Z9" i="17"/>
  <c r="Q13" i="21"/>
  <c r="N11" i="21"/>
  <c r="S16" i="11"/>
  <c r="Z11" i="19"/>
  <c r="U15" i="13"/>
  <c r="V9" i="9"/>
  <c r="W15" i="9"/>
  <c r="H15" i="21"/>
  <c r="Z12" i="21"/>
  <c r="H10" i="19"/>
  <c r="AD16" i="11"/>
  <c r="D15" i="19"/>
  <c r="R10" i="13"/>
  <c r="J11" i="11"/>
  <c r="J16" i="9"/>
  <c r="AF11" i="17"/>
  <c r="E16" i="11"/>
  <c r="AC16" i="17"/>
  <c r="F7" i="21"/>
  <c r="W16" i="11"/>
  <c r="K8" i="13"/>
  <c r="F10" i="9"/>
  <c r="AF16" i="19"/>
  <c r="K10" i="11"/>
  <c r="O15" i="19"/>
  <c r="AD15" i="11"/>
  <c r="X12" i="13"/>
  <c r="O10" i="19"/>
  <c r="H8" i="9"/>
  <c r="G10" i="21"/>
  <c r="H16" i="11"/>
  <c r="U8" i="13"/>
  <c r="Y9" i="13"/>
  <c r="D7" i="21"/>
  <c r="AC7" i="19"/>
  <c r="V15" i="11"/>
  <c r="AF7" i="9"/>
  <c r="X10" i="11"/>
  <c r="M10" i="11"/>
  <c r="J12" i="19"/>
  <c r="I15" i="13"/>
  <c r="N7" i="17"/>
  <c r="X9" i="11"/>
  <c r="AD7" i="21"/>
  <c r="Y8" i="19"/>
  <c r="J7" i="19"/>
  <c r="C7" i="13"/>
  <c r="I10" i="13"/>
  <c r="F11" i="9"/>
  <c r="AF9" i="21"/>
  <c r="AD9" i="13"/>
  <c r="O15" i="21"/>
  <c r="H13" i="19"/>
  <c r="P13" i="19"/>
  <c r="AC9" i="21"/>
  <c r="Y12" i="9"/>
  <c r="K7" i="9"/>
  <c r="M16" i="17"/>
  <c r="Z12" i="19"/>
  <c r="C13" i="19"/>
  <c r="O16" i="19"/>
  <c r="C12" i="11"/>
  <c r="AE15" i="21"/>
  <c r="E12" i="17"/>
  <c r="AF11" i="19"/>
  <c r="F15" i="17"/>
  <c r="R15" i="19"/>
  <c r="AB7" i="11"/>
  <c r="G15" i="17"/>
  <c r="X8" i="11"/>
  <c r="G9" i="19"/>
  <c r="W15" i="13"/>
  <c r="H9" i="13"/>
  <c r="D7" i="13"/>
  <c r="E13" i="13"/>
  <c r="V16" i="13"/>
  <c r="C9" i="17"/>
  <c r="I13" i="19"/>
  <c r="N8" i="21"/>
  <c r="O12" i="11"/>
  <c r="Q7" i="11"/>
  <c r="M7" i="13"/>
  <c r="V11" i="13"/>
  <c r="F15" i="19"/>
  <c r="K9" i="17"/>
  <c r="C8" i="19"/>
  <c r="AF12" i="9"/>
  <c r="AE7" i="9"/>
  <c r="G8" i="21"/>
  <c r="K11" i="17"/>
  <c r="Y11" i="19"/>
  <c r="G12" i="17"/>
  <c r="AD15" i="13"/>
  <c r="M15" i="19"/>
  <c r="I10" i="11"/>
  <c r="AE8" i="19"/>
  <c r="I11" i="9"/>
  <c r="C8" i="21"/>
  <c r="AB13" i="11"/>
  <c r="F10" i="13"/>
  <c r="R7" i="11"/>
  <c r="AB13" i="21"/>
  <c r="N9" i="13"/>
  <c r="AC12" i="21"/>
  <c r="Q9" i="11"/>
  <c r="D13" i="9"/>
  <c r="U10" i="9"/>
  <c r="Q9" i="17"/>
  <c r="R16" i="13"/>
  <c r="H11" i="19"/>
  <c r="D16" i="13"/>
  <c r="M15" i="13"/>
  <c r="I12" i="13"/>
  <c r="F12" i="11"/>
  <c r="R7" i="9"/>
  <c r="AB7" i="19"/>
  <c r="O10" i="13"/>
  <c r="Y16" i="13"/>
  <c r="I9" i="17"/>
  <c r="L16" i="19"/>
  <c r="AD15" i="17"/>
  <c r="B16" i="21"/>
  <c r="AD8" i="17"/>
  <c r="J11" i="19"/>
  <c r="T10" i="9"/>
  <c r="Y15" i="19"/>
  <c r="B8" i="21"/>
  <c r="K11" i="13"/>
  <c r="Z13" i="21"/>
  <c r="AF16" i="21"/>
  <c r="Z13" i="17"/>
  <c r="AF13" i="9"/>
  <c r="N8" i="9"/>
  <c r="AB12" i="13"/>
  <c r="N16" i="11"/>
  <c r="W12" i="11"/>
  <c r="D15" i="11"/>
  <c r="N11" i="17"/>
  <c r="C9" i="21"/>
  <c r="P16" i="11"/>
  <c r="T8" i="13"/>
  <c r="R16" i="9"/>
  <c r="E11" i="9"/>
  <c r="M7" i="9"/>
  <c r="C15" i="21"/>
  <c r="S11" i="9"/>
  <c r="N11" i="13"/>
  <c r="P11" i="19"/>
  <c r="M12" i="21"/>
  <c r="I8" i="17"/>
  <c r="D9" i="19"/>
  <c r="E7" i="19"/>
  <c r="E12" i="11"/>
  <c r="L15" i="17"/>
  <c r="T15" i="11"/>
  <c r="D13" i="21"/>
  <c r="M9" i="21"/>
  <c r="Z7" i="19"/>
  <c r="F13" i="21"/>
  <c r="C7" i="11"/>
  <c r="AE9" i="13"/>
  <c r="X13" i="11"/>
  <c r="Z10" i="17"/>
  <c r="V7" i="9"/>
  <c r="Y12" i="17"/>
  <c r="J8" i="11"/>
  <c r="J9" i="9"/>
  <c r="L16" i="13"/>
  <c r="P12" i="13"/>
  <c r="R8" i="19"/>
  <c r="AB15" i="11"/>
  <c r="F9" i="9"/>
  <c r="I11" i="13"/>
  <c r="AF10" i="11"/>
  <c r="J7" i="11"/>
  <c r="E7" i="11"/>
  <c r="T10" i="11"/>
  <c r="M11" i="11"/>
  <c r="H11" i="11"/>
  <c r="W7" i="11"/>
  <c r="G11" i="13"/>
  <c r="B13" i="19"/>
  <c r="Z13" i="19"/>
  <c r="V11" i="9"/>
  <c r="J9" i="21"/>
  <c r="F10" i="21"/>
  <c r="B15" i="19"/>
  <c r="P11" i="11"/>
  <c r="AF12" i="19"/>
  <c r="S15" i="11"/>
  <c r="Y7" i="17"/>
  <c r="AC9" i="13"/>
  <c r="Q13" i="9"/>
  <c r="N16" i="9"/>
  <c r="Y12" i="11"/>
  <c r="M16" i="13"/>
  <c r="H12" i="17"/>
  <c r="AD8" i="11"/>
  <c r="X7" i="11"/>
  <c r="F16" i="21"/>
  <c r="N9" i="19"/>
  <c r="P8" i="13"/>
  <c r="AC15" i="11"/>
  <c r="M16" i="21"/>
  <c r="K10" i="13"/>
  <c r="G7" i="19"/>
  <c r="P13" i="13"/>
  <c r="Q12" i="21"/>
  <c r="D16" i="21"/>
  <c r="Z9" i="19"/>
  <c r="I16" i="9"/>
  <c r="T9" i="9"/>
  <c r="T8" i="9"/>
  <c r="G16" i="21"/>
  <c r="W7" i="13"/>
  <c r="M11" i="17"/>
  <c r="U7" i="13"/>
  <c r="M8" i="21"/>
  <c r="AF16" i="11"/>
  <c r="N10" i="21"/>
  <c r="AE13" i="9"/>
  <c r="R13" i="19"/>
  <c r="K7" i="19"/>
  <c r="O10" i="11"/>
  <c r="M10" i="19"/>
  <c r="AC8" i="19"/>
  <c r="AF9" i="9"/>
  <c r="H8" i="19"/>
  <c r="AC16" i="19"/>
  <c r="D7" i="17"/>
  <c r="J13" i="13"/>
  <c r="C11" i="19"/>
  <c r="P16" i="9"/>
  <c r="K9" i="13"/>
  <c r="S12" i="9"/>
  <c r="P8" i="19"/>
  <c r="N13" i="9"/>
  <c r="J7" i="9"/>
  <c r="D13" i="19"/>
  <c r="E10" i="11"/>
  <c r="C12" i="9"/>
  <c r="E9" i="13"/>
  <c r="AE15" i="17"/>
  <c r="N12" i="19"/>
  <c r="AE10" i="21"/>
  <c r="Z15" i="21"/>
  <c r="P11" i="9"/>
  <c r="O9" i="21"/>
  <c r="AE11" i="11"/>
  <c r="AB8" i="19"/>
  <c r="AE16" i="17"/>
  <c r="P10" i="21"/>
  <c r="R7" i="21"/>
  <c r="I8" i="9"/>
  <c r="L9" i="9"/>
  <c r="AE11" i="13"/>
  <c r="AE8" i="11"/>
  <c r="H9" i="21"/>
  <c r="AD12" i="21"/>
  <c r="X15" i="11"/>
  <c r="H15" i="13"/>
  <c r="O16" i="11"/>
  <c r="L10" i="19"/>
  <c r="H13" i="11"/>
  <c r="K15" i="19"/>
  <c r="AE9" i="11"/>
  <c r="AB10" i="11"/>
  <c r="V7" i="11"/>
  <c r="Y10" i="13"/>
  <c r="Q9" i="13"/>
  <c r="P13" i="21"/>
  <c r="F7" i="9"/>
  <c r="P12" i="17"/>
  <c r="J8" i="9"/>
  <c r="R9" i="21"/>
  <c r="S10" i="11"/>
  <c r="I10" i="19"/>
  <c r="X8" i="13"/>
  <c r="F13" i="9"/>
  <c r="W13" i="9"/>
  <c r="G13" i="11"/>
  <c r="AB9" i="13"/>
  <c r="E9" i="9"/>
  <c r="H9" i="17"/>
  <c r="AD7" i="11"/>
  <c r="B9" i="21"/>
  <c r="AD13" i="19"/>
  <c r="N10" i="17"/>
  <c r="Z10" i="19"/>
  <c r="F9" i="13"/>
  <c r="T7" i="9"/>
  <c r="AC10" i="13"/>
  <c r="U9" i="11"/>
  <c r="Q8" i="11"/>
  <c r="F11" i="19"/>
  <c r="T13" i="9"/>
  <c r="AC12" i="11"/>
  <c r="Q7" i="21"/>
  <c r="G13" i="21"/>
  <c r="C9" i="11"/>
  <c r="AE11" i="19"/>
  <c r="M8" i="13"/>
  <c r="O15" i="11"/>
  <c r="H13" i="13"/>
  <c r="AF7" i="13"/>
  <c r="AF12" i="13"/>
  <c r="Q7" i="13"/>
  <c r="E10" i="13"/>
  <c r="O12" i="9"/>
  <c r="E10" i="17"/>
  <c r="L13" i="13"/>
  <c r="AC10" i="11"/>
  <c r="O10" i="21"/>
  <c r="T13" i="13"/>
  <c r="C16" i="13"/>
  <c r="AE15" i="9"/>
  <c r="W9" i="11"/>
  <c r="N11" i="9"/>
  <c r="Y16" i="17"/>
  <c r="B11" i="21"/>
  <c r="AD11" i="11"/>
  <c r="Y16" i="11"/>
  <c r="B11" i="19"/>
  <c r="D8" i="21"/>
  <c r="B7" i="21"/>
  <c r="Y16" i="19"/>
  <c r="E9" i="17"/>
  <c r="Y15" i="13"/>
  <c r="F13" i="19"/>
  <c r="H15" i="19"/>
  <c r="I15" i="21"/>
  <c r="AC11" i="19"/>
  <c r="AF7" i="21"/>
  <c r="C13" i="9"/>
  <c r="F7" i="17"/>
  <c r="J7" i="17"/>
  <c r="P10" i="19"/>
  <c r="AB13" i="13"/>
  <c r="H13" i="21"/>
  <c r="AF15" i="21"/>
  <c r="O16" i="17"/>
  <c r="Z7" i="21"/>
  <c r="AF8" i="11"/>
  <c r="G10" i="19"/>
  <c r="AE8" i="13"/>
  <c r="P10" i="17"/>
  <c r="F9" i="21"/>
  <c r="H15" i="17"/>
  <c r="AC15" i="13"/>
  <c r="S11" i="11"/>
  <c r="G10" i="9"/>
  <c r="E8" i="13"/>
  <c r="H9" i="11"/>
  <c r="H8" i="21"/>
  <c r="Q10" i="21"/>
  <c r="Z15" i="19"/>
  <c r="R7" i="17"/>
  <c r="E11" i="21"/>
  <c r="O16" i="13"/>
  <c r="T11" i="9"/>
  <c r="D15" i="17"/>
  <c r="L12" i="17"/>
  <c r="G9" i="17"/>
  <c r="E8" i="9"/>
  <c r="V8" i="9"/>
  <c r="E16" i="21"/>
  <c r="AE7" i="21"/>
  <c r="W15" i="11"/>
  <c r="K11" i="21"/>
  <c r="AE7" i="11"/>
  <c r="F7" i="19"/>
  <c r="O9" i="17"/>
  <c r="O7" i="13"/>
  <c r="AF8" i="17"/>
  <c r="M12" i="11"/>
  <c r="L15" i="19"/>
  <c r="K12" i="17"/>
  <c r="S11" i="13"/>
  <c r="J15" i="21"/>
  <c r="F16" i="13"/>
  <c r="O12" i="21"/>
  <c r="C15" i="11"/>
  <c r="T16" i="13"/>
  <c r="R12" i="9"/>
  <c r="Q16" i="19"/>
  <c r="S15" i="9"/>
  <c r="O7" i="19"/>
  <c r="D11" i="21"/>
  <c r="H12" i="21"/>
  <c r="M11" i="19"/>
  <c r="U16" i="11"/>
  <c r="AF10" i="19"/>
  <c r="AB8" i="13"/>
  <c r="AE11" i="9"/>
  <c r="Q15" i="9"/>
  <c r="I11" i="11"/>
  <c r="I7" i="9"/>
  <c r="AC10" i="19"/>
  <c r="F15" i="13"/>
  <c r="F7" i="13"/>
  <c r="R7" i="19"/>
  <c r="M13" i="9"/>
  <c r="P9" i="9"/>
  <c r="D16" i="9"/>
  <c r="AC7" i="21"/>
  <c r="T7" i="13"/>
  <c r="O11" i="17"/>
  <c r="J16" i="21"/>
  <c r="N11" i="11"/>
  <c r="N13" i="17"/>
  <c r="K11" i="19"/>
  <c r="AD9" i="19"/>
  <c r="K7" i="21"/>
  <c r="AD11" i="21"/>
  <c r="E9" i="19"/>
  <c r="Y10" i="11"/>
  <c r="G11" i="19"/>
  <c r="O13" i="17"/>
  <c r="AC11" i="11"/>
  <c r="J10" i="13"/>
  <c r="L12" i="19"/>
  <c r="H8" i="11"/>
  <c r="F16" i="11"/>
  <c r="Q9" i="21"/>
  <c r="K12" i="9"/>
  <c r="K7" i="11"/>
  <c r="K13" i="17"/>
  <c r="U13" i="9"/>
  <c r="C15" i="17"/>
  <c r="N10" i="13"/>
  <c r="J9" i="11"/>
  <c r="J16" i="11"/>
  <c r="S8" i="9"/>
  <c r="E13" i="9"/>
  <c r="K16" i="21"/>
  <c r="AF9" i="17"/>
  <c r="C15" i="19"/>
  <c r="R9" i="11"/>
  <c r="O12" i="17"/>
  <c r="L7" i="17"/>
  <c r="J7" i="21"/>
  <c r="P16" i="19"/>
  <c r="AE16" i="9"/>
  <c r="H9" i="19"/>
  <c r="AF9" i="11"/>
  <c r="U11" i="11"/>
  <c r="K8" i="11"/>
  <c r="F8" i="19"/>
  <c r="R16" i="21"/>
  <c r="I9" i="11"/>
  <c r="Y16" i="9"/>
  <c r="N13" i="11"/>
  <c r="N8" i="19"/>
  <c r="Y12" i="19"/>
  <c r="N12" i="11"/>
  <c r="E8" i="21"/>
  <c r="P9" i="21"/>
  <c r="M9" i="17"/>
  <c r="L11" i="11"/>
  <c r="AC7" i="13"/>
  <c r="P15" i="13"/>
  <c r="I9" i="19"/>
  <c r="T13" i="11"/>
  <c r="AC16" i="13"/>
  <c r="D16" i="11"/>
  <c r="AB10" i="17"/>
  <c r="L8" i="9"/>
  <c r="V8" i="13"/>
  <c r="B13" i="21"/>
  <c r="D10" i="11"/>
  <c r="AF16" i="13"/>
  <c r="AC12" i="13"/>
  <c r="N10" i="19"/>
  <c r="I8" i="13"/>
  <c r="E7" i="13"/>
  <c r="L9" i="21"/>
  <c r="K10" i="9"/>
  <c r="AC15" i="21"/>
  <c r="C9" i="9"/>
  <c r="R9" i="17"/>
  <c r="L8" i="19"/>
  <c r="F8" i="9"/>
  <c r="I15" i="19"/>
  <c r="L12" i="21"/>
  <c r="F13" i="17"/>
  <c r="P15" i="19"/>
  <c r="Y10" i="17"/>
  <c r="AF10" i="17"/>
  <c r="Q10" i="19"/>
  <c r="E15" i="13"/>
  <c r="C11" i="17"/>
  <c r="K10" i="17"/>
  <c r="N8" i="17"/>
  <c r="W8" i="11"/>
  <c r="AB7" i="13"/>
  <c r="R11" i="21"/>
  <c r="Z8" i="21"/>
  <c r="AF13" i="17"/>
  <c r="J12" i="17"/>
  <c r="Q8" i="21"/>
  <c r="X11" i="11"/>
  <c r="H12" i="13"/>
  <c r="Y7" i="9"/>
  <c r="K16" i="11"/>
  <c r="H12" i="9"/>
  <c r="K12" i="21"/>
  <c r="P15" i="17"/>
  <c r="AF12" i="17"/>
  <c r="B12" i="19"/>
  <c r="Y15" i="21"/>
  <c r="AC10" i="17"/>
  <c r="Q11" i="11"/>
  <c r="H13" i="17"/>
  <c r="H10" i="11"/>
  <c r="AC10" i="21"/>
  <c r="E13" i="17"/>
  <c r="AB9" i="17"/>
  <c r="I11" i="19"/>
  <c r="N16" i="13"/>
  <c r="E8" i="19"/>
  <c r="G12" i="11"/>
  <c r="G8" i="19"/>
  <c r="J16" i="17"/>
  <c r="Y12" i="13"/>
  <c r="O12" i="19"/>
  <c r="U10" i="11"/>
  <c r="J8" i="21"/>
  <c r="AB13" i="19"/>
  <c r="U9" i="13"/>
  <c r="R9" i="13"/>
  <c r="D9" i="17"/>
  <c r="R9" i="9"/>
  <c r="Q16" i="13"/>
  <c r="M10" i="13"/>
  <c r="C8" i="9"/>
  <c r="Z11" i="17"/>
  <c r="AB16" i="11"/>
  <c r="AD9" i="11"/>
  <c r="C12" i="21"/>
  <c r="F8" i="17"/>
  <c r="L8" i="17"/>
  <c r="Y10" i="9"/>
  <c r="J15" i="13"/>
  <c r="AF16" i="17"/>
  <c r="AC11" i="13"/>
  <c r="F11" i="11"/>
  <c r="M9" i="11"/>
  <c r="Z15" i="17"/>
  <c r="K15" i="21"/>
  <c r="I15" i="9"/>
  <c r="M10" i="17"/>
  <c r="K8" i="21"/>
  <c r="U12" i="13"/>
  <c r="AE12" i="17"/>
  <c r="C12" i="19"/>
  <c r="M15" i="21"/>
  <c r="K7" i="17"/>
  <c r="H13" i="9"/>
  <c r="D8" i="13"/>
  <c r="E15" i="11"/>
  <c r="K9" i="9"/>
  <c r="U12" i="9"/>
  <c r="D12" i="19"/>
  <c r="AF10" i="9"/>
  <c r="AC11" i="17"/>
  <c r="F9" i="19"/>
  <c r="E12" i="19"/>
  <c r="G12" i="19"/>
  <c r="Y12" i="21"/>
  <c r="AE9" i="9"/>
  <c r="L11" i="21"/>
  <c r="H16" i="17"/>
  <c r="Q15" i="17"/>
  <c r="H16" i="13"/>
  <c r="H11" i="17"/>
  <c r="AE15" i="13"/>
  <c r="Y11" i="17"/>
  <c r="AC13" i="13"/>
  <c r="P9" i="11"/>
  <c r="AF13" i="11"/>
  <c r="L16" i="9"/>
  <c r="O10" i="9"/>
  <c r="O7" i="9"/>
  <c r="F8" i="11"/>
  <c r="M7" i="11"/>
  <c r="K13" i="21"/>
  <c r="J8" i="17"/>
  <c r="F13" i="13"/>
  <c r="C10" i="19"/>
  <c r="C12" i="17"/>
  <c r="Q7" i="19"/>
  <c r="Q13" i="11"/>
  <c r="R8" i="13"/>
  <c r="I7" i="19"/>
  <c r="P7" i="9"/>
  <c r="J10" i="19"/>
  <c r="G11" i="17"/>
  <c r="AD12" i="11"/>
  <c r="V16" i="11"/>
  <c r="J10" i="9"/>
  <c r="P7" i="19"/>
  <c r="U8" i="9"/>
  <c r="M8" i="19"/>
  <c r="C16" i="11"/>
  <c r="N9" i="9"/>
  <c r="T15" i="9"/>
  <c r="P12" i="9"/>
  <c r="C16" i="21"/>
  <c r="I13" i="17"/>
  <c r="V15" i="13"/>
  <c r="M8" i="9"/>
  <c r="Y11" i="11"/>
  <c r="AE10" i="13"/>
  <c r="F15" i="9"/>
  <c r="M15" i="9"/>
  <c r="G16" i="9"/>
  <c r="L10" i="13"/>
  <c r="I9" i="21"/>
  <c r="J15" i="11"/>
  <c r="AB16" i="21"/>
  <c r="V10" i="13"/>
  <c r="M16" i="19"/>
  <c r="C9" i="13"/>
  <c r="G7" i="9"/>
  <c r="AE13" i="13"/>
  <c r="J11" i="21"/>
  <c r="D9" i="9"/>
  <c r="U10" i="13"/>
  <c r="X16" i="13"/>
  <c r="H16" i="9"/>
  <c r="H7" i="17"/>
  <c r="L12" i="11"/>
  <c r="P9" i="19"/>
  <c r="T11" i="11"/>
  <c r="Y13" i="9"/>
  <c r="B12" i="21"/>
  <c r="J11" i="17"/>
  <c r="AE9" i="19"/>
  <c r="AB13" i="17"/>
  <c r="AD12" i="17"/>
  <c r="Q12" i="13"/>
  <c r="R15" i="9"/>
  <c r="S7" i="11"/>
  <c r="E10" i="21"/>
  <c r="I16" i="11"/>
  <c r="AE7" i="19"/>
  <c r="Y11" i="13"/>
  <c r="Q11" i="9"/>
  <c r="M13" i="13"/>
  <c r="AD15" i="19"/>
  <c r="Q8" i="13"/>
  <c r="G9" i="9"/>
  <c r="V16" i="9"/>
  <c r="P11" i="17"/>
  <c r="Y9" i="19"/>
  <c r="G16" i="19"/>
  <c r="M15" i="11"/>
  <c r="E10" i="9"/>
  <c r="AC13" i="17"/>
  <c r="AE16" i="19"/>
  <c r="L15" i="11"/>
  <c r="F15" i="11"/>
  <c r="AE12" i="19"/>
  <c r="AD10" i="11"/>
  <c r="P11" i="21"/>
  <c r="R13" i="21"/>
  <c r="O8" i="9"/>
  <c r="Y15" i="17"/>
  <c r="R8" i="17"/>
  <c r="W13" i="11"/>
  <c r="K11" i="9"/>
  <c r="G15" i="21"/>
  <c r="Z11" i="21"/>
  <c r="AE9" i="21"/>
  <c r="I9" i="13"/>
  <c r="S12" i="11"/>
  <c r="U15" i="11"/>
  <c r="G12" i="13"/>
  <c r="L13" i="21"/>
  <c r="N11" i="19"/>
  <c r="M13" i="11"/>
  <c r="H11" i="21"/>
  <c r="V10" i="9"/>
  <c r="R10" i="9"/>
  <c r="O9" i="11"/>
  <c r="AE13" i="21"/>
  <c r="AD10" i="19"/>
  <c r="R10" i="11"/>
  <c r="F12" i="21"/>
  <c r="L9" i="11"/>
  <c r="N9" i="11"/>
  <c r="Q12" i="9"/>
  <c r="E9" i="11"/>
  <c r="K12" i="13"/>
  <c r="L13" i="11"/>
  <c r="Q12" i="19"/>
  <c r="I15" i="11"/>
  <c r="Q13" i="19"/>
  <c r="L11" i="9"/>
  <c r="N15" i="13"/>
  <c r="X7" i="13"/>
  <c r="Q16" i="21"/>
  <c r="N15" i="19"/>
  <c r="AE12" i="11"/>
  <c r="AE10" i="19"/>
  <c r="R12" i="21"/>
  <c r="D7" i="11"/>
  <c r="AD13" i="17"/>
  <c r="Q11" i="21"/>
  <c r="Q8" i="19"/>
  <c r="H11" i="9"/>
  <c r="AC8" i="11"/>
  <c r="AB9" i="19"/>
  <c r="R11" i="11"/>
  <c r="Z10" i="21"/>
  <c r="J11" i="9"/>
  <c r="AB16" i="19"/>
  <c r="M15" i="17"/>
  <c r="AB11" i="19"/>
  <c r="P7" i="13"/>
  <c r="N16" i="17"/>
  <c r="I16" i="19"/>
  <c r="AF11" i="11"/>
  <c r="G8" i="13"/>
  <c r="G8" i="9"/>
  <c r="AE9" i="17"/>
  <c r="N10" i="9"/>
  <c r="W16" i="9"/>
  <c r="V11" i="11"/>
  <c r="N8" i="13"/>
  <c r="I10" i="17"/>
  <c r="U13" i="11"/>
  <c r="R8" i="9"/>
  <c r="H15" i="11"/>
  <c r="D15" i="21"/>
  <c r="G7" i="11"/>
  <c r="F9" i="17"/>
  <c r="AC15" i="17"/>
  <c r="H8" i="13"/>
  <c r="Y8" i="21"/>
  <c r="X9" i="13"/>
  <c r="N15" i="21"/>
  <c r="Q11" i="19"/>
  <c r="AB8" i="11"/>
  <c r="AE16" i="11"/>
  <c r="P15" i="11"/>
  <c r="F12" i="17"/>
  <c r="AF10" i="21"/>
  <c r="Y10" i="19"/>
  <c r="K15" i="17"/>
  <c r="AE16" i="21"/>
  <c r="R12" i="19"/>
  <c r="I12" i="21"/>
  <c r="Q10" i="11"/>
  <c r="U11" i="9"/>
  <c r="I11" i="17"/>
  <c r="V12" i="9"/>
  <c r="H7" i="11"/>
  <c r="P13" i="11"/>
  <c r="Q10" i="9"/>
  <c r="J12" i="21"/>
  <c r="E16" i="17"/>
  <c r="O9" i="13"/>
  <c r="D11" i="9"/>
  <c r="Y13" i="13"/>
  <c r="AC9" i="19"/>
  <c r="E11" i="11"/>
  <c r="Q15" i="11"/>
  <c r="H16" i="19"/>
  <c r="D16" i="19"/>
  <c r="Y9" i="17"/>
  <c r="AE13" i="17"/>
  <c r="Q11" i="17"/>
  <c r="N15" i="9"/>
  <c r="D8" i="11"/>
  <c r="S16" i="13"/>
  <c r="G12" i="9"/>
  <c r="C7" i="17"/>
  <c r="O11" i="9"/>
  <c r="O7" i="11"/>
  <c r="D10" i="9"/>
  <c r="AC8" i="13"/>
  <c r="G13" i="17"/>
  <c r="W10" i="13"/>
  <c r="AB10" i="19"/>
  <c r="O8" i="19"/>
  <c r="C10" i="9"/>
  <c r="AB15" i="21"/>
  <c r="U9" i="9"/>
  <c r="C10" i="17"/>
  <c r="I13" i="11"/>
  <c r="D10" i="19"/>
  <c r="Y8" i="17"/>
  <c r="E15" i="19"/>
  <c r="AF8" i="21"/>
  <c r="T9" i="13"/>
  <c r="V13" i="9"/>
  <c r="L10" i="17"/>
  <c r="C16" i="17"/>
  <c r="Z8" i="17"/>
  <c r="AD12" i="19"/>
  <c r="AB16" i="17"/>
  <c r="P16" i="13"/>
  <c r="T8" i="11"/>
  <c r="C10" i="11"/>
  <c r="E10" i="19"/>
  <c r="L13" i="9"/>
  <c r="G13" i="13"/>
  <c r="M7" i="19"/>
  <c r="C13" i="21"/>
  <c r="L16" i="21"/>
  <c r="I16" i="13"/>
  <c r="M7" i="21"/>
  <c r="C13" i="17"/>
  <c r="AE11" i="21"/>
  <c r="U7" i="11"/>
  <c r="D11" i="17"/>
  <c r="T16" i="11"/>
  <c r="R12" i="17"/>
  <c r="L7" i="9"/>
  <c r="C7" i="9"/>
  <c r="Y9" i="11"/>
  <c r="E9" i="21"/>
  <c r="AF12" i="11"/>
  <c r="L15" i="21"/>
  <c r="J15" i="17"/>
  <c r="H10" i="17"/>
  <c r="R11" i="9"/>
  <c r="P8" i="21"/>
  <c r="J8" i="13"/>
  <c r="L16" i="17"/>
  <c r="V10" i="11"/>
  <c r="AB11" i="11"/>
  <c r="B16" i="19"/>
  <c r="O11" i="13"/>
  <c r="K7" i="13"/>
  <c r="J10" i="17"/>
  <c r="I8" i="11"/>
  <c r="AE10" i="9"/>
  <c r="AE7" i="13"/>
  <c r="O8" i="21"/>
  <c r="N16" i="21"/>
  <c r="Q9" i="19"/>
  <c r="R13" i="17"/>
  <c r="D12" i="11"/>
  <c r="E7" i="9"/>
  <c r="AE8" i="17"/>
  <c r="O8" i="13"/>
  <c r="H7" i="9"/>
  <c r="D9" i="13"/>
  <c r="C7" i="19"/>
  <c r="M8" i="11"/>
  <c r="Y13" i="21"/>
  <c r="L12" i="13"/>
  <c r="C8" i="13"/>
  <c r="AE11" i="17"/>
  <c r="AF11" i="9"/>
  <c r="N9" i="21"/>
  <c r="T7" i="11"/>
  <c r="O8" i="17"/>
  <c r="O15" i="17"/>
  <c r="AB10" i="21"/>
  <c r="AE10" i="17"/>
  <c r="E15" i="9"/>
  <c r="N16" i="19"/>
  <c r="U12" i="11"/>
  <c r="O15" i="9"/>
  <c r="K15" i="9"/>
  <c r="J13" i="9"/>
  <c r="C11" i="13"/>
  <c r="N15" i="11"/>
  <c r="AF15" i="19"/>
  <c r="K9" i="11"/>
  <c r="C12" i="13"/>
  <c r="S9" i="11"/>
  <c r="S9" i="13"/>
  <c r="R15" i="21"/>
  <c r="AC12" i="17"/>
  <c r="AD13" i="11"/>
  <c r="AD16" i="13"/>
  <c r="K13" i="9"/>
  <c r="I16" i="17"/>
  <c r="K13" i="11"/>
  <c r="AF9" i="13"/>
  <c r="N7" i="21"/>
  <c r="H7" i="13"/>
  <c r="E7" i="17"/>
  <c r="G10" i="13"/>
  <c r="L16" i="11"/>
  <c r="X15" i="13"/>
  <c r="J13" i="17"/>
  <c r="W9" i="9"/>
  <c r="AB15" i="13"/>
  <c r="P15" i="9"/>
  <c r="K12" i="19"/>
  <c r="T15" i="13"/>
  <c r="D11" i="11"/>
  <c r="K16" i="9"/>
  <c r="E8" i="17"/>
  <c r="B10" i="19"/>
  <c r="F11" i="17"/>
  <c r="D9" i="11"/>
  <c r="G8" i="11"/>
  <c r="F9" i="11"/>
  <c r="L13" i="17"/>
  <c r="P12" i="19"/>
  <c r="I12" i="17"/>
  <c r="AF15" i="13"/>
  <c r="P15" i="21"/>
  <c r="M10" i="21"/>
  <c r="O7" i="17"/>
  <c r="G7" i="21"/>
  <c r="B7" i="19"/>
  <c r="O11" i="21"/>
  <c r="R9" i="19"/>
  <c r="V7" i="13"/>
  <c r="Y16" i="21"/>
  <c r="F8" i="13"/>
  <c r="J10" i="11"/>
  <c r="P10" i="11"/>
  <c r="T12" i="13"/>
  <c r="AD10" i="21"/>
  <c r="C11" i="11"/>
  <c r="W8" i="9"/>
  <c r="U15" i="9"/>
  <c r="G15" i="13"/>
  <c r="M10" i="9"/>
  <c r="F12" i="19"/>
  <c r="J16" i="19"/>
  <c r="AB10" i="13"/>
  <c r="C7" i="21"/>
  <c r="O13" i="19"/>
  <c r="P8" i="9"/>
  <c r="J13" i="11"/>
  <c r="N15" i="17"/>
  <c r="R10" i="21"/>
  <c r="Y9" i="21"/>
  <c r="AB12" i="11"/>
  <c r="G12" i="21"/>
  <c r="I7" i="21"/>
  <c r="AD8" i="21"/>
  <c r="P12" i="11"/>
  <c r="N13" i="21"/>
  <c r="E13" i="21"/>
  <c r="K9" i="21"/>
  <c r="AF13" i="19"/>
  <c r="S15" i="13"/>
  <c r="O13" i="11"/>
  <c r="AF8" i="9"/>
  <c r="AC8" i="17"/>
  <c r="R12" i="13"/>
  <c r="R13" i="11"/>
  <c r="AD16" i="19"/>
  <c r="Q8" i="17"/>
  <c r="L10" i="21"/>
  <c r="N12" i="17"/>
  <c r="W10" i="9"/>
  <c r="G15" i="19"/>
  <c r="AC9" i="17"/>
  <c r="AB9" i="21"/>
  <c r="J15" i="9"/>
  <c r="H10" i="13"/>
  <c r="N12" i="21"/>
  <c r="O10" i="17"/>
  <c r="X11" i="13"/>
  <c r="K13" i="13"/>
  <c r="I16" i="21"/>
  <c r="L7" i="21"/>
  <c r="N12" i="13"/>
  <c r="O9" i="19"/>
  <c r="AF13" i="21"/>
  <c r="W11" i="9"/>
  <c r="G13" i="9"/>
  <c r="N13" i="13"/>
  <c r="I15" i="17"/>
  <c r="V8" i="11"/>
  <c r="Y13" i="19"/>
  <c r="U13" i="13"/>
  <c r="AF16" i="9"/>
  <c r="W16" i="13"/>
  <c r="AF11" i="13"/>
  <c r="H11" i="13"/>
  <c r="J13" i="19"/>
  <c r="AE13" i="11"/>
  <c r="G9" i="13"/>
  <c r="K10" i="21"/>
  <c r="L11" i="13"/>
  <c r="E13" i="19"/>
  <c r="E8" i="11"/>
  <c r="AD11" i="17"/>
  <c r="T10" i="13"/>
  <c r="R13" i="13"/>
  <c r="U8" i="11"/>
  <c r="E15" i="21"/>
  <c r="AD10" i="13"/>
  <c r="X10" i="13"/>
  <c r="P9" i="17"/>
  <c r="Y7" i="13"/>
  <c r="W8" i="13"/>
  <c r="K16" i="13"/>
  <c r="I11" i="21"/>
  <c r="L15" i="13"/>
  <c r="O11" i="11"/>
  <c r="M9" i="19"/>
  <c r="N9" i="17"/>
  <c r="AC7" i="11"/>
  <c r="J13" i="21"/>
  <c r="D15" i="13"/>
  <c r="F16" i="19"/>
  <c r="D16" i="17"/>
  <c r="AD8" i="19"/>
  <c r="AB15" i="17"/>
  <c r="P11" i="13"/>
  <c r="J7" i="13"/>
  <c r="G10" i="17"/>
  <c r="N7" i="11"/>
  <c r="P16" i="17"/>
  <c r="I8" i="19"/>
  <c r="J16" i="13"/>
  <c r="Z16" i="21"/>
  <c r="P7" i="11"/>
  <c r="I12" i="11"/>
  <c r="V13" i="13"/>
  <c r="AB11" i="17"/>
  <c r="E15" i="17"/>
  <c r="M11" i="13"/>
  <c r="Y7" i="21"/>
  <c r="D8" i="17"/>
  <c r="AB12" i="17"/>
  <c r="Q12" i="17"/>
  <c r="M9" i="9"/>
  <c r="Z16" i="17"/>
  <c r="G15" i="11"/>
  <c r="L15" i="9"/>
  <c r="J11" i="13"/>
  <c r="O8" i="11"/>
  <c r="AD8" i="13"/>
  <c r="AE12" i="21"/>
  <c r="AD9" i="21"/>
  <c r="T12" i="9"/>
  <c r="AE13" i="19"/>
  <c r="AD10" i="17"/>
  <c r="K8" i="17"/>
  <c r="W7" i="9"/>
  <c r="AD11" i="19"/>
  <c r="F10" i="19"/>
  <c r="R15" i="11"/>
  <c r="AB11" i="21"/>
  <c r="Q9" i="9"/>
  <c r="P13" i="17"/>
  <c r="K13" i="19"/>
  <c r="H12" i="19"/>
  <c r="M11" i="21"/>
  <c r="AB15" i="19"/>
  <c r="L7" i="19"/>
  <c r="C11" i="9"/>
  <c r="N13" i="19"/>
  <c r="AC15" i="19"/>
  <c r="I9" i="9"/>
  <c r="C11" i="21"/>
  <c r="M12" i="13"/>
  <c r="G7" i="13"/>
  <c r="AF8" i="13"/>
  <c r="Y8" i="13"/>
  <c r="G11" i="9"/>
  <c r="G8" i="17"/>
  <c r="I7" i="13"/>
  <c r="X13" i="13"/>
  <c r="AC9" i="11"/>
  <c r="S8" i="13"/>
  <c r="F12" i="13"/>
  <c r="D9" i="21"/>
  <c r="Q10" i="13"/>
  <c r="S7" i="9"/>
  <c r="N10" i="11"/>
  <c r="J12" i="9"/>
  <c r="AF13" i="13"/>
  <c r="R16" i="19"/>
  <c r="B9" i="19"/>
  <c r="O13" i="9"/>
  <c r="AE16" i="13"/>
  <c r="AE12" i="9"/>
  <c r="W12" i="9"/>
  <c r="AB12" i="19"/>
  <c r="P13" i="9"/>
  <c r="G9" i="21"/>
  <c r="G16" i="17"/>
  <c r="L12" i="9"/>
  <c r="E16" i="19"/>
  <c r="S10" i="9"/>
  <c r="O7" i="21"/>
  <c r="Q7" i="9"/>
  <c r="G16" i="11"/>
  <c r="U11" i="13"/>
  <c r="V9" i="13"/>
  <c r="M7" i="17"/>
  <c r="D8" i="9"/>
  <c r="R15" i="17"/>
  <c r="E13" i="11"/>
  <c r="G7" i="17"/>
  <c r="D13" i="13"/>
  <c r="AD15" i="21"/>
  <c r="R11" i="19"/>
  <c r="K8" i="9"/>
  <c r="Z9" i="21"/>
  <c r="R8" i="11"/>
  <c r="H10" i="9"/>
  <c r="M16" i="9"/>
  <c r="R8" i="21"/>
  <c r="I13" i="13"/>
  <c r="L8" i="21"/>
  <c r="W11" i="11"/>
  <c r="Y7" i="11"/>
  <c r="U16" i="13"/>
  <c r="C13" i="13"/>
  <c r="F8" i="21"/>
  <c r="H12" i="11"/>
  <c r="S13" i="13"/>
  <c r="AE8" i="21"/>
  <c r="R11" i="13"/>
  <c r="K15" i="13"/>
  <c r="Q15" i="21"/>
  <c r="D10" i="17"/>
  <c r="V12" i="11"/>
  <c r="F12" i="9"/>
  <c r="D12" i="13"/>
  <c r="K11" i="11"/>
  <c r="S10" i="13"/>
  <c r="D10" i="21"/>
  <c r="P8" i="11"/>
  <c r="Y15" i="11"/>
  <c r="S8" i="11"/>
  <c r="Y15" i="9"/>
  <c r="AE15" i="11"/>
  <c r="E7" i="21"/>
  <c r="K8" i="19"/>
  <c r="AE12" i="13"/>
  <c r="J10" i="21"/>
  <c r="U7" i="9"/>
  <c r="N12" i="9"/>
  <c r="P7" i="21"/>
  <c r="K16" i="17"/>
  <c r="T9" i="11"/>
  <c r="AD12" i="13"/>
  <c r="Z16" i="19"/>
  <c r="D12" i="17"/>
  <c r="V13" i="11"/>
  <c r="S13" i="11"/>
  <c r="AD11" i="13"/>
  <c r="L7" i="13"/>
  <c r="AD9" i="17"/>
  <c r="G16" i="13"/>
  <c r="M13" i="21"/>
  <c r="D12" i="9"/>
  <c r="AF8" i="19"/>
  <c r="P12" i="21"/>
  <c r="T16" i="9"/>
  <c r="H8" i="17"/>
  <c r="X12" i="11"/>
  <c r="D13" i="11"/>
  <c r="Y7" i="19"/>
  <c r="Q8" i="9"/>
  <c r="M16" i="11"/>
  <c r="S13" i="9"/>
  <c r="AD7" i="13"/>
  <c r="AB8" i="21"/>
  <c r="R13" i="9"/>
  <c r="O13" i="13"/>
  <c r="I10" i="9"/>
  <c r="G11" i="21"/>
  <c r="L7" i="11"/>
  <c r="G10" i="11"/>
  <c r="D12" i="21"/>
  <c r="O15" i="13"/>
  <c r="AC13" i="21"/>
  <c r="Y11" i="9"/>
  <c r="I8" i="21"/>
  <c r="M12" i="9"/>
  <c r="AC13" i="11"/>
  <c r="R10" i="17"/>
  <c r="AB7" i="21"/>
  <c r="AC12" i="19"/>
  <c r="E11" i="19"/>
  <c r="D15" i="9"/>
  <c r="AB12" i="21"/>
  <c r="D13" i="17"/>
  <c r="AF15" i="11"/>
  <c r="Q16" i="11"/>
  <c r="W11" i="13"/>
  <c r="Q10" i="17"/>
  <c r="F16" i="9"/>
  <c r="I12" i="9"/>
  <c r="R15" i="13"/>
  <c r="F10" i="17"/>
  <c r="F7" i="11"/>
  <c r="D11" i="13"/>
  <c r="Q11" i="13"/>
  <c r="W12" i="13"/>
  <c r="Y8" i="11"/>
  <c r="W10" i="11"/>
  <c r="AF7" i="19"/>
  <c r="F13" i="11"/>
  <c r="R12" i="11"/>
  <c r="N7" i="9"/>
  <c r="C15" i="9"/>
  <c r="D7" i="19"/>
  <c r="L9" i="19"/>
  <c r="AB8" i="17"/>
  <c r="W9" i="13"/>
  <c r="AE10" i="11"/>
  <c r="S16" i="9"/>
  <c r="AC11" i="21"/>
  <c r="O16" i="21"/>
  <c r="G11" i="11"/>
  <c r="Q12" i="11"/>
  <c r="H7" i="21"/>
  <c r="H10" i="21"/>
  <c r="AF12" i="21"/>
  <c r="AF15" i="9"/>
  <c r="U16" i="9"/>
  <c r="P7" i="17"/>
  <c r="V12" i="13"/>
  <c r="C16" i="19"/>
  <c r="C8" i="11"/>
  <c r="T12" i="11"/>
  <c r="C10" i="13"/>
  <c r="O9" i="9"/>
  <c r="L11" i="17"/>
  <c r="AC16" i="21"/>
  <c r="AE15" i="19"/>
  <c r="AB9" i="11"/>
  <c r="L9" i="13"/>
  <c r="L9" i="17"/>
  <c r="Y13" i="11"/>
  <c r="I7" i="17"/>
  <c r="Q13" i="17"/>
  <c r="V9" i="11"/>
  <c r="N7" i="13"/>
  <c r="F15" i="21"/>
  <c r="O13" i="21"/>
  <c r="M9" i="13"/>
  <c r="AF9" i="19"/>
  <c r="C16" i="9"/>
  <c r="J9" i="19"/>
  <c r="D8" i="19"/>
  <c r="I12" i="19"/>
  <c r="H7" i="19"/>
  <c r="B15" i="21"/>
  <c r="Y8" i="9"/>
  <c r="B8" i="19"/>
  <c r="J12" i="11"/>
  <c r="N7" i="19"/>
  <c r="Q16" i="17"/>
  <c r="AB16" i="13"/>
  <c r="AC16" i="11"/>
  <c r="I10" i="21"/>
  <c r="R10" i="19"/>
  <c r="H16" i="21"/>
  <c r="S9" i="9"/>
  <c r="Z12" i="17"/>
  <c r="M13" i="17"/>
  <c r="AF10" i="13"/>
  <c r="R16" i="17"/>
  <c r="P10" i="9"/>
  <c r="Q13" i="13"/>
  <c r="C13" i="11"/>
  <c r="J9" i="13"/>
  <c r="AF5" i="19" l="1"/>
  <c r="AF4" i="19"/>
  <c r="AF3" i="19"/>
  <c r="B29" i="21"/>
  <c r="Q3" i="21"/>
  <c r="Q27" i="21" s="1"/>
  <c r="Q4" i="21"/>
  <c r="J30" i="19"/>
  <c r="B22" i="19"/>
  <c r="L3" i="21"/>
  <c r="L25" i="21" s="1"/>
  <c r="L4" i="21"/>
  <c r="B30" i="19"/>
  <c r="AB3" i="21"/>
  <c r="AB5" i="21"/>
  <c r="AB4" i="21"/>
  <c r="I4" i="21"/>
  <c r="I3" i="21"/>
  <c r="I5" i="21" s="1"/>
  <c r="G3" i="21"/>
  <c r="G4" i="21"/>
  <c r="R3" i="21"/>
  <c r="R23" i="21" s="1"/>
  <c r="R4" i="21"/>
  <c r="D4" i="21"/>
  <c r="D3" i="21"/>
  <c r="D26" i="21" s="1"/>
  <c r="B27" i="21"/>
  <c r="O3" i="19"/>
  <c r="O30" i="19" s="1"/>
  <c r="O4" i="19"/>
  <c r="B30" i="21"/>
  <c r="AD3" i="11"/>
  <c r="AD4" i="11"/>
  <c r="AD5" i="11"/>
  <c r="AD4" i="21"/>
  <c r="AD5" i="21"/>
  <c r="AD3" i="21"/>
  <c r="AF3" i="11"/>
  <c r="AF5" i="11"/>
  <c r="AF4" i="11"/>
  <c r="N3" i="19"/>
  <c r="N22" i="19" s="1"/>
  <c r="N4" i="19"/>
  <c r="Z3" i="21"/>
  <c r="Z5" i="21" s="1"/>
  <c r="AE3" i="21"/>
  <c r="AE4" i="21"/>
  <c r="AE5" i="21"/>
  <c r="J25" i="19"/>
  <c r="AE3" i="13"/>
  <c r="AE5" i="13"/>
  <c r="AE4" i="13"/>
  <c r="O4" i="21"/>
  <c r="O3" i="21"/>
  <c r="O29" i="21" s="1"/>
  <c r="K4" i="21"/>
  <c r="K3" i="21"/>
  <c r="K30" i="21" s="1"/>
  <c r="B23" i="19"/>
  <c r="B25" i="19"/>
  <c r="C4" i="21"/>
  <c r="C3" i="21"/>
  <c r="C30" i="21" s="1"/>
  <c r="AA16" i="21" s="1"/>
  <c r="I4" i="19"/>
  <c r="I3" i="19"/>
  <c r="I25" i="19" s="1"/>
  <c r="AE5" i="19"/>
  <c r="AE4" i="19"/>
  <c r="AE3" i="19"/>
  <c r="Z3" i="19"/>
  <c r="Z5" i="19" s="1"/>
  <c r="Z4" i="19"/>
  <c r="G4" i="19"/>
  <c r="G3" i="19"/>
  <c r="G27" i="19" s="1"/>
  <c r="C3" i="19"/>
  <c r="C27" i="19" s="1"/>
  <c r="AA13" i="19" s="1"/>
  <c r="C4" i="19"/>
  <c r="E3" i="19"/>
  <c r="E4" i="19"/>
  <c r="B27" i="19"/>
  <c r="P4" i="21"/>
  <c r="P3" i="21"/>
  <c r="P5" i="21" s="1"/>
  <c r="B29" i="19"/>
  <c r="AB3" i="11"/>
  <c r="AB5" i="11"/>
  <c r="AB4" i="11"/>
  <c r="Y3" i="21"/>
  <c r="Y25" i="21" s="1"/>
  <c r="Y4" i="21"/>
  <c r="F3" i="21"/>
  <c r="F23" i="21" s="1"/>
  <c r="F4" i="21"/>
  <c r="J23" i="19"/>
  <c r="AC3" i="21"/>
  <c r="AC4" i="21"/>
  <c r="AC5" i="21"/>
  <c r="AF3" i="21"/>
  <c r="AF4" i="21"/>
  <c r="AF5" i="21"/>
  <c r="AF5" i="13"/>
  <c r="AF4" i="13"/>
  <c r="AF3" i="13"/>
  <c r="AD3" i="19"/>
  <c r="AD5" i="19"/>
  <c r="AD4" i="19"/>
  <c r="M3" i="19"/>
  <c r="M26" i="19" s="1"/>
  <c r="M4" i="19"/>
  <c r="AC4" i="11"/>
  <c r="AC5" i="11"/>
  <c r="AC3" i="11"/>
  <c r="Q3" i="19"/>
  <c r="Q25" i="19" s="1"/>
  <c r="Q4" i="19"/>
  <c r="J26" i="19"/>
  <c r="AB5" i="19"/>
  <c r="AB3" i="19"/>
  <c r="AB4" i="19"/>
  <c r="H3" i="21"/>
  <c r="H5" i="21" s="1"/>
  <c r="H4" i="21"/>
  <c r="B22" i="21"/>
  <c r="B23" i="21"/>
  <c r="P3" i="19"/>
  <c r="P23" i="19" s="1"/>
  <c r="P4" i="19"/>
  <c r="E4" i="21"/>
  <c r="E3" i="21"/>
  <c r="E5" i="21" s="1"/>
  <c r="H3" i="19"/>
  <c r="H24" i="19" s="1"/>
  <c r="H4" i="19"/>
  <c r="AC5" i="19"/>
  <c r="AC4" i="19"/>
  <c r="AC3" i="19"/>
  <c r="F4" i="19"/>
  <c r="F3" i="19"/>
  <c r="F23" i="19" s="1"/>
  <c r="Z4" i="21"/>
  <c r="M4" i="21"/>
  <c r="M3" i="21"/>
  <c r="M29" i="21" s="1"/>
  <c r="AE3" i="17"/>
  <c r="AE4" i="17"/>
  <c r="AE5" i="17"/>
  <c r="B25" i="21"/>
  <c r="D4" i="19"/>
  <c r="D3" i="19"/>
  <c r="J3" i="21"/>
  <c r="J4" i="21"/>
  <c r="K3" i="19"/>
  <c r="K27" i="19" s="1"/>
  <c r="K4" i="19"/>
  <c r="B24" i="21"/>
  <c r="N4" i="21"/>
  <c r="N3" i="21"/>
  <c r="N5" i="21" s="1"/>
  <c r="B24" i="19"/>
  <c r="B26" i="21"/>
  <c r="J29" i="19"/>
  <c r="B26" i="19"/>
  <c r="R4" i="19"/>
  <c r="R3" i="19"/>
  <c r="R25" i="19" s="1"/>
  <c r="AE4" i="9"/>
  <c r="AE5" i="9"/>
  <c r="AE3" i="9"/>
  <c r="J27" i="19"/>
  <c r="Y3" i="19"/>
  <c r="Y23" i="19" s="1"/>
  <c r="Y4" i="19"/>
  <c r="L4" i="19"/>
  <c r="L3" i="19"/>
  <c r="L27" i="19" s="1"/>
  <c r="J24" i="19"/>
  <c r="AE3" i="11"/>
  <c r="AE5" i="11"/>
  <c r="AE4" i="11"/>
  <c r="Q26" i="21"/>
  <c r="P26" i="21"/>
  <c r="D27" i="21"/>
  <c r="Q25" i="21"/>
  <c r="C23" i="21"/>
  <c r="AA9" i="21" s="1"/>
  <c r="D25" i="21"/>
  <c r="C22" i="21"/>
  <c r="AA8" i="21" s="1"/>
  <c r="L30" i="21"/>
  <c r="Y29" i="21"/>
  <c r="Y30" i="21"/>
  <c r="Y24" i="21"/>
  <c r="Q22" i="21"/>
  <c r="K27" i="21"/>
  <c r="L27" i="21"/>
  <c r="E27" i="21"/>
  <c r="E23" i="21"/>
  <c r="L24" i="21"/>
  <c r="P24" i="21"/>
  <c r="L23" i="21"/>
  <c r="K25" i="21"/>
  <c r="K26" i="21"/>
  <c r="K22" i="21"/>
  <c r="K5" i="21"/>
  <c r="K24" i="21"/>
  <c r="K23" i="21"/>
  <c r="K29" i="21"/>
  <c r="L22" i="21"/>
  <c r="L26" i="21"/>
  <c r="P30" i="21"/>
  <c r="P27" i="21"/>
  <c r="E22" i="21"/>
  <c r="P29" i="21"/>
  <c r="E29" i="21"/>
  <c r="F27" i="21"/>
  <c r="L25" i="19"/>
  <c r="H22" i="21"/>
  <c r="Q30" i="21"/>
  <c r="H30" i="21"/>
  <c r="M5" i="19"/>
  <c r="N27" i="19"/>
  <c r="N25" i="19"/>
  <c r="M30" i="19"/>
  <c r="N24" i="19"/>
  <c r="L29" i="21"/>
  <c r="L5" i="21"/>
  <c r="P25" i="21"/>
  <c r="E30" i="21"/>
  <c r="P23" i="21"/>
  <c r="Q29" i="21"/>
  <c r="E24" i="21"/>
  <c r="E25" i="19"/>
  <c r="P22" i="21"/>
  <c r="G29" i="19"/>
  <c r="N26" i="19"/>
  <c r="M27" i="19"/>
  <c r="M29" i="19"/>
  <c r="N5" i="19"/>
  <c r="M23" i="19"/>
  <c r="M25" i="19"/>
  <c r="N30" i="19"/>
  <c r="N29" i="19"/>
  <c r="N23" i="19"/>
  <c r="F24" i="21"/>
  <c r="F26" i="21"/>
  <c r="F5" i="21"/>
  <c r="R30" i="21"/>
  <c r="R5" i="21"/>
  <c r="N27" i="21"/>
  <c r="P22" i="19"/>
  <c r="E26" i="21"/>
  <c r="E25" i="21"/>
  <c r="N25" i="21"/>
  <c r="F25" i="21"/>
  <c r="R26" i="19"/>
  <c r="F24" i="19"/>
  <c r="G5" i="19"/>
  <c r="G25" i="19"/>
  <c r="G23" i="19"/>
  <c r="G26" i="19"/>
  <c r="F29" i="21"/>
  <c r="F22" i="21"/>
  <c r="R22" i="21"/>
  <c r="F30" i="21"/>
  <c r="R25" i="21"/>
  <c r="R29" i="21"/>
  <c r="N22" i="21"/>
  <c r="P27" i="19"/>
  <c r="P5" i="19"/>
  <c r="D30" i="21"/>
  <c r="N24" i="21"/>
  <c r="D22" i="21"/>
  <c r="C29" i="21"/>
  <c r="AA15" i="21" s="1"/>
  <c r="N30" i="21"/>
  <c r="N23" i="21"/>
  <c r="D29" i="21"/>
  <c r="G30" i="19"/>
  <c r="G5" i="21"/>
  <c r="G22" i="21"/>
  <c r="G23" i="21"/>
  <c r="G26" i="21"/>
  <c r="G30" i="21"/>
  <c r="G27" i="21"/>
  <c r="G25" i="21"/>
  <c r="G29" i="21"/>
  <c r="G24" i="21"/>
  <c r="R30" i="19"/>
  <c r="D5" i="21"/>
  <c r="R27" i="21"/>
  <c r="C26" i="21"/>
  <c r="AA12" i="21" s="1"/>
  <c r="N29" i="21"/>
  <c r="P24" i="19"/>
  <c r="P25" i="19"/>
  <c r="C24" i="21"/>
  <c r="AA10" i="21" s="1"/>
  <c r="G22" i="19"/>
  <c r="M22" i="19"/>
  <c r="M24" i="19"/>
  <c r="H26" i="19"/>
  <c r="H25" i="19"/>
  <c r="H5" i="19"/>
  <c r="H22" i="19"/>
  <c r="H30" i="19"/>
  <c r="H29" i="19"/>
  <c r="F26" i="19"/>
  <c r="F27" i="19"/>
  <c r="F5" i="19"/>
  <c r="F30" i="19"/>
  <c r="F22" i="19"/>
  <c r="F29" i="19"/>
  <c r="R26" i="21"/>
  <c r="R24" i="21"/>
  <c r="C27" i="21"/>
  <c r="AA13" i="21" s="1"/>
  <c r="R24" i="19"/>
  <c r="D23" i="21"/>
  <c r="P29" i="19"/>
  <c r="C25" i="21"/>
  <c r="AA11" i="21" s="1"/>
  <c r="G24" i="19"/>
  <c r="F25" i="19"/>
  <c r="Q5" i="21"/>
  <c r="Q24" i="21"/>
  <c r="Q23" i="21"/>
  <c r="D22" i="19"/>
  <c r="D30" i="19"/>
  <c r="D5" i="19"/>
  <c r="D27" i="19"/>
  <c r="D26" i="19"/>
  <c r="D23" i="19"/>
  <c r="C5" i="21"/>
  <c r="R22" i="19"/>
  <c r="N26" i="21"/>
  <c r="P30" i="19"/>
  <c r="D24" i="21"/>
  <c r="A30" i="17"/>
  <c r="A29" i="17"/>
  <c r="A27" i="17"/>
  <c r="A26" i="17"/>
  <c r="A25" i="17"/>
  <c r="A24" i="17"/>
  <c r="A23" i="17"/>
  <c r="A22" i="17"/>
  <c r="I23" i="19" l="1"/>
  <c r="O26" i="21"/>
  <c r="M24" i="21"/>
  <c r="O22" i="21"/>
  <c r="I26" i="19"/>
  <c r="Y27" i="19"/>
  <c r="R5" i="19"/>
  <c r="Y5" i="21"/>
  <c r="R29" i="19"/>
  <c r="H25" i="21"/>
  <c r="Y27" i="21"/>
  <c r="R23" i="19"/>
  <c r="H27" i="21"/>
  <c r="Y23" i="21"/>
  <c r="Y22" i="19"/>
  <c r="O30" i="21"/>
  <c r="C22" i="19"/>
  <c r="AA8" i="19" s="1"/>
  <c r="C30" i="19"/>
  <c r="AA16" i="19" s="1"/>
  <c r="I27" i="19"/>
  <c r="C29" i="19"/>
  <c r="AA15" i="19" s="1"/>
  <c r="O24" i="21"/>
  <c r="I22" i="19"/>
  <c r="Y26" i="19"/>
  <c r="C5" i="19"/>
  <c r="C26" i="19"/>
  <c r="AA12" i="19" s="1"/>
  <c r="O27" i="21"/>
  <c r="I29" i="19"/>
  <c r="Y30" i="19"/>
  <c r="C23" i="19"/>
  <c r="AA9" i="19" s="1"/>
  <c r="C24" i="19"/>
  <c r="AA10" i="19" s="1"/>
  <c r="I24" i="19"/>
  <c r="O25" i="21"/>
  <c r="O5" i="21"/>
  <c r="I5" i="19"/>
  <c r="Y24" i="19"/>
  <c r="C25" i="19"/>
  <c r="AA11" i="19" s="1"/>
  <c r="O23" i="21"/>
  <c r="Y5" i="19"/>
  <c r="I30" i="19"/>
  <c r="Y25" i="19"/>
  <c r="Y29" i="19"/>
  <c r="M22" i="21"/>
  <c r="P26" i="19"/>
  <c r="L29" i="19"/>
  <c r="L30" i="19"/>
  <c r="L24" i="19"/>
  <c r="H26" i="21"/>
  <c r="L22" i="19"/>
  <c r="L26" i="19"/>
  <c r="R27" i="19"/>
  <c r="H27" i="19"/>
  <c r="L23" i="19"/>
  <c r="H29" i="21"/>
  <c r="Y26" i="21"/>
  <c r="Y22" i="21"/>
  <c r="H23" i="21"/>
  <c r="H24" i="21"/>
  <c r="H23" i="19"/>
  <c r="L5" i="19"/>
  <c r="O23" i="19"/>
  <c r="M26" i="21"/>
  <c r="I25" i="21"/>
  <c r="Q22" i="19"/>
  <c r="M25" i="21"/>
  <c r="M5" i="21"/>
  <c r="O5" i="19"/>
  <c r="K24" i="19"/>
  <c r="Q23" i="19"/>
  <c r="Q5" i="19"/>
  <c r="M23" i="21"/>
  <c r="J5" i="21"/>
  <c r="J23" i="21"/>
  <c r="J25" i="21"/>
  <c r="J24" i="21"/>
  <c r="J30" i="21"/>
  <c r="J26" i="21"/>
  <c r="J29" i="21"/>
  <c r="J27" i="21"/>
  <c r="J22" i="21"/>
  <c r="K23" i="19"/>
  <c r="K26" i="19"/>
  <c r="K22" i="19"/>
  <c r="K25" i="19"/>
  <c r="K29" i="19"/>
  <c r="I27" i="21"/>
  <c r="D29" i="19"/>
  <c r="D25" i="19"/>
  <c r="D24" i="19"/>
  <c r="Q29" i="19"/>
  <c r="Q27" i="19"/>
  <c r="I26" i="21"/>
  <c r="I24" i="21"/>
  <c r="I23" i="21"/>
  <c r="I29" i="21"/>
  <c r="Q30" i="19"/>
  <c r="M27" i="21"/>
  <c r="O24" i="19"/>
  <c r="O27" i="19"/>
  <c r="I22" i="21"/>
  <c r="I30" i="21"/>
  <c r="K5" i="19"/>
  <c r="Q26" i="19"/>
  <c r="O22" i="19"/>
  <c r="O25" i="19"/>
  <c r="O29" i="19"/>
  <c r="K30" i="19"/>
  <c r="Q24" i="19"/>
  <c r="O26" i="19"/>
  <c r="M30" i="21"/>
  <c r="E30" i="19"/>
  <c r="E23" i="19"/>
  <c r="E27" i="19"/>
  <c r="E29" i="19"/>
  <c r="E22" i="19"/>
  <c r="E24" i="19"/>
  <c r="E5" i="19"/>
  <c r="E26" i="19"/>
  <c r="I36" i="12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AD15" i="9"/>
  <c r="B7" i="11"/>
  <c r="AB12" i="9"/>
  <c r="B15" i="9"/>
  <c r="B16" i="13"/>
  <c r="AC9" i="9"/>
  <c r="B16" i="9"/>
  <c r="B15" i="13"/>
  <c r="B11" i="11"/>
  <c r="AB10" i="9"/>
  <c r="AC7" i="17"/>
  <c r="B8" i="13"/>
  <c r="B13" i="13"/>
  <c r="B10" i="17"/>
  <c r="B11" i="9"/>
  <c r="B12" i="11"/>
  <c r="B15" i="11"/>
  <c r="AD11" i="9"/>
  <c r="B13" i="17"/>
  <c r="B10" i="11"/>
  <c r="AC7" i="9"/>
  <c r="AD16" i="9"/>
  <c r="B8" i="9"/>
  <c r="B7" i="17"/>
  <c r="AB7" i="17"/>
  <c r="B7" i="9"/>
  <c r="B11" i="17"/>
  <c r="B15" i="17"/>
  <c r="AD13" i="9"/>
  <c r="AB13" i="9"/>
  <c r="B8" i="11"/>
  <c r="B10" i="13"/>
  <c r="AD9" i="9"/>
  <c r="AB9" i="9"/>
  <c r="AB11" i="9"/>
  <c r="B10" i="9"/>
  <c r="AD7" i="9"/>
  <c r="AB7" i="9"/>
  <c r="AB16" i="9"/>
  <c r="AC11" i="9"/>
  <c r="B16" i="17"/>
  <c r="AB8" i="9"/>
  <c r="AC10" i="9"/>
  <c r="B11" i="13"/>
  <c r="B12" i="13"/>
  <c r="AD12" i="9"/>
  <c r="AC15" i="9"/>
  <c r="AC13" i="9"/>
  <c r="B12" i="9"/>
  <c r="AC8" i="9"/>
  <c r="B13" i="11"/>
  <c r="AD10" i="9"/>
  <c r="B9" i="13"/>
  <c r="B7" i="13"/>
  <c r="AB15" i="9"/>
  <c r="AD8" i="9"/>
  <c r="B9" i="11"/>
  <c r="B9" i="9"/>
  <c r="AC16" i="9"/>
  <c r="B12" i="17"/>
  <c r="AC12" i="9"/>
  <c r="B9" i="17"/>
  <c r="B13" i="9"/>
  <c r="B8" i="17"/>
  <c r="AD7" i="17"/>
  <c r="B16" i="11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<sst xmlns="http://schemas.openxmlformats.org/spreadsheetml/2006/main" count="454" uniqueCount="232">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</sst>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69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6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6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8" fillId="0" borderId="0" xfId="0" applyNumberFormat="1" applyFont="1" applyAlignment="1">
      <alignment horizontal="right"/>
    </xf>
    <xf numFmtId="164" fontId="38" fillId="0" borderId="0" xfId="0" applyNumberFormat="1" applyFont="1" applyBorder="1" applyAlignment="1">
      <alignment horizontal="right"/>
    </xf>
    <xf numFmtId="1" fontId="38" fillId="0" borderId="0" xfId="0" applyNumberFormat="1" applyFont="1" applyBorder="1" applyAlignment="1">
      <alignment horizontal="right"/>
    </xf>
    <xf numFmtId="1" fontId="38" fillId="0" borderId="96" xfId="0" applyNumberFormat="1" applyFont="1" applyBorder="1" applyAlignment="1">
      <alignment horizontal="right"/>
    </xf>
    <xf numFmtId="1" fontId="38" fillId="0" borderId="0" xfId="0" applyNumberFormat="1" applyFont="1" applyAlignment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6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6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6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5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6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7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6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6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1" fontId="38" fillId="0" borderId="53" xfId="0" applyNumberFormat="1" applyFont="1" applyBorder="1" applyAlignment="1">
      <alignment horizontal="right"/>
    </xf>
    <xf numFmtId="1" fontId="37" fillId="0" borderId="53" xfId="0" applyNumberFormat="1" applyFont="1" applyBorder="1" applyAlignment="1">
      <alignment horizontal="right"/>
    </xf>
    <xf numFmtId="164" fontId="37" fillId="0" borderId="53" xfId="0" applyNumberFormat="1" applyFont="1" applyBorder="1" applyAlignment="1">
      <alignment horizontal="right"/>
    </xf>
    <xf numFmtId="0" fontId="37" fillId="0" borderId="53" xfId="0" applyFont="1" applyBorder="1" applyAlignment="1">
      <alignment horizontal="right"/>
    </xf>
    <xf numFmtId="1" fontId="39" fillId="0" borderId="9" xfId="0" applyNumberFormat="1" applyFont="1" applyFill="1" applyBorder="1" applyAlignment="1">
      <alignment horizontal="right"/>
    </xf>
    <xf numFmtId="1" fontId="37" fillId="0" borderId="53" xfId="0" applyNumberFormat="1" applyFont="1" applyFill="1" applyBorder="1" applyAlignment="1">
      <alignment horizontal="right"/>
    </xf>
    <xf numFmtId="1" fontId="37" fillId="0" borderId="78" xfId="0" applyNumberFormat="1" applyFont="1" applyFill="1" applyBorder="1" applyAlignment="1">
      <alignment horizontal="right"/>
    </xf>
    <xf numFmtId="1" fontId="40" fillId="0" borderId="94" xfId="0" applyNumberFormat="1" applyFont="1" applyFill="1" applyBorder="1" applyAlignment="1">
      <alignment horizontal="right"/>
    </xf>
    <xf numFmtId="0" fontId="41" fillId="0" borderId="53" xfId="0" applyFont="1" applyBorder="1"/>
    <xf numFmtId="1" fontId="40" fillId="0" borderId="53" xfId="0" applyNumberFormat="1" applyFont="1" applyFill="1" applyBorder="1" applyAlignment="1">
      <alignment horizontal="right"/>
    </xf>
    <xf numFmtId="1" fontId="40" fillId="0" borderId="53" xfId="0" applyNumberFormat="1" applyFont="1" applyBorder="1" applyAlignment="1">
      <alignment horizontal="right"/>
    </xf>
    <xf numFmtId="164" fontId="38" fillId="0" borderId="53" xfId="0" applyNumberFormat="1" applyFont="1" applyBorder="1" applyAlignment="1">
      <alignment horizontal="right"/>
    </xf>
    <xf numFmtId="164" fontId="39" fillId="0" borderId="9" xfId="0" applyNumberFormat="1" applyFont="1" applyFill="1" applyBorder="1" applyAlignment="1">
      <alignment horizontal="right"/>
    </xf>
    <xf numFmtId="164" fontId="37" fillId="0" borderId="53" xfId="0" applyNumberFormat="1" applyFont="1" applyFill="1" applyBorder="1" applyAlignment="1">
      <alignment horizontal="right"/>
    </xf>
    <xf numFmtId="164" fontId="37" fillId="0" borderId="78" xfId="0" applyNumberFormat="1" applyFont="1" applyFill="1" applyBorder="1" applyAlignment="1">
      <alignment horizontal="right"/>
    </xf>
    <xf numFmtId="164" fontId="40" fillId="0" borderId="94" xfId="0" applyNumberFormat="1" applyFont="1" applyFill="1" applyBorder="1" applyAlignment="1">
      <alignment horizontal="right"/>
    </xf>
    <xf numFmtId="164" fontId="41" fillId="0" borderId="0" xfId="0" applyNumberFormat="1" applyFont="1"/>
    <xf numFmtId="164" fontId="40" fillId="0" borderId="53" xfId="0" applyNumberFormat="1" applyFont="1" applyFill="1" applyBorder="1" applyAlignment="1">
      <alignment horizontal="right"/>
    </xf>
    <xf numFmtId="164" fontId="40" fillId="0" borderId="53" xfId="0" applyNumberFormat="1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1" xfId="0" applyFont="1" applyFill="1" applyBorder="1" applyAlignment="1" applyProtection="1">
      <alignment horizontal="center" vertical="center"/>
      <protection locked="0" hidden="1"/>
    </xf>
    <xf numFmtId="0" fontId="30" fillId="3" borderId="85" xfId="0" applyFont="1" applyFill="1" applyBorder="1" applyAlignment="1" applyProtection="1">
      <alignment horizontal="center" vertical="center"/>
      <protection locked="0" hidden="1"/>
    </xf>
    <xf numFmtId="0" fontId="30" fillId="3" borderId="83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83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7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3" borderId="91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83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2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9" xfId="0" applyFont="1" applyFill="1" applyBorder="1" applyAlignment="1" applyProtection="1">
      <alignment horizontal="center" vertical="center"/>
      <protection locked="0" hidden="1"/>
    </xf>
    <xf numFmtId="0" fontId="30" fillId="0" borderId="88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8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69" xfId="0" applyNumberFormat="1" applyFont="1" applyFill="1" applyBorder="1" applyAlignment="1" applyProtection="1">
      <alignment horizontal="center" vertical="center"/>
      <protection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3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3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33" s="23" customFormat="1" ht="20.100000000000001" customHeight="1" x14ac:dyDescent="0.4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33" s="20" customFormat="1" ht="39.950000000000003" customHeight="1" x14ac:dyDescent="0.5">
      <c r="A3" s="396" t="s">
        <v>0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71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76" t="s">
        <v>7</v>
      </c>
      <c r="E13" s="377"/>
      <c r="F13" s="204"/>
      <c r="G13" s="205"/>
      <c r="H13" s="206"/>
      <c r="I13" s="206"/>
      <c r="J13" s="207"/>
      <c r="K13" s="207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6" t="s">
        <v>8</v>
      </c>
      <c r="D14" s="364" t="s">
        <v>9</v>
      </c>
      <c r="E14" s="365"/>
      <c r="F14" s="208"/>
      <c r="G14" s="209"/>
      <c r="H14" s="210"/>
      <c r="I14" s="210"/>
      <c r="J14" s="211"/>
      <c r="K14" s="211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7"/>
      <c r="D15" s="366" t="s">
        <v>10</v>
      </c>
      <c r="E15" s="367"/>
      <c r="F15" s="212"/>
      <c r="G15" s="213"/>
      <c r="H15" s="214"/>
      <c r="I15" s="214"/>
      <c r="J15" s="215"/>
      <c r="K15" s="215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7"/>
      <c r="D16" s="368" t="s">
        <v>11</v>
      </c>
      <c r="E16" s="369"/>
      <c r="F16" s="216"/>
      <c r="G16" s="217"/>
      <c r="H16" s="218"/>
      <c r="I16" s="218"/>
      <c r="J16" s="219"/>
      <c r="K16" s="219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56" t="s">
        <v>12</v>
      </c>
      <c r="D17" s="358" t="s">
        <v>13</v>
      </c>
      <c r="E17" s="359"/>
      <c r="F17" s="220"/>
      <c r="G17" s="221"/>
      <c r="H17" s="222"/>
      <c r="I17" s="222"/>
      <c r="J17" s="223"/>
      <c r="K17" s="223"/>
      <c r="L17" s="10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7"/>
      <c r="D18" s="360" t="s">
        <v>14</v>
      </c>
      <c r="E18" s="361"/>
      <c r="F18" s="224"/>
      <c r="G18" s="225"/>
      <c r="H18" s="226"/>
      <c r="I18" s="226"/>
      <c r="J18" s="227"/>
      <c r="K18" s="227"/>
      <c r="L18" s="10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7"/>
      <c r="D19" s="362" t="s">
        <v>15</v>
      </c>
      <c r="E19" s="363"/>
      <c r="F19" s="228"/>
      <c r="G19" s="229"/>
      <c r="H19" s="230"/>
      <c r="I19" s="230"/>
      <c r="J19" s="231"/>
      <c r="K19" s="231"/>
      <c r="L19" s="10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6" t="s">
        <v>16</v>
      </c>
      <c r="D20" s="364" t="s">
        <v>17</v>
      </c>
      <c r="E20" s="365"/>
      <c r="F20" s="208"/>
      <c r="G20" s="209"/>
      <c r="H20" s="210"/>
      <c r="I20" s="210"/>
      <c r="J20" s="211"/>
      <c r="K20" s="211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7"/>
      <c r="D21" s="366" t="s">
        <v>18</v>
      </c>
      <c r="E21" s="367"/>
      <c r="F21" s="212"/>
      <c r="G21" s="213"/>
      <c r="H21" s="214"/>
      <c r="I21" s="214"/>
      <c r="J21" s="215"/>
      <c r="K21" s="215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7"/>
      <c r="D22" s="368" t="s">
        <v>19</v>
      </c>
      <c r="E22" s="369"/>
      <c r="F22" s="216"/>
      <c r="G22" s="217"/>
      <c r="H22" s="218"/>
      <c r="I22" s="218"/>
      <c r="J22" s="219"/>
      <c r="K22" s="219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56" t="s">
        <v>20</v>
      </c>
      <c r="D23" s="358" t="s">
        <v>21</v>
      </c>
      <c r="E23" s="359"/>
      <c r="F23" s="220"/>
      <c r="G23" s="221"/>
      <c r="H23" s="222"/>
      <c r="I23" s="222"/>
      <c r="J23" s="223"/>
      <c r="K23" s="223"/>
      <c r="L23" s="10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7"/>
      <c r="D24" s="360" t="s">
        <v>22</v>
      </c>
      <c r="E24" s="361"/>
      <c r="F24" s="224"/>
      <c r="G24" s="225"/>
      <c r="H24" s="226"/>
      <c r="I24" s="226"/>
      <c r="J24" s="227"/>
      <c r="K24" s="227"/>
      <c r="L24" s="10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7"/>
      <c r="D25" s="362" t="s">
        <v>23</v>
      </c>
      <c r="E25" s="363"/>
      <c r="F25" s="228"/>
      <c r="G25" s="229"/>
      <c r="H25" s="230"/>
      <c r="I25" s="230"/>
      <c r="J25" s="231"/>
      <c r="K25" s="231"/>
      <c r="L25" s="10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6" t="s">
        <v>24</v>
      </c>
      <c r="D26" s="364" t="s">
        <v>25</v>
      </c>
      <c r="E26" s="365"/>
      <c r="F26" s="208"/>
      <c r="G26" s="209"/>
      <c r="H26" s="210"/>
      <c r="I26" s="210"/>
      <c r="J26" s="211"/>
      <c r="K26" s="211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7"/>
      <c r="D27" s="366" t="s">
        <v>26</v>
      </c>
      <c r="E27" s="367"/>
      <c r="F27" s="212"/>
      <c r="G27" s="213"/>
      <c r="H27" s="214"/>
      <c r="I27" s="214"/>
      <c r="J27" s="215"/>
      <c r="K27" s="215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7"/>
      <c r="D28" s="368" t="s">
        <v>27</v>
      </c>
      <c r="E28" s="369"/>
      <c r="F28" s="232"/>
      <c r="G28" s="233"/>
      <c r="H28" s="234"/>
      <c r="I28" s="234"/>
      <c r="J28" s="235"/>
      <c r="K28" s="235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51" t="s">
        <v>28</v>
      </c>
      <c r="E29" s="352"/>
      <c r="F29" s="236"/>
      <c r="G29" s="237"/>
      <c r="H29" s="238"/>
      <c r="I29" s="238"/>
      <c r="J29" s="239"/>
      <c r="K29" s="239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52"/>
      <c r="E30" s="53"/>
      <c r="F30" s="240"/>
      <c r="G30" s="241"/>
      <c r="H30" s="242"/>
      <c r="I30" s="242"/>
      <c r="J30" s="243"/>
      <c r="K30" s="243"/>
      <c r="L30" s="10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52"/>
      <c r="E31" s="53"/>
      <c r="F31" s="240"/>
      <c r="G31" s="241"/>
      <c r="H31" s="242"/>
      <c r="I31" s="242"/>
      <c r="J31" s="243"/>
      <c r="K31" s="243"/>
      <c r="L31" s="10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52"/>
      <c r="E32" s="53"/>
      <c r="F32" s="240"/>
      <c r="G32" s="241"/>
      <c r="H32" s="242"/>
      <c r="I32" s="242"/>
      <c r="J32" s="243"/>
      <c r="K32" s="243"/>
      <c r="L32" s="10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52"/>
      <c r="E33" s="53"/>
      <c r="F33" s="240"/>
      <c r="G33" s="241"/>
      <c r="H33" s="242"/>
      <c r="I33" s="242"/>
      <c r="J33" s="243"/>
      <c r="K33" s="243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52"/>
      <c r="E34" s="53"/>
      <c r="F34" s="240"/>
      <c r="G34" s="241"/>
      <c r="H34" s="242"/>
      <c r="I34" s="242"/>
      <c r="J34" s="243"/>
      <c r="K34" s="243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52"/>
      <c r="E35" s="53"/>
      <c r="F35" s="240"/>
      <c r="G35" s="241"/>
      <c r="H35" s="242"/>
      <c r="I35" s="242"/>
      <c r="J35" s="243"/>
      <c r="K35" s="243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33" s="23" customFormat="1" ht="20.100000000000001" customHeight="1" x14ac:dyDescent="0.4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33" s="20" customFormat="1" ht="39.950000000000003" customHeight="1" x14ac:dyDescent="0.5">
      <c r="A3" s="396" t="s">
        <v>46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8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1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76" t="s">
        <v>7</v>
      </c>
      <c r="E13" s="377"/>
      <c r="F13" s="220"/>
      <c r="G13" s="223"/>
      <c r="H13" s="223"/>
      <c r="I13" s="223"/>
      <c r="J13" s="223"/>
      <c r="K13" s="22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6" t="s">
        <v>47</v>
      </c>
      <c r="D14" s="414" t="s">
        <v>48</v>
      </c>
      <c r="E14" s="415"/>
      <c r="F14" s="208"/>
      <c r="G14" s="211"/>
      <c r="H14" s="211"/>
      <c r="I14" s="211"/>
      <c r="J14" s="211"/>
      <c r="K14" s="211"/>
      <c r="L14" s="10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7"/>
      <c r="D15" s="404" t="s">
        <v>49</v>
      </c>
      <c r="E15" s="405"/>
      <c r="F15" s="212"/>
      <c r="G15" s="215"/>
      <c r="H15" s="215"/>
      <c r="I15" s="215"/>
      <c r="J15" s="215"/>
      <c r="K15" s="215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7"/>
      <c r="D16" s="410" t="s">
        <v>50</v>
      </c>
      <c r="E16" s="411"/>
      <c r="F16" s="216"/>
      <c r="G16" s="219"/>
      <c r="H16" s="219"/>
      <c r="I16" s="219"/>
      <c r="J16" s="219"/>
      <c r="K16" s="219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7"/>
      <c r="D17" s="404" t="s">
        <v>51</v>
      </c>
      <c r="E17" s="405"/>
      <c r="F17" s="212"/>
      <c r="G17" s="215"/>
      <c r="H17" s="215"/>
      <c r="I17" s="215"/>
      <c r="J17" s="215"/>
      <c r="K17" s="215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401"/>
      <c r="D18" s="402" t="s">
        <v>52</v>
      </c>
      <c r="E18" s="403"/>
      <c r="F18" s="216"/>
      <c r="G18" s="219"/>
      <c r="H18" s="219"/>
      <c r="I18" s="219"/>
      <c r="J18" s="219"/>
      <c r="K18" s="219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7" t="s">
        <v>53</v>
      </c>
      <c r="D19" s="408" t="s">
        <v>54</v>
      </c>
      <c r="E19" s="409"/>
      <c r="F19" s="247"/>
      <c r="G19" s="248"/>
      <c r="H19" s="248"/>
      <c r="I19" s="248"/>
      <c r="J19" s="248"/>
      <c r="K19" s="248"/>
      <c r="L19" s="10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7"/>
      <c r="D20" s="410" t="s">
        <v>55</v>
      </c>
      <c r="E20" s="411"/>
      <c r="F20" s="216"/>
      <c r="G20" s="219"/>
      <c r="H20" s="219"/>
      <c r="I20" s="219"/>
      <c r="J20" s="219"/>
      <c r="K20" s="219"/>
      <c r="L20" s="9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7"/>
      <c r="D21" s="404" t="s">
        <v>56</v>
      </c>
      <c r="E21" s="405"/>
      <c r="F21" s="212"/>
      <c r="G21" s="215"/>
      <c r="H21" s="215"/>
      <c r="I21" s="215"/>
      <c r="J21" s="215"/>
      <c r="K21" s="215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7"/>
      <c r="D22" s="410" t="s">
        <v>57</v>
      </c>
      <c r="E22" s="411"/>
      <c r="F22" s="216"/>
      <c r="G22" s="219"/>
      <c r="H22" s="219"/>
      <c r="I22" s="219"/>
      <c r="J22" s="219"/>
      <c r="K22" s="219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401"/>
      <c r="D23" s="412" t="s">
        <v>58</v>
      </c>
      <c r="E23" s="413"/>
      <c r="F23" s="228"/>
      <c r="G23" s="231"/>
      <c r="H23" s="231"/>
      <c r="I23" s="231"/>
      <c r="J23" s="231"/>
      <c r="K23" s="231"/>
      <c r="L23" s="10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7" t="s">
        <v>59</v>
      </c>
      <c r="D24" s="402" t="s">
        <v>60</v>
      </c>
      <c r="E24" s="403"/>
      <c r="F24" s="208"/>
      <c r="G24" s="211"/>
      <c r="H24" s="211"/>
      <c r="I24" s="211"/>
      <c r="J24" s="211"/>
      <c r="K24" s="211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7"/>
      <c r="D25" s="404" t="s">
        <v>61</v>
      </c>
      <c r="E25" s="405"/>
      <c r="F25" s="212"/>
      <c r="G25" s="215"/>
      <c r="H25" s="215"/>
      <c r="I25" s="215"/>
      <c r="J25" s="215"/>
      <c r="K25" s="215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7"/>
      <c r="D26" s="402" t="s">
        <v>62</v>
      </c>
      <c r="E26" s="403"/>
      <c r="F26" s="216"/>
      <c r="G26" s="219"/>
      <c r="H26" s="219"/>
      <c r="I26" s="219"/>
      <c r="J26" s="219"/>
      <c r="K26" s="219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7"/>
      <c r="D27" s="404" t="s">
        <v>63</v>
      </c>
      <c r="E27" s="405"/>
      <c r="F27" s="212"/>
      <c r="G27" s="215"/>
      <c r="H27" s="215"/>
      <c r="I27" s="215"/>
      <c r="J27" s="215"/>
      <c r="K27" s="215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401"/>
      <c r="D28" s="406" t="s">
        <v>64</v>
      </c>
      <c r="E28" s="407"/>
      <c r="F28" s="232"/>
      <c r="G28" s="235"/>
      <c r="H28" s="235"/>
      <c r="I28" s="235"/>
      <c r="J28" s="235"/>
      <c r="K28" s="235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51" t="s">
        <v>28</v>
      </c>
      <c r="E29" s="352"/>
      <c r="F29" s="236"/>
      <c r="G29" s="239"/>
      <c r="H29" s="239"/>
      <c r="I29" s="239"/>
      <c r="J29" s="239"/>
      <c r="K29" s="239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88"/>
      <c r="E30" s="89"/>
      <c r="F30" s="240"/>
      <c r="G30" s="249"/>
      <c r="H30" s="242"/>
      <c r="I30" s="242"/>
      <c r="J30" s="241"/>
      <c r="K30" s="241"/>
      <c r="L30" s="10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88"/>
      <c r="E31" s="89"/>
      <c r="F31" s="240"/>
      <c r="G31" s="249"/>
      <c r="H31" s="242"/>
      <c r="I31" s="242"/>
      <c r="J31" s="241"/>
      <c r="K31" s="241"/>
      <c r="L31" s="10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88"/>
      <c r="E32" s="89"/>
      <c r="F32" s="240"/>
      <c r="G32" s="249"/>
      <c r="H32" s="242"/>
      <c r="I32" s="242"/>
      <c r="J32" s="241"/>
      <c r="K32" s="241"/>
      <c r="L32" s="10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88"/>
      <c r="E33" s="89"/>
      <c r="F33" s="240"/>
      <c r="G33" s="249"/>
      <c r="H33" s="242"/>
      <c r="I33" s="242"/>
      <c r="J33" s="241"/>
      <c r="K33" s="241"/>
      <c r="L33" s="10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88"/>
      <c r="E34" s="89"/>
      <c r="F34" s="240"/>
      <c r="G34" s="249"/>
      <c r="H34" s="242"/>
      <c r="I34" s="242"/>
      <c r="J34" s="241"/>
      <c r="K34" s="241"/>
      <c r="L34" s="10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88"/>
      <c r="E35" s="89"/>
      <c r="F35" s="240"/>
      <c r="G35" s="249"/>
      <c r="H35" s="242"/>
      <c r="I35" s="242"/>
      <c r="J35" s="241"/>
      <c r="K35" s="241"/>
      <c r="L35" s="10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33" s="23" customFormat="1" ht="20.100000000000001" customHeight="1" x14ac:dyDescent="0.4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33" s="20" customFormat="1" ht="39.950000000000003" customHeight="1" x14ac:dyDescent="0.5">
      <c r="A3" s="396" t="s">
        <v>68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9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1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20" t="s">
        <v>7</v>
      </c>
      <c r="E13" s="421"/>
      <c r="F13" s="250"/>
      <c r="G13" s="251"/>
      <c r="H13" s="252"/>
      <c r="I13" s="252"/>
      <c r="J13" s="223"/>
      <c r="K13" s="25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6" t="s">
        <v>69</v>
      </c>
      <c r="D14" s="364" t="s">
        <v>70</v>
      </c>
      <c r="E14" s="365"/>
      <c r="F14" s="208"/>
      <c r="G14" s="209"/>
      <c r="H14" s="210"/>
      <c r="I14" s="210"/>
      <c r="J14" s="211"/>
      <c r="K14" s="211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7"/>
      <c r="D15" s="416" t="s">
        <v>71</v>
      </c>
      <c r="E15" s="417"/>
      <c r="F15" s="254"/>
      <c r="G15" s="255"/>
      <c r="H15" s="256"/>
      <c r="I15" s="256"/>
      <c r="J15" s="215"/>
      <c r="K15" s="257"/>
      <c r="L15" s="109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7"/>
      <c r="D16" s="360" t="s">
        <v>72</v>
      </c>
      <c r="E16" s="361"/>
      <c r="F16" s="258"/>
      <c r="G16" s="259"/>
      <c r="H16" s="260"/>
      <c r="I16" s="260"/>
      <c r="J16" s="219"/>
      <c r="K16" s="261"/>
      <c r="L16" s="11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7"/>
      <c r="D17" s="416" t="s">
        <v>73</v>
      </c>
      <c r="E17" s="417"/>
      <c r="F17" s="254"/>
      <c r="G17" s="255"/>
      <c r="H17" s="256"/>
      <c r="I17" s="256"/>
      <c r="J17" s="215"/>
      <c r="K17" s="257"/>
      <c r="L17" s="10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401"/>
      <c r="D18" s="418" t="s">
        <v>74</v>
      </c>
      <c r="E18" s="419"/>
      <c r="F18" s="216"/>
      <c r="G18" s="217"/>
      <c r="H18" s="218"/>
      <c r="I18" s="218"/>
      <c r="J18" s="219"/>
      <c r="K18" s="219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7" t="s">
        <v>75</v>
      </c>
      <c r="D19" s="422" t="s">
        <v>76</v>
      </c>
      <c r="E19" s="423"/>
      <c r="F19" s="250"/>
      <c r="G19" s="251"/>
      <c r="H19" s="252"/>
      <c r="I19" s="252"/>
      <c r="J19" s="248"/>
      <c r="K19" s="253"/>
      <c r="L19" s="11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7"/>
      <c r="D20" s="360" t="s">
        <v>77</v>
      </c>
      <c r="E20" s="361"/>
      <c r="F20" s="224"/>
      <c r="G20" s="225"/>
      <c r="H20" s="226"/>
      <c r="I20" s="226"/>
      <c r="J20" s="219"/>
      <c r="K20" s="227"/>
      <c r="L20" s="10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7"/>
      <c r="D21" s="416" t="s">
        <v>78</v>
      </c>
      <c r="E21" s="417"/>
      <c r="F21" s="254"/>
      <c r="G21" s="255"/>
      <c r="H21" s="256"/>
      <c r="I21" s="256"/>
      <c r="J21" s="215"/>
      <c r="K21" s="257"/>
      <c r="L21" s="10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7"/>
      <c r="D22" s="360" t="s">
        <v>79</v>
      </c>
      <c r="E22" s="361"/>
      <c r="F22" s="216"/>
      <c r="G22" s="217"/>
      <c r="H22" s="218"/>
      <c r="I22" s="218"/>
      <c r="J22" s="219"/>
      <c r="K22" s="219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401"/>
      <c r="D23" s="424" t="s">
        <v>80</v>
      </c>
      <c r="E23" s="425"/>
      <c r="F23" s="262"/>
      <c r="G23" s="263"/>
      <c r="H23" s="264"/>
      <c r="I23" s="264"/>
      <c r="J23" s="231"/>
      <c r="K23" s="265"/>
      <c r="L23" s="11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7" t="s">
        <v>81</v>
      </c>
      <c r="D24" s="364" t="s">
        <v>82</v>
      </c>
      <c r="E24" s="365"/>
      <c r="F24" s="208"/>
      <c r="G24" s="209"/>
      <c r="H24" s="210"/>
      <c r="I24" s="210"/>
      <c r="J24" s="211"/>
      <c r="K24" s="211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7"/>
      <c r="D25" s="416" t="s">
        <v>83</v>
      </c>
      <c r="E25" s="417"/>
      <c r="F25" s="254"/>
      <c r="G25" s="255"/>
      <c r="H25" s="256"/>
      <c r="I25" s="256"/>
      <c r="J25" s="215"/>
      <c r="K25" s="257"/>
      <c r="L25" s="10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7"/>
      <c r="D26" s="360" t="s">
        <v>84</v>
      </c>
      <c r="E26" s="361"/>
      <c r="F26" s="216"/>
      <c r="G26" s="217"/>
      <c r="H26" s="218"/>
      <c r="I26" s="218"/>
      <c r="J26" s="219"/>
      <c r="K26" s="219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7"/>
      <c r="D27" s="416" t="s">
        <v>85</v>
      </c>
      <c r="E27" s="417"/>
      <c r="F27" s="254"/>
      <c r="G27" s="255"/>
      <c r="H27" s="256"/>
      <c r="I27" s="256"/>
      <c r="J27" s="215"/>
      <c r="K27" s="257"/>
      <c r="L27" s="10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401"/>
      <c r="D28" s="418" t="s">
        <v>86</v>
      </c>
      <c r="E28" s="419"/>
      <c r="F28" s="232"/>
      <c r="G28" s="233"/>
      <c r="H28" s="234"/>
      <c r="I28" s="234"/>
      <c r="J28" s="235"/>
      <c r="K28" s="235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5"/>
      <c r="D29" s="426" t="s">
        <v>28</v>
      </c>
      <c r="E29" s="427"/>
      <c r="F29" s="266"/>
      <c r="G29" s="267"/>
      <c r="H29" s="268"/>
      <c r="I29" s="268"/>
      <c r="J29" s="239"/>
      <c r="K29" s="269"/>
      <c r="L29" s="11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61"/>
      <c r="C30" s="62"/>
      <c r="D30" s="63"/>
      <c r="E30" s="64"/>
      <c r="F30" s="270"/>
      <c r="G30" s="271"/>
      <c r="H30" s="272"/>
      <c r="I30" s="272"/>
      <c r="J30" s="241"/>
      <c r="K30" s="273"/>
      <c r="L30" s="9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61"/>
      <c r="C31" s="62"/>
      <c r="D31" s="63"/>
      <c r="E31" s="64"/>
      <c r="F31" s="270"/>
      <c r="G31" s="271"/>
      <c r="H31" s="272"/>
      <c r="I31" s="272"/>
      <c r="J31" s="241"/>
      <c r="K31" s="273"/>
      <c r="L31" s="9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61"/>
      <c r="C32" s="62"/>
      <c r="D32" s="63"/>
      <c r="E32" s="64"/>
      <c r="F32" s="270"/>
      <c r="G32" s="271"/>
      <c r="H32" s="272"/>
      <c r="I32" s="272"/>
      <c r="J32" s="241"/>
      <c r="K32" s="273"/>
      <c r="L32" s="9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61"/>
      <c r="C33" s="62"/>
      <c r="D33" s="63"/>
      <c r="E33" s="64"/>
      <c r="F33" s="270"/>
      <c r="G33" s="271"/>
      <c r="H33" s="272"/>
      <c r="I33" s="272"/>
      <c r="J33" s="241"/>
      <c r="K33" s="273"/>
      <c r="L33" s="9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61"/>
      <c r="C34" s="62"/>
      <c r="D34" s="63"/>
      <c r="E34" s="64"/>
      <c r="F34" s="270"/>
      <c r="G34" s="271"/>
      <c r="H34" s="272"/>
      <c r="I34" s="272"/>
      <c r="J34" s="241"/>
      <c r="K34" s="273"/>
      <c r="L34" s="9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61"/>
      <c r="C35" s="62"/>
      <c r="D35" s="63"/>
      <c r="E35" s="64"/>
      <c r="F35" s="270"/>
      <c r="G35" s="271"/>
      <c r="H35" s="272"/>
      <c r="I35" s="272"/>
      <c r="J35" s="241"/>
      <c r="K35" s="273"/>
      <c r="L35" s="9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16" s="20" customFormat="1" ht="20.100000000000001" customHeight="1" x14ac:dyDescent="0.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16" s="20" customFormat="1" ht="39.950000000000003" customHeight="1" x14ac:dyDescent="0.5">
      <c r="A3" s="396" t="s">
        <v>87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85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</row>
    <row r="7" spans="1:16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</row>
    <row r="9" spans="1:16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">
        <v>5</v>
      </c>
      <c r="L11" s="371" t="str">
        <f>Doku!B42</f>
        <v>Gesamt</v>
      </c>
    </row>
    <row r="12" spans="1:16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</row>
    <row r="13" spans="1:16" ht="21" customHeight="1" thickBot="1" x14ac:dyDescent="0.3">
      <c r="A13" s="6">
        <v>1</v>
      </c>
      <c r="B13" s="428"/>
      <c r="C13" s="429"/>
      <c r="D13" s="420" t="s">
        <v>7</v>
      </c>
      <c r="E13" s="421"/>
      <c r="F13" s="274"/>
      <c r="G13" s="275"/>
      <c r="H13" s="276"/>
      <c r="I13" s="276"/>
      <c r="J13" s="276"/>
      <c r="K13" s="277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30" t="s">
        <v>88</v>
      </c>
      <c r="C14" s="435" t="s">
        <v>89</v>
      </c>
      <c r="D14" s="440" t="s">
        <v>90</v>
      </c>
      <c r="E14" s="369"/>
      <c r="F14" s="278"/>
      <c r="G14" s="279"/>
      <c r="H14" s="280"/>
      <c r="I14" s="280"/>
      <c r="J14" s="280"/>
      <c r="K14" s="211"/>
      <c r="L14" s="102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31"/>
      <c r="C15" s="436"/>
      <c r="D15" s="441" t="s">
        <v>91</v>
      </c>
      <c r="E15" s="417"/>
      <c r="F15" s="254"/>
      <c r="G15" s="255"/>
      <c r="H15" s="256"/>
      <c r="I15" s="256"/>
      <c r="J15" s="256"/>
      <c r="K15" s="257"/>
      <c r="L15" s="281" t="str">
        <f t="shared" si="0"/>
        <v/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431"/>
      <c r="C16" s="436"/>
      <c r="D16" s="442" t="s">
        <v>92</v>
      </c>
      <c r="E16" s="361"/>
      <c r="F16" s="224"/>
      <c r="G16" s="225"/>
      <c r="H16" s="226"/>
      <c r="I16" s="226"/>
      <c r="J16" s="226"/>
      <c r="K16" s="227"/>
      <c r="L16" s="282" t="str">
        <f t="shared" si="0"/>
        <v/>
      </c>
    </row>
    <row r="17" spans="1:12" ht="21" customHeight="1" x14ac:dyDescent="0.25">
      <c r="A17" s="8">
        <v>5</v>
      </c>
      <c r="B17" s="431"/>
      <c r="C17" s="436"/>
      <c r="D17" s="441" t="s">
        <v>93</v>
      </c>
      <c r="E17" s="417"/>
      <c r="F17" s="254"/>
      <c r="G17" s="255"/>
      <c r="H17" s="256"/>
      <c r="I17" s="256"/>
      <c r="J17" s="256"/>
      <c r="K17" s="257"/>
      <c r="L17" s="281" t="str">
        <f t="shared" si="0"/>
        <v/>
      </c>
    </row>
    <row r="18" spans="1:12" ht="21" customHeight="1" thickBot="1" x14ac:dyDescent="0.3">
      <c r="A18" s="8">
        <v>6</v>
      </c>
      <c r="B18" s="431"/>
      <c r="C18" s="436"/>
      <c r="D18" s="434" t="s">
        <v>94</v>
      </c>
      <c r="E18" s="419"/>
      <c r="F18" s="232"/>
      <c r="G18" s="233"/>
      <c r="H18" s="234"/>
      <c r="I18" s="234"/>
      <c r="J18" s="234"/>
      <c r="K18" s="235"/>
      <c r="L18" s="283" t="str">
        <f t="shared" si="0"/>
        <v/>
      </c>
    </row>
    <row r="19" spans="1:12" ht="21" customHeight="1" x14ac:dyDescent="0.25">
      <c r="A19" s="37">
        <v>7</v>
      </c>
      <c r="B19" s="431"/>
      <c r="C19" s="435" t="s">
        <v>95</v>
      </c>
      <c r="D19" s="438" t="s">
        <v>96</v>
      </c>
      <c r="E19" s="439"/>
      <c r="F19" s="284"/>
      <c r="G19" s="285"/>
      <c r="H19" s="286"/>
      <c r="I19" s="286"/>
      <c r="J19" s="286"/>
      <c r="K19" s="287"/>
      <c r="L19" s="288" t="str">
        <f t="shared" si="0"/>
        <v/>
      </c>
    </row>
    <row r="20" spans="1:12" ht="21" customHeight="1" x14ac:dyDescent="0.25">
      <c r="A20" s="37">
        <v>8</v>
      </c>
      <c r="B20" s="431"/>
      <c r="C20" s="436"/>
      <c r="D20" s="442" t="s">
        <v>97</v>
      </c>
      <c r="E20" s="361"/>
      <c r="F20" s="224"/>
      <c r="G20" s="225"/>
      <c r="H20" s="226"/>
      <c r="I20" s="226"/>
      <c r="J20" s="226"/>
      <c r="K20" s="227"/>
      <c r="L20" s="282" t="str">
        <f t="shared" si="0"/>
        <v/>
      </c>
    </row>
    <row r="21" spans="1:12" ht="21" customHeight="1" thickBot="1" x14ac:dyDescent="0.3">
      <c r="A21" s="9">
        <v>9</v>
      </c>
      <c r="B21" s="432"/>
      <c r="C21" s="437"/>
      <c r="D21" s="433" t="s">
        <v>98</v>
      </c>
      <c r="E21" s="425"/>
      <c r="F21" s="289"/>
      <c r="G21" s="290"/>
      <c r="H21" s="291"/>
      <c r="I21" s="291"/>
      <c r="J21" s="291"/>
      <c r="K21" s="292"/>
      <c r="L21" s="293" t="str">
        <f t="shared" si="0"/>
        <v/>
      </c>
    </row>
    <row r="22" spans="1:12" ht="21" customHeight="1" x14ac:dyDescent="0.25">
      <c r="A22" s="38">
        <v>10</v>
      </c>
      <c r="B22" s="430" t="s">
        <v>99</v>
      </c>
      <c r="C22" s="435" t="s">
        <v>89</v>
      </c>
      <c r="D22" s="438" t="s">
        <v>90</v>
      </c>
      <c r="E22" s="439"/>
      <c r="F22" s="284"/>
      <c r="G22" s="285"/>
      <c r="H22" s="286"/>
      <c r="I22" s="286"/>
      <c r="J22" s="286"/>
      <c r="K22" s="287"/>
      <c r="L22" s="288" t="str">
        <f t="shared" si="0"/>
        <v/>
      </c>
    </row>
    <row r="23" spans="1:12" ht="21" customHeight="1" x14ac:dyDescent="0.25">
      <c r="A23" s="37">
        <v>11</v>
      </c>
      <c r="B23" s="431"/>
      <c r="C23" s="436"/>
      <c r="D23" s="442" t="s">
        <v>100</v>
      </c>
      <c r="E23" s="361"/>
      <c r="F23" s="224"/>
      <c r="G23" s="225"/>
      <c r="H23" s="226"/>
      <c r="I23" s="226"/>
      <c r="J23" s="226"/>
      <c r="K23" s="227"/>
      <c r="L23" s="282" t="str">
        <f t="shared" si="0"/>
        <v/>
      </c>
    </row>
    <row r="24" spans="1:12" ht="21" customHeight="1" x14ac:dyDescent="0.25">
      <c r="A24" s="37">
        <v>12</v>
      </c>
      <c r="B24" s="431"/>
      <c r="C24" s="436"/>
      <c r="D24" s="441" t="s">
        <v>91</v>
      </c>
      <c r="E24" s="417"/>
      <c r="F24" s="254"/>
      <c r="G24" s="255"/>
      <c r="H24" s="256"/>
      <c r="I24" s="256"/>
      <c r="J24" s="256"/>
      <c r="K24" s="257"/>
      <c r="L24" s="281" t="str">
        <f t="shared" si="0"/>
        <v/>
      </c>
    </row>
    <row r="25" spans="1:12" ht="21" customHeight="1" x14ac:dyDescent="0.25">
      <c r="A25" s="37">
        <v>13</v>
      </c>
      <c r="B25" s="431"/>
      <c r="C25" s="436"/>
      <c r="D25" s="442" t="s">
        <v>84</v>
      </c>
      <c r="E25" s="361"/>
      <c r="F25" s="224"/>
      <c r="G25" s="225"/>
      <c r="H25" s="226"/>
      <c r="I25" s="226"/>
      <c r="J25" s="226"/>
      <c r="K25" s="227"/>
      <c r="L25" s="282" t="str">
        <f t="shared" si="0"/>
        <v/>
      </c>
    </row>
    <row r="26" spans="1:12" ht="21" customHeight="1" x14ac:dyDescent="0.25">
      <c r="A26" s="37">
        <v>14</v>
      </c>
      <c r="B26" s="431"/>
      <c r="C26" s="436"/>
      <c r="D26" s="441" t="s">
        <v>92</v>
      </c>
      <c r="E26" s="417"/>
      <c r="F26" s="254"/>
      <c r="G26" s="255"/>
      <c r="H26" s="256"/>
      <c r="I26" s="256"/>
      <c r="J26" s="256"/>
      <c r="K26" s="257"/>
      <c r="L26" s="281" t="str">
        <f t="shared" si="0"/>
        <v/>
      </c>
    </row>
    <row r="27" spans="1:12" ht="21" customHeight="1" x14ac:dyDescent="0.25">
      <c r="A27" s="37">
        <v>15</v>
      </c>
      <c r="B27" s="431"/>
      <c r="C27" s="436"/>
      <c r="D27" s="442" t="s">
        <v>93</v>
      </c>
      <c r="E27" s="361"/>
      <c r="F27" s="224"/>
      <c r="G27" s="225"/>
      <c r="H27" s="226"/>
      <c r="I27" s="226"/>
      <c r="J27" s="226"/>
      <c r="K27" s="227"/>
      <c r="L27" s="282" t="str">
        <f t="shared" si="0"/>
        <v/>
      </c>
    </row>
    <row r="28" spans="1:12" ht="21" customHeight="1" x14ac:dyDescent="0.25">
      <c r="A28" s="37">
        <v>16</v>
      </c>
      <c r="B28" s="431"/>
      <c r="C28" s="436"/>
      <c r="D28" s="441" t="s">
        <v>101</v>
      </c>
      <c r="E28" s="417"/>
      <c r="F28" s="254"/>
      <c r="G28" s="255"/>
      <c r="H28" s="256"/>
      <c r="I28" s="256"/>
      <c r="J28" s="256"/>
      <c r="K28" s="257"/>
      <c r="L28" s="281" t="str">
        <f t="shared" si="0"/>
        <v/>
      </c>
    </row>
    <row r="29" spans="1:12" ht="21" customHeight="1" thickBot="1" x14ac:dyDescent="0.3">
      <c r="A29" s="37">
        <v>17</v>
      </c>
      <c r="B29" s="431"/>
      <c r="C29" s="437"/>
      <c r="D29" s="434" t="s">
        <v>94</v>
      </c>
      <c r="E29" s="419"/>
      <c r="F29" s="232"/>
      <c r="G29" s="233"/>
      <c r="H29" s="234"/>
      <c r="I29" s="234"/>
      <c r="J29" s="234"/>
      <c r="K29" s="235"/>
      <c r="L29" s="283" t="str">
        <f t="shared" si="0"/>
        <v/>
      </c>
    </row>
    <row r="30" spans="1:12" ht="21" customHeight="1" x14ac:dyDescent="0.25">
      <c r="A30" s="37">
        <v>18</v>
      </c>
      <c r="B30" s="431"/>
      <c r="C30" s="435" t="s">
        <v>95</v>
      </c>
      <c r="D30" s="447" t="s">
        <v>96</v>
      </c>
      <c r="E30" s="448"/>
      <c r="F30" s="294"/>
      <c r="G30" s="295"/>
      <c r="H30" s="296"/>
      <c r="I30" s="296"/>
      <c r="J30" s="296"/>
      <c r="K30" s="297"/>
      <c r="L30" s="298" t="str">
        <f t="shared" si="0"/>
        <v/>
      </c>
    </row>
    <row r="31" spans="1:12" ht="21" customHeight="1" thickBot="1" x14ac:dyDescent="0.3">
      <c r="A31" s="37">
        <v>19</v>
      </c>
      <c r="B31" s="431"/>
      <c r="C31" s="437"/>
      <c r="D31" s="434" t="s">
        <v>97</v>
      </c>
      <c r="E31" s="419"/>
      <c r="F31" s="232"/>
      <c r="G31" s="233"/>
      <c r="H31" s="234"/>
      <c r="I31" s="234"/>
      <c r="J31" s="234"/>
      <c r="K31" s="235"/>
      <c r="L31" s="283" t="str">
        <f t="shared" si="0"/>
        <v/>
      </c>
    </row>
    <row r="32" spans="1:12" ht="21" customHeight="1" x14ac:dyDescent="0.25">
      <c r="A32" s="37">
        <v>20</v>
      </c>
      <c r="B32" s="431"/>
      <c r="C32" s="436" t="s">
        <v>102</v>
      </c>
      <c r="D32" s="447" t="s">
        <v>103</v>
      </c>
      <c r="E32" s="448"/>
      <c r="F32" s="294"/>
      <c r="G32" s="295"/>
      <c r="H32" s="296"/>
      <c r="I32" s="296"/>
      <c r="J32" s="296"/>
      <c r="K32" s="297"/>
      <c r="L32" s="298" t="str">
        <f t="shared" si="0"/>
        <v/>
      </c>
    </row>
    <row r="33" spans="1:12" ht="21" customHeight="1" thickBot="1" x14ac:dyDescent="0.3">
      <c r="A33" s="9">
        <v>21</v>
      </c>
      <c r="B33" s="432"/>
      <c r="C33" s="437"/>
      <c r="D33" s="434" t="s">
        <v>76</v>
      </c>
      <c r="E33" s="419"/>
      <c r="F33" s="232"/>
      <c r="G33" s="233"/>
      <c r="H33" s="234"/>
      <c r="I33" s="234"/>
      <c r="J33" s="234"/>
      <c r="K33" s="235"/>
      <c r="L33" s="283" t="str">
        <f t="shared" si="0"/>
        <v/>
      </c>
    </row>
    <row r="34" spans="1:12" ht="21" customHeight="1" thickBot="1" x14ac:dyDescent="0.3">
      <c r="A34" s="43">
        <v>22</v>
      </c>
      <c r="B34" s="443"/>
      <c r="C34" s="444"/>
      <c r="D34" s="445" t="s">
        <v>28</v>
      </c>
      <c r="E34" s="446"/>
      <c r="F34" s="270"/>
      <c r="G34" s="271"/>
      <c r="H34" s="272"/>
      <c r="I34" s="272"/>
      <c r="J34" s="272"/>
      <c r="K34" s="299"/>
      <c r="L34" s="300" t="str">
        <f t="shared" si="0"/>
        <v/>
      </c>
    </row>
    <row r="35" spans="1:12" ht="21" hidden="1" customHeight="1" thickTop="1" thickBot="1" x14ac:dyDescent="0.3">
      <c r="A35" s="7"/>
      <c r="B35" s="60"/>
      <c r="C35" s="60"/>
      <c r="D35" s="52"/>
      <c r="E35" s="53"/>
      <c r="F35" s="273"/>
      <c r="G35" s="273"/>
      <c r="H35" s="272"/>
      <c r="I35" s="272"/>
      <c r="J35" s="241"/>
      <c r="K35" s="273"/>
      <c r="L35" s="301"/>
    </row>
    <row r="36" spans="1:12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IF($L$37&lt;&gt;"",SUMPRODUCT(--(TRIM(K13:K34)&lt;&gt;"")),0)</f>
        <v>0</v>
      </c>
      <c r="L36" s="114" t="str">
        <f>IF(L37="","",IF(K36&lt;1,SUM(L13:L34),IF(K36&gt;=1,ROUNDUP(SUM(L13:L34)/2,0),"")))</f>
        <v/>
      </c>
    </row>
    <row r="37" spans="1:12" ht="20.100000000000001" customHeight="1" thickTop="1" thickBot="1" x14ac:dyDescent="0.3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44"/>
    </row>
    <row r="38" spans="1:12" ht="15.75" thickTop="1" x14ac:dyDescent="0.25"/>
  </sheetData>
  <mergeCells count="55"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14:E14"/>
    <mergeCell ref="D15:E15"/>
    <mergeCell ref="D16:E16"/>
    <mergeCell ref="D17:E17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16" s="20" customFormat="1" ht="20.100000000000001" customHeight="1" x14ac:dyDescent="0.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16" s="20" customFormat="1" ht="39.950000000000003" customHeight="1" x14ac:dyDescent="0.5">
      <c r="A3" s="452" t="s">
        <v>104</v>
      </c>
      <c r="B3" s="452"/>
      <c r="C3" s="452"/>
      <c r="D3" s="452"/>
      <c r="E3" s="452"/>
      <c r="F3" s="452"/>
      <c r="G3" s="452"/>
      <c r="H3" s="452"/>
      <c r="I3" s="452"/>
      <c r="J3" s="452"/>
      <c r="K3" s="452"/>
      <c r="L3" s="452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</row>
    <row r="7" spans="1:16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</row>
    <row r="9" spans="1:16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1" t="str">
        <f>Doku!B42</f>
        <v>Gesamt</v>
      </c>
    </row>
    <row r="12" spans="1:16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</row>
    <row r="13" spans="1:16" ht="19.899999999999999" customHeight="1" thickBot="1" x14ac:dyDescent="0.3">
      <c r="A13" s="6">
        <v>1</v>
      </c>
      <c r="B13" s="6"/>
      <c r="C13" s="47"/>
      <c r="D13" s="420" t="s">
        <v>7</v>
      </c>
      <c r="E13" s="421"/>
      <c r="F13" s="302"/>
      <c r="G13" s="303"/>
      <c r="H13" s="304"/>
      <c r="I13" s="304"/>
      <c r="J13" s="304"/>
      <c r="K13" s="305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30" t="s">
        <v>105</v>
      </c>
      <c r="D14" s="440" t="s">
        <v>90</v>
      </c>
      <c r="E14" s="369"/>
      <c r="F14" s="306"/>
      <c r="G14" s="307"/>
      <c r="H14" s="308"/>
      <c r="I14" s="308"/>
      <c r="J14" s="308"/>
      <c r="K14" s="309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31"/>
      <c r="D15" s="441" t="s">
        <v>106</v>
      </c>
      <c r="E15" s="417"/>
      <c r="F15" s="310"/>
      <c r="G15" s="311"/>
      <c r="H15" s="312"/>
      <c r="I15" s="312"/>
      <c r="J15" s="312"/>
      <c r="K15" s="313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31"/>
      <c r="D16" s="442" t="s">
        <v>107</v>
      </c>
      <c r="E16" s="361"/>
      <c r="F16" s="314"/>
      <c r="G16" s="315"/>
      <c r="H16" s="316"/>
      <c r="I16" s="316"/>
      <c r="J16" s="316"/>
      <c r="K16" s="317"/>
      <c r="L16" s="118" t="str">
        <f t="shared" si="0"/>
        <v/>
      </c>
    </row>
    <row r="17" spans="1:12" ht="19.899999999999999" customHeight="1" x14ac:dyDescent="0.25">
      <c r="A17" s="8">
        <v>5</v>
      </c>
      <c r="B17" s="7"/>
      <c r="C17" s="431"/>
      <c r="D17" s="441" t="s">
        <v>108</v>
      </c>
      <c r="E17" s="417"/>
      <c r="F17" s="310"/>
      <c r="G17" s="311"/>
      <c r="H17" s="312"/>
      <c r="I17" s="312"/>
      <c r="J17" s="312"/>
      <c r="K17" s="313"/>
      <c r="L17" s="117" t="str">
        <f t="shared" si="0"/>
        <v/>
      </c>
    </row>
    <row r="18" spans="1:12" ht="19.899999999999999" customHeight="1" x14ac:dyDescent="0.25">
      <c r="A18" s="8">
        <v>6</v>
      </c>
      <c r="B18" s="7"/>
      <c r="C18" s="431"/>
      <c r="D18" s="442" t="s">
        <v>109</v>
      </c>
      <c r="E18" s="361"/>
      <c r="F18" s="314"/>
      <c r="G18" s="315"/>
      <c r="H18" s="316"/>
      <c r="I18" s="316"/>
      <c r="J18" s="316"/>
      <c r="K18" s="317"/>
      <c r="L18" s="118" t="str">
        <f t="shared" si="0"/>
        <v/>
      </c>
    </row>
    <row r="19" spans="1:12" ht="19.899999999999999" customHeight="1" x14ac:dyDescent="0.25">
      <c r="A19" s="8">
        <v>7</v>
      </c>
      <c r="B19" s="7"/>
      <c r="C19" s="431"/>
      <c r="D19" s="441" t="s">
        <v>110</v>
      </c>
      <c r="E19" s="417"/>
      <c r="F19" s="310"/>
      <c r="G19" s="311"/>
      <c r="H19" s="312"/>
      <c r="I19" s="312"/>
      <c r="J19" s="312"/>
      <c r="K19" s="313"/>
      <c r="L19" s="117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431"/>
      <c r="D20" s="440" t="s">
        <v>111</v>
      </c>
      <c r="E20" s="369"/>
      <c r="F20" s="306"/>
      <c r="G20" s="307"/>
      <c r="H20" s="308"/>
      <c r="I20" s="308"/>
      <c r="J20" s="308"/>
      <c r="K20" s="309"/>
      <c r="L20" s="116" t="str">
        <f t="shared" si="0"/>
        <v/>
      </c>
    </row>
    <row r="21" spans="1:12" ht="19.899999999999999" customHeight="1" x14ac:dyDescent="0.25">
      <c r="A21" s="48">
        <v>9</v>
      </c>
      <c r="B21" s="48"/>
      <c r="C21" s="430" t="s">
        <v>112</v>
      </c>
      <c r="D21" s="451" t="s">
        <v>78</v>
      </c>
      <c r="E21" s="423"/>
      <c r="F21" s="318"/>
      <c r="G21" s="319"/>
      <c r="H21" s="320"/>
      <c r="I21" s="320"/>
      <c r="J21" s="320"/>
      <c r="K21" s="321"/>
      <c r="L21" s="119" t="str">
        <f t="shared" si="0"/>
        <v/>
      </c>
    </row>
    <row r="22" spans="1:12" ht="19.899999999999999" customHeight="1" x14ac:dyDescent="0.25">
      <c r="A22" s="8">
        <v>10</v>
      </c>
      <c r="B22" s="7"/>
      <c r="C22" s="431"/>
      <c r="D22" s="442" t="s">
        <v>113</v>
      </c>
      <c r="E22" s="361"/>
      <c r="F22" s="314"/>
      <c r="G22" s="315"/>
      <c r="H22" s="316"/>
      <c r="I22" s="316"/>
      <c r="J22" s="316"/>
      <c r="K22" s="317"/>
      <c r="L22" s="118" t="str">
        <f t="shared" si="0"/>
        <v/>
      </c>
    </row>
    <row r="23" spans="1:12" ht="19.899999999999999" customHeight="1" x14ac:dyDescent="0.25">
      <c r="A23" s="8">
        <v>11</v>
      </c>
      <c r="B23" s="7"/>
      <c r="C23" s="431"/>
      <c r="D23" s="441" t="s">
        <v>114</v>
      </c>
      <c r="E23" s="417"/>
      <c r="F23" s="310"/>
      <c r="G23" s="311"/>
      <c r="H23" s="312"/>
      <c r="I23" s="312"/>
      <c r="J23" s="312"/>
      <c r="K23" s="313"/>
      <c r="L23" s="117" t="str">
        <f t="shared" si="0"/>
        <v/>
      </c>
    </row>
    <row r="24" spans="1:12" ht="19.899999999999999" customHeight="1" x14ac:dyDescent="0.25">
      <c r="A24" s="37">
        <v>12</v>
      </c>
      <c r="B24" s="43"/>
      <c r="C24" s="431"/>
      <c r="D24" s="442" t="s">
        <v>115</v>
      </c>
      <c r="E24" s="361"/>
      <c r="F24" s="314"/>
      <c r="G24" s="315"/>
      <c r="H24" s="316"/>
      <c r="I24" s="316"/>
      <c r="J24" s="316"/>
      <c r="K24" s="317"/>
      <c r="L24" s="118" t="str">
        <f t="shared" si="0"/>
        <v/>
      </c>
    </row>
    <row r="25" spans="1:12" ht="19.899999999999999" customHeight="1" thickBot="1" x14ac:dyDescent="0.3">
      <c r="A25" s="9">
        <v>13</v>
      </c>
      <c r="B25" s="58"/>
      <c r="C25" s="432"/>
      <c r="D25" s="433" t="s">
        <v>116</v>
      </c>
      <c r="E25" s="425"/>
      <c r="F25" s="322"/>
      <c r="G25" s="323"/>
      <c r="H25" s="324"/>
      <c r="I25" s="324"/>
      <c r="J25" s="324"/>
      <c r="K25" s="325"/>
      <c r="L25" s="120" t="str">
        <f t="shared" si="0"/>
        <v/>
      </c>
    </row>
    <row r="26" spans="1:12" ht="19.899999999999999" customHeight="1" x14ac:dyDescent="0.25">
      <c r="A26" s="38">
        <v>14</v>
      </c>
      <c r="B26" s="43"/>
      <c r="C26" s="431" t="s">
        <v>95</v>
      </c>
      <c r="D26" s="438" t="s">
        <v>91</v>
      </c>
      <c r="E26" s="439"/>
      <c r="F26" s="326"/>
      <c r="G26" s="327"/>
      <c r="H26" s="328"/>
      <c r="I26" s="328"/>
      <c r="J26" s="328"/>
      <c r="K26" s="329"/>
      <c r="L26" s="121" t="str">
        <f t="shared" si="0"/>
        <v/>
      </c>
    </row>
    <row r="27" spans="1:12" ht="19.899999999999999" customHeight="1" x14ac:dyDescent="0.25">
      <c r="A27" s="37">
        <v>15</v>
      </c>
      <c r="B27" s="43"/>
      <c r="C27" s="431"/>
      <c r="D27" s="442" t="s">
        <v>117</v>
      </c>
      <c r="E27" s="361"/>
      <c r="F27" s="314"/>
      <c r="G27" s="315"/>
      <c r="H27" s="316"/>
      <c r="I27" s="316"/>
      <c r="J27" s="316"/>
      <c r="K27" s="317"/>
      <c r="L27" s="118" t="str">
        <f t="shared" si="0"/>
        <v/>
      </c>
    </row>
    <row r="28" spans="1:12" ht="19.899999999999999" customHeight="1" thickBot="1" x14ac:dyDescent="0.3">
      <c r="A28" s="9">
        <v>16</v>
      </c>
      <c r="B28" s="58"/>
      <c r="C28" s="432"/>
      <c r="D28" s="433" t="s">
        <v>118</v>
      </c>
      <c r="E28" s="425"/>
      <c r="F28" s="322"/>
      <c r="G28" s="323"/>
      <c r="H28" s="324"/>
      <c r="I28" s="324"/>
      <c r="J28" s="324"/>
      <c r="K28" s="325"/>
      <c r="L28" s="120" t="str">
        <f t="shared" si="0"/>
        <v/>
      </c>
    </row>
    <row r="29" spans="1:12" ht="19.899999999999999" customHeight="1" x14ac:dyDescent="0.25">
      <c r="A29" s="38">
        <v>17</v>
      </c>
      <c r="B29" s="43"/>
      <c r="C29" s="431" t="s">
        <v>119</v>
      </c>
      <c r="D29" s="438" t="s">
        <v>120</v>
      </c>
      <c r="E29" s="439"/>
      <c r="F29" s="326"/>
      <c r="G29" s="327"/>
      <c r="H29" s="328"/>
      <c r="I29" s="328"/>
      <c r="J29" s="328"/>
      <c r="K29" s="329"/>
      <c r="L29" s="121" t="str">
        <f t="shared" si="0"/>
        <v/>
      </c>
    </row>
    <row r="30" spans="1:12" ht="19.899999999999999" customHeight="1" x14ac:dyDescent="0.25">
      <c r="A30" s="37">
        <v>18</v>
      </c>
      <c r="B30" s="43"/>
      <c r="C30" s="431"/>
      <c r="D30" s="442" t="s">
        <v>121</v>
      </c>
      <c r="E30" s="361"/>
      <c r="F30" s="314"/>
      <c r="G30" s="315"/>
      <c r="H30" s="316"/>
      <c r="I30" s="316"/>
      <c r="J30" s="316"/>
      <c r="K30" s="317"/>
      <c r="L30" s="118" t="str">
        <f t="shared" si="0"/>
        <v/>
      </c>
    </row>
    <row r="31" spans="1:12" ht="19.899999999999999" customHeight="1" thickBot="1" x14ac:dyDescent="0.3">
      <c r="A31" s="9">
        <v>19</v>
      </c>
      <c r="B31" s="58"/>
      <c r="C31" s="432"/>
      <c r="D31" s="433" t="s">
        <v>122</v>
      </c>
      <c r="E31" s="425"/>
      <c r="F31" s="322"/>
      <c r="G31" s="323"/>
      <c r="H31" s="324"/>
      <c r="I31" s="324"/>
      <c r="J31" s="324"/>
      <c r="K31" s="325"/>
      <c r="L31" s="120" t="str">
        <f t="shared" si="0"/>
        <v/>
      </c>
    </row>
    <row r="32" spans="1:12" ht="19.899999999999999" customHeight="1" x14ac:dyDescent="0.25">
      <c r="A32" s="38">
        <v>20</v>
      </c>
      <c r="B32" s="43"/>
      <c r="C32" s="431" t="s">
        <v>123</v>
      </c>
      <c r="D32" s="438" t="s">
        <v>124</v>
      </c>
      <c r="E32" s="439"/>
      <c r="F32" s="326"/>
      <c r="G32" s="327"/>
      <c r="H32" s="328"/>
      <c r="I32" s="328"/>
      <c r="J32" s="328"/>
      <c r="K32" s="329"/>
      <c r="L32" s="121" t="str">
        <f t="shared" si="0"/>
        <v/>
      </c>
    </row>
    <row r="33" spans="1:12" ht="19.899999999999999" customHeight="1" x14ac:dyDescent="0.25">
      <c r="A33" s="37">
        <v>21</v>
      </c>
      <c r="B33" s="43"/>
      <c r="C33" s="431"/>
      <c r="D33" s="442" t="s">
        <v>125</v>
      </c>
      <c r="E33" s="361"/>
      <c r="F33" s="314"/>
      <c r="G33" s="315"/>
      <c r="H33" s="316"/>
      <c r="I33" s="316"/>
      <c r="J33" s="316"/>
      <c r="K33" s="317"/>
      <c r="L33" s="118" t="str">
        <f t="shared" si="0"/>
        <v/>
      </c>
    </row>
    <row r="34" spans="1:12" ht="19.899999999999999" customHeight="1" thickBot="1" x14ac:dyDescent="0.3">
      <c r="A34" s="9">
        <v>22</v>
      </c>
      <c r="B34" s="58"/>
      <c r="C34" s="432"/>
      <c r="D34" s="433" t="s">
        <v>126</v>
      </c>
      <c r="E34" s="425"/>
      <c r="F34" s="322"/>
      <c r="G34" s="323"/>
      <c r="H34" s="324"/>
      <c r="I34" s="324"/>
      <c r="J34" s="324"/>
      <c r="K34" s="325"/>
      <c r="L34" s="120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49" t="s">
        <v>28</v>
      </c>
      <c r="E35" s="450"/>
      <c r="F35" s="330"/>
      <c r="G35" s="331"/>
      <c r="H35" s="332"/>
      <c r="I35" s="332"/>
      <c r="J35" s="332"/>
      <c r="K35" s="333"/>
      <c r="L35" s="122" t="str">
        <f t="shared" si="0"/>
        <v/>
      </c>
    </row>
    <row r="36" spans="1:12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2" s="51" customFormat="1" ht="20.100000000000001" customHeight="1" thickTop="1" thickBot="1" x14ac:dyDescent="0.35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7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92"/>
      <c r="K1" s="90"/>
      <c r="L1" s="90"/>
    </row>
    <row r="2" spans="1:16" s="20" customFormat="1" ht="20.100000000000001" customHeight="1" x14ac:dyDescent="0.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16" s="20" customFormat="1" ht="39.950000000000003" customHeight="1" x14ac:dyDescent="0.5">
      <c r="A3" s="453" t="s">
        <v>127</v>
      </c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398" t="str">
        <f>Doku!B32&amp;":"</f>
        <v>Paar Nr:</v>
      </c>
      <c r="K5" s="398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</row>
    <row r="7" spans="1:16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</row>
    <row r="9" spans="1:16" ht="21.95" customHeight="1" thickBot="1" x14ac:dyDescent="0.55000000000000004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1" t="str">
        <f>Doku!B42</f>
        <v>Gesamt</v>
      </c>
    </row>
    <row r="12" spans="1:16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</row>
    <row r="13" spans="1:16" ht="19.899999999999999" customHeight="1" thickBot="1" x14ac:dyDescent="0.3">
      <c r="A13" s="6">
        <v>1</v>
      </c>
      <c r="B13" s="6"/>
      <c r="C13" s="47"/>
      <c r="D13" s="420" t="s">
        <v>7</v>
      </c>
      <c r="E13" s="421"/>
      <c r="F13" s="302"/>
      <c r="G13" s="303"/>
      <c r="H13" s="304"/>
      <c r="I13" s="304"/>
      <c r="J13" s="304"/>
      <c r="K13" s="305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430" t="s">
        <v>128</v>
      </c>
      <c r="D14" s="440" t="s">
        <v>129</v>
      </c>
      <c r="E14" s="369"/>
      <c r="F14" s="306"/>
      <c r="G14" s="307"/>
      <c r="H14" s="308"/>
      <c r="I14" s="308"/>
      <c r="J14" s="308"/>
      <c r="K14" s="309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431"/>
      <c r="D15" s="441" t="s">
        <v>130</v>
      </c>
      <c r="E15" s="417"/>
      <c r="F15" s="310"/>
      <c r="G15" s="311"/>
      <c r="H15" s="312"/>
      <c r="I15" s="312"/>
      <c r="J15" s="312"/>
      <c r="K15" s="313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31"/>
      <c r="D16" s="442" t="s">
        <v>131</v>
      </c>
      <c r="E16" s="361"/>
      <c r="F16" s="314"/>
      <c r="G16" s="315"/>
      <c r="H16" s="316"/>
      <c r="I16" s="316"/>
      <c r="J16" s="316"/>
      <c r="K16" s="317"/>
      <c r="L16" s="118" t="str">
        <f t="shared" si="0"/>
        <v/>
      </c>
      <c r="N16" s="54"/>
    </row>
    <row r="17" spans="1:14" ht="19.899999999999999" customHeight="1" x14ac:dyDescent="0.25">
      <c r="A17" s="37">
        <v>5</v>
      </c>
      <c r="B17" s="43"/>
      <c r="C17" s="431"/>
      <c r="D17" s="441" t="s">
        <v>132</v>
      </c>
      <c r="E17" s="417"/>
      <c r="F17" s="310"/>
      <c r="G17" s="311"/>
      <c r="H17" s="312"/>
      <c r="I17" s="312"/>
      <c r="J17" s="312"/>
      <c r="K17" s="313"/>
      <c r="L17" s="117" t="str">
        <f t="shared" si="0"/>
        <v/>
      </c>
      <c r="N17" s="54"/>
    </row>
    <row r="18" spans="1:14" ht="19.899999999999999" customHeight="1" x14ac:dyDescent="0.25">
      <c r="A18" s="37">
        <v>6</v>
      </c>
      <c r="B18" s="43"/>
      <c r="C18" s="431"/>
      <c r="D18" s="442" t="s">
        <v>133</v>
      </c>
      <c r="E18" s="361"/>
      <c r="F18" s="314"/>
      <c r="G18" s="315"/>
      <c r="H18" s="316"/>
      <c r="I18" s="316"/>
      <c r="J18" s="316"/>
      <c r="K18" s="317"/>
      <c r="L18" s="118" t="str">
        <f t="shared" si="0"/>
        <v/>
      </c>
      <c r="N18" s="54"/>
    </row>
    <row r="19" spans="1:14" ht="19.899999999999999" customHeight="1" x14ac:dyDescent="0.25">
      <c r="A19" s="37">
        <v>7</v>
      </c>
      <c r="B19" s="43"/>
      <c r="C19" s="431"/>
      <c r="D19" s="441" t="s">
        <v>134</v>
      </c>
      <c r="E19" s="417"/>
      <c r="F19" s="310"/>
      <c r="G19" s="311"/>
      <c r="H19" s="312"/>
      <c r="I19" s="312"/>
      <c r="J19" s="312"/>
      <c r="K19" s="313"/>
      <c r="L19" s="117" t="str">
        <f t="shared" si="0"/>
        <v/>
      </c>
      <c r="N19" s="54"/>
    </row>
    <row r="20" spans="1:14" ht="19.899999999999999" customHeight="1" x14ac:dyDescent="0.25">
      <c r="A20" s="37">
        <v>8</v>
      </c>
      <c r="B20" s="43"/>
      <c r="C20" s="431"/>
      <c r="D20" s="442" t="s">
        <v>135</v>
      </c>
      <c r="E20" s="361"/>
      <c r="F20" s="314"/>
      <c r="G20" s="315"/>
      <c r="H20" s="316"/>
      <c r="I20" s="316"/>
      <c r="J20" s="316"/>
      <c r="K20" s="317"/>
      <c r="L20" s="118" t="str">
        <f t="shared" si="0"/>
        <v/>
      </c>
      <c r="N20" s="54"/>
    </row>
    <row r="21" spans="1:14" ht="19.899999999999999" customHeight="1" x14ac:dyDescent="0.25">
      <c r="A21" s="37">
        <v>9</v>
      </c>
      <c r="B21" s="43"/>
      <c r="C21" s="431"/>
      <c r="D21" s="441" t="s">
        <v>136</v>
      </c>
      <c r="E21" s="417"/>
      <c r="F21" s="310"/>
      <c r="G21" s="311"/>
      <c r="H21" s="312"/>
      <c r="I21" s="312"/>
      <c r="J21" s="312"/>
      <c r="K21" s="313"/>
      <c r="L21" s="117" t="str">
        <f t="shared" si="0"/>
        <v/>
      </c>
      <c r="N21" s="54"/>
    </row>
    <row r="22" spans="1:14" ht="19.899999999999999" customHeight="1" x14ac:dyDescent="0.25">
      <c r="A22" s="37">
        <v>10</v>
      </c>
      <c r="B22" s="43"/>
      <c r="C22" s="431"/>
      <c r="D22" s="442" t="s">
        <v>137</v>
      </c>
      <c r="E22" s="361"/>
      <c r="F22" s="314"/>
      <c r="G22" s="315"/>
      <c r="H22" s="316"/>
      <c r="I22" s="316"/>
      <c r="J22" s="316"/>
      <c r="K22" s="317"/>
      <c r="L22" s="118" t="str">
        <f t="shared" si="0"/>
        <v/>
      </c>
      <c r="N22" s="54"/>
    </row>
    <row r="23" spans="1:14" ht="19.899999999999999" customHeight="1" x14ac:dyDescent="0.25">
      <c r="A23" s="37">
        <v>11</v>
      </c>
      <c r="B23" s="43"/>
      <c r="C23" s="431"/>
      <c r="D23" s="441" t="s">
        <v>138</v>
      </c>
      <c r="E23" s="417"/>
      <c r="F23" s="310"/>
      <c r="G23" s="311"/>
      <c r="H23" s="312"/>
      <c r="I23" s="312"/>
      <c r="J23" s="312"/>
      <c r="K23" s="313"/>
      <c r="L23" s="117" t="str">
        <f t="shared" si="0"/>
        <v/>
      </c>
      <c r="N23" s="54"/>
    </row>
    <row r="24" spans="1:14" ht="19.899999999999999" customHeight="1" x14ac:dyDescent="0.25">
      <c r="A24" s="37">
        <v>12</v>
      </c>
      <c r="B24" s="43"/>
      <c r="C24" s="431"/>
      <c r="D24" s="442" t="s">
        <v>139</v>
      </c>
      <c r="E24" s="361"/>
      <c r="F24" s="314"/>
      <c r="G24" s="315"/>
      <c r="H24" s="316"/>
      <c r="I24" s="316"/>
      <c r="J24" s="316"/>
      <c r="K24" s="317"/>
      <c r="L24" s="118" t="str">
        <f t="shared" si="0"/>
        <v/>
      </c>
      <c r="N24" s="54"/>
    </row>
    <row r="25" spans="1:14" ht="19.899999999999999" customHeight="1" x14ac:dyDescent="0.25">
      <c r="A25" s="37">
        <v>13</v>
      </c>
      <c r="B25" s="43"/>
      <c r="C25" s="431"/>
      <c r="D25" s="441" t="s">
        <v>140</v>
      </c>
      <c r="E25" s="417"/>
      <c r="F25" s="310"/>
      <c r="G25" s="311"/>
      <c r="H25" s="312"/>
      <c r="I25" s="312"/>
      <c r="J25" s="312"/>
      <c r="K25" s="313"/>
      <c r="L25" s="117" t="str">
        <f t="shared" si="0"/>
        <v/>
      </c>
      <c r="N25" s="54"/>
    </row>
    <row r="26" spans="1:14" ht="19.899999999999999" customHeight="1" x14ac:dyDescent="0.25">
      <c r="A26" s="37">
        <v>14</v>
      </c>
      <c r="B26" s="43"/>
      <c r="C26" s="431"/>
      <c r="D26" s="442" t="s">
        <v>141</v>
      </c>
      <c r="E26" s="361"/>
      <c r="F26" s="314"/>
      <c r="G26" s="315"/>
      <c r="H26" s="316"/>
      <c r="I26" s="316"/>
      <c r="J26" s="316"/>
      <c r="K26" s="317"/>
      <c r="L26" s="118" t="str">
        <f t="shared" si="0"/>
        <v/>
      </c>
      <c r="N26" s="54"/>
    </row>
    <row r="27" spans="1:14" ht="19.899999999999999" customHeight="1" thickBot="1" x14ac:dyDescent="0.3">
      <c r="A27" s="37">
        <v>15</v>
      </c>
      <c r="B27" s="43"/>
      <c r="C27" s="432"/>
      <c r="D27" s="433" t="s">
        <v>142</v>
      </c>
      <c r="E27" s="425"/>
      <c r="F27" s="322"/>
      <c r="G27" s="323"/>
      <c r="H27" s="324"/>
      <c r="I27" s="324"/>
      <c r="J27" s="324"/>
      <c r="K27" s="325"/>
      <c r="L27" s="120" t="str">
        <f t="shared" si="0"/>
        <v/>
      </c>
      <c r="N27" s="54"/>
    </row>
    <row r="28" spans="1:14" ht="19.899999999999999" customHeight="1" x14ac:dyDescent="0.25">
      <c r="A28" s="37">
        <v>16</v>
      </c>
      <c r="B28" s="43"/>
      <c r="C28" s="431" t="s">
        <v>143</v>
      </c>
      <c r="D28" s="440" t="s">
        <v>144</v>
      </c>
      <c r="E28" s="369"/>
      <c r="F28" s="306"/>
      <c r="G28" s="307"/>
      <c r="H28" s="308"/>
      <c r="I28" s="308"/>
      <c r="J28" s="308"/>
      <c r="K28" s="309"/>
      <c r="L28" s="116" t="str">
        <f t="shared" si="0"/>
        <v/>
      </c>
      <c r="N28" s="54"/>
    </row>
    <row r="29" spans="1:14" ht="19.899999999999999" customHeight="1" x14ac:dyDescent="0.25">
      <c r="A29" s="37">
        <v>17</v>
      </c>
      <c r="B29" s="43"/>
      <c r="C29" s="431"/>
      <c r="D29" s="441" t="s">
        <v>145</v>
      </c>
      <c r="E29" s="417"/>
      <c r="F29" s="310"/>
      <c r="G29" s="311"/>
      <c r="H29" s="312"/>
      <c r="I29" s="312"/>
      <c r="J29" s="312"/>
      <c r="K29" s="313"/>
      <c r="L29" s="117" t="str">
        <f t="shared" si="0"/>
        <v/>
      </c>
      <c r="N29" s="54"/>
    </row>
    <row r="30" spans="1:14" ht="19.899999999999999" customHeight="1" x14ac:dyDescent="0.25">
      <c r="A30" s="37">
        <v>18</v>
      </c>
      <c r="B30" s="43"/>
      <c r="C30" s="431"/>
      <c r="D30" s="442" t="s">
        <v>146</v>
      </c>
      <c r="E30" s="361"/>
      <c r="F30" s="314"/>
      <c r="G30" s="315"/>
      <c r="H30" s="316"/>
      <c r="I30" s="316"/>
      <c r="J30" s="316"/>
      <c r="K30" s="317"/>
      <c r="L30" s="118" t="str">
        <f t="shared" si="0"/>
        <v/>
      </c>
      <c r="N30" s="54"/>
    </row>
    <row r="31" spans="1:14" ht="19.899999999999999" customHeight="1" x14ac:dyDescent="0.25">
      <c r="A31" s="37">
        <v>19</v>
      </c>
      <c r="B31" s="43"/>
      <c r="C31" s="431"/>
      <c r="D31" s="441" t="s">
        <v>147</v>
      </c>
      <c r="E31" s="417"/>
      <c r="F31" s="310"/>
      <c r="G31" s="311"/>
      <c r="H31" s="312"/>
      <c r="I31" s="312"/>
      <c r="J31" s="312"/>
      <c r="K31" s="313"/>
      <c r="L31" s="117" t="str">
        <f t="shared" si="0"/>
        <v/>
      </c>
      <c r="N31" s="54"/>
    </row>
    <row r="32" spans="1:14" ht="19.899999999999999" customHeight="1" x14ac:dyDescent="0.25">
      <c r="A32" s="37">
        <v>20</v>
      </c>
      <c r="B32" s="43"/>
      <c r="C32" s="431"/>
      <c r="D32" s="442" t="s">
        <v>148</v>
      </c>
      <c r="E32" s="361"/>
      <c r="F32" s="314"/>
      <c r="G32" s="315"/>
      <c r="H32" s="316"/>
      <c r="I32" s="316"/>
      <c r="J32" s="316"/>
      <c r="K32" s="317"/>
      <c r="L32" s="118" t="str">
        <f t="shared" si="0"/>
        <v/>
      </c>
      <c r="N32" s="54"/>
    </row>
    <row r="33" spans="1:14" ht="19.899999999999999" customHeight="1" x14ac:dyDescent="0.25">
      <c r="A33" s="37">
        <v>21</v>
      </c>
      <c r="B33" s="43"/>
      <c r="C33" s="431"/>
      <c r="D33" s="441" t="s">
        <v>149</v>
      </c>
      <c r="E33" s="417"/>
      <c r="F33" s="310"/>
      <c r="G33" s="311"/>
      <c r="H33" s="312"/>
      <c r="I33" s="312"/>
      <c r="J33" s="312"/>
      <c r="K33" s="313"/>
      <c r="L33" s="117" t="str">
        <f t="shared" si="0"/>
        <v/>
      </c>
      <c r="N33" s="54"/>
    </row>
    <row r="34" spans="1:14" ht="19.899999999999999" customHeight="1" thickBot="1" x14ac:dyDescent="0.3">
      <c r="A34" s="37">
        <v>22</v>
      </c>
      <c r="B34" s="43"/>
      <c r="C34" s="432"/>
      <c r="D34" s="434" t="s">
        <v>150</v>
      </c>
      <c r="E34" s="419"/>
      <c r="F34" s="334"/>
      <c r="G34" s="335"/>
      <c r="H34" s="336"/>
      <c r="I34" s="336"/>
      <c r="J34" s="336"/>
      <c r="K34" s="337"/>
      <c r="L34" s="123" t="str">
        <f t="shared" si="0"/>
        <v/>
      </c>
      <c r="N34" s="54"/>
    </row>
    <row r="35" spans="1:14" ht="19.899999999999999" customHeight="1" thickBot="1" x14ac:dyDescent="0.3">
      <c r="A35" s="6">
        <v>23</v>
      </c>
      <c r="B35" s="59"/>
      <c r="C35" s="49"/>
      <c r="D35" s="454" t="s">
        <v>28</v>
      </c>
      <c r="E35" s="455"/>
      <c r="F35" s="338"/>
      <c r="G35" s="339"/>
      <c r="H35" s="340"/>
      <c r="I35" s="340"/>
      <c r="J35" s="340"/>
      <c r="K35" s="341"/>
      <c r="L35" s="124" t="str">
        <f t="shared" si="0"/>
        <v/>
      </c>
      <c r="N35" s="54"/>
    </row>
    <row r="36" spans="1:14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344">
        <f>IF($L$37&lt;&gt;"",SUMPRODUCT(--(TRIM(F13:G29)&lt;&gt;"")),0)</f>
        <v>0</v>
      </c>
      <c r="G36" s="345" t="b">
        <f t="shared" ref="G36" si="1">IF($L$37&lt;&gt;"",COUNTIF(G13:G29,"x"))</f>
        <v>0</v>
      </c>
      <c r="H36" s="244">
        <f>IF($L$37&lt;&gt;"",SUMPRODUCT(--(TRIM(H13:H29)&lt;&gt;"")),0)</f>
        <v>0</v>
      </c>
      <c r="I36" s="244">
        <f>IF($L$37&lt;&gt;"",SUMPRODUCT(--(TRIM(I13:I29)&lt;&gt;"")),0)</f>
        <v>0</v>
      </c>
      <c r="J36" s="246">
        <f>IF($L$37&lt;&gt;"",COUNTIFS(J13:J35,"+")-COUNTIFS(J13:J35,"-"),0)*0.5</f>
        <v>0</v>
      </c>
      <c r="K36" s="245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4" s="51" customFormat="1" ht="20.100000000000001" customHeight="1" thickTop="1" thickBot="1" x14ac:dyDescent="0.35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7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>
      <selection activeCell="J5" sqref="J5:K5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2" t="str">
        <f>Doku!B28</f>
        <v>Meisterschaftsname</v>
      </c>
      <c r="F1" s="382"/>
      <c r="G1" s="382"/>
      <c r="H1" s="382"/>
      <c r="I1" s="382"/>
      <c r="J1" s="127"/>
      <c r="K1" s="90"/>
      <c r="L1" s="90"/>
    </row>
    <row r="2" spans="1:33" s="23" customFormat="1" ht="20.100000000000001" customHeight="1" x14ac:dyDescent="0.45">
      <c r="A2" s="395" t="str">
        <f>Doku!B29</f>
        <v>Ausrichter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</row>
    <row r="3" spans="1:33" s="20" customFormat="1" ht="39.950000000000003" customHeight="1" x14ac:dyDescent="0.5">
      <c r="A3" s="396" t="s">
        <v>213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3" t="str">
        <f>Doku!B31&amp;":"</f>
        <v>Bewerter:</v>
      </c>
      <c r="B5" s="383"/>
      <c r="C5" s="383"/>
      <c r="D5" s="383"/>
      <c r="E5" s="24"/>
      <c r="F5" s="16"/>
      <c r="G5" s="17" t="str">
        <f>Doku!B30&amp;":"</f>
        <v>Datum:</v>
      </c>
      <c r="H5" s="397"/>
      <c r="I5" s="397"/>
      <c r="J5" s="468" t="str">
        <f>Doku!B32&amp;":"</f>
        <v>Paar Nr:</v>
      </c>
      <c r="K5" s="468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4"/>
      <c r="I6" s="394"/>
      <c r="J6" s="394"/>
      <c r="K6" s="394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2" t="str">
        <f>Doku!B33</f>
        <v>Nachname</v>
      </c>
      <c r="E7" s="386"/>
      <c r="F7" s="384" t="str">
        <f>Doku!B34</f>
        <v>Vorname</v>
      </c>
      <c r="G7" s="385"/>
      <c r="H7" s="386"/>
      <c r="I7" s="387" t="str">
        <f>Doku!B35</f>
        <v>Verein</v>
      </c>
      <c r="J7" s="387"/>
      <c r="K7" s="387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3"/>
      <c r="E8" s="390"/>
      <c r="F8" s="388"/>
      <c r="G8" s="389"/>
      <c r="H8" s="390"/>
      <c r="I8" s="391"/>
      <c r="J8" s="391"/>
      <c r="K8" s="391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0"/>
      <c r="E9" s="381"/>
      <c r="F9" s="399"/>
      <c r="G9" s="400"/>
      <c r="H9" s="381"/>
      <c r="I9" s="370"/>
      <c r="J9" s="370"/>
      <c r="K9" s="370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2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78" t="str">
        <f>Doku!B38</f>
        <v>Kleiner Fehler</v>
      </c>
      <c r="G11" s="379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71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6" t="str">
        <f>Doku!B37</f>
        <v>Technik</v>
      </c>
      <c r="B12" s="347"/>
      <c r="C12" s="347"/>
      <c r="D12" s="347"/>
      <c r="E12" s="348"/>
      <c r="F12" s="349">
        <v>1</v>
      </c>
      <c r="G12" s="350"/>
      <c r="H12" s="79">
        <v>3</v>
      </c>
      <c r="I12" s="79">
        <v>5</v>
      </c>
      <c r="J12" s="79">
        <v>0.5</v>
      </c>
      <c r="K12" s="79">
        <v>10</v>
      </c>
      <c r="L12" s="372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56" t="s">
        <v>7</v>
      </c>
      <c r="E13" s="457"/>
      <c r="F13" s="33"/>
      <c r="G13" s="70"/>
      <c r="H13" s="80"/>
      <c r="I13" s="80"/>
      <c r="J13" s="73"/>
      <c r="K13" s="7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6" t="s">
        <v>8</v>
      </c>
      <c r="D14" s="458" t="s">
        <v>214</v>
      </c>
      <c r="E14" s="459"/>
      <c r="F14" s="28"/>
      <c r="G14" s="71"/>
      <c r="H14" s="81"/>
      <c r="I14" s="81"/>
      <c r="J14" s="74"/>
      <c r="K14" s="74"/>
      <c r="L14" s="102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57"/>
      <c r="D15" s="460" t="s">
        <v>215</v>
      </c>
      <c r="E15" s="461"/>
      <c r="F15" s="34"/>
      <c r="G15" s="72"/>
      <c r="H15" s="82"/>
      <c r="I15" s="82"/>
      <c r="J15" s="75"/>
      <c r="K15" s="75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7"/>
      <c r="D16" s="458" t="s">
        <v>216</v>
      </c>
      <c r="E16" s="459"/>
      <c r="F16" s="28"/>
      <c r="G16" s="71"/>
      <c r="H16" s="81"/>
      <c r="I16" s="81"/>
      <c r="J16" s="74"/>
      <c r="K16" s="74"/>
      <c r="L16" s="102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57"/>
      <c r="D17" s="460" t="s">
        <v>217</v>
      </c>
      <c r="E17" s="461"/>
      <c r="F17" s="34"/>
      <c r="G17" s="72"/>
      <c r="H17" s="82"/>
      <c r="I17" s="82"/>
      <c r="J17" s="75"/>
      <c r="K17" s="75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7"/>
      <c r="D18" s="458" t="s">
        <v>218</v>
      </c>
      <c r="E18" s="459"/>
      <c r="F18" s="28"/>
      <c r="G18" s="71"/>
      <c r="H18" s="81"/>
      <c r="I18" s="81"/>
      <c r="J18" s="74"/>
      <c r="K18" s="74"/>
      <c r="L18" s="102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401"/>
      <c r="D19" s="460" t="s">
        <v>219</v>
      </c>
      <c r="E19" s="461"/>
      <c r="F19" s="34"/>
      <c r="G19" s="72"/>
      <c r="H19" s="82"/>
      <c r="I19" s="82"/>
      <c r="J19" s="75"/>
      <c r="K19" s="75"/>
      <c r="L19" s="100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6" t="s">
        <v>12</v>
      </c>
      <c r="D20" s="458" t="s">
        <v>220</v>
      </c>
      <c r="E20" s="459"/>
      <c r="F20" s="28"/>
      <c r="G20" s="71"/>
      <c r="H20" s="81"/>
      <c r="I20" s="81"/>
      <c r="J20" s="74"/>
      <c r="K20" s="74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57"/>
      <c r="D21" s="460" t="s">
        <v>221</v>
      </c>
      <c r="E21" s="461"/>
      <c r="F21" s="34"/>
      <c r="G21" s="72"/>
      <c r="H21" s="82"/>
      <c r="I21" s="82"/>
      <c r="J21" s="75"/>
      <c r="K21" s="75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7"/>
      <c r="D22" s="458" t="s">
        <v>222</v>
      </c>
      <c r="E22" s="459"/>
      <c r="F22" s="28"/>
      <c r="G22" s="71"/>
      <c r="H22" s="81"/>
      <c r="I22" s="81"/>
      <c r="J22" s="74"/>
      <c r="K22" s="74"/>
      <c r="L22" s="102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57"/>
      <c r="D23" s="460" t="s">
        <v>223</v>
      </c>
      <c r="E23" s="461"/>
      <c r="F23" s="34"/>
      <c r="G23" s="72"/>
      <c r="H23" s="82"/>
      <c r="I23" s="82"/>
      <c r="J23" s="75"/>
      <c r="K23" s="75"/>
      <c r="L23" s="100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7"/>
      <c r="D24" s="458" t="s">
        <v>224</v>
      </c>
      <c r="E24" s="459"/>
      <c r="F24" s="28"/>
      <c r="G24" s="71"/>
      <c r="H24" s="81"/>
      <c r="I24" s="81"/>
      <c r="J24" s="74"/>
      <c r="K24" s="74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401"/>
      <c r="D25" s="460" t="s">
        <v>225</v>
      </c>
      <c r="E25" s="461"/>
      <c r="F25" s="34"/>
      <c r="G25" s="72"/>
      <c r="H25" s="82"/>
      <c r="I25" s="82"/>
      <c r="J25" s="75"/>
      <c r="K25" s="75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6" t="s">
        <v>16</v>
      </c>
      <c r="D26" s="458" t="s">
        <v>226</v>
      </c>
      <c r="E26" s="459"/>
      <c r="F26" s="28"/>
      <c r="G26" s="71"/>
      <c r="H26" s="81"/>
      <c r="I26" s="81"/>
      <c r="J26" s="74"/>
      <c r="K26" s="74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57"/>
      <c r="D27" s="460" t="s">
        <v>227</v>
      </c>
      <c r="E27" s="461"/>
      <c r="F27" s="34"/>
      <c r="G27" s="72"/>
      <c r="H27" s="82"/>
      <c r="I27" s="82"/>
      <c r="J27" s="75"/>
      <c r="K27" s="75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7"/>
      <c r="D28" s="458" t="s">
        <v>228</v>
      </c>
      <c r="E28" s="459"/>
      <c r="F28" s="28"/>
      <c r="G28" s="71"/>
      <c r="H28" s="81"/>
      <c r="I28" s="81"/>
      <c r="J28" s="74"/>
      <c r="K28" s="74"/>
      <c r="L28" s="10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7"/>
      <c r="D29" s="460" t="s">
        <v>229</v>
      </c>
      <c r="E29" s="461"/>
      <c r="F29" s="34"/>
      <c r="G29" s="72"/>
      <c r="H29" s="82"/>
      <c r="I29" s="82"/>
      <c r="J29" s="75"/>
      <c r="K29" s="75"/>
      <c r="L29" s="100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5">
        <v>18</v>
      </c>
      <c r="B30" s="66"/>
      <c r="C30" s="357"/>
      <c r="D30" s="458" t="s">
        <v>230</v>
      </c>
      <c r="E30" s="459"/>
      <c r="F30" s="28"/>
      <c r="G30" s="71"/>
      <c r="H30" s="81"/>
      <c r="I30" s="81"/>
      <c r="J30" s="74"/>
      <c r="K30" s="74"/>
      <c r="L30" s="10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5">
        <v>19</v>
      </c>
      <c r="B31" s="66"/>
      <c r="C31" s="401"/>
      <c r="D31" s="460" t="s">
        <v>231</v>
      </c>
      <c r="E31" s="461"/>
      <c r="F31" s="34"/>
      <c r="G31" s="72"/>
      <c r="H31" s="82"/>
      <c r="I31" s="82"/>
      <c r="J31" s="75"/>
      <c r="K31" s="75"/>
      <c r="L31" s="100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5">
        <v>20</v>
      </c>
      <c r="B32" s="66"/>
      <c r="C32" s="35"/>
      <c r="D32" s="458" t="s">
        <v>28</v>
      </c>
      <c r="E32" s="459"/>
      <c r="F32" s="28"/>
      <c r="G32" s="71"/>
      <c r="H32" s="81"/>
      <c r="I32" s="81"/>
      <c r="J32" s="74"/>
      <c r="K32" s="74"/>
      <c r="L32" s="10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462"/>
      <c r="E33" s="463"/>
      <c r="F33" s="67"/>
      <c r="G33" s="68"/>
      <c r="H33" s="83"/>
      <c r="I33" s="83"/>
      <c r="J33" s="76"/>
      <c r="K33" s="76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129"/>
      <c r="E34" s="130"/>
      <c r="F34" s="67"/>
      <c r="G34" s="68"/>
      <c r="H34" s="83"/>
      <c r="I34" s="83"/>
      <c r="J34" s="76"/>
      <c r="K34" s="76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129"/>
      <c r="E35" s="130"/>
      <c r="F35" s="67"/>
      <c r="G35" s="68"/>
      <c r="H35" s="83"/>
      <c r="I35" s="83"/>
      <c r="J35" s="76"/>
      <c r="K35" s="76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3" t="str">
        <f>Doku!B43&amp;":"</f>
        <v>Summe Fehler und Punkte:</v>
      </c>
      <c r="B36" s="354"/>
      <c r="C36" s="354"/>
      <c r="D36" s="354"/>
      <c r="E36" s="355"/>
      <c r="F36" s="464">
        <f>IF($L$37&lt;&gt;"",SUMPRODUCT(--(TRIM(F13:G32)&lt;&gt;"")),0)</f>
        <v>0</v>
      </c>
      <c r="G36" s="465" t="b">
        <f t="shared" ref="G36" si="1">IF($L$37&lt;&gt;"",COUNTIF(G13:G29,"x"))</f>
        <v>0</v>
      </c>
      <c r="H36" s="84">
        <f>IF($L$37&lt;&gt;"",SUMPRODUCT(--(TRIM(H13:H32)&lt;&gt;"")),0)</f>
        <v>0</v>
      </c>
      <c r="I36" s="84">
        <f>IF($L$37&lt;&gt;"",SUMPRODUCT(--(TRIM(I13:I32)&lt;&gt;"")),0)</f>
        <v>0</v>
      </c>
      <c r="J36" s="84">
        <f>IF($L$37&lt;&gt;"",COUNTIFS(J13:J35,"+")-COUNTIFS(J13:J35,"-"),0)*0.5</f>
        <v>0</v>
      </c>
      <c r="K36" s="77">
        <f>IF($L$37&lt;&gt;"",SUMPRODUCT(--(TRIM(K13:K32)&lt;&gt;"")),0)</f>
        <v>0</v>
      </c>
      <c r="L36" s="94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2" t="str">
        <f>Doku!B44&amp;":"</f>
        <v>Position:</v>
      </c>
      <c r="B37" s="343"/>
      <c r="C37" s="343"/>
      <c r="D37" s="343"/>
      <c r="E37" s="50"/>
      <c r="F37" s="373" t="str">
        <f>Doku!B45</f>
        <v>Übertrag ok?</v>
      </c>
      <c r="G37" s="374"/>
      <c r="H37" s="374"/>
      <c r="I37" s="374"/>
      <c r="J37" s="374"/>
      <c r="K37" s="375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8">
    <mergeCell ref="D32:E32"/>
    <mergeCell ref="D33:E33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25"/>
      <c r="AA1" s="136"/>
      <c r="AB1" s="125"/>
      <c r="AF1" s="137"/>
    </row>
    <row r="2" spans="1:32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</v>
      </c>
      <c r="E2" s="131" t="s">
        <v>10</v>
      </c>
      <c r="F2" s="131" t="s">
        <v>11</v>
      </c>
      <c r="G2" s="131" t="s">
        <v>13</v>
      </c>
      <c r="H2" s="131" t="s">
        <v>14</v>
      </c>
      <c r="I2" s="131" t="s">
        <v>15</v>
      </c>
      <c r="J2" s="131" t="s">
        <v>17</v>
      </c>
      <c r="K2" s="131" t="s">
        <v>18</v>
      </c>
      <c r="L2" s="131" t="s">
        <v>19</v>
      </c>
      <c r="M2" s="131" t="s">
        <v>21</v>
      </c>
      <c r="N2" s="131" t="s">
        <v>22</v>
      </c>
      <c r="O2" s="131" t="s">
        <v>23</v>
      </c>
      <c r="P2" s="131" t="s">
        <v>25</v>
      </c>
      <c r="Q2" s="131" t="s">
        <v>26</v>
      </c>
      <c r="R2" s="131" t="s">
        <v>27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32" t="str">
        <f>Doku!B42</f>
        <v>Gesamt</v>
      </c>
      <c r="AA2" s="139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50"/>
      <c r="T3" s="150"/>
      <c r="U3" s="150"/>
      <c r="V3" s="150"/>
      <c r="W3" s="150"/>
      <c r="X3" s="150"/>
      <c r="Y3" s="149" t="e">
        <f ca="1">SUM(Y8:Y12)-MAX(Y8:Y12)-MIN(Y8:Y12)</f>
        <v>#REF!</v>
      </c>
      <c r="Z3" s="151" t="e">
        <f ca="1">IF(SUM(AF8:AF12)&gt;0,SUM(C3:Y3)/2,SUM(C3:Y3))</f>
        <v>#REF!</v>
      </c>
      <c r="AA3" s="152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32" ht="15" customHeight="1" x14ac:dyDescent="0.2">
      <c r="A4" s="467" t="str">
        <f>Doku!B49&amp;":"</f>
        <v>Spannweite:</v>
      </c>
      <c r="B4" s="467"/>
      <c r="C4" s="154" t="e">
        <f t="shared" ref="C4:R4" ca="1" si="1">MAX(C8:C12)-MIN(C8:C12)</f>
        <v>#REF!</v>
      </c>
      <c r="D4" s="154" t="e">
        <f t="shared" ca="1" si="1"/>
        <v>#REF!</v>
      </c>
      <c r="E4" s="154" t="e">
        <f t="shared" ca="1" si="1"/>
        <v>#REF!</v>
      </c>
      <c r="F4" s="154" t="e">
        <f t="shared" ca="1" si="1"/>
        <v>#REF!</v>
      </c>
      <c r="G4" s="154" t="e">
        <f t="shared" ca="1" si="1"/>
        <v>#REF!</v>
      </c>
      <c r="H4" s="154" t="e">
        <f t="shared" ca="1" si="1"/>
        <v>#REF!</v>
      </c>
      <c r="I4" s="154" t="e">
        <f t="shared" ca="1" si="1"/>
        <v>#REF!</v>
      </c>
      <c r="J4" s="154" t="e">
        <f t="shared" ca="1" si="1"/>
        <v>#REF!</v>
      </c>
      <c r="K4" s="154" t="e">
        <f t="shared" ca="1" si="1"/>
        <v>#REF!</v>
      </c>
      <c r="L4" s="154" t="e">
        <f t="shared" ca="1" si="1"/>
        <v>#REF!</v>
      </c>
      <c r="M4" s="154" t="e">
        <f t="shared" ca="1" si="1"/>
        <v>#REF!</v>
      </c>
      <c r="N4" s="154" t="e">
        <f t="shared" ca="1" si="1"/>
        <v>#REF!</v>
      </c>
      <c r="O4" s="154" t="e">
        <f t="shared" ca="1" si="1"/>
        <v>#REF!</v>
      </c>
      <c r="P4" s="154" t="e">
        <f t="shared" ca="1" si="1"/>
        <v>#REF!</v>
      </c>
      <c r="Q4" s="154" t="e">
        <f t="shared" ca="1" si="1"/>
        <v>#REF!</v>
      </c>
      <c r="R4" s="154" t="e">
        <f t="shared" ca="1" si="1"/>
        <v>#REF!</v>
      </c>
      <c r="S4" s="155"/>
      <c r="T4" s="155"/>
      <c r="U4" s="155"/>
      <c r="V4" s="155"/>
      <c r="W4" s="155"/>
      <c r="X4" s="155"/>
      <c r="Y4" s="154" t="e">
        <f ca="1">MAX(Y8:Y12)-MIN(Y8:Y12)</f>
        <v>#REF!</v>
      </c>
      <c r="Z4" s="156" t="e">
        <f ca="1">MAX(Z8:Z12)-MIN(Z8:Z12)</f>
        <v>#REF!</v>
      </c>
      <c r="AA4" s="15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32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2">D3/3</f>
        <v>#REF!</v>
      </c>
      <c r="E5" s="154" t="e">
        <f t="shared" ca="1" si="2"/>
        <v>#REF!</v>
      </c>
      <c r="F5" s="154" t="e">
        <f t="shared" ca="1" si="2"/>
        <v>#REF!</v>
      </c>
      <c r="G5" s="154" t="e">
        <f t="shared" ca="1" si="2"/>
        <v>#REF!</v>
      </c>
      <c r="H5" s="154" t="e">
        <f t="shared" ca="1" si="2"/>
        <v>#REF!</v>
      </c>
      <c r="I5" s="154" t="e">
        <f t="shared" ca="1" si="2"/>
        <v>#REF!</v>
      </c>
      <c r="J5" s="154" t="e">
        <f t="shared" ca="1" si="2"/>
        <v>#REF!</v>
      </c>
      <c r="K5" s="154" t="e">
        <f t="shared" ca="1" si="2"/>
        <v>#REF!</v>
      </c>
      <c r="L5" s="154" t="e">
        <f t="shared" ca="1" si="2"/>
        <v>#REF!</v>
      </c>
      <c r="M5" s="154" t="e">
        <f t="shared" ca="1" si="2"/>
        <v>#REF!</v>
      </c>
      <c r="N5" s="154" t="e">
        <f t="shared" ca="1" si="2"/>
        <v>#REF!</v>
      </c>
      <c r="O5" s="154" t="e">
        <f t="shared" ca="1" si="2"/>
        <v>#REF!</v>
      </c>
      <c r="P5" s="154" t="e">
        <f t="shared" ca="1" si="2"/>
        <v>#REF!</v>
      </c>
      <c r="Q5" s="154" t="e">
        <f t="shared" ca="1" si="2"/>
        <v>#REF!</v>
      </c>
      <c r="R5" s="154" t="e">
        <f t="shared" ca="1" si="2"/>
        <v>#REF!</v>
      </c>
      <c r="S5" s="154"/>
      <c r="T5" s="154"/>
      <c r="U5" s="154"/>
      <c r="V5" s="154"/>
      <c r="W5" s="154"/>
      <c r="X5" s="154"/>
      <c r="Y5" s="154" t="e">
        <f t="shared" ca="1" si="2"/>
        <v>#REF!</v>
      </c>
      <c r="Z5" s="156" t="e">
        <f t="shared" ca="1" si="2"/>
        <v>#REF!</v>
      </c>
      <c r="AA5" s="159"/>
      <c r="AB5" s="158" t="e">
        <f t="shared" ref="AB5:AF5" ca="1" si="3">AVERAGE(AB8:AB12)</f>
        <v>#REF!</v>
      </c>
      <c r="AC5" s="158" t="e">
        <f t="shared" ca="1" si="3"/>
        <v>#REF!</v>
      </c>
      <c r="AD5" s="158" t="e">
        <f t="shared" ca="1" si="3"/>
        <v>#REF!</v>
      </c>
      <c r="AE5" s="154" t="e">
        <f t="shared" ref="AE5" ca="1" si="4">AVERAGE(AE8:AE12)</f>
        <v>#REF!</v>
      </c>
      <c r="AF5" s="158" t="e">
        <f t="shared" ca="1" si="3"/>
        <v>#REF!</v>
      </c>
    </row>
    <row r="6" spans="1:32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5"/>
      <c r="T6" s="155"/>
      <c r="U6" s="155"/>
      <c r="V6" s="155"/>
      <c r="W6" s="155"/>
      <c r="X6" s="155"/>
      <c r="Y6" s="154"/>
      <c r="Z6" s="160"/>
      <c r="AA6" s="161"/>
      <c r="AB6" s="162"/>
      <c r="AC6" s="162"/>
      <c r="AD6" s="162"/>
      <c r="AE6" s="154"/>
      <c r="AF6" s="162"/>
    </row>
    <row r="7" spans="1:32" ht="15" customHeight="1" x14ac:dyDescent="0.2">
      <c r="A7" s="140"/>
      <c r="B7" s="140" t="e">
        <f t="shared" ref="B7:B16" ca="1" si="5">INDIRECT("'"&amp;$A7&amp;"'!E5")</f>
        <v>#REF!</v>
      </c>
      <c r="C7" s="163" t="e">
        <f t="shared" ref="C7:C13" ca="1" si="6">INDIRECT("'"&amp;$A7&amp;"'!L13")</f>
        <v>#REF!</v>
      </c>
      <c r="D7" s="163" t="e">
        <f t="shared" ref="D7:D13" ca="1" si="7">INDIRECT("'"&amp;$A7&amp;"'!L14")</f>
        <v>#REF!</v>
      </c>
      <c r="E7" s="163" t="e">
        <f t="shared" ref="E7:E13" ca="1" si="8">INDIRECT("'"&amp;$A7&amp;"'!L15")</f>
        <v>#REF!</v>
      </c>
      <c r="F7" s="163" t="e">
        <f t="shared" ref="F7:F13" ca="1" si="9">INDIRECT("'"&amp;$A7&amp;"'!L16")</f>
        <v>#REF!</v>
      </c>
      <c r="G7" s="163" t="e">
        <f t="shared" ref="G7:G13" ca="1" si="10">INDIRECT("'"&amp;$A7&amp;"'!L17")</f>
        <v>#REF!</v>
      </c>
      <c r="H7" s="163" t="e">
        <f t="shared" ref="H7:H13" ca="1" si="11">INDIRECT("'"&amp;$A7&amp;"'!L18")</f>
        <v>#REF!</v>
      </c>
      <c r="I7" s="163" t="e">
        <f t="shared" ref="I7:I13" ca="1" si="12">INDIRECT("'"&amp;$A7&amp;"'!L19")</f>
        <v>#REF!</v>
      </c>
      <c r="J7" s="163" t="e">
        <f t="shared" ref="J7:J13" ca="1" si="13">INDIRECT("'"&amp;$A7&amp;"'!L20")</f>
        <v>#REF!</v>
      </c>
      <c r="K7" s="163" t="e">
        <f t="shared" ref="K7:K13" ca="1" si="14">INDIRECT("'"&amp;$A7&amp;"'!L21")</f>
        <v>#REF!</v>
      </c>
      <c r="L7" s="163" t="e">
        <f t="shared" ref="L7:L13" ca="1" si="15">INDIRECT("'"&amp;$A7&amp;"'!L22")</f>
        <v>#REF!</v>
      </c>
      <c r="M7" s="163" t="e">
        <f t="shared" ref="M7:M13" ca="1" si="16">INDIRECT("'"&amp;$A7&amp;"'!L23")</f>
        <v>#REF!</v>
      </c>
      <c r="N7" s="163" t="e">
        <f t="shared" ref="N7:N13" ca="1" si="17">INDIRECT("'"&amp;$A7&amp;"'!L24")</f>
        <v>#REF!</v>
      </c>
      <c r="O7" s="163" t="e">
        <f t="shared" ref="O7:O13" ca="1" si="18">INDIRECT("'"&amp;$A7&amp;"'!L25")</f>
        <v>#REF!</v>
      </c>
      <c r="P7" s="163" t="e">
        <f t="shared" ref="P7:P13" ca="1" si="19">INDIRECT("'"&amp;$A7&amp;"'!L26")</f>
        <v>#REF!</v>
      </c>
      <c r="Q7" s="163" t="e">
        <f t="shared" ref="Q7:Q13" ca="1" si="20">INDIRECT("'"&amp;$A7&amp;"'!L27")</f>
        <v>#REF!</v>
      </c>
      <c r="R7" s="163" t="e">
        <f t="shared" ref="R7:R13" ca="1" si="21">INDIRECT("'"&amp;$A7&amp;"'!L28")</f>
        <v>#REF!</v>
      </c>
      <c r="S7" s="163"/>
      <c r="T7" s="163"/>
      <c r="U7" s="163"/>
      <c r="V7" s="163"/>
      <c r="W7" s="163"/>
      <c r="X7" s="163"/>
      <c r="Y7" s="163" t="e">
        <f t="shared" ref="Y7:Y13" ca="1" si="22">INDIRECT("'"&amp;$A7&amp;"'!L29")</f>
        <v>#REF!</v>
      </c>
      <c r="Z7" s="164" t="e">
        <f t="shared" ref="Z7:Z13" ca="1" si="23">INDIRECT("'"&amp;$A7&amp;"'!L36")</f>
        <v>#REF!</v>
      </c>
      <c r="AA7" s="165"/>
      <c r="AB7" s="164" t="e">
        <f t="shared" ref="AB7:AB16" ca="1" si="24">INDIRECT("'"&amp;$A7&amp;"'!F36")</f>
        <v>#REF!</v>
      </c>
      <c r="AC7" s="164" t="e">
        <f t="shared" ref="AC7:AC16" ca="1" si="25">INDIRECT("'"&amp;$A7&amp;"'!H36")</f>
        <v>#REF!</v>
      </c>
      <c r="AD7" s="164" t="e">
        <f t="shared" ref="AD7:AD16" ca="1" si="26">INDIRECT("'"&amp;$A7&amp;"'!I36")</f>
        <v>#REF!</v>
      </c>
      <c r="AE7" s="163" t="e">
        <f t="shared" ref="AE7:AE13" ca="1" si="27">INDIRECT("'"&amp;$A7&amp;"'!J36")</f>
        <v>#REF!</v>
      </c>
      <c r="AF7" s="164" t="e">
        <f t="shared" ref="AF7:AF13" ca="1" si="28">INDIRECT("'"&amp;$A7&amp;"'!K36")</f>
        <v>#REF!</v>
      </c>
    </row>
    <row r="8" spans="1:32" ht="15" customHeight="1" x14ac:dyDescent="0.2">
      <c r="A8" s="141"/>
      <c r="B8" s="141" t="e">
        <f t="shared" ca="1" si="5"/>
        <v>#REF!</v>
      </c>
      <c r="C8" s="148" t="e">
        <f t="shared" ca="1" si="6"/>
        <v>#REF!</v>
      </c>
      <c r="D8" s="148" t="e">
        <f t="shared" ca="1" si="7"/>
        <v>#REF!</v>
      </c>
      <c r="E8" s="148" t="e">
        <f t="shared" ca="1" si="8"/>
        <v>#REF!</v>
      </c>
      <c r="F8" s="148" t="e">
        <f t="shared" ca="1" si="9"/>
        <v>#REF!</v>
      </c>
      <c r="G8" s="148" t="e">
        <f t="shared" ca="1" si="10"/>
        <v>#REF!</v>
      </c>
      <c r="H8" s="148" t="e">
        <f t="shared" ca="1" si="11"/>
        <v>#REF!</v>
      </c>
      <c r="I8" s="148" t="e">
        <f t="shared" ca="1" si="12"/>
        <v>#REF!</v>
      </c>
      <c r="J8" s="148" t="e">
        <f t="shared" ca="1" si="13"/>
        <v>#REF!</v>
      </c>
      <c r="K8" s="148" t="e">
        <f t="shared" ca="1" si="14"/>
        <v>#REF!</v>
      </c>
      <c r="L8" s="148" t="e">
        <f t="shared" ca="1" si="15"/>
        <v>#REF!</v>
      </c>
      <c r="M8" s="148" t="e">
        <f t="shared" ca="1" si="16"/>
        <v>#REF!</v>
      </c>
      <c r="N8" s="148" t="e">
        <f t="shared" ca="1" si="17"/>
        <v>#REF!</v>
      </c>
      <c r="O8" s="148" t="e">
        <f t="shared" ca="1" si="18"/>
        <v>#REF!</v>
      </c>
      <c r="P8" s="148" t="e">
        <f t="shared" ca="1" si="19"/>
        <v>#REF!</v>
      </c>
      <c r="Q8" s="148" t="e">
        <f t="shared" ca="1" si="20"/>
        <v>#REF!</v>
      </c>
      <c r="R8" s="148" t="e">
        <f t="shared" ca="1" si="21"/>
        <v>#REF!</v>
      </c>
      <c r="S8" s="148"/>
      <c r="T8" s="148"/>
      <c r="U8" s="148"/>
      <c r="V8" s="148"/>
      <c r="W8" s="148"/>
      <c r="X8" s="148"/>
      <c r="Y8" s="148" t="e">
        <f t="shared" ca="1" si="22"/>
        <v>#REF!</v>
      </c>
      <c r="Z8" s="166" t="e">
        <f t="shared" ca="1" si="23"/>
        <v>#REF!</v>
      </c>
      <c r="AA8" s="167" t="e">
        <f ca="1">SUM(C22:Y22)/COUNT(C8:Y8)</f>
        <v>#REF!</v>
      </c>
      <c r="AB8" s="168" t="e">
        <f t="shared" ca="1" si="24"/>
        <v>#REF!</v>
      </c>
      <c r="AC8" s="168" t="e">
        <f t="shared" ca="1" si="25"/>
        <v>#REF!</v>
      </c>
      <c r="AD8" s="168" t="e">
        <f t="shared" ca="1" si="26"/>
        <v>#REF!</v>
      </c>
      <c r="AE8" s="169" t="e">
        <f t="shared" ca="1" si="27"/>
        <v>#REF!</v>
      </c>
      <c r="AF8" s="168" t="e">
        <f t="shared" ca="1" si="28"/>
        <v>#REF!</v>
      </c>
    </row>
    <row r="9" spans="1:32" ht="15" customHeight="1" x14ac:dyDescent="0.2">
      <c r="A9" s="141"/>
      <c r="B9" s="141" t="e">
        <f t="shared" ca="1" si="5"/>
        <v>#REF!</v>
      </c>
      <c r="C9" s="169" t="e">
        <f t="shared" ca="1" si="6"/>
        <v>#REF!</v>
      </c>
      <c r="D9" s="169" t="e">
        <f t="shared" ca="1" si="7"/>
        <v>#REF!</v>
      </c>
      <c r="E9" s="169" t="e">
        <f t="shared" ca="1" si="8"/>
        <v>#REF!</v>
      </c>
      <c r="F9" s="169" t="e">
        <f t="shared" ca="1" si="9"/>
        <v>#REF!</v>
      </c>
      <c r="G9" s="169" t="e">
        <f t="shared" ca="1" si="10"/>
        <v>#REF!</v>
      </c>
      <c r="H9" s="169" t="e">
        <f t="shared" ca="1" si="11"/>
        <v>#REF!</v>
      </c>
      <c r="I9" s="169" t="e">
        <f t="shared" ca="1" si="12"/>
        <v>#REF!</v>
      </c>
      <c r="J9" s="169" t="e">
        <f t="shared" ca="1" si="13"/>
        <v>#REF!</v>
      </c>
      <c r="K9" s="169" t="e">
        <f t="shared" ca="1" si="14"/>
        <v>#REF!</v>
      </c>
      <c r="L9" s="169" t="e">
        <f t="shared" ca="1" si="15"/>
        <v>#REF!</v>
      </c>
      <c r="M9" s="169" t="e">
        <f t="shared" ca="1" si="16"/>
        <v>#REF!</v>
      </c>
      <c r="N9" s="169" t="e">
        <f t="shared" ca="1" si="17"/>
        <v>#REF!</v>
      </c>
      <c r="O9" s="169" t="e">
        <f t="shared" ca="1" si="18"/>
        <v>#REF!</v>
      </c>
      <c r="P9" s="169" t="e">
        <f t="shared" ca="1" si="19"/>
        <v>#REF!</v>
      </c>
      <c r="Q9" s="169" t="e">
        <f t="shared" ca="1" si="20"/>
        <v>#REF!</v>
      </c>
      <c r="R9" s="169" t="e">
        <f t="shared" ca="1" si="21"/>
        <v>#REF!</v>
      </c>
      <c r="S9" s="169"/>
      <c r="T9" s="169"/>
      <c r="U9" s="169"/>
      <c r="V9" s="169"/>
      <c r="W9" s="169"/>
      <c r="X9" s="169"/>
      <c r="Y9" s="169" t="e">
        <f t="shared" ca="1" si="22"/>
        <v>#REF!</v>
      </c>
      <c r="Z9" s="166" t="e">
        <f t="shared" ca="1" si="23"/>
        <v>#REF!</v>
      </c>
      <c r="AA9" s="170" t="e">
        <f t="shared" ref="AA9:AA13" ca="1" si="29">SUM(C23:Y23)/COUNT(C9:Y9)</f>
        <v>#REF!</v>
      </c>
      <c r="AB9" s="168" t="e">
        <f t="shared" ca="1" si="24"/>
        <v>#REF!</v>
      </c>
      <c r="AC9" s="168" t="e">
        <f t="shared" ca="1" si="25"/>
        <v>#REF!</v>
      </c>
      <c r="AD9" s="168" t="e">
        <f t="shared" ca="1" si="26"/>
        <v>#REF!</v>
      </c>
      <c r="AE9" s="169" t="e">
        <f t="shared" ca="1" si="27"/>
        <v>#REF!</v>
      </c>
      <c r="AF9" s="168" t="e">
        <f t="shared" ca="1" si="28"/>
        <v>#REF!</v>
      </c>
    </row>
    <row r="10" spans="1:32" ht="15" customHeight="1" x14ac:dyDescent="0.2">
      <c r="A10" s="141"/>
      <c r="B10" s="141" t="e">
        <f t="shared" ca="1" si="5"/>
        <v>#REF!</v>
      </c>
      <c r="C10" s="169" t="e">
        <f t="shared" ca="1" si="6"/>
        <v>#REF!</v>
      </c>
      <c r="D10" s="169" t="e">
        <f t="shared" ca="1" si="7"/>
        <v>#REF!</v>
      </c>
      <c r="E10" s="169" t="e">
        <f t="shared" ca="1" si="8"/>
        <v>#REF!</v>
      </c>
      <c r="F10" s="169" t="e">
        <f t="shared" ca="1" si="9"/>
        <v>#REF!</v>
      </c>
      <c r="G10" s="169" t="e">
        <f t="shared" ca="1" si="10"/>
        <v>#REF!</v>
      </c>
      <c r="H10" s="169" t="e">
        <f t="shared" ca="1" si="11"/>
        <v>#REF!</v>
      </c>
      <c r="I10" s="169" t="e">
        <f t="shared" ca="1" si="12"/>
        <v>#REF!</v>
      </c>
      <c r="J10" s="169" t="e">
        <f t="shared" ca="1" si="13"/>
        <v>#REF!</v>
      </c>
      <c r="K10" s="169" t="e">
        <f t="shared" ca="1" si="14"/>
        <v>#REF!</v>
      </c>
      <c r="L10" s="169" t="e">
        <f t="shared" ca="1" si="15"/>
        <v>#REF!</v>
      </c>
      <c r="M10" s="169" t="e">
        <f t="shared" ca="1" si="16"/>
        <v>#REF!</v>
      </c>
      <c r="N10" s="169" t="e">
        <f t="shared" ca="1" si="17"/>
        <v>#REF!</v>
      </c>
      <c r="O10" s="169" t="e">
        <f t="shared" ca="1" si="18"/>
        <v>#REF!</v>
      </c>
      <c r="P10" s="169" t="e">
        <f t="shared" ca="1" si="19"/>
        <v>#REF!</v>
      </c>
      <c r="Q10" s="169" t="e">
        <f t="shared" ca="1" si="20"/>
        <v>#REF!</v>
      </c>
      <c r="R10" s="169" t="e">
        <f t="shared" ca="1" si="21"/>
        <v>#REF!</v>
      </c>
      <c r="S10" s="169"/>
      <c r="T10" s="169"/>
      <c r="U10" s="169"/>
      <c r="V10" s="169"/>
      <c r="W10" s="169"/>
      <c r="X10" s="169"/>
      <c r="Y10" s="169" t="e">
        <f t="shared" ca="1" si="22"/>
        <v>#REF!</v>
      </c>
      <c r="Z10" s="166" t="e">
        <f t="shared" ca="1" si="23"/>
        <v>#REF!</v>
      </c>
      <c r="AA10" s="170" t="e">
        <f t="shared" ca="1" si="29"/>
        <v>#REF!</v>
      </c>
      <c r="AB10" s="168" t="e">
        <f t="shared" ca="1" si="24"/>
        <v>#REF!</v>
      </c>
      <c r="AC10" s="168" t="e">
        <f t="shared" ca="1" si="25"/>
        <v>#REF!</v>
      </c>
      <c r="AD10" s="168" t="e">
        <f t="shared" ca="1" si="26"/>
        <v>#REF!</v>
      </c>
      <c r="AE10" s="169" t="e">
        <f t="shared" ca="1" si="27"/>
        <v>#REF!</v>
      </c>
      <c r="AF10" s="168" t="e">
        <f t="shared" ca="1" si="28"/>
        <v>#REF!</v>
      </c>
    </row>
    <row r="11" spans="1:32" ht="15" customHeight="1" x14ac:dyDescent="0.2">
      <c r="A11" s="141"/>
      <c r="B11" s="141" t="e">
        <f t="shared" ca="1" si="5"/>
        <v>#REF!</v>
      </c>
      <c r="C11" s="169" t="e">
        <f t="shared" ca="1" si="6"/>
        <v>#REF!</v>
      </c>
      <c r="D11" s="169" t="e">
        <f t="shared" ca="1" si="7"/>
        <v>#REF!</v>
      </c>
      <c r="E11" s="169" t="e">
        <f t="shared" ca="1" si="8"/>
        <v>#REF!</v>
      </c>
      <c r="F11" s="169" t="e">
        <f t="shared" ca="1" si="9"/>
        <v>#REF!</v>
      </c>
      <c r="G11" s="169" t="e">
        <f t="shared" ca="1" si="10"/>
        <v>#REF!</v>
      </c>
      <c r="H11" s="169" t="e">
        <f t="shared" ca="1" si="11"/>
        <v>#REF!</v>
      </c>
      <c r="I11" s="169" t="e">
        <f t="shared" ca="1" si="12"/>
        <v>#REF!</v>
      </c>
      <c r="J11" s="169" t="e">
        <f t="shared" ca="1" si="13"/>
        <v>#REF!</v>
      </c>
      <c r="K11" s="169" t="e">
        <f t="shared" ca="1" si="14"/>
        <v>#REF!</v>
      </c>
      <c r="L11" s="169" t="e">
        <f t="shared" ca="1" si="15"/>
        <v>#REF!</v>
      </c>
      <c r="M11" s="169" t="e">
        <f t="shared" ca="1" si="16"/>
        <v>#REF!</v>
      </c>
      <c r="N11" s="169" t="e">
        <f t="shared" ca="1" si="17"/>
        <v>#REF!</v>
      </c>
      <c r="O11" s="169" t="e">
        <f t="shared" ca="1" si="18"/>
        <v>#REF!</v>
      </c>
      <c r="P11" s="169" t="e">
        <f t="shared" ca="1" si="19"/>
        <v>#REF!</v>
      </c>
      <c r="Q11" s="169" t="e">
        <f t="shared" ca="1" si="20"/>
        <v>#REF!</v>
      </c>
      <c r="R11" s="169" t="e">
        <f t="shared" ca="1" si="21"/>
        <v>#REF!</v>
      </c>
      <c r="S11" s="169"/>
      <c r="T11" s="169"/>
      <c r="U11" s="169"/>
      <c r="V11" s="169"/>
      <c r="W11" s="169"/>
      <c r="X11" s="169"/>
      <c r="Y11" s="169" t="e">
        <f t="shared" ca="1" si="22"/>
        <v>#REF!</v>
      </c>
      <c r="Z11" s="166" t="e">
        <f t="shared" ca="1" si="23"/>
        <v>#REF!</v>
      </c>
      <c r="AA11" s="170" t="e">
        <f t="shared" ca="1" si="29"/>
        <v>#REF!</v>
      </c>
      <c r="AB11" s="168" t="e">
        <f t="shared" ca="1" si="24"/>
        <v>#REF!</v>
      </c>
      <c r="AC11" s="168" t="e">
        <f t="shared" ca="1" si="25"/>
        <v>#REF!</v>
      </c>
      <c r="AD11" s="168" t="e">
        <f t="shared" ca="1" si="26"/>
        <v>#REF!</v>
      </c>
      <c r="AE11" s="169" t="e">
        <f t="shared" ca="1" si="27"/>
        <v>#REF!</v>
      </c>
      <c r="AF11" s="168" t="e">
        <f t="shared" ca="1" si="28"/>
        <v>#REF!</v>
      </c>
    </row>
    <row r="12" spans="1:32" ht="15" customHeight="1" thickBot="1" x14ac:dyDescent="0.25">
      <c r="A12" s="142"/>
      <c r="B12" s="142" t="e">
        <f t="shared" ca="1" si="5"/>
        <v>#REF!</v>
      </c>
      <c r="C12" s="171" t="e">
        <f t="shared" ca="1" si="6"/>
        <v>#REF!</v>
      </c>
      <c r="D12" s="171" t="e">
        <f t="shared" ca="1" si="7"/>
        <v>#REF!</v>
      </c>
      <c r="E12" s="171" t="e">
        <f t="shared" ca="1" si="8"/>
        <v>#REF!</v>
      </c>
      <c r="F12" s="171" t="e">
        <f t="shared" ca="1" si="9"/>
        <v>#REF!</v>
      </c>
      <c r="G12" s="171" t="e">
        <f t="shared" ca="1" si="10"/>
        <v>#REF!</v>
      </c>
      <c r="H12" s="171" t="e">
        <f t="shared" ca="1" si="11"/>
        <v>#REF!</v>
      </c>
      <c r="I12" s="171" t="e">
        <f t="shared" ca="1" si="12"/>
        <v>#REF!</v>
      </c>
      <c r="J12" s="171" t="e">
        <f t="shared" ca="1" si="13"/>
        <v>#REF!</v>
      </c>
      <c r="K12" s="171" t="e">
        <f t="shared" ca="1" si="14"/>
        <v>#REF!</v>
      </c>
      <c r="L12" s="171" t="e">
        <f t="shared" ca="1" si="15"/>
        <v>#REF!</v>
      </c>
      <c r="M12" s="171" t="e">
        <f t="shared" ca="1" si="16"/>
        <v>#REF!</v>
      </c>
      <c r="N12" s="171" t="e">
        <f t="shared" ca="1" si="17"/>
        <v>#REF!</v>
      </c>
      <c r="O12" s="171" t="e">
        <f t="shared" ca="1" si="18"/>
        <v>#REF!</v>
      </c>
      <c r="P12" s="171" t="e">
        <f t="shared" ca="1" si="19"/>
        <v>#REF!</v>
      </c>
      <c r="Q12" s="171" t="e">
        <f t="shared" ca="1" si="20"/>
        <v>#REF!</v>
      </c>
      <c r="R12" s="171" t="e">
        <f t="shared" ca="1" si="21"/>
        <v>#REF!</v>
      </c>
      <c r="S12" s="171"/>
      <c r="T12" s="171"/>
      <c r="U12" s="171"/>
      <c r="V12" s="171"/>
      <c r="W12" s="171"/>
      <c r="X12" s="171"/>
      <c r="Y12" s="171" t="e">
        <f t="shared" ca="1" si="22"/>
        <v>#REF!</v>
      </c>
      <c r="Z12" s="172" t="e">
        <f t="shared" ca="1" si="23"/>
        <v>#REF!</v>
      </c>
      <c r="AA12" s="170" t="e">
        <f t="shared" ca="1" si="29"/>
        <v>#REF!</v>
      </c>
      <c r="AB12" s="172" t="e">
        <f t="shared" ca="1" si="24"/>
        <v>#REF!</v>
      </c>
      <c r="AC12" s="172" t="e">
        <f t="shared" ca="1" si="25"/>
        <v>#REF!</v>
      </c>
      <c r="AD12" s="172" t="e">
        <f t="shared" ca="1" si="26"/>
        <v>#REF!</v>
      </c>
      <c r="AE12" s="171" t="e">
        <f t="shared" ca="1" si="27"/>
        <v>#REF!</v>
      </c>
      <c r="AF12" s="172" t="e">
        <f t="shared" ca="1" si="28"/>
        <v>#REF!</v>
      </c>
    </row>
    <row r="13" spans="1:32" ht="15" customHeight="1" thickBot="1" x14ac:dyDescent="0.25">
      <c r="A13" s="143"/>
      <c r="B13" s="143" t="e">
        <f t="shared" ca="1" si="5"/>
        <v>#REF!</v>
      </c>
      <c r="C13" s="173" t="e">
        <f t="shared" ca="1" si="6"/>
        <v>#REF!</v>
      </c>
      <c r="D13" s="173" t="e">
        <f t="shared" ca="1" si="7"/>
        <v>#REF!</v>
      </c>
      <c r="E13" s="173" t="e">
        <f t="shared" ca="1" si="8"/>
        <v>#REF!</v>
      </c>
      <c r="F13" s="173" t="e">
        <f t="shared" ca="1" si="9"/>
        <v>#REF!</v>
      </c>
      <c r="G13" s="173" t="e">
        <f t="shared" ca="1" si="10"/>
        <v>#REF!</v>
      </c>
      <c r="H13" s="173" t="e">
        <f t="shared" ca="1" si="11"/>
        <v>#REF!</v>
      </c>
      <c r="I13" s="173" t="e">
        <f t="shared" ca="1" si="12"/>
        <v>#REF!</v>
      </c>
      <c r="J13" s="173" t="e">
        <f t="shared" ca="1" si="13"/>
        <v>#REF!</v>
      </c>
      <c r="K13" s="173" t="e">
        <f t="shared" ca="1" si="14"/>
        <v>#REF!</v>
      </c>
      <c r="L13" s="173" t="e">
        <f t="shared" ca="1" si="15"/>
        <v>#REF!</v>
      </c>
      <c r="M13" s="173" t="e">
        <f t="shared" ca="1" si="16"/>
        <v>#REF!</v>
      </c>
      <c r="N13" s="173" t="e">
        <f t="shared" ca="1" si="17"/>
        <v>#REF!</v>
      </c>
      <c r="O13" s="173" t="e">
        <f t="shared" ca="1" si="18"/>
        <v>#REF!</v>
      </c>
      <c r="P13" s="173" t="e">
        <f t="shared" ca="1" si="19"/>
        <v>#REF!</v>
      </c>
      <c r="Q13" s="173" t="e">
        <f t="shared" ca="1" si="20"/>
        <v>#REF!</v>
      </c>
      <c r="R13" s="173" t="e">
        <f t="shared" ca="1" si="21"/>
        <v>#REF!</v>
      </c>
      <c r="S13" s="173"/>
      <c r="T13" s="173"/>
      <c r="U13" s="173"/>
      <c r="V13" s="173"/>
      <c r="W13" s="173"/>
      <c r="X13" s="173"/>
      <c r="Y13" s="173" t="e">
        <f t="shared" ca="1" si="22"/>
        <v>#REF!</v>
      </c>
      <c r="Z13" s="174" t="e">
        <f t="shared" ca="1" si="23"/>
        <v>#REF!</v>
      </c>
      <c r="AA13" s="175" t="e">
        <f t="shared" ca="1" si="29"/>
        <v>#REF!</v>
      </c>
      <c r="AB13" s="174" t="e">
        <f t="shared" ca="1" si="24"/>
        <v>#REF!</v>
      </c>
      <c r="AC13" s="174" t="e">
        <f t="shared" ca="1" si="25"/>
        <v>#REF!</v>
      </c>
      <c r="AD13" s="174" t="e">
        <f t="shared" ca="1" si="26"/>
        <v>#REF!</v>
      </c>
      <c r="AE13" s="173" t="e">
        <f t="shared" ca="1" si="27"/>
        <v>#REF!</v>
      </c>
      <c r="AF13" s="174" t="e">
        <f t="shared" ca="1" si="28"/>
        <v>#REF!</v>
      </c>
    </row>
    <row r="14" spans="1:32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7"/>
      <c r="AA14" s="178"/>
      <c r="AB14" s="179"/>
      <c r="AC14" s="179"/>
      <c r="AD14" s="179"/>
      <c r="AE14" s="176"/>
      <c r="AF14" s="179"/>
    </row>
    <row r="15" spans="1:32" ht="15" customHeight="1" x14ac:dyDescent="0.2">
      <c r="A15" s="145"/>
      <c r="B15" s="145" t="e">
        <f t="shared" ca="1" si="5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/>
      <c r="T15" s="180"/>
      <c r="U15" s="180"/>
      <c r="V15" s="180"/>
      <c r="W15" s="180"/>
      <c r="X15" s="180"/>
      <c r="Y15" s="180" t="e">
        <f ca="1">INDIRECT("'"&amp;$A15&amp;"'!L29")</f>
        <v>#REF!</v>
      </c>
      <c r="Z15" s="181" t="e">
        <f ca="1">INDIRECT("'"&amp;$A15&amp;"'!L36")</f>
        <v>#REF!</v>
      </c>
      <c r="AA15" s="182" t="e">
        <f ca="1">SUM(C29:Y29)/COUNT(C15:Y15)</f>
        <v>#REF!</v>
      </c>
      <c r="AB15" s="183" t="e">
        <f t="shared" ca="1" si="24"/>
        <v>#REF!</v>
      </c>
      <c r="AC15" s="183" t="e">
        <f t="shared" ca="1" si="25"/>
        <v>#REF!</v>
      </c>
      <c r="AD15" s="183" t="e">
        <f t="shared" ca="1" si="26"/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32" ht="15" customHeight="1" x14ac:dyDescent="0.2">
      <c r="A16" s="144"/>
      <c r="B16" s="144" t="e">
        <f t="shared" ca="1" si="5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/>
      <c r="T16" s="176"/>
      <c r="U16" s="176"/>
      <c r="V16" s="176"/>
      <c r="W16" s="176"/>
      <c r="X16" s="176"/>
      <c r="Y16" s="176" t="e">
        <f ca="1">INDIRECT("'"&amp;$A16&amp;"'!L29")</f>
        <v>#REF!</v>
      </c>
      <c r="Z16" s="184" t="e">
        <f ca="1">INDIRECT("'"&amp;$A16&amp;"'!L36")</f>
        <v>#REF!</v>
      </c>
      <c r="AA16" s="182" t="e">
        <f ca="1">SUM(C30:Y30)/COUNT(C16:Y16)</f>
        <v>#REF!</v>
      </c>
      <c r="AB16" s="179" t="e">
        <f t="shared" ca="1" si="24"/>
        <v>#REF!</v>
      </c>
      <c r="AC16" s="179" t="e">
        <f t="shared" ca="1" si="25"/>
        <v>#REF!</v>
      </c>
      <c r="AD16" s="179" t="e">
        <f t="shared" ca="1" si="26"/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5" hidden="1" customHeight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Y22" ca="1" si="30">IF(ABS(D$3/3-D8)&lt;=0.75,1,0)</f>
        <v>#REF!</v>
      </c>
      <c r="E22" s="86" t="e">
        <f t="shared" ca="1" si="30"/>
        <v>#REF!</v>
      </c>
      <c r="F22" s="86" t="e">
        <f t="shared" ca="1" si="30"/>
        <v>#REF!</v>
      </c>
      <c r="G22" s="86" t="e">
        <f t="shared" ca="1" si="30"/>
        <v>#REF!</v>
      </c>
      <c r="H22" s="86" t="e">
        <f t="shared" ca="1" si="30"/>
        <v>#REF!</v>
      </c>
      <c r="I22" s="86" t="e">
        <f t="shared" ca="1" si="30"/>
        <v>#REF!</v>
      </c>
      <c r="J22" s="86" t="e">
        <f t="shared" ca="1" si="30"/>
        <v>#REF!</v>
      </c>
      <c r="K22" s="86" t="e">
        <f t="shared" ca="1" si="30"/>
        <v>#REF!</v>
      </c>
      <c r="L22" s="86" t="e">
        <f t="shared" ca="1" si="30"/>
        <v>#REF!</v>
      </c>
      <c r="M22" s="86" t="e">
        <f t="shared" ca="1" si="30"/>
        <v>#REF!</v>
      </c>
      <c r="N22" s="86" t="e">
        <f t="shared" ca="1" si="30"/>
        <v>#REF!</v>
      </c>
      <c r="O22" s="86" t="e">
        <f t="shared" ca="1" si="30"/>
        <v>#REF!</v>
      </c>
      <c r="P22" s="86" t="e">
        <f t="shared" ca="1" si="30"/>
        <v>#REF!</v>
      </c>
      <c r="Q22" s="86" t="e">
        <f t="shared" ca="1" si="30"/>
        <v>#REF!</v>
      </c>
      <c r="R22" s="86" t="e">
        <f t="shared" ca="1" si="30"/>
        <v>#REF!</v>
      </c>
      <c r="S22" s="86"/>
      <c r="T22" s="86"/>
      <c r="U22" s="86"/>
      <c r="V22" s="86"/>
      <c r="W22" s="86"/>
      <c r="X22" s="86"/>
      <c r="Y22" s="86" t="e">
        <f t="shared" ca="1" si="30"/>
        <v>#REF!</v>
      </c>
    </row>
    <row r="23" spans="1:32" ht="15" hidden="1" customHeight="1" x14ac:dyDescent="0.2">
      <c r="A23" s="86">
        <f>A9</f>
        <v>0</v>
      </c>
      <c r="B23" s="86" t="e">
        <f ca="1">B9</f>
        <v>#REF!</v>
      </c>
      <c r="C23" s="86" t="e">
        <f t="shared" ref="C23:Y23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T23" s="86"/>
      <c r="U23" s="86"/>
      <c r="V23" s="86"/>
      <c r="W23" s="86"/>
      <c r="X23" s="86"/>
      <c r="Y23" s="86" t="e">
        <f t="shared" ca="1" si="31"/>
        <v>#REF!</v>
      </c>
    </row>
    <row r="24" spans="1:32" ht="15" hidden="1" customHeight="1" x14ac:dyDescent="0.2">
      <c r="A24" s="86">
        <f>A10</f>
        <v>0</v>
      </c>
      <c r="B24" s="86" t="e">
        <f t="shared" ref="B24:B30" ca="1" si="32">B10</f>
        <v>#REF!</v>
      </c>
      <c r="C24" s="86" t="e">
        <f t="shared" ref="C24:Y24" ca="1" si="33">IF(ABS(C$3/3-C10)&lt;=0.75,1,0)</f>
        <v>#REF!</v>
      </c>
      <c r="D24" s="86" t="e">
        <f t="shared" ca="1" si="33"/>
        <v>#REF!</v>
      </c>
      <c r="E24" s="86" t="e">
        <f t="shared" ca="1" si="33"/>
        <v>#REF!</v>
      </c>
      <c r="F24" s="86" t="e">
        <f t="shared" ca="1" si="33"/>
        <v>#REF!</v>
      </c>
      <c r="G24" s="86" t="e">
        <f t="shared" ca="1" si="33"/>
        <v>#REF!</v>
      </c>
      <c r="H24" s="86" t="e">
        <f t="shared" ca="1" si="33"/>
        <v>#REF!</v>
      </c>
      <c r="I24" s="86" t="e">
        <f t="shared" ca="1" si="33"/>
        <v>#REF!</v>
      </c>
      <c r="J24" s="86" t="e">
        <f t="shared" ca="1" si="33"/>
        <v>#REF!</v>
      </c>
      <c r="K24" s="86" t="e">
        <f t="shared" ca="1" si="33"/>
        <v>#REF!</v>
      </c>
      <c r="L24" s="86" t="e">
        <f t="shared" ca="1" si="33"/>
        <v>#REF!</v>
      </c>
      <c r="M24" s="86" t="e">
        <f t="shared" ca="1" si="33"/>
        <v>#REF!</v>
      </c>
      <c r="N24" s="86" t="e">
        <f t="shared" ca="1" si="33"/>
        <v>#REF!</v>
      </c>
      <c r="O24" s="86" t="e">
        <f t="shared" ca="1" si="33"/>
        <v>#REF!</v>
      </c>
      <c r="P24" s="86" t="e">
        <f t="shared" ca="1" si="33"/>
        <v>#REF!</v>
      </c>
      <c r="Q24" s="86" t="e">
        <f t="shared" ca="1" si="33"/>
        <v>#REF!</v>
      </c>
      <c r="R24" s="86" t="e">
        <f t="shared" ca="1" si="33"/>
        <v>#REF!</v>
      </c>
      <c r="S24" s="86"/>
      <c r="T24" s="86"/>
      <c r="U24" s="86"/>
      <c r="V24" s="86"/>
      <c r="W24" s="86"/>
      <c r="X24" s="86"/>
      <c r="Y24" s="86" t="e">
        <f t="shared" ca="1" si="33"/>
        <v>#REF!</v>
      </c>
    </row>
    <row r="25" spans="1:32" ht="15" hidden="1" customHeight="1" x14ac:dyDescent="0.2">
      <c r="A25" s="86">
        <f>A11</f>
        <v>0</v>
      </c>
      <c r="B25" s="86" t="e">
        <f t="shared" ca="1" si="32"/>
        <v>#REF!</v>
      </c>
      <c r="C25" s="86" t="e">
        <f t="shared" ref="C25:Y25" ca="1" si="34">IF(ABS(C$3/3-C11)&lt;=0.75,1,0)</f>
        <v>#REF!</v>
      </c>
      <c r="D25" s="86" t="e">
        <f t="shared" ca="1" si="34"/>
        <v>#REF!</v>
      </c>
      <c r="E25" s="86" t="e">
        <f t="shared" ca="1" si="34"/>
        <v>#REF!</v>
      </c>
      <c r="F25" s="86" t="e">
        <f t="shared" ca="1" si="34"/>
        <v>#REF!</v>
      </c>
      <c r="G25" s="86" t="e">
        <f t="shared" ca="1" si="34"/>
        <v>#REF!</v>
      </c>
      <c r="H25" s="86" t="e">
        <f t="shared" ca="1" si="34"/>
        <v>#REF!</v>
      </c>
      <c r="I25" s="86" t="e">
        <f t="shared" ca="1" si="34"/>
        <v>#REF!</v>
      </c>
      <c r="J25" s="86" t="e">
        <f t="shared" ca="1" si="34"/>
        <v>#REF!</v>
      </c>
      <c r="K25" s="86" t="e">
        <f t="shared" ca="1" si="34"/>
        <v>#REF!</v>
      </c>
      <c r="L25" s="86" t="e">
        <f t="shared" ca="1" si="34"/>
        <v>#REF!</v>
      </c>
      <c r="M25" s="86" t="e">
        <f t="shared" ca="1" si="34"/>
        <v>#REF!</v>
      </c>
      <c r="N25" s="86" t="e">
        <f t="shared" ca="1" si="34"/>
        <v>#REF!</v>
      </c>
      <c r="O25" s="86" t="e">
        <f t="shared" ca="1" si="34"/>
        <v>#REF!</v>
      </c>
      <c r="P25" s="86" t="e">
        <f t="shared" ca="1" si="34"/>
        <v>#REF!</v>
      </c>
      <c r="Q25" s="86" t="e">
        <f t="shared" ca="1" si="34"/>
        <v>#REF!</v>
      </c>
      <c r="R25" s="86" t="e">
        <f t="shared" ca="1" si="34"/>
        <v>#REF!</v>
      </c>
      <c r="S25" s="86"/>
      <c r="T25" s="86"/>
      <c r="U25" s="86"/>
      <c r="V25" s="86"/>
      <c r="W25" s="86"/>
      <c r="X25" s="86"/>
      <c r="Y25" s="86" t="e">
        <f t="shared" ca="1" si="34"/>
        <v>#REF!</v>
      </c>
    </row>
    <row r="26" spans="1:32" ht="15" hidden="1" customHeight="1" x14ac:dyDescent="0.2">
      <c r="A26" s="86">
        <f>A12</f>
        <v>0</v>
      </c>
      <c r="B26" s="86" t="e">
        <f t="shared" ca="1" si="32"/>
        <v>#REF!</v>
      </c>
      <c r="C26" s="86" t="e">
        <f t="shared" ref="C26:Y26" ca="1" si="35">IF(ABS(C$3/3-C12)&lt;=0.75,1,0)</f>
        <v>#REF!</v>
      </c>
      <c r="D26" s="86" t="e">
        <f t="shared" ca="1" si="35"/>
        <v>#REF!</v>
      </c>
      <c r="E26" s="86" t="e">
        <f t="shared" ca="1" si="35"/>
        <v>#REF!</v>
      </c>
      <c r="F26" s="86" t="e">
        <f t="shared" ca="1" si="35"/>
        <v>#REF!</v>
      </c>
      <c r="G26" s="86" t="e">
        <f t="shared" ca="1" si="35"/>
        <v>#REF!</v>
      </c>
      <c r="H26" s="86" t="e">
        <f t="shared" ca="1" si="35"/>
        <v>#REF!</v>
      </c>
      <c r="I26" s="86" t="e">
        <f t="shared" ca="1" si="35"/>
        <v>#REF!</v>
      </c>
      <c r="J26" s="86" t="e">
        <f t="shared" ca="1" si="35"/>
        <v>#REF!</v>
      </c>
      <c r="K26" s="86" t="e">
        <f t="shared" ca="1" si="35"/>
        <v>#REF!</v>
      </c>
      <c r="L26" s="86" t="e">
        <f t="shared" ca="1" si="35"/>
        <v>#REF!</v>
      </c>
      <c r="M26" s="86" t="e">
        <f t="shared" ca="1" si="35"/>
        <v>#REF!</v>
      </c>
      <c r="N26" s="86" t="e">
        <f t="shared" ca="1" si="35"/>
        <v>#REF!</v>
      </c>
      <c r="O26" s="86" t="e">
        <f t="shared" ca="1" si="35"/>
        <v>#REF!</v>
      </c>
      <c r="P26" s="86" t="e">
        <f t="shared" ca="1" si="35"/>
        <v>#REF!</v>
      </c>
      <c r="Q26" s="86" t="e">
        <f t="shared" ca="1" si="35"/>
        <v>#REF!</v>
      </c>
      <c r="R26" s="86" t="e">
        <f t="shared" ca="1" si="35"/>
        <v>#REF!</v>
      </c>
      <c r="S26" s="86"/>
      <c r="T26" s="86"/>
      <c r="U26" s="86"/>
      <c r="V26" s="86"/>
      <c r="W26" s="86"/>
      <c r="X26" s="86"/>
      <c r="Y26" s="86" t="e">
        <f t="shared" ca="1" si="35"/>
        <v>#REF!</v>
      </c>
    </row>
    <row r="27" spans="1:32" ht="15" hidden="1" customHeight="1" x14ac:dyDescent="0.2">
      <c r="A27" s="86">
        <f>A13</f>
        <v>0</v>
      </c>
      <c r="B27" s="86" t="e">
        <f t="shared" ca="1" si="32"/>
        <v>#REF!</v>
      </c>
      <c r="C27" s="86" t="e">
        <f t="shared" ref="C27:Y30" ca="1" si="36">IF(ABS(C$3/3-C13)&lt;=0.75,1,0)</f>
        <v>#REF!</v>
      </c>
      <c r="D27" s="86" t="e">
        <f t="shared" ca="1" si="36"/>
        <v>#REF!</v>
      </c>
      <c r="E27" s="86" t="e">
        <f t="shared" ca="1" si="36"/>
        <v>#REF!</v>
      </c>
      <c r="F27" s="86" t="e">
        <f t="shared" ca="1" si="36"/>
        <v>#REF!</v>
      </c>
      <c r="G27" s="86" t="e">
        <f t="shared" ca="1" si="36"/>
        <v>#REF!</v>
      </c>
      <c r="H27" s="86" t="e">
        <f t="shared" ca="1" si="36"/>
        <v>#REF!</v>
      </c>
      <c r="I27" s="86" t="e">
        <f t="shared" ca="1" si="36"/>
        <v>#REF!</v>
      </c>
      <c r="J27" s="86" t="e">
        <f t="shared" ca="1" si="36"/>
        <v>#REF!</v>
      </c>
      <c r="K27" s="86" t="e">
        <f t="shared" ca="1" si="36"/>
        <v>#REF!</v>
      </c>
      <c r="L27" s="86" t="e">
        <f t="shared" ca="1" si="36"/>
        <v>#REF!</v>
      </c>
      <c r="M27" s="86" t="e">
        <f t="shared" ca="1" si="36"/>
        <v>#REF!</v>
      </c>
      <c r="N27" s="86" t="e">
        <f t="shared" ca="1" si="36"/>
        <v>#REF!</v>
      </c>
      <c r="O27" s="86" t="e">
        <f t="shared" ca="1" si="36"/>
        <v>#REF!</v>
      </c>
      <c r="P27" s="86" t="e">
        <f t="shared" ca="1" si="36"/>
        <v>#REF!</v>
      </c>
      <c r="Q27" s="86" t="e">
        <f t="shared" ca="1" si="36"/>
        <v>#REF!</v>
      </c>
      <c r="R27" s="86" t="e">
        <f t="shared" ca="1" si="36"/>
        <v>#REF!</v>
      </c>
      <c r="S27" s="86"/>
      <c r="T27" s="86"/>
      <c r="U27" s="86"/>
      <c r="V27" s="86"/>
      <c r="W27" s="86"/>
      <c r="X27" s="86"/>
      <c r="Y27" s="86" t="e">
        <f t="shared" ca="1" si="36"/>
        <v>#REF!</v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e">
        <f t="shared" ca="1" si="32"/>
        <v>#REF!</v>
      </c>
      <c r="C29" s="86" t="e">
        <f t="shared" ca="1" si="36"/>
        <v>#REF!</v>
      </c>
      <c r="D29" s="86" t="e">
        <f t="shared" ca="1" si="36"/>
        <v>#REF!</v>
      </c>
      <c r="E29" s="86" t="e">
        <f t="shared" ca="1" si="36"/>
        <v>#REF!</v>
      </c>
      <c r="F29" s="86" t="e">
        <f t="shared" ca="1" si="36"/>
        <v>#REF!</v>
      </c>
      <c r="G29" s="86" t="e">
        <f t="shared" ca="1" si="36"/>
        <v>#REF!</v>
      </c>
      <c r="H29" s="86" t="e">
        <f t="shared" ca="1" si="36"/>
        <v>#REF!</v>
      </c>
      <c r="I29" s="86" t="e">
        <f t="shared" ca="1" si="36"/>
        <v>#REF!</v>
      </c>
      <c r="J29" s="86" t="e">
        <f t="shared" ca="1" si="36"/>
        <v>#REF!</v>
      </c>
      <c r="K29" s="86" t="e">
        <f t="shared" ca="1" si="36"/>
        <v>#REF!</v>
      </c>
      <c r="L29" s="86" t="e">
        <f t="shared" ca="1" si="36"/>
        <v>#REF!</v>
      </c>
      <c r="M29" s="86" t="e">
        <f t="shared" ca="1" si="36"/>
        <v>#REF!</v>
      </c>
      <c r="N29" s="86" t="e">
        <f t="shared" ca="1" si="36"/>
        <v>#REF!</v>
      </c>
      <c r="O29" s="86" t="e">
        <f t="shared" ca="1" si="36"/>
        <v>#REF!</v>
      </c>
      <c r="P29" s="86" t="e">
        <f t="shared" ca="1" si="36"/>
        <v>#REF!</v>
      </c>
      <c r="Q29" s="86" t="e">
        <f t="shared" ca="1" si="36"/>
        <v>#REF!</v>
      </c>
      <c r="R29" s="86" t="e">
        <f t="shared" ca="1" si="36"/>
        <v>#REF!</v>
      </c>
      <c r="S29" s="86"/>
      <c r="T29" s="86"/>
      <c r="U29" s="86"/>
      <c r="V29" s="86"/>
      <c r="W29" s="86"/>
      <c r="X29" s="86"/>
      <c r="Y29" s="86" t="e">
        <f t="shared" ca="1" si="36"/>
        <v>#REF!</v>
      </c>
    </row>
    <row r="30" spans="1:32" ht="15" hidden="1" customHeight="1" x14ac:dyDescent="0.2">
      <c r="A30" s="86">
        <f>A16</f>
        <v>0</v>
      </c>
      <c r="B30" s="86" t="e">
        <f t="shared" ca="1" si="32"/>
        <v>#REF!</v>
      </c>
      <c r="C30" s="86" t="e">
        <f t="shared" ca="1" si="36"/>
        <v>#REF!</v>
      </c>
      <c r="D30" s="86" t="e">
        <f t="shared" ca="1" si="36"/>
        <v>#REF!</v>
      </c>
      <c r="E30" s="86" t="e">
        <f t="shared" ca="1" si="36"/>
        <v>#REF!</v>
      </c>
      <c r="F30" s="86" t="e">
        <f t="shared" ca="1" si="36"/>
        <v>#REF!</v>
      </c>
      <c r="G30" s="86" t="e">
        <f t="shared" ca="1" si="36"/>
        <v>#REF!</v>
      </c>
      <c r="H30" s="86" t="e">
        <f t="shared" ca="1" si="36"/>
        <v>#REF!</v>
      </c>
      <c r="I30" s="86" t="e">
        <f t="shared" ca="1" si="36"/>
        <v>#REF!</v>
      </c>
      <c r="J30" s="86" t="e">
        <f t="shared" ca="1" si="36"/>
        <v>#REF!</v>
      </c>
      <c r="K30" s="86" t="e">
        <f t="shared" ca="1" si="36"/>
        <v>#REF!</v>
      </c>
      <c r="L30" s="86" t="e">
        <f t="shared" ca="1" si="36"/>
        <v>#REF!</v>
      </c>
      <c r="M30" s="86" t="e">
        <f t="shared" ca="1" si="36"/>
        <v>#REF!</v>
      </c>
      <c r="N30" s="86" t="e">
        <f t="shared" ca="1" si="36"/>
        <v>#REF!</v>
      </c>
      <c r="O30" s="86" t="e">
        <f t="shared" ca="1" si="36"/>
        <v>#REF!</v>
      </c>
      <c r="P30" s="86" t="e">
        <f t="shared" ca="1" si="36"/>
        <v>#REF!</v>
      </c>
      <c r="Q30" s="86" t="e">
        <f t="shared" ca="1" si="36"/>
        <v>#REF!</v>
      </c>
      <c r="R30" s="86" t="e">
        <f t="shared" ca="1" si="36"/>
        <v>#REF!</v>
      </c>
      <c r="S30" s="86"/>
      <c r="T30" s="86"/>
      <c r="U30" s="86"/>
      <c r="V30" s="86"/>
      <c r="W30" s="86"/>
      <c r="X30" s="86"/>
      <c r="Y30" s="86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48</v>
      </c>
      <c r="E2" s="131" t="s">
        <v>49</v>
      </c>
      <c r="F2" s="131" t="s">
        <v>50</v>
      </c>
      <c r="G2" s="131" t="s">
        <v>51</v>
      </c>
      <c r="H2" s="131" t="s">
        <v>52</v>
      </c>
      <c r="I2" s="131" t="s">
        <v>54</v>
      </c>
      <c r="J2" s="131" t="s">
        <v>55</v>
      </c>
      <c r="K2" s="131" t="s">
        <v>56</v>
      </c>
      <c r="L2" s="131" t="s">
        <v>57</v>
      </c>
      <c r="M2" s="131" t="s">
        <v>58</v>
      </c>
      <c r="N2" s="131" t="s">
        <v>60</v>
      </c>
      <c r="O2" s="131" t="s">
        <v>61</v>
      </c>
      <c r="P2" s="131" t="s">
        <v>62</v>
      </c>
      <c r="Q2" s="131" t="s">
        <v>63</v>
      </c>
      <c r="R2" s="131" t="s">
        <v>64</v>
      </c>
      <c r="S2" s="131"/>
      <c r="T2" s="131"/>
      <c r="U2" s="131"/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/>
      <c r="T3" s="149"/>
      <c r="U3" s="149"/>
      <c r="V3" s="149"/>
      <c r="W3" s="149"/>
      <c r="X3" s="149"/>
      <c r="Y3" s="149" t="e">
        <f ca="1">SUM(Y8:Y12)-MAX(Y8:Y12)-MIN(Y8:Y12)</f>
        <v>#REF!</v>
      </c>
      <c r="Z3" s="185" t="e">
        <f ca="1">IF(SUM(AE8:AE12)&gt;0,SUM(C3:Y3)/2,SUM(C3:Y3))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45" ht="15" customHeight="1" x14ac:dyDescent="0.2">
      <c r="A4" s="467" t="str">
        <f>Doku!B49&amp;":"</f>
        <v>Spannweite:</v>
      </c>
      <c r="B4" s="467"/>
      <c r="C4" s="154" t="e">
        <f t="shared" ref="C4:R4" ca="1" si="1">MAX(C8:C12)-MIN(C8:C12)</f>
        <v>#REF!</v>
      </c>
      <c r="D4" s="154" t="e">
        <f t="shared" ca="1" si="1"/>
        <v>#REF!</v>
      </c>
      <c r="E4" s="154" t="e">
        <f t="shared" ca="1" si="1"/>
        <v>#REF!</v>
      </c>
      <c r="F4" s="154" t="e">
        <f t="shared" ca="1" si="1"/>
        <v>#REF!</v>
      </c>
      <c r="G4" s="154" t="e">
        <f t="shared" ca="1" si="1"/>
        <v>#REF!</v>
      </c>
      <c r="H4" s="154" t="e">
        <f t="shared" ca="1" si="1"/>
        <v>#REF!</v>
      </c>
      <c r="I4" s="154" t="e">
        <f t="shared" ca="1" si="1"/>
        <v>#REF!</v>
      </c>
      <c r="J4" s="154" t="e">
        <f t="shared" ca="1" si="1"/>
        <v>#REF!</v>
      </c>
      <c r="K4" s="154" t="e">
        <f t="shared" ca="1" si="1"/>
        <v>#REF!</v>
      </c>
      <c r="L4" s="154" t="e">
        <f t="shared" ca="1" si="1"/>
        <v>#REF!</v>
      </c>
      <c r="M4" s="154" t="e">
        <f t="shared" ca="1" si="1"/>
        <v>#REF!</v>
      </c>
      <c r="N4" s="154" t="e">
        <f t="shared" ca="1" si="1"/>
        <v>#REF!</v>
      </c>
      <c r="O4" s="154" t="e">
        <f t="shared" ca="1" si="1"/>
        <v>#REF!</v>
      </c>
      <c r="P4" s="154" t="e">
        <f t="shared" ca="1" si="1"/>
        <v>#REF!</v>
      </c>
      <c r="Q4" s="154" t="e">
        <f t="shared" ca="1" si="1"/>
        <v>#REF!</v>
      </c>
      <c r="R4" s="154" t="e">
        <f t="shared" ca="1" si="1"/>
        <v>#REF!</v>
      </c>
      <c r="S4" s="155"/>
      <c r="T4" s="155"/>
      <c r="U4" s="155"/>
      <c r="V4" s="155"/>
      <c r="W4" s="155"/>
      <c r="X4" s="155"/>
      <c r="Y4" s="154" t="e">
        <f ca="1">MAX(Y8:Y12)-MIN(Y8:Y12)</f>
        <v>#REF!</v>
      </c>
      <c r="Z4" s="186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45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2">D3/3</f>
        <v>#REF!</v>
      </c>
      <c r="E5" s="154" t="e">
        <f t="shared" ca="1" si="2"/>
        <v>#REF!</v>
      </c>
      <c r="F5" s="154" t="e">
        <f t="shared" ca="1" si="2"/>
        <v>#REF!</v>
      </c>
      <c r="G5" s="154" t="e">
        <f t="shared" ca="1" si="2"/>
        <v>#REF!</v>
      </c>
      <c r="H5" s="154" t="e">
        <f t="shared" ca="1" si="2"/>
        <v>#REF!</v>
      </c>
      <c r="I5" s="154" t="e">
        <f t="shared" ca="1" si="2"/>
        <v>#REF!</v>
      </c>
      <c r="J5" s="154" t="e">
        <f t="shared" ca="1" si="2"/>
        <v>#REF!</v>
      </c>
      <c r="K5" s="154" t="e">
        <f t="shared" ca="1" si="2"/>
        <v>#REF!</v>
      </c>
      <c r="L5" s="154" t="e">
        <f t="shared" ca="1" si="2"/>
        <v>#REF!</v>
      </c>
      <c r="M5" s="154" t="e">
        <f t="shared" ca="1" si="2"/>
        <v>#REF!</v>
      </c>
      <c r="N5" s="154" t="e">
        <f t="shared" ca="1" si="2"/>
        <v>#REF!</v>
      </c>
      <c r="O5" s="154" t="e">
        <f t="shared" ca="1" si="2"/>
        <v>#REF!</v>
      </c>
      <c r="P5" s="154" t="e">
        <f t="shared" ca="1" si="2"/>
        <v>#REF!</v>
      </c>
      <c r="Q5" s="154" t="e">
        <f t="shared" ca="1" si="2"/>
        <v>#REF!</v>
      </c>
      <c r="R5" s="154" t="e">
        <f t="shared" ca="1" si="2"/>
        <v>#REF!</v>
      </c>
      <c r="S5" s="154"/>
      <c r="T5" s="154"/>
      <c r="U5" s="154"/>
      <c r="V5" s="154"/>
      <c r="W5" s="154"/>
      <c r="X5" s="154"/>
      <c r="Y5" s="154" t="e">
        <f t="shared" ca="1" si="2"/>
        <v>#REF!</v>
      </c>
      <c r="Z5" s="186" t="e">
        <f t="shared" ca="1" si="2"/>
        <v>#REF!</v>
      </c>
      <c r="AA5" s="186"/>
      <c r="AB5" s="158" t="e">
        <f t="shared" ref="AB5:AF5" ca="1" si="3">AVERAGE(AB8:AB12)</f>
        <v>#REF!</v>
      </c>
      <c r="AC5" s="158" t="e">
        <f t="shared" ca="1" si="3"/>
        <v>#REF!</v>
      </c>
      <c r="AD5" s="158" t="e">
        <f t="shared" ca="1" si="3"/>
        <v>#REF!</v>
      </c>
      <c r="AE5" s="154" t="e">
        <f t="shared" ca="1" si="3"/>
        <v>#REF!</v>
      </c>
      <c r="AF5" s="158" t="e">
        <f t="shared" ca="1" si="3"/>
        <v>#REF!</v>
      </c>
    </row>
    <row r="6" spans="1:45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88"/>
      <c r="AA6" s="188"/>
      <c r="AB6" s="162"/>
      <c r="AC6" s="162"/>
      <c r="AD6" s="162"/>
      <c r="AE6" s="154"/>
      <c r="AF6" s="162"/>
    </row>
    <row r="7" spans="1:45" ht="15" customHeight="1" x14ac:dyDescent="0.2">
      <c r="A7" s="140"/>
      <c r="B7" s="140" t="e">
        <f t="shared" ref="B7:B16" ca="1" si="4">INDIRECT("'"&amp;$A7&amp;"'!E5")</f>
        <v>#REF!</v>
      </c>
      <c r="C7" s="163" t="e">
        <f t="shared" ref="C7:C13" ca="1" si="5">INDIRECT("'"&amp;$A7&amp;"'!L13")</f>
        <v>#REF!</v>
      </c>
      <c r="D7" s="163" t="e">
        <f t="shared" ref="D7:D13" ca="1" si="6">INDIRECT("'"&amp;$A7&amp;"'!L14")</f>
        <v>#REF!</v>
      </c>
      <c r="E7" s="163" t="e">
        <f t="shared" ref="E7:E13" ca="1" si="7">INDIRECT("'"&amp;$A7&amp;"'!L15")</f>
        <v>#REF!</v>
      </c>
      <c r="F7" s="163" t="e">
        <f t="shared" ref="F7:F13" ca="1" si="8">INDIRECT("'"&amp;$A7&amp;"'!L16")</f>
        <v>#REF!</v>
      </c>
      <c r="G7" s="163" t="e">
        <f t="shared" ref="G7:G13" ca="1" si="9">INDIRECT("'"&amp;$A7&amp;"'!L17")</f>
        <v>#REF!</v>
      </c>
      <c r="H7" s="163" t="e">
        <f t="shared" ref="H7:H13" ca="1" si="10">INDIRECT("'"&amp;$A7&amp;"'!L18")</f>
        <v>#REF!</v>
      </c>
      <c r="I7" s="163" t="e">
        <f t="shared" ref="I7:I13" ca="1" si="11">INDIRECT("'"&amp;$A7&amp;"'!L19")</f>
        <v>#REF!</v>
      </c>
      <c r="J7" s="163" t="e">
        <f t="shared" ref="J7:J13" ca="1" si="12">INDIRECT("'"&amp;$A7&amp;"'!L20")</f>
        <v>#REF!</v>
      </c>
      <c r="K7" s="163" t="e">
        <f t="shared" ref="K7:K13" ca="1" si="13">INDIRECT("'"&amp;$A7&amp;"'!L21")</f>
        <v>#REF!</v>
      </c>
      <c r="L7" s="163" t="e">
        <f t="shared" ref="L7:L13" ca="1" si="14">INDIRECT("'"&amp;$A7&amp;"'!L22")</f>
        <v>#REF!</v>
      </c>
      <c r="M7" s="163" t="e">
        <f t="shared" ref="M7:M13" ca="1" si="15">INDIRECT("'"&amp;$A7&amp;"'!L23")</f>
        <v>#REF!</v>
      </c>
      <c r="N7" s="163" t="e">
        <f t="shared" ref="N7:N13" ca="1" si="16">INDIRECT("'"&amp;$A7&amp;"'!L24")</f>
        <v>#REF!</v>
      </c>
      <c r="O7" s="163" t="e">
        <f t="shared" ref="O7:O13" ca="1" si="17">INDIRECT("'"&amp;$A7&amp;"'!L25")</f>
        <v>#REF!</v>
      </c>
      <c r="P7" s="163" t="e">
        <f t="shared" ref="P7:P13" ca="1" si="18">INDIRECT("'"&amp;$A7&amp;"'!L26")</f>
        <v>#REF!</v>
      </c>
      <c r="Q7" s="163" t="e">
        <f t="shared" ref="Q7:Q13" ca="1" si="19">INDIRECT("'"&amp;$A7&amp;"'!L27")</f>
        <v>#REF!</v>
      </c>
      <c r="R7" s="163" t="e">
        <f t="shared" ref="R7:R13" ca="1" si="20">INDIRECT("'"&amp;$A7&amp;"'!L28")</f>
        <v>#REF!</v>
      </c>
      <c r="S7" s="163"/>
      <c r="T7" s="163"/>
      <c r="U7" s="163"/>
      <c r="V7" s="163"/>
      <c r="W7" s="163"/>
      <c r="X7" s="163"/>
      <c r="Y7" s="163" t="e">
        <f t="shared" ref="Y7:Y13" ca="1" si="21">INDIRECT("'"&amp;$A7&amp;"'!L29")</f>
        <v>#REF!</v>
      </c>
      <c r="Z7" s="189" t="e">
        <f t="shared" ref="Z7:Z13" ca="1" si="22">INDIRECT("'"&amp;$A7&amp;"'!L36")</f>
        <v>#REF!</v>
      </c>
      <c r="AA7" s="189"/>
      <c r="AB7" s="164" t="e">
        <f t="shared" ref="AB7:AB16" ca="1" si="23">INDIRECT("'"&amp;$A7&amp;"'!F36")</f>
        <v>#REF!</v>
      </c>
      <c r="AC7" s="164" t="e">
        <f t="shared" ref="AC7:AC16" ca="1" si="24">INDIRECT("'"&amp;$A7&amp;"'!H36")</f>
        <v>#REF!</v>
      </c>
      <c r="AD7" s="164" t="e">
        <f t="shared" ref="AD7:AD16" ca="1" si="25">INDIRECT("'"&amp;$A7&amp;"'!I36")</f>
        <v>#REF!</v>
      </c>
      <c r="AE7" s="163" t="e">
        <f t="shared" ref="AE7:AE13" ca="1" si="26">INDIRECT("'"&amp;$A7&amp;"'!J36")</f>
        <v>#REF!</v>
      </c>
      <c r="AF7" s="164" t="e">
        <f t="shared" ref="AF7:AF13" ca="1" si="27">INDIRECT("'"&amp;$A7&amp;"'!K36")</f>
        <v>#REF!</v>
      </c>
    </row>
    <row r="8" spans="1:45" ht="15" customHeight="1" x14ac:dyDescent="0.2">
      <c r="A8" s="141"/>
      <c r="B8" s="141" t="e">
        <f t="shared" ca="1" si="4"/>
        <v>#REF!</v>
      </c>
      <c r="C8" s="148" t="e">
        <f t="shared" ca="1" si="5"/>
        <v>#REF!</v>
      </c>
      <c r="D8" s="148" t="e">
        <f t="shared" ca="1" si="6"/>
        <v>#REF!</v>
      </c>
      <c r="E8" s="148" t="e">
        <f t="shared" ca="1" si="7"/>
        <v>#REF!</v>
      </c>
      <c r="F8" s="148" t="e">
        <f t="shared" ca="1" si="8"/>
        <v>#REF!</v>
      </c>
      <c r="G8" s="148" t="e">
        <f t="shared" ca="1" si="9"/>
        <v>#REF!</v>
      </c>
      <c r="H8" s="148" t="e">
        <f t="shared" ca="1" si="10"/>
        <v>#REF!</v>
      </c>
      <c r="I8" s="148" t="e">
        <f t="shared" ca="1" si="11"/>
        <v>#REF!</v>
      </c>
      <c r="J8" s="148" t="e">
        <f t="shared" ca="1" si="12"/>
        <v>#REF!</v>
      </c>
      <c r="K8" s="148" t="e">
        <f t="shared" ca="1" si="13"/>
        <v>#REF!</v>
      </c>
      <c r="L8" s="148" t="e">
        <f t="shared" ca="1" si="14"/>
        <v>#REF!</v>
      </c>
      <c r="M8" s="148" t="e">
        <f t="shared" ca="1" si="15"/>
        <v>#REF!</v>
      </c>
      <c r="N8" s="148" t="e">
        <f t="shared" ca="1" si="16"/>
        <v>#REF!</v>
      </c>
      <c r="O8" s="148" t="e">
        <f t="shared" ca="1" si="17"/>
        <v>#REF!</v>
      </c>
      <c r="P8" s="148" t="e">
        <f t="shared" ca="1" si="18"/>
        <v>#REF!</v>
      </c>
      <c r="Q8" s="148" t="e">
        <f t="shared" ca="1" si="19"/>
        <v>#REF!</v>
      </c>
      <c r="R8" s="148" t="e">
        <f t="shared" ca="1" si="20"/>
        <v>#REF!</v>
      </c>
      <c r="S8" s="148"/>
      <c r="T8" s="148"/>
      <c r="U8" s="148"/>
      <c r="V8" s="148"/>
      <c r="W8" s="148"/>
      <c r="X8" s="148"/>
      <c r="Y8" s="148" t="e">
        <f t="shared" ca="1" si="21"/>
        <v>#REF!</v>
      </c>
      <c r="Z8" s="190" t="e">
        <f t="shared" ca="1" si="22"/>
        <v>#REF!</v>
      </c>
      <c r="AA8" s="167" t="e">
        <f ca="1">SUM(C22:Y22)/COUNT(C8:Y8)</f>
        <v>#REF!</v>
      </c>
      <c r="AB8" s="168" t="e">
        <f t="shared" ca="1" si="23"/>
        <v>#REF!</v>
      </c>
      <c r="AC8" s="168" t="e">
        <f t="shared" ca="1" si="24"/>
        <v>#REF!</v>
      </c>
      <c r="AD8" s="168" t="e">
        <f t="shared" ca="1" si="25"/>
        <v>#REF!</v>
      </c>
      <c r="AE8" s="169" t="e">
        <f t="shared" ca="1" si="26"/>
        <v>#REF!</v>
      </c>
      <c r="AF8" s="168" t="e">
        <f t="shared" ca="1" si="27"/>
        <v>#REF!</v>
      </c>
    </row>
    <row r="9" spans="1:45" ht="15" customHeight="1" x14ac:dyDescent="0.2">
      <c r="A9" s="141"/>
      <c r="B9" s="141" t="e">
        <f t="shared" ca="1" si="4"/>
        <v>#REF!</v>
      </c>
      <c r="C9" s="169" t="e">
        <f t="shared" ca="1" si="5"/>
        <v>#REF!</v>
      </c>
      <c r="D9" s="169" t="e">
        <f t="shared" ca="1" si="6"/>
        <v>#REF!</v>
      </c>
      <c r="E9" s="169" t="e">
        <f t="shared" ca="1" si="7"/>
        <v>#REF!</v>
      </c>
      <c r="F9" s="169" t="e">
        <f t="shared" ca="1" si="8"/>
        <v>#REF!</v>
      </c>
      <c r="G9" s="169" t="e">
        <f t="shared" ca="1" si="9"/>
        <v>#REF!</v>
      </c>
      <c r="H9" s="169" t="e">
        <f t="shared" ca="1" si="10"/>
        <v>#REF!</v>
      </c>
      <c r="I9" s="169" t="e">
        <f t="shared" ca="1" si="11"/>
        <v>#REF!</v>
      </c>
      <c r="J9" s="169" t="e">
        <f t="shared" ca="1" si="12"/>
        <v>#REF!</v>
      </c>
      <c r="K9" s="169" t="e">
        <f t="shared" ca="1" si="13"/>
        <v>#REF!</v>
      </c>
      <c r="L9" s="169" t="e">
        <f t="shared" ca="1" si="14"/>
        <v>#REF!</v>
      </c>
      <c r="M9" s="169" t="e">
        <f t="shared" ca="1" si="15"/>
        <v>#REF!</v>
      </c>
      <c r="N9" s="169" t="e">
        <f t="shared" ca="1" si="16"/>
        <v>#REF!</v>
      </c>
      <c r="O9" s="169" t="e">
        <f t="shared" ca="1" si="17"/>
        <v>#REF!</v>
      </c>
      <c r="P9" s="169" t="e">
        <f t="shared" ca="1" si="18"/>
        <v>#REF!</v>
      </c>
      <c r="Q9" s="169" t="e">
        <f t="shared" ca="1" si="19"/>
        <v>#REF!</v>
      </c>
      <c r="R9" s="169" t="e">
        <f t="shared" ca="1" si="20"/>
        <v>#REF!</v>
      </c>
      <c r="S9" s="169"/>
      <c r="T9" s="169"/>
      <c r="U9" s="169"/>
      <c r="V9" s="169"/>
      <c r="W9" s="169"/>
      <c r="X9" s="169"/>
      <c r="Y9" s="169" t="e">
        <f t="shared" ca="1" si="21"/>
        <v>#REF!</v>
      </c>
      <c r="Z9" s="190" t="e">
        <f t="shared" ca="1" si="22"/>
        <v>#REF!</v>
      </c>
      <c r="AA9" s="170" t="e">
        <f t="shared" ref="AA9:AA13" ca="1" si="28">SUM(C23:Y23)/COUNT(C9:Y9)</f>
        <v>#REF!</v>
      </c>
      <c r="AB9" s="168" t="e">
        <f t="shared" ca="1" si="23"/>
        <v>#REF!</v>
      </c>
      <c r="AC9" s="168" t="e">
        <f t="shared" ca="1" si="24"/>
        <v>#REF!</v>
      </c>
      <c r="AD9" s="168" t="e">
        <f t="shared" ca="1" si="25"/>
        <v>#REF!</v>
      </c>
      <c r="AE9" s="169" t="e">
        <f t="shared" ca="1" si="26"/>
        <v>#REF!</v>
      </c>
      <c r="AF9" s="168" t="e">
        <f t="shared" ca="1" si="27"/>
        <v>#REF!</v>
      </c>
    </row>
    <row r="10" spans="1:45" ht="15" customHeight="1" x14ac:dyDescent="0.2">
      <c r="A10" s="141"/>
      <c r="B10" s="141" t="e">
        <f t="shared" ca="1" si="4"/>
        <v>#REF!</v>
      </c>
      <c r="C10" s="169" t="e">
        <f t="shared" ca="1" si="5"/>
        <v>#REF!</v>
      </c>
      <c r="D10" s="169" t="e">
        <f t="shared" ca="1" si="6"/>
        <v>#REF!</v>
      </c>
      <c r="E10" s="169" t="e">
        <f t="shared" ca="1" si="7"/>
        <v>#REF!</v>
      </c>
      <c r="F10" s="169" t="e">
        <f t="shared" ca="1" si="8"/>
        <v>#REF!</v>
      </c>
      <c r="G10" s="169" t="e">
        <f t="shared" ca="1" si="9"/>
        <v>#REF!</v>
      </c>
      <c r="H10" s="169" t="e">
        <f t="shared" ca="1" si="10"/>
        <v>#REF!</v>
      </c>
      <c r="I10" s="169" t="e">
        <f t="shared" ca="1" si="11"/>
        <v>#REF!</v>
      </c>
      <c r="J10" s="169" t="e">
        <f t="shared" ca="1" si="12"/>
        <v>#REF!</v>
      </c>
      <c r="K10" s="169" t="e">
        <f t="shared" ca="1" si="13"/>
        <v>#REF!</v>
      </c>
      <c r="L10" s="169" t="e">
        <f t="shared" ca="1" si="14"/>
        <v>#REF!</v>
      </c>
      <c r="M10" s="169" t="e">
        <f t="shared" ca="1" si="15"/>
        <v>#REF!</v>
      </c>
      <c r="N10" s="169" t="e">
        <f t="shared" ca="1" si="16"/>
        <v>#REF!</v>
      </c>
      <c r="O10" s="169" t="e">
        <f t="shared" ca="1" si="17"/>
        <v>#REF!</v>
      </c>
      <c r="P10" s="169" t="e">
        <f t="shared" ca="1" si="18"/>
        <v>#REF!</v>
      </c>
      <c r="Q10" s="169" t="e">
        <f t="shared" ca="1" si="19"/>
        <v>#REF!</v>
      </c>
      <c r="R10" s="169" t="e">
        <f t="shared" ca="1" si="20"/>
        <v>#REF!</v>
      </c>
      <c r="S10" s="169"/>
      <c r="T10" s="169"/>
      <c r="U10" s="169"/>
      <c r="V10" s="169"/>
      <c r="W10" s="169"/>
      <c r="X10" s="169"/>
      <c r="Y10" s="169" t="e">
        <f t="shared" ca="1" si="21"/>
        <v>#REF!</v>
      </c>
      <c r="Z10" s="190" t="e">
        <f t="shared" ca="1" si="22"/>
        <v>#REF!</v>
      </c>
      <c r="AA10" s="170" t="e">
        <f t="shared" ca="1" si="28"/>
        <v>#REF!</v>
      </c>
      <c r="AB10" s="168" t="e">
        <f t="shared" ca="1" si="23"/>
        <v>#REF!</v>
      </c>
      <c r="AC10" s="168" t="e">
        <f t="shared" ca="1" si="24"/>
        <v>#REF!</v>
      </c>
      <c r="AD10" s="168" t="e">
        <f t="shared" ca="1" si="25"/>
        <v>#REF!</v>
      </c>
      <c r="AE10" s="169" t="e">
        <f t="shared" ca="1" si="26"/>
        <v>#REF!</v>
      </c>
      <c r="AF10" s="168" t="e">
        <f t="shared" ca="1" si="27"/>
        <v>#REF!</v>
      </c>
    </row>
    <row r="11" spans="1:45" ht="15" customHeight="1" x14ac:dyDescent="0.2">
      <c r="A11" s="141"/>
      <c r="B11" s="141" t="e">
        <f t="shared" ca="1" si="4"/>
        <v>#REF!</v>
      </c>
      <c r="C11" s="169" t="e">
        <f t="shared" ca="1" si="5"/>
        <v>#REF!</v>
      </c>
      <c r="D11" s="169" t="e">
        <f t="shared" ca="1" si="6"/>
        <v>#REF!</v>
      </c>
      <c r="E11" s="169" t="e">
        <f t="shared" ca="1" si="7"/>
        <v>#REF!</v>
      </c>
      <c r="F11" s="169" t="e">
        <f t="shared" ca="1" si="8"/>
        <v>#REF!</v>
      </c>
      <c r="G11" s="169" t="e">
        <f t="shared" ca="1" si="9"/>
        <v>#REF!</v>
      </c>
      <c r="H11" s="169" t="e">
        <f t="shared" ca="1" si="10"/>
        <v>#REF!</v>
      </c>
      <c r="I11" s="169" t="e">
        <f t="shared" ca="1" si="11"/>
        <v>#REF!</v>
      </c>
      <c r="J11" s="169" t="e">
        <f t="shared" ca="1" si="12"/>
        <v>#REF!</v>
      </c>
      <c r="K11" s="169" t="e">
        <f t="shared" ca="1" si="13"/>
        <v>#REF!</v>
      </c>
      <c r="L11" s="169" t="e">
        <f t="shared" ca="1" si="14"/>
        <v>#REF!</v>
      </c>
      <c r="M11" s="169" t="e">
        <f t="shared" ca="1" si="15"/>
        <v>#REF!</v>
      </c>
      <c r="N11" s="169" t="e">
        <f t="shared" ca="1" si="16"/>
        <v>#REF!</v>
      </c>
      <c r="O11" s="169" t="e">
        <f t="shared" ca="1" si="17"/>
        <v>#REF!</v>
      </c>
      <c r="P11" s="169" t="e">
        <f t="shared" ca="1" si="18"/>
        <v>#REF!</v>
      </c>
      <c r="Q11" s="169" t="e">
        <f t="shared" ca="1" si="19"/>
        <v>#REF!</v>
      </c>
      <c r="R11" s="169" t="e">
        <f t="shared" ca="1" si="20"/>
        <v>#REF!</v>
      </c>
      <c r="S11" s="169"/>
      <c r="T11" s="169"/>
      <c r="U11" s="169"/>
      <c r="V11" s="169"/>
      <c r="W11" s="169"/>
      <c r="X11" s="169"/>
      <c r="Y11" s="169" t="e">
        <f t="shared" ca="1" si="21"/>
        <v>#REF!</v>
      </c>
      <c r="Z11" s="190" t="e">
        <f t="shared" ca="1" si="22"/>
        <v>#REF!</v>
      </c>
      <c r="AA11" s="170" t="e">
        <f t="shared" ca="1" si="28"/>
        <v>#REF!</v>
      </c>
      <c r="AB11" s="168" t="e">
        <f t="shared" ca="1" si="23"/>
        <v>#REF!</v>
      </c>
      <c r="AC11" s="168" t="e">
        <f t="shared" ca="1" si="24"/>
        <v>#REF!</v>
      </c>
      <c r="AD11" s="168" t="e">
        <f t="shared" ca="1" si="25"/>
        <v>#REF!</v>
      </c>
      <c r="AE11" s="169" t="e">
        <f t="shared" ca="1" si="26"/>
        <v>#REF!</v>
      </c>
      <c r="AF11" s="168" t="e">
        <f t="shared" ca="1" si="27"/>
        <v>#REF!</v>
      </c>
    </row>
    <row r="12" spans="1:45" ht="15" customHeight="1" thickBot="1" x14ac:dyDescent="0.25">
      <c r="A12" s="141"/>
      <c r="B12" s="142" t="e">
        <f t="shared" ca="1" si="4"/>
        <v>#REF!</v>
      </c>
      <c r="C12" s="171" t="e">
        <f t="shared" ca="1" si="5"/>
        <v>#REF!</v>
      </c>
      <c r="D12" s="171" t="e">
        <f t="shared" ca="1" si="6"/>
        <v>#REF!</v>
      </c>
      <c r="E12" s="171" t="e">
        <f t="shared" ca="1" si="7"/>
        <v>#REF!</v>
      </c>
      <c r="F12" s="171" t="e">
        <f t="shared" ca="1" si="8"/>
        <v>#REF!</v>
      </c>
      <c r="G12" s="171" t="e">
        <f t="shared" ca="1" si="9"/>
        <v>#REF!</v>
      </c>
      <c r="H12" s="171" t="e">
        <f t="shared" ca="1" si="10"/>
        <v>#REF!</v>
      </c>
      <c r="I12" s="171" t="e">
        <f t="shared" ca="1" si="11"/>
        <v>#REF!</v>
      </c>
      <c r="J12" s="171" t="e">
        <f t="shared" ca="1" si="12"/>
        <v>#REF!</v>
      </c>
      <c r="K12" s="171" t="e">
        <f t="shared" ca="1" si="13"/>
        <v>#REF!</v>
      </c>
      <c r="L12" s="171" t="e">
        <f t="shared" ca="1" si="14"/>
        <v>#REF!</v>
      </c>
      <c r="M12" s="171" t="e">
        <f t="shared" ca="1" si="15"/>
        <v>#REF!</v>
      </c>
      <c r="N12" s="171" t="e">
        <f t="shared" ca="1" si="16"/>
        <v>#REF!</v>
      </c>
      <c r="O12" s="171" t="e">
        <f t="shared" ca="1" si="17"/>
        <v>#REF!</v>
      </c>
      <c r="P12" s="171" t="e">
        <f t="shared" ca="1" si="18"/>
        <v>#REF!</v>
      </c>
      <c r="Q12" s="171" t="e">
        <f t="shared" ca="1" si="19"/>
        <v>#REF!</v>
      </c>
      <c r="R12" s="171" t="e">
        <f t="shared" ca="1" si="20"/>
        <v>#REF!</v>
      </c>
      <c r="S12" s="171"/>
      <c r="T12" s="171"/>
      <c r="U12" s="171"/>
      <c r="V12" s="171"/>
      <c r="W12" s="171"/>
      <c r="X12" s="171"/>
      <c r="Y12" s="171" t="e">
        <f t="shared" ca="1" si="21"/>
        <v>#REF!</v>
      </c>
      <c r="Z12" s="191" t="e">
        <f t="shared" ca="1" si="22"/>
        <v>#REF!</v>
      </c>
      <c r="AA12" s="170" t="e">
        <f t="shared" ca="1" si="28"/>
        <v>#REF!</v>
      </c>
      <c r="AB12" s="172" t="e">
        <f t="shared" ca="1" si="23"/>
        <v>#REF!</v>
      </c>
      <c r="AC12" s="172" t="e">
        <f t="shared" ca="1" si="24"/>
        <v>#REF!</v>
      </c>
      <c r="AD12" s="172" t="e">
        <f t="shared" ca="1" si="25"/>
        <v>#REF!</v>
      </c>
      <c r="AE12" s="171" t="e">
        <f t="shared" ca="1" si="26"/>
        <v>#REF!</v>
      </c>
      <c r="AF12" s="172" t="e">
        <f t="shared" ca="1" si="27"/>
        <v>#REF!</v>
      </c>
    </row>
    <row r="13" spans="1:45" ht="15" customHeight="1" thickBot="1" x14ac:dyDescent="0.25">
      <c r="A13" s="143"/>
      <c r="B13" s="143" t="e">
        <f t="shared" ca="1" si="4"/>
        <v>#REF!</v>
      </c>
      <c r="C13" s="173" t="e">
        <f t="shared" ca="1" si="5"/>
        <v>#REF!</v>
      </c>
      <c r="D13" s="173" t="e">
        <f t="shared" ca="1" si="6"/>
        <v>#REF!</v>
      </c>
      <c r="E13" s="173" t="e">
        <f t="shared" ca="1" si="7"/>
        <v>#REF!</v>
      </c>
      <c r="F13" s="173" t="e">
        <f t="shared" ca="1" si="8"/>
        <v>#REF!</v>
      </c>
      <c r="G13" s="173" t="e">
        <f t="shared" ca="1" si="9"/>
        <v>#REF!</v>
      </c>
      <c r="H13" s="173" t="e">
        <f t="shared" ca="1" si="10"/>
        <v>#REF!</v>
      </c>
      <c r="I13" s="173" t="e">
        <f t="shared" ca="1" si="11"/>
        <v>#REF!</v>
      </c>
      <c r="J13" s="173" t="e">
        <f t="shared" ca="1" si="12"/>
        <v>#REF!</v>
      </c>
      <c r="K13" s="173" t="e">
        <f t="shared" ca="1" si="13"/>
        <v>#REF!</v>
      </c>
      <c r="L13" s="173" t="e">
        <f t="shared" ca="1" si="14"/>
        <v>#REF!</v>
      </c>
      <c r="M13" s="173" t="e">
        <f t="shared" ca="1" si="15"/>
        <v>#REF!</v>
      </c>
      <c r="N13" s="173" t="e">
        <f t="shared" ca="1" si="16"/>
        <v>#REF!</v>
      </c>
      <c r="O13" s="173" t="e">
        <f t="shared" ca="1" si="17"/>
        <v>#REF!</v>
      </c>
      <c r="P13" s="173" t="e">
        <f t="shared" ca="1" si="18"/>
        <v>#REF!</v>
      </c>
      <c r="Q13" s="173" t="e">
        <f t="shared" ca="1" si="19"/>
        <v>#REF!</v>
      </c>
      <c r="R13" s="173" t="e">
        <f t="shared" ca="1" si="20"/>
        <v>#REF!</v>
      </c>
      <c r="S13" s="173"/>
      <c r="T13" s="173"/>
      <c r="U13" s="173"/>
      <c r="V13" s="173"/>
      <c r="W13" s="173"/>
      <c r="X13" s="173"/>
      <c r="Y13" s="173" t="e">
        <f t="shared" ca="1" si="21"/>
        <v>#REF!</v>
      </c>
      <c r="Z13" s="192" t="e">
        <f t="shared" ca="1" si="22"/>
        <v>#REF!</v>
      </c>
      <c r="AA13" s="175" t="e">
        <f t="shared" ca="1" si="28"/>
        <v>#REF!</v>
      </c>
      <c r="AB13" s="174" t="e">
        <f t="shared" ca="1" si="23"/>
        <v>#REF!</v>
      </c>
      <c r="AC13" s="174" t="e">
        <f t="shared" ca="1" si="24"/>
        <v>#REF!</v>
      </c>
      <c r="AD13" s="174" t="e">
        <f t="shared" ca="1" si="25"/>
        <v>#REF!</v>
      </c>
      <c r="AE13" s="173" t="e">
        <f t="shared" ca="1" si="26"/>
        <v>#REF!</v>
      </c>
      <c r="AF13" s="174" t="e">
        <f t="shared" ca="1" si="27"/>
        <v>#REF!</v>
      </c>
    </row>
    <row r="14" spans="1:45" ht="15" customHeight="1" x14ac:dyDescent="0.2">
      <c r="A14" s="144"/>
      <c r="B14" s="144"/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7"/>
      <c r="AA14" s="193"/>
      <c r="AB14" s="179"/>
      <c r="AC14" s="179"/>
      <c r="AD14" s="179"/>
      <c r="AE14" s="176"/>
      <c r="AF14" s="179"/>
    </row>
    <row r="15" spans="1:45" ht="15" customHeight="1" x14ac:dyDescent="0.2">
      <c r="A15" s="141"/>
      <c r="B15" s="145" t="e">
        <f t="shared" ca="1" si="4"/>
        <v>#REF!</v>
      </c>
      <c r="C15" s="183" t="e">
        <f ca="1">INDIRECT("'"&amp;$A15&amp;"'!L13")</f>
        <v>#REF!</v>
      </c>
      <c r="D15" s="183" t="e">
        <f ca="1">INDIRECT("'"&amp;$A15&amp;"'!L14")</f>
        <v>#REF!</v>
      </c>
      <c r="E15" s="183" t="e">
        <f ca="1">INDIRECT("'"&amp;$A15&amp;"'!L15")</f>
        <v>#REF!</v>
      </c>
      <c r="F15" s="183" t="e">
        <f ca="1">INDIRECT("'"&amp;$A15&amp;"'!L16")</f>
        <v>#REF!</v>
      </c>
      <c r="G15" s="183" t="e">
        <f ca="1">INDIRECT("'"&amp;$A15&amp;"'!L17")</f>
        <v>#REF!</v>
      </c>
      <c r="H15" s="183" t="e">
        <f ca="1">INDIRECT("'"&amp;$A15&amp;"'!L18")</f>
        <v>#REF!</v>
      </c>
      <c r="I15" s="183" t="e">
        <f ca="1">INDIRECT("'"&amp;$A15&amp;"'!L19")</f>
        <v>#REF!</v>
      </c>
      <c r="J15" s="183" t="e">
        <f ca="1">INDIRECT("'"&amp;$A15&amp;"'!L20")</f>
        <v>#REF!</v>
      </c>
      <c r="K15" s="183" t="e">
        <f ca="1">INDIRECT("'"&amp;$A15&amp;"'!L21")</f>
        <v>#REF!</v>
      </c>
      <c r="L15" s="183" t="e">
        <f ca="1">INDIRECT("'"&amp;$A15&amp;"'!L22")</f>
        <v>#REF!</v>
      </c>
      <c r="M15" s="183" t="e">
        <f ca="1">INDIRECT("'"&amp;$A15&amp;"'!L23")</f>
        <v>#REF!</v>
      </c>
      <c r="N15" s="183" t="e">
        <f ca="1">INDIRECT("'"&amp;$A15&amp;"'!L24")</f>
        <v>#REF!</v>
      </c>
      <c r="O15" s="183" t="e">
        <f ca="1">INDIRECT("'"&amp;$A15&amp;"'!L25")</f>
        <v>#REF!</v>
      </c>
      <c r="P15" s="183" t="e">
        <f ca="1">INDIRECT("'"&amp;$A15&amp;"'!L26")</f>
        <v>#REF!</v>
      </c>
      <c r="Q15" s="183" t="e">
        <f ca="1">INDIRECT("'"&amp;$A15&amp;"'!L27")</f>
        <v>#REF!</v>
      </c>
      <c r="R15" s="183" t="e">
        <f ca="1">INDIRECT("'"&amp;$A15&amp;"'!L28")</f>
        <v>#REF!</v>
      </c>
      <c r="S15" s="183"/>
      <c r="T15" s="183"/>
      <c r="U15" s="183"/>
      <c r="V15" s="183"/>
      <c r="W15" s="183"/>
      <c r="X15" s="183"/>
      <c r="Y15" s="183" t="e">
        <f ca="1">INDIRECT("'"&amp;$A15&amp;"'!L29")</f>
        <v>#REF!</v>
      </c>
      <c r="Z15" s="194" t="e">
        <f ca="1">INDIRECT("'"&amp;$A15&amp;"'!L36")</f>
        <v>#REF!</v>
      </c>
      <c r="AA15" s="182" t="e">
        <f ca="1">SUM(C29:Y29)/COUNT(C15:Y15)</f>
        <v>#REF!</v>
      </c>
      <c r="AB15" s="183" t="e">
        <f t="shared" ca="1" si="23"/>
        <v>#REF!</v>
      </c>
      <c r="AC15" s="183" t="e">
        <f t="shared" ca="1" si="24"/>
        <v>#REF!</v>
      </c>
      <c r="AD15" s="183" t="e">
        <f t="shared" ca="1" si="25"/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45" ht="15" customHeight="1" x14ac:dyDescent="0.2">
      <c r="A16" s="141"/>
      <c r="B16" s="144" t="e">
        <f t="shared" ca="1" si="4"/>
        <v>#REF!</v>
      </c>
      <c r="C16" s="179" t="e">
        <f ca="1">INDIRECT("'"&amp;$A16&amp;"'!L13")</f>
        <v>#REF!</v>
      </c>
      <c r="D16" s="179" t="e">
        <f ca="1">INDIRECT("'"&amp;$A16&amp;"'!L14")</f>
        <v>#REF!</v>
      </c>
      <c r="E16" s="179" t="e">
        <f ca="1">INDIRECT("'"&amp;$A16&amp;"'!L15")</f>
        <v>#REF!</v>
      </c>
      <c r="F16" s="179" t="e">
        <f ca="1">INDIRECT("'"&amp;$A16&amp;"'!L16")</f>
        <v>#REF!</v>
      </c>
      <c r="G16" s="179" t="e">
        <f ca="1">INDIRECT("'"&amp;$A16&amp;"'!L17")</f>
        <v>#REF!</v>
      </c>
      <c r="H16" s="179" t="e">
        <f ca="1">INDIRECT("'"&amp;$A16&amp;"'!L18")</f>
        <v>#REF!</v>
      </c>
      <c r="I16" s="179" t="e">
        <f ca="1">INDIRECT("'"&amp;$A16&amp;"'!L19")</f>
        <v>#REF!</v>
      </c>
      <c r="J16" s="179" t="e">
        <f ca="1">INDIRECT("'"&amp;$A16&amp;"'!L20")</f>
        <v>#REF!</v>
      </c>
      <c r="K16" s="179" t="e">
        <f ca="1">INDIRECT("'"&amp;$A16&amp;"'!L21")</f>
        <v>#REF!</v>
      </c>
      <c r="L16" s="179" t="e">
        <f ca="1">INDIRECT("'"&amp;$A16&amp;"'!L22")</f>
        <v>#REF!</v>
      </c>
      <c r="M16" s="179" t="e">
        <f ca="1">INDIRECT("'"&amp;$A16&amp;"'!L23")</f>
        <v>#REF!</v>
      </c>
      <c r="N16" s="179" t="e">
        <f ca="1">INDIRECT("'"&amp;$A16&amp;"'!L24")</f>
        <v>#REF!</v>
      </c>
      <c r="O16" s="179" t="e">
        <f ca="1">INDIRECT("'"&amp;$A16&amp;"'!L25")</f>
        <v>#REF!</v>
      </c>
      <c r="P16" s="179" t="e">
        <f ca="1">INDIRECT("'"&amp;$A16&amp;"'!L26")</f>
        <v>#REF!</v>
      </c>
      <c r="Q16" s="179" t="e">
        <f ca="1">INDIRECT("'"&amp;$A16&amp;"'!L27")</f>
        <v>#REF!</v>
      </c>
      <c r="R16" s="179" t="e">
        <f ca="1">INDIRECT("'"&amp;$A16&amp;"'!L28")</f>
        <v>#REF!</v>
      </c>
      <c r="S16" s="179"/>
      <c r="T16" s="179"/>
      <c r="U16" s="179"/>
      <c r="V16" s="179"/>
      <c r="W16" s="179"/>
      <c r="X16" s="179"/>
      <c r="Y16" s="179" t="e">
        <f ca="1">INDIRECT("'"&amp;$A16&amp;"'!L29")</f>
        <v>#REF!</v>
      </c>
      <c r="Z16" s="195" t="e">
        <f ca="1">INDIRECT("'"&amp;$A16&amp;"'!L36")</f>
        <v>#REF!</v>
      </c>
      <c r="AA16" s="182" t="e">
        <f ca="1">SUM(C30:Y30)/COUNT(C16:Y16)</f>
        <v>#REF!</v>
      </c>
      <c r="AB16" s="179" t="e">
        <f t="shared" ca="1" si="23"/>
        <v>#REF!</v>
      </c>
      <c r="AC16" s="179" t="e">
        <f t="shared" ca="1" si="24"/>
        <v>#REF!</v>
      </c>
      <c r="AD16" s="179" t="e">
        <f t="shared" ca="1" si="25"/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29">IF(ABS(D$3/3-D8)&lt;=0.75,1,0)</f>
        <v>#REF!</v>
      </c>
      <c r="E22" s="86" t="e">
        <f t="shared" ca="1" si="29"/>
        <v>#REF!</v>
      </c>
      <c r="F22" s="86" t="e">
        <f t="shared" ca="1" si="29"/>
        <v>#REF!</v>
      </c>
      <c r="G22" s="86" t="e">
        <f t="shared" ca="1" si="29"/>
        <v>#REF!</v>
      </c>
      <c r="H22" s="86" t="e">
        <f t="shared" ca="1" si="29"/>
        <v>#REF!</v>
      </c>
      <c r="I22" s="86" t="e">
        <f t="shared" ca="1" si="29"/>
        <v>#REF!</v>
      </c>
      <c r="J22" s="86" t="e">
        <f t="shared" ca="1" si="29"/>
        <v>#REF!</v>
      </c>
      <c r="K22" s="86" t="e">
        <f t="shared" ca="1" si="29"/>
        <v>#REF!</v>
      </c>
      <c r="L22" s="86" t="e">
        <f t="shared" ca="1" si="29"/>
        <v>#REF!</v>
      </c>
      <c r="M22" s="86" t="e">
        <f t="shared" ca="1" si="29"/>
        <v>#REF!</v>
      </c>
      <c r="N22" s="86" t="e">
        <f t="shared" ca="1" si="29"/>
        <v>#REF!</v>
      </c>
      <c r="O22" s="86" t="e">
        <f t="shared" ca="1" si="29"/>
        <v>#REF!</v>
      </c>
      <c r="P22" s="86" t="e">
        <f t="shared" ca="1" si="29"/>
        <v>#REF!</v>
      </c>
      <c r="Q22" s="86" t="e">
        <f t="shared" ca="1" si="29"/>
        <v>#REF!</v>
      </c>
      <c r="R22" s="86" t="e">
        <f t="shared" ca="1" si="29"/>
        <v>#REF!</v>
      </c>
      <c r="S22" s="86"/>
      <c r="T22" s="86"/>
      <c r="U22" s="86"/>
      <c r="V22" s="86"/>
      <c r="W22" s="86"/>
      <c r="X22" s="86"/>
      <c r="Y22" s="86" t="e">
        <f t="shared" ref="Y22:Y27" ca="1" si="30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T23" s="86"/>
      <c r="U23" s="86"/>
      <c r="V23" s="86"/>
      <c r="W23" s="86"/>
      <c r="X23" s="86"/>
      <c r="Y23" s="86" t="e">
        <f t="shared" ca="1" si="30"/>
        <v>#REF!</v>
      </c>
    </row>
    <row r="24" spans="1:32" hidden="1" x14ac:dyDescent="0.2">
      <c r="A24" s="86">
        <f>A10</f>
        <v>0</v>
      </c>
      <c r="B24" s="86" t="e">
        <f t="shared" ref="B24:B30" ca="1" si="32">B10</f>
        <v>#REF!</v>
      </c>
      <c r="C24" s="86" t="e">
        <f t="shared" ca="1" si="31"/>
        <v>#REF!</v>
      </c>
      <c r="D24" s="86" t="e">
        <f t="shared" ca="1" si="31"/>
        <v>#REF!</v>
      </c>
      <c r="E24" s="86" t="e">
        <f t="shared" ca="1" si="31"/>
        <v>#REF!</v>
      </c>
      <c r="F24" s="86" t="e">
        <f t="shared" ca="1" si="31"/>
        <v>#REF!</v>
      </c>
      <c r="G24" s="86" t="e">
        <f t="shared" ca="1" si="31"/>
        <v>#REF!</v>
      </c>
      <c r="H24" s="86" t="e">
        <f t="shared" ca="1" si="31"/>
        <v>#REF!</v>
      </c>
      <c r="I24" s="86" t="e">
        <f t="shared" ca="1" si="31"/>
        <v>#REF!</v>
      </c>
      <c r="J24" s="86" t="e">
        <f t="shared" ca="1" si="31"/>
        <v>#REF!</v>
      </c>
      <c r="K24" s="86" t="e">
        <f t="shared" ca="1" si="31"/>
        <v>#REF!</v>
      </c>
      <c r="L24" s="86" t="e">
        <f t="shared" ca="1" si="31"/>
        <v>#REF!</v>
      </c>
      <c r="M24" s="86" t="e">
        <f t="shared" ca="1" si="31"/>
        <v>#REF!</v>
      </c>
      <c r="N24" s="86" t="e">
        <f t="shared" ca="1" si="31"/>
        <v>#REF!</v>
      </c>
      <c r="O24" s="86" t="e">
        <f t="shared" ca="1" si="31"/>
        <v>#REF!</v>
      </c>
      <c r="P24" s="86" t="e">
        <f t="shared" ca="1" si="31"/>
        <v>#REF!</v>
      </c>
      <c r="Q24" s="86" t="e">
        <f t="shared" ca="1" si="31"/>
        <v>#REF!</v>
      </c>
      <c r="R24" s="86" t="e">
        <f t="shared" ca="1" si="31"/>
        <v>#REF!</v>
      </c>
      <c r="S24" s="86"/>
      <c r="T24" s="86"/>
      <c r="U24" s="86"/>
      <c r="V24" s="86"/>
      <c r="W24" s="86"/>
      <c r="X24" s="86"/>
      <c r="Y24" s="86" t="e">
        <f t="shared" ca="1" si="30"/>
        <v>#REF!</v>
      </c>
    </row>
    <row r="25" spans="1:32" hidden="1" x14ac:dyDescent="0.2">
      <c r="A25" s="86">
        <f>A11</f>
        <v>0</v>
      </c>
      <c r="B25" s="86" t="e">
        <f t="shared" ca="1" si="32"/>
        <v>#REF!</v>
      </c>
      <c r="C25" s="86" t="e">
        <f t="shared" ca="1" si="31"/>
        <v>#REF!</v>
      </c>
      <c r="D25" s="86" t="e">
        <f t="shared" ca="1" si="31"/>
        <v>#REF!</v>
      </c>
      <c r="E25" s="86" t="e">
        <f t="shared" ca="1" si="31"/>
        <v>#REF!</v>
      </c>
      <c r="F25" s="86" t="e">
        <f t="shared" ca="1" si="31"/>
        <v>#REF!</v>
      </c>
      <c r="G25" s="86" t="e">
        <f t="shared" ca="1" si="31"/>
        <v>#REF!</v>
      </c>
      <c r="H25" s="86" t="e">
        <f t="shared" ca="1" si="31"/>
        <v>#REF!</v>
      </c>
      <c r="I25" s="86" t="e">
        <f t="shared" ca="1" si="31"/>
        <v>#REF!</v>
      </c>
      <c r="J25" s="86" t="e">
        <f t="shared" ca="1" si="31"/>
        <v>#REF!</v>
      </c>
      <c r="K25" s="86" t="e">
        <f t="shared" ca="1" si="31"/>
        <v>#REF!</v>
      </c>
      <c r="L25" s="86" t="e">
        <f t="shared" ca="1" si="31"/>
        <v>#REF!</v>
      </c>
      <c r="M25" s="86" t="e">
        <f t="shared" ca="1" si="31"/>
        <v>#REF!</v>
      </c>
      <c r="N25" s="86" t="e">
        <f t="shared" ca="1" si="31"/>
        <v>#REF!</v>
      </c>
      <c r="O25" s="86" t="e">
        <f t="shared" ca="1" si="31"/>
        <v>#REF!</v>
      </c>
      <c r="P25" s="86" t="e">
        <f t="shared" ca="1" si="31"/>
        <v>#REF!</v>
      </c>
      <c r="Q25" s="86" t="e">
        <f t="shared" ca="1" si="31"/>
        <v>#REF!</v>
      </c>
      <c r="R25" s="86" t="e">
        <f t="shared" ca="1" si="31"/>
        <v>#REF!</v>
      </c>
      <c r="S25" s="86"/>
      <c r="T25" s="86"/>
      <c r="U25" s="86"/>
      <c r="V25" s="86"/>
      <c r="W25" s="86"/>
      <c r="X25" s="86"/>
      <c r="Y25" s="86" t="e">
        <f t="shared" ca="1" si="30"/>
        <v>#REF!</v>
      </c>
    </row>
    <row r="26" spans="1:32" hidden="1" x14ac:dyDescent="0.2">
      <c r="A26" s="86">
        <f>A12</f>
        <v>0</v>
      </c>
      <c r="B26" s="86" t="e">
        <f t="shared" ca="1" si="32"/>
        <v>#REF!</v>
      </c>
      <c r="C26" s="86" t="e">
        <f t="shared" ca="1" si="31"/>
        <v>#REF!</v>
      </c>
      <c r="D26" s="86" t="e">
        <f t="shared" ca="1" si="31"/>
        <v>#REF!</v>
      </c>
      <c r="E26" s="86" t="e">
        <f t="shared" ca="1" si="31"/>
        <v>#REF!</v>
      </c>
      <c r="F26" s="86" t="e">
        <f t="shared" ca="1" si="31"/>
        <v>#REF!</v>
      </c>
      <c r="G26" s="86" t="e">
        <f t="shared" ca="1" si="31"/>
        <v>#REF!</v>
      </c>
      <c r="H26" s="86" t="e">
        <f t="shared" ca="1" si="31"/>
        <v>#REF!</v>
      </c>
      <c r="I26" s="86" t="e">
        <f t="shared" ca="1" si="31"/>
        <v>#REF!</v>
      </c>
      <c r="J26" s="86" t="e">
        <f t="shared" ca="1" si="31"/>
        <v>#REF!</v>
      </c>
      <c r="K26" s="86" t="e">
        <f t="shared" ca="1" si="31"/>
        <v>#REF!</v>
      </c>
      <c r="L26" s="86" t="e">
        <f t="shared" ca="1" si="31"/>
        <v>#REF!</v>
      </c>
      <c r="M26" s="86" t="e">
        <f t="shared" ca="1" si="31"/>
        <v>#REF!</v>
      </c>
      <c r="N26" s="86" t="e">
        <f t="shared" ca="1" si="31"/>
        <v>#REF!</v>
      </c>
      <c r="O26" s="86" t="e">
        <f t="shared" ca="1" si="31"/>
        <v>#REF!</v>
      </c>
      <c r="P26" s="86" t="e">
        <f t="shared" ca="1" si="31"/>
        <v>#REF!</v>
      </c>
      <c r="Q26" s="86" t="e">
        <f t="shared" ca="1" si="31"/>
        <v>#REF!</v>
      </c>
      <c r="R26" s="86" t="e">
        <f t="shared" ca="1" si="31"/>
        <v>#REF!</v>
      </c>
      <c r="S26" s="86"/>
      <c r="T26" s="86"/>
      <c r="U26" s="86"/>
      <c r="V26" s="86"/>
      <c r="W26" s="86"/>
      <c r="X26" s="86"/>
      <c r="Y26" s="86" t="e">
        <f t="shared" ca="1" si="30"/>
        <v>#REF!</v>
      </c>
    </row>
    <row r="27" spans="1:32" hidden="1" x14ac:dyDescent="0.2">
      <c r="A27" s="86">
        <f>A13</f>
        <v>0</v>
      </c>
      <c r="B27" s="86" t="e">
        <f t="shared" ca="1" si="32"/>
        <v>#REF!</v>
      </c>
      <c r="C27" s="86" t="e">
        <f t="shared" ca="1" si="31"/>
        <v>#REF!</v>
      </c>
      <c r="D27" s="86" t="e">
        <f t="shared" ca="1" si="31"/>
        <v>#REF!</v>
      </c>
      <c r="E27" s="86" t="e">
        <f t="shared" ca="1" si="31"/>
        <v>#REF!</v>
      </c>
      <c r="F27" s="86" t="e">
        <f t="shared" ca="1" si="31"/>
        <v>#REF!</v>
      </c>
      <c r="G27" s="86" t="e">
        <f t="shared" ca="1" si="31"/>
        <v>#REF!</v>
      </c>
      <c r="H27" s="86" t="e">
        <f t="shared" ca="1" si="31"/>
        <v>#REF!</v>
      </c>
      <c r="I27" s="86" t="e">
        <f t="shared" ca="1" si="31"/>
        <v>#REF!</v>
      </c>
      <c r="J27" s="86" t="e">
        <f t="shared" ca="1" si="31"/>
        <v>#REF!</v>
      </c>
      <c r="K27" s="86" t="e">
        <f t="shared" ca="1" si="31"/>
        <v>#REF!</v>
      </c>
      <c r="L27" s="86" t="e">
        <f t="shared" ca="1" si="31"/>
        <v>#REF!</v>
      </c>
      <c r="M27" s="86" t="e">
        <f t="shared" ca="1" si="31"/>
        <v>#REF!</v>
      </c>
      <c r="N27" s="86" t="e">
        <f t="shared" ca="1" si="31"/>
        <v>#REF!</v>
      </c>
      <c r="O27" s="86" t="e">
        <f t="shared" ca="1" si="31"/>
        <v>#REF!</v>
      </c>
      <c r="P27" s="86" t="e">
        <f t="shared" ca="1" si="31"/>
        <v>#REF!</v>
      </c>
      <c r="Q27" s="86" t="e">
        <f t="shared" ca="1" si="31"/>
        <v>#REF!</v>
      </c>
      <c r="R27" s="86" t="e">
        <f t="shared" ca="1" si="31"/>
        <v>#REF!</v>
      </c>
      <c r="S27" s="86"/>
      <c r="T27" s="86"/>
      <c r="U27" s="86"/>
      <c r="V27" s="86"/>
      <c r="W27" s="86"/>
      <c r="X27" s="86"/>
      <c r="Y27" s="86" t="e">
        <f t="shared" ca="1" si="30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32"/>
        <v>#REF!</v>
      </c>
      <c r="C29" s="86" t="e">
        <f t="shared" ca="1" si="31"/>
        <v>#REF!</v>
      </c>
      <c r="D29" s="86" t="e">
        <f t="shared" ca="1" si="31"/>
        <v>#REF!</v>
      </c>
      <c r="E29" s="86" t="e">
        <f t="shared" ca="1" si="31"/>
        <v>#REF!</v>
      </c>
      <c r="F29" s="86" t="e">
        <f t="shared" ca="1" si="31"/>
        <v>#REF!</v>
      </c>
      <c r="G29" s="86" t="e">
        <f t="shared" ca="1" si="31"/>
        <v>#REF!</v>
      </c>
      <c r="H29" s="86" t="e">
        <f t="shared" ca="1" si="31"/>
        <v>#REF!</v>
      </c>
      <c r="I29" s="86" t="e">
        <f t="shared" ca="1" si="31"/>
        <v>#REF!</v>
      </c>
      <c r="J29" s="86" t="e">
        <f t="shared" ca="1" si="31"/>
        <v>#REF!</v>
      </c>
      <c r="K29" s="86" t="e">
        <f t="shared" ca="1" si="31"/>
        <v>#REF!</v>
      </c>
      <c r="L29" s="86" t="e">
        <f t="shared" ca="1" si="31"/>
        <v>#REF!</v>
      </c>
      <c r="M29" s="86" t="e">
        <f t="shared" ca="1" si="31"/>
        <v>#REF!</v>
      </c>
      <c r="N29" s="86" t="e">
        <f t="shared" ca="1" si="31"/>
        <v>#REF!</v>
      </c>
      <c r="O29" s="86" t="e">
        <f t="shared" ca="1" si="31"/>
        <v>#REF!</v>
      </c>
      <c r="P29" s="86" t="e">
        <f t="shared" ca="1" si="31"/>
        <v>#REF!</v>
      </c>
      <c r="Q29" s="86" t="e">
        <f t="shared" ca="1" si="31"/>
        <v>#REF!</v>
      </c>
      <c r="R29" s="86" t="e">
        <f t="shared" ca="1" si="31"/>
        <v>#REF!</v>
      </c>
      <c r="S29" s="86"/>
      <c r="T29" s="86"/>
      <c r="U29" s="86"/>
      <c r="V29" s="86"/>
      <c r="W29" s="86"/>
      <c r="X29" s="86"/>
      <c r="Y29" s="86" t="e">
        <f t="shared" ref="Y29:Y30" ca="1" si="33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32"/>
        <v>#REF!</v>
      </c>
      <c r="C30" s="86" t="e">
        <f t="shared" ca="1" si="31"/>
        <v>#REF!</v>
      </c>
      <c r="D30" s="86" t="e">
        <f t="shared" ca="1" si="31"/>
        <v>#REF!</v>
      </c>
      <c r="E30" s="86" t="e">
        <f t="shared" ca="1" si="31"/>
        <v>#REF!</v>
      </c>
      <c r="F30" s="86" t="e">
        <f t="shared" ca="1" si="31"/>
        <v>#REF!</v>
      </c>
      <c r="G30" s="86" t="e">
        <f t="shared" ca="1" si="31"/>
        <v>#REF!</v>
      </c>
      <c r="H30" s="86" t="e">
        <f t="shared" ca="1" si="31"/>
        <v>#REF!</v>
      </c>
      <c r="I30" s="86" t="e">
        <f t="shared" ca="1" si="31"/>
        <v>#REF!</v>
      </c>
      <c r="J30" s="86" t="e">
        <f t="shared" ca="1" si="31"/>
        <v>#REF!</v>
      </c>
      <c r="K30" s="86" t="e">
        <f t="shared" ca="1" si="31"/>
        <v>#REF!</v>
      </c>
      <c r="L30" s="86" t="e">
        <f t="shared" ca="1" si="31"/>
        <v>#REF!</v>
      </c>
      <c r="M30" s="86" t="e">
        <f t="shared" ca="1" si="31"/>
        <v>#REF!</v>
      </c>
      <c r="N30" s="86" t="e">
        <f t="shared" ca="1" si="31"/>
        <v>#REF!</v>
      </c>
      <c r="O30" s="86" t="e">
        <f t="shared" ca="1" si="31"/>
        <v>#REF!</v>
      </c>
      <c r="P30" s="86" t="e">
        <f t="shared" ca="1" si="31"/>
        <v>#REF!</v>
      </c>
      <c r="Q30" s="86" t="e">
        <f t="shared" ca="1" si="31"/>
        <v>#REF!</v>
      </c>
      <c r="R30" s="86" t="e">
        <f t="shared" ca="1" si="31"/>
        <v>#REF!</v>
      </c>
      <c r="S30" s="86"/>
      <c r="T30" s="86"/>
      <c r="U30" s="86"/>
      <c r="V30" s="86"/>
      <c r="W30" s="86"/>
      <c r="X30" s="86"/>
      <c r="Y30" s="86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70</v>
      </c>
      <c r="E2" s="131" t="s">
        <v>71</v>
      </c>
      <c r="F2" s="131" t="s">
        <v>72</v>
      </c>
      <c r="G2" s="131" t="s">
        <v>73</v>
      </c>
      <c r="H2" s="131" t="s">
        <v>74</v>
      </c>
      <c r="I2" s="131" t="s">
        <v>76</v>
      </c>
      <c r="J2" s="131" t="s">
        <v>77</v>
      </c>
      <c r="K2" s="131" t="s">
        <v>78</v>
      </c>
      <c r="L2" s="131" t="s">
        <v>79</v>
      </c>
      <c r="M2" s="131" t="s">
        <v>80</v>
      </c>
      <c r="N2" s="131" t="s">
        <v>82</v>
      </c>
      <c r="O2" s="131" t="s">
        <v>83</v>
      </c>
      <c r="P2" s="131" t="s">
        <v>84</v>
      </c>
      <c r="Q2" s="131" t="s">
        <v>85</v>
      </c>
      <c r="R2" s="131" t="s">
        <v>86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/>
      <c r="T3" s="149"/>
      <c r="U3" s="149"/>
      <c r="V3" s="149"/>
      <c r="W3" s="149"/>
      <c r="X3" s="149"/>
      <c r="Y3" s="149" t="e">
        <f ca="1">SUM(Y8:Y12)-MAX(Y8:Y12)-MIN(Y8:Y12)</f>
        <v>#REF!</v>
      </c>
      <c r="Z3" s="196" t="e">
        <f ca="1">IF(SUM(AE8:AE12)&gt;0,SUM(C3:Y3)/2,SUM(C3:Y3))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45" ht="15" customHeight="1" x14ac:dyDescent="0.2">
      <c r="A4" s="467" t="str">
        <f>Doku!B49&amp;":"</f>
        <v>Spannweite:</v>
      </c>
      <c r="B4" s="467"/>
      <c r="C4" s="154" t="e">
        <f t="shared" ref="C4:R4" ca="1" si="1">MAX(C8:C12)-MIN(C8:C12)</f>
        <v>#REF!</v>
      </c>
      <c r="D4" s="154" t="e">
        <f t="shared" ca="1" si="1"/>
        <v>#REF!</v>
      </c>
      <c r="E4" s="154" t="e">
        <f t="shared" ca="1" si="1"/>
        <v>#REF!</v>
      </c>
      <c r="F4" s="154" t="e">
        <f t="shared" ca="1" si="1"/>
        <v>#REF!</v>
      </c>
      <c r="G4" s="154" t="e">
        <f t="shared" ca="1" si="1"/>
        <v>#REF!</v>
      </c>
      <c r="H4" s="154" t="e">
        <f t="shared" ca="1" si="1"/>
        <v>#REF!</v>
      </c>
      <c r="I4" s="154" t="e">
        <f t="shared" ca="1" si="1"/>
        <v>#REF!</v>
      </c>
      <c r="J4" s="154" t="e">
        <f t="shared" ca="1" si="1"/>
        <v>#REF!</v>
      </c>
      <c r="K4" s="154" t="e">
        <f t="shared" ca="1" si="1"/>
        <v>#REF!</v>
      </c>
      <c r="L4" s="154" t="e">
        <f t="shared" ca="1" si="1"/>
        <v>#REF!</v>
      </c>
      <c r="M4" s="154" t="e">
        <f t="shared" ca="1" si="1"/>
        <v>#REF!</v>
      </c>
      <c r="N4" s="154" t="e">
        <f t="shared" ca="1" si="1"/>
        <v>#REF!</v>
      </c>
      <c r="O4" s="154" t="e">
        <f t="shared" ca="1" si="1"/>
        <v>#REF!</v>
      </c>
      <c r="P4" s="154" t="e">
        <f t="shared" ca="1" si="1"/>
        <v>#REF!</v>
      </c>
      <c r="Q4" s="154" t="e">
        <f t="shared" ca="1" si="1"/>
        <v>#REF!</v>
      </c>
      <c r="R4" s="154" t="e">
        <f t="shared" ca="1" si="1"/>
        <v>#REF!</v>
      </c>
      <c r="S4" s="155"/>
      <c r="T4" s="155"/>
      <c r="U4" s="155"/>
      <c r="V4" s="155"/>
      <c r="W4" s="155"/>
      <c r="X4" s="155"/>
      <c r="Y4" s="154" t="e">
        <f ca="1">MAX(Y8:Y12)-MIN(Y8:Y12)</f>
        <v>#REF!</v>
      </c>
      <c r="Z4" s="187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45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2">D3/3</f>
        <v>#REF!</v>
      </c>
      <c r="E5" s="154" t="e">
        <f t="shared" ca="1" si="2"/>
        <v>#REF!</v>
      </c>
      <c r="F5" s="154" t="e">
        <f t="shared" ca="1" si="2"/>
        <v>#REF!</v>
      </c>
      <c r="G5" s="154" t="e">
        <f t="shared" ca="1" si="2"/>
        <v>#REF!</v>
      </c>
      <c r="H5" s="154" t="e">
        <f t="shared" ca="1" si="2"/>
        <v>#REF!</v>
      </c>
      <c r="I5" s="154" t="e">
        <f t="shared" ca="1" si="2"/>
        <v>#REF!</v>
      </c>
      <c r="J5" s="154" t="e">
        <f t="shared" ca="1" si="2"/>
        <v>#REF!</v>
      </c>
      <c r="K5" s="154" t="e">
        <f t="shared" ca="1" si="2"/>
        <v>#REF!</v>
      </c>
      <c r="L5" s="154" t="e">
        <f t="shared" ca="1" si="2"/>
        <v>#REF!</v>
      </c>
      <c r="M5" s="154" t="e">
        <f t="shared" ca="1" si="2"/>
        <v>#REF!</v>
      </c>
      <c r="N5" s="154" t="e">
        <f t="shared" ca="1" si="2"/>
        <v>#REF!</v>
      </c>
      <c r="O5" s="154" t="e">
        <f t="shared" ca="1" si="2"/>
        <v>#REF!</v>
      </c>
      <c r="P5" s="154" t="e">
        <f t="shared" ca="1" si="2"/>
        <v>#REF!</v>
      </c>
      <c r="Q5" s="154" t="e">
        <f t="shared" ca="1" si="2"/>
        <v>#REF!</v>
      </c>
      <c r="R5" s="154" t="e">
        <f t="shared" ca="1" si="2"/>
        <v>#REF!</v>
      </c>
      <c r="S5" s="154"/>
      <c r="T5" s="154"/>
      <c r="U5" s="154"/>
      <c r="V5" s="154"/>
      <c r="W5" s="154"/>
      <c r="X5" s="154"/>
      <c r="Y5" s="154" t="e">
        <f t="shared" ca="1" si="2"/>
        <v>#REF!</v>
      </c>
      <c r="Z5" s="187" t="e">
        <f t="shared" ca="1" si="2"/>
        <v>#REF!</v>
      </c>
      <c r="AA5" s="186"/>
      <c r="AB5" s="158" t="e">
        <f t="shared" ref="AB5:AF5" ca="1" si="3">AVERAGE(AB8:AB12)</f>
        <v>#REF!</v>
      </c>
      <c r="AC5" s="158" t="e">
        <f t="shared" ca="1" si="3"/>
        <v>#REF!</v>
      </c>
      <c r="AD5" s="158" t="e">
        <f t="shared" ca="1" si="3"/>
        <v>#REF!</v>
      </c>
      <c r="AE5" s="154" t="e">
        <f t="shared" ca="1" si="3"/>
        <v>#REF!</v>
      </c>
      <c r="AF5" s="158" t="e">
        <f t="shared" ca="1" si="3"/>
        <v>#REF!</v>
      </c>
    </row>
    <row r="6" spans="1:45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87"/>
      <c r="AA6" s="188"/>
      <c r="AB6" s="162"/>
      <c r="AC6" s="162"/>
      <c r="AD6" s="162"/>
      <c r="AE6" s="154"/>
      <c r="AF6" s="162"/>
    </row>
    <row r="7" spans="1:45" ht="15" customHeight="1" x14ac:dyDescent="0.2">
      <c r="A7" s="140"/>
      <c r="B7" s="140" t="e">
        <f t="shared" ref="B7:B16" ca="1" si="4">INDIRECT("'"&amp;$A7&amp;"'!E5")</f>
        <v>#REF!</v>
      </c>
      <c r="C7" s="163" t="e">
        <f t="shared" ref="C7:C13" ca="1" si="5">INDIRECT("'"&amp;$A7&amp;"'!L13")</f>
        <v>#REF!</v>
      </c>
      <c r="D7" s="163" t="e">
        <f t="shared" ref="D7:D13" ca="1" si="6">INDIRECT("'"&amp;$A7&amp;"'!L14")</f>
        <v>#REF!</v>
      </c>
      <c r="E7" s="163" t="e">
        <f t="shared" ref="E7:E13" ca="1" si="7">INDIRECT("'"&amp;$A7&amp;"'!L15")</f>
        <v>#REF!</v>
      </c>
      <c r="F7" s="163" t="e">
        <f t="shared" ref="F7:F13" ca="1" si="8">INDIRECT("'"&amp;$A7&amp;"'!L16")</f>
        <v>#REF!</v>
      </c>
      <c r="G7" s="163" t="e">
        <f t="shared" ref="G7:G13" ca="1" si="9">INDIRECT("'"&amp;$A7&amp;"'!L17")</f>
        <v>#REF!</v>
      </c>
      <c r="H7" s="163" t="e">
        <f t="shared" ref="H7:H13" ca="1" si="10">INDIRECT("'"&amp;$A7&amp;"'!L18")</f>
        <v>#REF!</v>
      </c>
      <c r="I7" s="163" t="e">
        <f t="shared" ref="I7:I13" ca="1" si="11">INDIRECT("'"&amp;$A7&amp;"'!L19")</f>
        <v>#REF!</v>
      </c>
      <c r="J7" s="163" t="e">
        <f t="shared" ref="J7:J13" ca="1" si="12">INDIRECT("'"&amp;$A7&amp;"'!L20")</f>
        <v>#REF!</v>
      </c>
      <c r="K7" s="163" t="e">
        <f t="shared" ref="K7:K13" ca="1" si="13">INDIRECT("'"&amp;$A7&amp;"'!L21")</f>
        <v>#REF!</v>
      </c>
      <c r="L7" s="163" t="e">
        <f t="shared" ref="L7:L13" ca="1" si="14">INDIRECT("'"&amp;$A7&amp;"'!L22")</f>
        <v>#REF!</v>
      </c>
      <c r="M7" s="163" t="e">
        <f t="shared" ref="M7:M13" ca="1" si="15">INDIRECT("'"&amp;$A7&amp;"'!L23")</f>
        <v>#REF!</v>
      </c>
      <c r="N7" s="163" t="e">
        <f t="shared" ref="N7:N13" ca="1" si="16">INDIRECT("'"&amp;$A7&amp;"'!L24")</f>
        <v>#REF!</v>
      </c>
      <c r="O7" s="163" t="e">
        <f t="shared" ref="O7:O13" ca="1" si="17">INDIRECT("'"&amp;$A7&amp;"'!L25")</f>
        <v>#REF!</v>
      </c>
      <c r="P7" s="163" t="e">
        <f t="shared" ref="P7:P13" ca="1" si="18">INDIRECT("'"&amp;$A7&amp;"'!L26")</f>
        <v>#REF!</v>
      </c>
      <c r="Q7" s="163" t="e">
        <f t="shared" ref="Q7:Q13" ca="1" si="19">INDIRECT("'"&amp;$A7&amp;"'!L27")</f>
        <v>#REF!</v>
      </c>
      <c r="R7" s="163" t="e">
        <f t="shared" ref="R7:R13" ca="1" si="20">INDIRECT("'"&amp;$A7&amp;"'!L28")</f>
        <v>#REF!</v>
      </c>
      <c r="S7" s="163"/>
      <c r="T7" s="163"/>
      <c r="U7" s="163"/>
      <c r="V7" s="163"/>
      <c r="W7" s="163"/>
      <c r="X7" s="163"/>
      <c r="Y7" s="163" t="e">
        <f t="shared" ref="Y7:Y13" ca="1" si="21">INDIRECT("'"&amp;$A7&amp;"'!L29")</f>
        <v>#REF!</v>
      </c>
      <c r="Z7" s="197" t="e">
        <f t="shared" ref="Z7:Z13" ca="1" si="22">INDIRECT("'"&amp;$A7&amp;"'!L36")</f>
        <v>#REF!</v>
      </c>
      <c r="AA7" s="189"/>
      <c r="AB7" s="164" t="e">
        <f t="shared" ref="AB7:AB16" ca="1" si="23">INDIRECT("'"&amp;$A7&amp;"'!F36")</f>
        <v>#REF!</v>
      </c>
      <c r="AC7" s="164" t="e">
        <f t="shared" ref="AC7:AC16" ca="1" si="24">INDIRECT("'"&amp;$A7&amp;"'!H36")</f>
        <v>#REF!</v>
      </c>
      <c r="AD7" s="164" t="e">
        <f t="shared" ref="AD7:AD16" ca="1" si="25">INDIRECT("'"&amp;$A7&amp;"'!I36")</f>
        <v>#REF!</v>
      </c>
      <c r="AE7" s="163" t="e">
        <f t="shared" ref="AE7:AE13" ca="1" si="26">INDIRECT("'"&amp;$A7&amp;"'!J36")</f>
        <v>#REF!</v>
      </c>
      <c r="AF7" s="164" t="e">
        <f t="shared" ref="AF7:AF13" ca="1" si="27">INDIRECT("'"&amp;$A7&amp;"'!K36")</f>
        <v>#REF!</v>
      </c>
    </row>
    <row r="8" spans="1:45" ht="15" customHeight="1" x14ac:dyDescent="0.2">
      <c r="A8" s="141"/>
      <c r="B8" s="141" t="e">
        <f t="shared" ca="1" si="4"/>
        <v>#REF!</v>
      </c>
      <c r="C8" s="148" t="e">
        <f t="shared" ca="1" si="5"/>
        <v>#REF!</v>
      </c>
      <c r="D8" s="148" t="e">
        <f t="shared" ca="1" si="6"/>
        <v>#REF!</v>
      </c>
      <c r="E8" s="148" t="e">
        <f t="shared" ca="1" si="7"/>
        <v>#REF!</v>
      </c>
      <c r="F8" s="148" t="e">
        <f t="shared" ca="1" si="8"/>
        <v>#REF!</v>
      </c>
      <c r="G8" s="148" t="e">
        <f t="shared" ca="1" si="9"/>
        <v>#REF!</v>
      </c>
      <c r="H8" s="148" t="e">
        <f t="shared" ca="1" si="10"/>
        <v>#REF!</v>
      </c>
      <c r="I8" s="148" t="e">
        <f t="shared" ca="1" si="11"/>
        <v>#REF!</v>
      </c>
      <c r="J8" s="148" t="e">
        <f t="shared" ca="1" si="12"/>
        <v>#REF!</v>
      </c>
      <c r="K8" s="148" t="e">
        <f t="shared" ca="1" si="13"/>
        <v>#REF!</v>
      </c>
      <c r="L8" s="148" t="e">
        <f t="shared" ca="1" si="14"/>
        <v>#REF!</v>
      </c>
      <c r="M8" s="148" t="e">
        <f t="shared" ca="1" si="15"/>
        <v>#REF!</v>
      </c>
      <c r="N8" s="148" t="e">
        <f t="shared" ca="1" si="16"/>
        <v>#REF!</v>
      </c>
      <c r="O8" s="148" t="e">
        <f t="shared" ca="1" si="17"/>
        <v>#REF!</v>
      </c>
      <c r="P8" s="148" t="e">
        <f t="shared" ca="1" si="18"/>
        <v>#REF!</v>
      </c>
      <c r="Q8" s="148" t="e">
        <f t="shared" ca="1" si="19"/>
        <v>#REF!</v>
      </c>
      <c r="R8" s="148" t="e">
        <f t="shared" ca="1" si="20"/>
        <v>#REF!</v>
      </c>
      <c r="S8" s="148"/>
      <c r="T8" s="148"/>
      <c r="U8" s="148"/>
      <c r="V8" s="148"/>
      <c r="W8" s="148"/>
      <c r="X8" s="148"/>
      <c r="Y8" s="148" t="e">
        <f t="shared" ca="1" si="21"/>
        <v>#REF!</v>
      </c>
      <c r="Z8" s="198" t="e">
        <f t="shared" ca="1" si="22"/>
        <v>#REF!</v>
      </c>
      <c r="AA8" s="167" t="e">
        <f ca="1">SUM(C22:Y22)/COUNT(C8:Y8)</f>
        <v>#REF!</v>
      </c>
      <c r="AB8" s="168" t="e">
        <f t="shared" ca="1" si="23"/>
        <v>#REF!</v>
      </c>
      <c r="AC8" s="168" t="e">
        <f t="shared" ca="1" si="24"/>
        <v>#REF!</v>
      </c>
      <c r="AD8" s="168" t="e">
        <f t="shared" ca="1" si="25"/>
        <v>#REF!</v>
      </c>
      <c r="AE8" s="169" t="e">
        <f t="shared" ca="1" si="26"/>
        <v>#REF!</v>
      </c>
      <c r="AF8" s="168" t="e">
        <f t="shared" ca="1" si="27"/>
        <v>#REF!</v>
      </c>
    </row>
    <row r="9" spans="1:45" ht="15" customHeight="1" x14ac:dyDescent="0.2">
      <c r="A9" s="141"/>
      <c r="B9" s="141" t="e">
        <f t="shared" ca="1" si="4"/>
        <v>#REF!</v>
      </c>
      <c r="C9" s="169" t="e">
        <f t="shared" ca="1" si="5"/>
        <v>#REF!</v>
      </c>
      <c r="D9" s="169" t="e">
        <f t="shared" ca="1" si="6"/>
        <v>#REF!</v>
      </c>
      <c r="E9" s="169" t="e">
        <f t="shared" ca="1" si="7"/>
        <v>#REF!</v>
      </c>
      <c r="F9" s="169" t="e">
        <f t="shared" ca="1" si="8"/>
        <v>#REF!</v>
      </c>
      <c r="G9" s="169" t="e">
        <f t="shared" ca="1" si="9"/>
        <v>#REF!</v>
      </c>
      <c r="H9" s="169" t="e">
        <f t="shared" ca="1" si="10"/>
        <v>#REF!</v>
      </c>
      <c r="I9" s="169" t="e">
        <f t="shared" ca="1" si="11"/>
        <v>#REF!</v>
      </c>
      <c r="J9" s="169" t="e">
        <f t="shared" ca="1" si="12"/>
        <v>#REF!</v>
      </c>
      <c r="K9" s="169" t="e">
        <f t="shared" ca="1" si="13"/>
        <v>#REF!</v>
      </c>
      <c r="L9" s="169" t="e">
        <f t="shared" ca="1" si="14"/>
        <v>#REF!</v>
      </c>
      <c r="M9" s="169" t="e">
        <f t="shared" ca="1" si="15"/>
        <v>#REF!</v>
      </c>
      <c r="N9" s="169" t="e">
        <f t="shared" ca="1" si="16"/>
        <v>#REF!</v>
      </c>
      <c r="O9" s="169" t="e">
        <f t="shared" ca="1" si="17"/>
        <v>#REF!</v>
      </c>
      <c r="P9" s="169" t="e">
        <f t="shared" ca="1" si="18"/>
        <v>#REF!</v>
      </c>
      <c r="Q9" s="169" t="e">
        <f t="shared" ca="1" si="19"/>
        <v>#REF!</v>
      </c>
      <c r="R9" s="169" t="e">
        <f t="shared" ca="1" si="20"/>
        <v>#REF!</v>
      </c>
      <c r="S9" s="169"/>
      <c r="T9" s="169"/>
      <c r="U9" s="169"/>
      <c r="V9" s="169"/>
      <c r="W9" s="169"/>
      <c r="X9" s="169"/>
      <c r="Y9" s="169" t="e">
        <f t="shared" ca="1" si="21"/>
        <v>#REF!</v>
      </c>
      <c r="Z9" s="198" t="e">
        <f t="shared" ca="1" si="22"/>
        <v>#REF!</v>
      </c>
      <c r="AA9" s="170" t="e">
        <f t="shared" ref="AA9:AA13" ca="1" si="28">SUM(C23:Y23)/COUNT(C9:Y9)</f>
        <v>#REF!</v>
      </c>
      <c r="AB9" s="168" t="e">
        <f t="shared" ca="1" si="23"/>
        <v>#REF!</v>
      </c>
      <c r="AC9" s="168" t="e">
        <f t="shared" ca="1" si="24"/>
        <v>#REF!</v>
      </c>
      <c r="AD9" s="168" t="e">
        <f t="shared" ca="1" si="25"/>
        <v>#REF!</v>
      </c>
      <c r="AE9" s="169" t="e">
        <f t="shared" ca="1" si="26"/>
        <v>#REF!</v>
      </c>
      <c r="AF9" s="168" t="e">
        <f t="shared" ca="1" si="27"/>
        <v>#REF!</v>
      </c>
    </row>
    <row r="10" spans="1:45" ht="15" customHeight="1" x14ac:dyDescent="0.2">
      <c r="A10" s="141"/>
      <c r="B10" s="141" t="e">
        <f t="shared" ca="1" si="4"/>
        <v>#REF!</v>
      </c>
      <c r="C10" s="169" t="e">
        <f t="shared" ca="1" si="5"/>
        <v>#REF!</v>
      </c>
      <c r="D10" s="169" t="e">
        <f t="shared" ca="1" si="6"/>
        <v>#REF!</v>
      </c>
      <c r="E10" s="169" t="e">
        <f t="shared" ca="1" si="7"/>
        <v>#REF!</v>
      </c>
      <c r="F10" s="169" t="e">
        <f t="shared" ca="1" si="8"/>
        <v>#REF!</v>
      </c>
      <c r="G10" s="169" t="e">
        <f t="shared" ca="1" si="9"/>
        <v>#REF!</v>
      </c>
      <c r="H10" s="169" t="e">
        <f t="shared" ca="1" si="10"/>
        <v>#REF!</v>
      </c>
      <c r="I10" s="169" t="e">
        <f t="shared" ca="1" si="11"/>
        <v>#REF!</v>
      </c>
      <c r="J10" s="169" t="e">
        <f t="shared" ca="1" si="12"/>
        <v>#REF!</v>
      </c>
      <c r="K10" s="169" t="e">
        <f t="shared" ca="1" si="13"/>
        <v>#REF!</v>
      </c>
      <c r="L10" s="169" t="e">
        <f t="shared" ca="1" si="14"/>
        <v>#REF!</v>
      </c>
      <c r="M10" s="169" t="e">
        <f t="shared" ca="1" si="15"/>
        <v>#REF!</v>
      </c>
      <c r="N10" s="169" t="e">
        <f t="shared" ca="1" si="16"/>
        <v>#REF!</v>
      </c>
      <c r="O10" s="169" t="e">
        <f t="shared" ca="1" si="17"/>
        <v>#REF!</v>
      </c>
      <c r="P10" s="169" t="e">
        <f t="shared" ca="1" si="18"/>
        <v>#REF!</v>
      </c>
      <c r="Q10" s="169" t="e">
        <f t="shared" ca="1" si="19"/>
        <v>#REF!</v>
      </c>
      <c r="R10" s="169" t="e">
        <f t="shared" ca="1" si="20"/>
        <v>#REF!</v>
      </c>
      <c r="S10" s="169"/>
      <c r="T10" s="169"/>
      <c r="U10" s="169"/>
      <c r="V10" s="169"/>
      <c r="W10" s="169"/>
      <c r="X10" s="169"/>
      <c r="Y10" s="169" t="e">
        <f t="shared" ca="1" si="21"/>
        <v>#REF!</v>
      </c>
      <c r="Z10" s="198" t="e">
        <f t="shared" ca="1" si="22"/>
        <v>#REF!</v>
      </c>
      <c r="AA10" s="170" t="e">
        <f t="shared" ca="1" si="28"/>
        <v>#REF!</v>
      </c>
      <c r="AB10" s="168" t="e">
        <f t="shared" ca="1" si="23"/>
        <v>#REF!</v>
      </c>
      <c r="AC10" s="168" t="e">
        <f t="shared" ca="1" si="24"/>
        <v>#REF!</v>
      </c>
      <c r="AD10" s="168" t="e">
        <f t="shared" ca="1" si="25"/>
        <v>#REF!</v>
      </c>
      <c r="AE10" s="169" t="e">
        <f t="shared" ca="1" si="26"/>
        <v>#REF!</v>
      </c>
      <c r="AF10" s="168" t="e">
        <f t="shared" ca="1" si="27"/>
        <v>#REF!</v>
      </c>
    </row>
    <row r="11" spans="1:45" ht="15" customHeight="1" x14ac:dyDescent="0.2">
      <c r="A11" s="141"/>
      <c r="B11" s="141" t="e">
        <f t="shared" ca="1" si="4"/>
        <v>#REF!</v>
      </c>
      <c r="C11" s="169" t="e">
        <f t="shared" ca="1" si="5"/>
        <v>#REF!</v>
      </c>
      <c r="D11" s="169" t="e">
        <f t="shared" ca="1" si="6"/>
        <v>#REF!</v>
      </c>
      <c r="E11" s="169" t="e">
        <f t="shared" ca="1" si="7"/>
        <v>#REF!</v>
      </c>
      <c r="F11" s="169" t="e">
        <f t="shared" ca="1" si="8"/>
        <v>#REF!</v>
      </c>
      <c r="G11" s="169" t="e">
        <f t="shared" ca="1" si="9"/>
        <v>#REF!</v>
      </c>
      <c r="H11" s="169" t="e">
        <f t="shared" ca="1" si="10"/>
        <v>#REF!</v>
      </c>
      <c r="I11" s="169" t="e">
        <f t="shared" ca="1" si="11"/>
        <v>#REF!</v>
      </c>
      <c r="J11" s="169" t="e">
        <f t="shared" ca="1" si="12"/>
        <v>#REF!</v>
      </c>
      <c r="K11" s="169" t="e">
        <f t="shared" ca="1" si="13"/>
        <v>#REF!</v>
      </c>
      <c r="L11" s="169" t="e">
        <f t="shared" ca="1" si="14"/>
        <v>#REF!</v>
      </c>
      <c r="M11" s="169" t="e">
        <f t="shared" ca="1" si="15"/>
        <v>#REF!</v>
      </c>
      <c r="N11" s="169" t="e">
        <f t="shared" ca="1" si="16"/>
        <v>#REF!</v>
      </c>
      <c r="O11" s="169" t="e">
        <f t="shared" ca="1" si="17"/>
        <v>#REF!</v>
      </c>
      <c r="P11" s="169" t="e">
        <f t="shared" ca="1" si="18"/>
        <v>#REF!</v>
      </c>
      <c r="Q11" s="169" t="e">
        <f t="shared" ca="1" si="19"/>
        <v>#REF!</v>
      </c>
      <c r="R11" s="169" t="e">
        <f t="shared" ca="1" si="20"/>
        <v>#REF!</v>
      </c>
      <c r="S11" s="169"/>
      <c r="T11" s="169"/>
      <c r="U11" s="169"/>
      <c r="V11" s="169"/>
      <c r="W11" s="169"/>
      <c r="X11" s="169"/>
      <c r="Y11" s="169" t="e">
        <f t="shared" ca="1" si="21"/>
        <v>#REF!</v>
      </c>
      <c r="Z11" s="198" t="e">
        <f t="shared" ca="1" si="22"/>
        <v>#REF!</v>
      </c>
      <c r="AA11" s="170" t="e">
        <f t="shared" ca="1" si="28"/>
        <v>#REF!</v>
      </c>
      <c r="AB11" s="168" t="e">
        <f t="shared" ca="1" si="23"/>
        <v>#REF!</v>
      </c>
      <c r="AC11" s="168" t="e">
        <f t="shared" ca="1" si="24"/>
        <v>#REF!</v>
      </c>
      <c r="AD11" s="168" t="e">
        <f t="shared" ca="1" si="25"/>
        <v>#REF!</v>
      </c>
      <c r="AE11" s="169" t="e">
        <f t="shared" ca="1" si="26"/>
        <v>#REF!</v>
      </c>
      <c r="AF11" s="168" t="e">
        <f t="shared" ca="1" si="27"/>
        <v>#REF!</v>
      </c>
    </row>
    <row r="12" spans="1:45" ht="15" customHeight="1" thickBot="1" x14ac:dyDescent="0.25">
      <c r="A12" s="142"/>
      <c r="B12" s="142" t="e">
        <f t="shared" ca="1" si="4"/>
        <v>#REF!</v>
      </c>
      <c r="C12" s="171" t="e">
        <f t="shared" ca="1" si="5"/>
        <v>#REF!</v>
      </c>
      <c r="D12" s="171" t="e">
        <f t="shared" ca="1" si="6"/>
        <v>#REF!</v>
      </c>
      <c r="E12" s="171" t="e">
        <f t="shared" ca="1" si="7"/>
        <v>#REF!</v>
      </c>
      <c r="F12" s="171" t="e">
        <f t="shared" ca="1" si="8"/>
        <v>#REF!</v>
      </c>
      <c r="G12" s="171" t="e">
        <f t="shared" ca="1" si="9"/>
        <v>#REF!</v>
      </c>
      <c r="H12" s="171" t="e">
        <f t="shared" ca="1" si="10"/>
        <v>#REF!</v>
      </c>
      <c r="I12" s="171" t="e">
        <f t="shared" ca="1" si="11"/>
        <v>#REF!</v>
      </c>
      <c r="J12" s="171" t="e">
        <f t="shared" ca="1" si="12"/>
        <v>#REF!</v>
      </c>
      <c r="K12" s="171" t="e">
        <f t="shared" ca="1" si="13"/>
        <v>#REF!</v>
      </c>
      <c r="L12" s="171" t="e">
        <f t="shared" ca="1" si="14"/>
        <v>#REF!</v>
      </c>
      <c r="M12" s="171" t="e">
        <f t="shared" ca="1" si="15"/>
        <v>#REF!</v>
      </c>
      <c r="N12" s="171" t="e">
        <f t="shared" ca="1" si="16"/>
        <v>#REF!</v>
      </c>
      <c r="O12" s="171" t="e">
        <f t="shared" ca="1" si="17"/>
        <v>#REF!</v>
      </c>
      <c r="P12" s="171" t="e">
        <f t="shared" ca="1" si="18"/>
        <v>#REF!</v>
      </c>
      <c r="Q12" s="171" t="e">
        <f t="shared" ca="1" si="19"/>
        <v>#REF!</v>
      </c>
      <c r="R12" s="171" t="e">
        <f t="shared" ca="1" si="20"/>
        <v>#REF!</v>
      </c>
      <c r="S12" s="171"/>
      <c r="T12" s="171"/>
      <c r="U12" s="171"/>
      <c r="V12" s="171"/>
      <c r="W12" s="171"/>
      <c r="X12" s="171"/>
      <c r="Y12" s="171" t="e">
        <f t="shared" ca="1" si="21"/>
        <v>#REF!</v>
      </c>
      <c r="Z12" s="199" t="e">
        <f t="shared" ca="1" si="22"/>
        <v>#REF!</v>
      </c>
      <c r="AA12" s="170" t="e">
        <f t="shared" ca="1" si="28"/>
        <v>#REF!</v>
      </c>
      <c r="AB12" s="172" t="e">
        <f t="shared" ca="1" si="23"/>
        <v>#REF!</v>
      </c>
      <c r="AC12" s="172" t="e">
        <f t="shared" ca="1" si="24"/>
        <v>#REF!</v>
      </c>
      <c r="AD12" s="172" t="e">
        <f t="shared" ca="1" si="25"/>
        <v>#REF!</v>
      </c>
      <c r="AE12" s="171" t="e">
        <f t="shared" ca="1" si="26"/>
        <v>#REF!</v>
      </c>
      <c r="AF12" s="172" t="e">
        <f t="shared" ca="1" si="27"/>
        <v>#REF!</v>
      </c>
    </row>
    <row r="13" spans="1:45" ht="15" customHeight="1" thickBot="1" x14ac:dyDescent="0.25">
      <c r="A13" s="143"/>
      <c r="B13" s="143" t="e">
        <f t="shared" ca="1" si="4"/>
        <v>#REF!</v>
      </c>
      <c r="C13" s="173" t="e">
        <f t="shared" ca="1" si="5"/>
        <v>#REF!</v>
      </c>
      <c r="D13" s="173" t="e">
        <f t="shared" ca="1" si="6"/>
        <v>#REF!</v>
      </c>
      <c r="E13" s="173" t="e">
        <f t="shared" ca="1" si="7"/>
        <v>#REF!</v>
      </c>
      <c r="F13" s="173" t="e">
        <f t="shared" ca="1" si="8"/>
        <v>#REF!</v>
      </c>
      <c r="G13" s="173" t="e">
        <f t="shared" ca="1" si="9"/>
        <v>#REF!</v>
      </c>
      <c r="H13" s="173" t="e">
        <f t="shared" ca="1" si="10"/>
        <v>#REF!</v>
      </c>
      <c r="I13" s="173" t="e">
        <f t="shared" ca="1" si="11"/>
        <v>#REF!</v>
      </c>
      <c r="J13" s="173" t="e">
        <f t="shared" ca="1" si="12"/>
        <v>#REF!</v>
      </c>
      <c r="K13" s="173" t="e">
        <f t="shared" ca="1" si="13"/>
        <v>#REF!</v>
      </c>
      <c r="L13" s="173" t="e">
        <f t="shared" ca="1" si="14"/>
        <v>#REF!</v>
      </c>
      <c r="M13" s="173" t="e">
        <f t="shared" ca="1" si="15"/>
        <v>#REF!</v>
      </c>
      <c r="N13" s="173" t="e">
        <f t="shared" ca="1" si="16"/>
        <v>#REF!</v>
      </c>
      <c r="O13" s="173" t="e">
        <f t="shared" ca="1" si="17"/>
        <v>#REF!</v>
      </c>
      <c r="P13" s="173" t="e">
        <f t="shared" ca="1" si="18"/>
        <v>#REF!</v>
      </c>
      <c r="Q13" s="173" t="e">
        <f t="shared" ca="1" si="19"/>
        <v>#REF!</v>
      </c>
      <c r="R13" s="173" t="e">
        <f t="shared" ca="1" si="20"/>
        <v>#REF!</v>
      </c>
      <c r="S13" s="173"/>
      <c r="T13" s="173"/>
      <c r="U13" s="173"/>
      <c r="V13" s="173"/>
      <c r="W13" s="173"/>
      <c r="X13" s="173"/>
      <c r="Y13" s="173" t="e">
        <f t="shared" ca="1" si="21"/>
        <v>#REF!</v>
      </c>
      <c r="Z13" s="200" t="e">
        <f t="shared" ca="1" si="22"/>
        <v>#REF!</v>
      </c>
      <c r="AA13" s="175" t="e">
        <f t="shared" ca="1" si="28"/>
        <v>#REF!</v>
      </c>
      <c r="AB13" s="174" t="e">
        <f t="shared" ca="1" si="23"/>
        <v>#REF!</v>
      </c>
      <c r="AC13" s="174" t="e">
        <f t="shared" ca="1" si="24"/>
        <v>#REF!</v>
      </c>
      <c r="AD13" s="174" t="e">
        <f t="shared" ca="1" si="25"/>
        <v>#REF!</v>
      </c>
      <c r="AE13" s="173" t="e">
        <f t="shared" ca="1" si="26"/>
        <v>#REF!</v>
      </c>
      <c r="AF13" s="174" t="e">
        <f t="shared" ca="1" si="27"/>
        <v>#REF!</v>
      </c>
    </row>
    <row r="14" spans="1:45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201"/>
      <c r="AA14" s="193"/>
      <c r="AB14" s="179"/>
      <c r="AC14" s="179"/>
      <c r="AD14" s="179"/>
      <c r="AE14" s="176"/>
      <c r="AF14" s="179"/>
    </row>
    <row r="15" spans="1:45" ht="15" customHeight="1" x14ac:dyDescent="0.2">
      <c r="A15" s="145"/>
      <c r="B15" s="145" t="e">
        <f t="shared" ca="1" si="4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/>
      <c r="T15" s="180"/>
      <c r="U15" s="180"/>
      <c r="V15" s="180"/>
      <c r="W15" s="180"/>
      <c r="X15" s="180"/>
      <c r="Y15" s="180" t="e">
        <f ca="1">INDIRECT("'"&amp;$A15&amp;"'!L29")</f>
        <v>#REF!</v>
      </c>
      <c r="Z15" s="202" t="e">
        <f ca="1">INDIRECT("'"&amp;$A15&amp;"'!L36")</f>
        <v>#REF!</v>
      </c>
      <c r="AA15" s="182" t="e">
        <f ca="1">SUM(C29:Y29)/COUNT(C15:Y15)</f>
        <v>#REF!</v>
      </c>
      <c r="AB15" s="183" t="e">
        <f t="shared" ca="1" si="23"/>
        <v>#REF!</v>
      </c>
      <c r="AC15" s="183" t="e">
        <f t="shared" ca="1" si="24"/>
        <v>#REF!</v>
      </c>
      <c r="AD15" s="183" t="e">
        <f t="shared" ca="1" si="25"/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45" ht="15" customHeight="1" x14ac:dyDescent="0.2">
      <c r="A16" s="144"/>
      <c r="B16" s="144" t="e">
        <f t="shared" ca="1" si="4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/>
      <c r="T16" s="176"/>
      <c r="U16" s="176"/>
      <c r="V16" s="176"/>
      <c r="W16" s="176"/>
      <c r="X16" s="176"/>
      <c r="Y16" s="176" t="e">
        <f ca="1">INDIRECT("'"&amp;$A16&amp;"'!L29")</f>
        <v>#REF!</v>
      </c>
      <c r="Z16" s="203" t="e">
        <f ca="1">INDIRECT("'"&amp;$A16&amp;"'!L36")</f>
        <v>#REF!</v>
      </c>
      <c r="AA16" s="182" t="e">
        <f ca="1">SUM(C30:Y30)/COUNT(C16:Y16)</f>
        <v>#REF!</v>
      </c>
      <c r="AB16" s="179" t="e">
        <f t="shared" ca="1" si="23"/>
        <v>#REF!</v>
      </c>
      <c r="AC16" s="179" t="e">
        <f t="shared" ca="1" si="24"/>
        <v>#REF!</v>
      </c>
      <c r="AD16" s="179" t="e">
        <f t="shared" ca="1" si="25"/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</row>
    <row r="22" spans="1:32" ht="15" hidden="1" customHeight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29">IF(ABS(D$3/3-D8)&lt;=0.75,1,0)</f>
        <v>#REF!</v>
      </c>
      <c r="E22" s="86" t="e">
        <f t="shared" ca="1" si="29"/>
        <v>#REF!</v>
      </c>
      <c r="F22" s="86" t="e">
        <f t="shared" ca="1" si="29"/>
        <v>#REF!</v>
      </c>
      <c r="G22" s="86" t="e">
        <f t="shared" ca="1" si="29"/>
        <v>#REF!</v>
      </c>
      <c r="H22" s="86" t="e">
        <f t="shared" ca="1" si="29"/>
        <v>#REF!</v>
      </c>
      <c r="I22" s="86" t="e">
        <f t="shared" ca="1" si="29"/>
        <v>#REF!</v>
      </c>
      <c r="J22" s="86" t="e">
        <f t="shared" ca="1" si="29"/>
        <v>#REF!</v>
      </c>
      <c r="K22" s="86" t="e">
        <f t="shared" ca="1" si="29"/>
        <v>#REF!</v>
      </c>
      <c r="L22" s="86" t="e">
        <f t="shared" ca="1" si="29"/>
        <v>#REF!</v>
      </c>
      <c r="M22" s="86" t="e">
        <f t="shared" ca="1" si="29"/>
        <v>#REF!</v>
      </c>
      <c r="N22" s="86" t="e">
        <f t="shared" ca="1" si="29"/>
        <v>#REF!</v>
      </c>
      <c r="O22" s="86" t="e">
        <f t="shared" ca="1" si="29"/>
        <v>#REF!</v>
      </c>
      <c r="P22" s="86" t="e">
        <f t="shared" ca="1" si="29"/>
        <v>#REF!</v>
      </c>
      <c r="Q22" s="86" t="e">
        <f t="shared" ca="1" si="29"/>
        <v>#REF!</v>
      </c>
      <c r="R22" s="86" t="e">
        <f t="shared" ca="1" si="29"/>
        <v>#REF!</v>
      </c>
      <c r="S22" s="86"/>
      <c r="Y22" s="86" t="e">
        <f t="shared" ref="Y22:Y27" ca="1" si="30">IF(ABS(Y$3/3-Y8)&lt;=0.75,1,0)</f>
        <v>#REF!</v>
      </c>
    </row>
    <row r="23" spans="1:32" ht="15" hidden="1" customHeight="1" x14ac:dyDescent="0.2">
      <c r="A23" s="86">
        <f>A9</f>
        <v>0</v>
      </c>
      <c r="B23" s="86" t="e">
        <f ca="1">B9</f>
        <v>#REF!</v>
      </c>
      <c r="C23" s="86" t="e">
        <f t="shared" ref="C23:R30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Y23" s="86" t="e">
        <f t="shared" ca="1" si="30"/>
        <v>#REF!</v>
      </c>
    </row>
    <row r="24" spans="1:32" ht="15" hidden="1" customHeight="1" x14ac:dyDescent="0.2">
      <c r="A24" s="86">
        <f>A10</f>
        <v>0</v>
      </c>
      <c r="B24" s="86" t="e">
        <f t="shared" ref="B24:B30" ca="1" si="32">B10</f>
        <v>#REF!</v>
      </c>
      <c r="C24" s="86" t="e">
        <f t="shared" ca="1" si="31"/>
        <v>#REF!</v>
      </c>
      <c r="D24" s="86" t="e">
        <f t="shared" ca="1" si="31"/>
        <v>#REF!</v>
      </c>
      <c r="E24" s="86" t="e">
        <f t="shared" ca="1" si="31"/>
        <v>#REF!</v>
      </c>
      <c r="F24" s="86" t="e">
        <f t="shared" ca="1" si="31"/>
        <v>#REF!</v>
      </c>
      <c r="G24" s="86" t="e">
        <f t="shared" ca="1" si="31"/>
        <v>#REF!</v>
      </c>
      <c r="H24" s="86" t="e">
        <f t="shared" ca="1" si="31"/>
        <v>#REF!</v>
      </c>
      <c r="I24" s="86" t="e">
        <f t="shared" ca="1" si="31"/>
        <v>#REF!</v>
      </c>
      <c r="J24" s="86" t="e">
        <f t="shared" ca="1" si="31"/>
        <v>#REF!</v>
      </c>
      <c r="K24" s="86" t="e">
        <f t="shared" ca="1" si="31"/>
        <v>#REF!</v>
      </c>
      <c r="L24" s="86" t="e">
        <f t="shared" ca="1" si="31"/>
        <v>#REF!</v>
      </c>
      <c r="M24" s="86" t="e">
        <f t="shared" ca="1" si="31"/>
        <v>#REF!</v>
      </c>
      <c r="N24" s="86" t="e">
        <f t="shared" ca="1" si="31"/>
        <v>#REF!</v>
      </c>
      <c r="O24" s="86" t="e">
        <f t="shared" ca="1" si="31"/>
        <v>#REF!</v>
      </c>
      <c r="P24" s="86" t="e">
        <f t="shared" ca="1" si="31"/>
        <v>#REF!</v>
      </c>
      <c r="Q24" s="86" t="e">
        <f t="shared" ca="1" si="31"/>
        <v>#REF!</v>
      </c>
      <c r="R24" s="86" t="e">
        <f t="shared" ca="1" si="31"/>
        <v>#REF!</v>
      </c>
      <c r="S24" s="86"/>
      <c r="Y24" s="86" t="e">
        <f t="shared" ca="1" si="30"/>
        <v>#REF!</v>
      </c>
    </row>
    <row r="25" spans="1:32" ht="15" hidden="1" customHeight="1" x14ac:dyDescent="0.2">
      <c r="A25" s="86">
        <f>A11</f>
        <v>0</v>
      </c>
      <c r="B25" s="86" t="e">
        <f t="shared" ca="1" si="32"/>
        <v>#REF!</v>
      </c>
      <c r="C25" s="86" t="e">
        <f t="shared" ca="1" si="31"/>
        <v>#REF!</v>
      </c>
      <c r="D25" s="86" t="e">
        <f t="shared" ca="1" si="31"/>
        <v>#REF!</v>
      </c>
      <c r="E25" s="86" t="e">
        <f t="shared" ca="1" si="31"/>
        <v>#REF!</v>
      </c>
      <c r="F25" s="86" t="e">
        <f t="shared" ca="1" si="31"/>
        <v>#REF!</v>
      </c>
      <c r="G25" s="86" t="e">
        <f t="shared" ca="1" si="31"/>
        <v>#REF!</v>
      </c>
      <c r="H25" s="86" t="e">
        <f t="shared" ca="1" si="31"/>
        <v>#REF!</v>
      </c>
      <c r="I25" s="86" t="e">
        <f t="shared" ca="1" si="31"/>
        <v>#REF!</v>
      </c>
      <c r="J25" s="86" t="e">
        <f t="shared" ca="1" si="31"/>
        <v>#REF!</v>
      </c>
      <c r="K25" s="86" t="e">
        <f t="shared" ca="1" si="31"/>
        <v>#REF!</v>
      </c>
      <c r="L25" s="86" t="e">
        <f t="shared" ca="1" si="31"/>
        <v>#REF!</v>
      </c>
      <c r="M25" s="86" t="e">
        <f t="shared" ca="1" si="31"/>
        <v>#REF!</v>
      </c>
      <c r="N25" s="86" t="e">
        <f t="shared" ca="1" si="31"/>
        <v>#REF!</v>
      </c>
      <c r="O25" s="86" t="e">
        <f t="shared" ca="1" si="31"/>
        <v>#REF!</v>
      </c>
      <c r="P25" s="86" t="e">
        <f t="shared" ca="1" si="31"/>
        <v>#REF!</v>
      </c>
      <c r="Q25" s="86" t="e">
        <f t="shared" ca="1" si="31"/>
        <v>#REF!</v>
      </c>
      <c r="R25" s="86" t="e">
        <f t="shared" ca="1" si="31"/>
        <v>#REF!</v>
      </c>
      <c r="S25" s="86"/>
      <c r="Y25" s="86" t="e">
        <f t="shared" ca="1" si="30"/>
        <v>#REF!</v>
      </c>
    </row>
    <row r="26" spans="1:32" ht="15" hidden="1" customHeight="1" x14ac:dyDescent="0.2">
      <c r="A26" s="86">
        <f>A12</f>
        <v>0</v>
      </c>
      <c r="B26" s="86" t="e">
        <f t="shared" ca="1" si="32"/>
        <v>#REF!</v>
      </c>
      <c r="C26" s="86" t="e">
        <f t="shared" ca="1" si="31"/>
        <v>#REF!</v>
      </c>
      <c r="D26" s="86" t="e">
        <f t="shared" ca="1" si="31"/>
        <v>#REF!</v>
      </c>
      <c r="E26" s="86" t="e">
        <f t="shared" ca="1" si="31"/>
        <v>#REF!</v>
      </c>
      <c r="F26" s="86" t="e">
        <f t="shared" ca="1" si="31"/>
        <v>#REF!</v>
      </c>
      <c r="G26" s="86" t="e">
        <f t="shared" ca="1" si="31"/>
        <v>#REF!</v>
      </c>
      <c r="H26" s="86" t="e">
        <f t="shared" ca="1" si="31"/>
        <v>#REF!</v>
      </c>
      <c r="I26" s="86" t="e">
        <f t="shared" ca="1" si="31"/>
        <v>#REF!</v>
      </c>
      <c r="J26" s="86" t="e">
        <f t="shared" ca="1" si="31"/>
        <v>#REF!</v>
      </c>
      <c r="K26" s="86" t="e">
        <f t="shared" ca="1" si="31"/>
        <v>#REF!</v>
      </c>
      <c r="L26" s="86" t="e">
        <f t="shared" ca="1" si="31"/>
        <v>#REF!</v>
      </c>
      <c r="M26" s="86" t="e">
        <f t="shared" ca="1" si="31"/>
        <v>#REF!</v>
      </c>
      <c r="N26" s="86" t="e">
        <f t="shared" ca="1" si="31"/>
        <v>#REF!</v>
      </c>
      <c r="O26" s="86" t="e">
        <f t="shared" ca="1" si="31"/>
        <v>#REF!</v>
      </c>
      <c r="P26" s="86" t="e">
        <f t="shared" ca="1" si="31"/>
        <v>#REF!</v>
      </c>
      <c r="Q26" s="86" t="e">
        <f t="shared" ca="1" si="31"/>
        <v>#REF!</v>
      </c>
      <c r="R26" s="86" t="e">
        <f t="shared" ca="1" si="31"/>
        <v>#REF!</v>
      </c>
      <c r="S26" s="86"/>
      <c r="Y26" s="86" t="e">
        <f t="shared" ca="1" si="30"/>
        <v>#REF!</v>
      </c>
    </row>
    <row r="27" spans="1:32" ht="15" hidden="1" customHeight="1" x14ac:dyDescent="0.2">
      <c r="A27" s="86">
        <f>A13</f>
        <v>0</v>
      </c>
      <c r="B27" s="86" t="e">
        <f t="shared" ca="1" si="32"/>
        <v>#REF!</v>
      </c>
      <c r="C27" s="86" t="e">
        <f t="shared" ca="1" si="31"/>
        <v>#REF!</v>
      </c>
      <c r="D27" s="86" t="e">
        <f t="shared" ca="1" si="31"/>
        <v>#REF!</v>
      </c>
      <c r="E27" s="86" t="e">
        <f t="shared" ca="1" si="31"/>
        <v>#REF!</v>
      </c>
      <c r="F27" s="86" t="e">
        <f t="shared" ca="1" si="31"/>
        <v>#REF!</v>
      </c>
      <c r="G27" s="86" t="e">
        <f t="shared" ca="1" si="31"/>
        <v>#REF!</v>
      </c>
      <c r="H27" s="86" t="e">
        <f t="shared" ca="1" si="31"/>
        <v>#REF!</v>
      </c>
      <c r="I27" s="86" t="e">
        <f t="shared" ca="1" si="31"/>
        <v>#REF!</v>
      </c>
      <c r="J27" s="86" t="e">
        <f t="shared" ca="1" si="31"/>
        <v>#REF!</v>
      </c>
      <c r="K27" s="86" t="e">
        <f t="shared" ca="1" si="31"/>
        <v>#REF!</v>
      </c>
      <c r="L27" s="86" t="e">
        <f t="shared" ca="1" si="31"/>
        <v>#REF!</v>
      </c>
      <c r="M27" s="86" t="e">
        <f t="shared" ca="1" si="31"/>
        <v>#REF!</v>
      </c>
      <c r="N27" s="86" t="e">
        <f t="shared" ca="1" si="31"/>
        <v>#REF!</v>
      </c>
      <c r="O27" s="86" t="e">
        <f t="shared" ca="1" si="31"/>
        <v>#REF!</v>
      </c>
      <c r="P27" s="86" t="e">
        <f t="shared" ca="1" si="31"/>
        <v>#REF!</v>
      </c>
      <c r="Q27" s="86" t="e">
        <f t="shared" ca="1" si="31"/>
        <v>#REF!</v>
      </c>
      <c r="R27" s="86" t="e">
        <f t="shared" ca="1" si="31"/>
        <v>#REF!</v>
      </c>
      <c r="S27" s="86"/>
      <c r="Y27" s="86" t="e">
        <f t="shared" ca="1" si="30"/>
        <v>#REF!</v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e">
        <f t="shared" ca="1" si="32"/>
        <v>#REF!</v>
      </c>
      <c r="C29" s="86" t="e">
        <f t="shared" ca="1" si="31"/>
        <v>#REF!</v>
      </c>
      <c r="D29" s="86" t="e">
        <f t="shared" ca="1" si="31"/>
        <v>#REF!</v>
      </c>
      <c r="E29" s="86" t="e">
        <f t="shared" ca="1" si="31"/>
        <v>#REF!</v>
      </c>
      <c r="F29" s="86" t="e">
        <f t="shared" ca="1" si="31"/>
        <v>#REF!</v>
      </c>
      <c r="G29" s="86" t="e">
        <f t="shared" ca="1" si="31"/>
        <v>#REF!</v>
      </c>
      <c r="H29" s="86" t="e">
        <f t="shared" ca="1" si="31"/>
        <v>#REF!</v>
      </c>
      <c r="I29" s="86" t="e">
        <f t="shared" ca="1" si="31"/>
        <v>#REF!</v>
      </c>
      <c r="J29" s="86" t="e">
        <f t="shared" ca="1" si="31"/>
        <v>#REF!</v>
      </c>
      <c r="K29" s="86" t="e">
        <f t="shared" ca="1" si="31"/>
        <v>#REF!</v>
      </c>
      <c r="L29" s="86" t="e">
        <f t="shared" ca="1" si="31"/>
        <v>#REF!</v>
      </c>
      <c r="M29" s="86" t="e">
        <f t="shared" ca="1" si="31"/>
        <v>#REF!</v>
      </c>
      <c r="N29" s="86" t="e">
        <f t="shared" ca="1" si="31"/>
        <v>#REF!</v>
      </c>
      <c r="O29" s="86" t="e">
        <f t="shared" ca="1" si="31"/>
        <v>#REF!</v>
      </c>
      <c r="P29" s="86" t="e">
        <f t="shared" ca="1" si="31"/>
        <v>#REF!</v>
      </c>
      <c r="Q29" s="86" t="e">
        <f t="shared" ca="1" si="31"/>
        <v>#REF!</v>
      </c>
      <c r="R29" s="86" t="e">
        <f t="shared" ca="1" si="31"/>
        <v>#REF!</v>
      </c>
      <c r="S29" s="86"/>
      <c r="Y29" s="86" t="e">
        <f t="shared" ref="Y29:Y30" ca="1" si="33">IF(ABS(Y$3/3-Y15)&lt;=0.75,1,0)</f>
        <v>#REF!</v>
      </c>
    </row>
    <row r="30" spans="1:32" ht="15" hidden="1" customHeight="1" x14ac:dyDescent="0.2">
      <c r="A30" s="86">
        <f>A16</f>
        <v>0</v>
      </c>
      <c r="B30" s="86" t="e">
        <f t="shared" ca="1" si="32"/>
        <v>#REF!</v>
      </c>
      <c r="C30" s="86" t="e">
        <f t="shared" ca="1" si="31"/>
        <v>#REF!</v>
      </c>
      <c r="D30" s="86" t="e">
        <f t="shared" ca="1" si="31"/>
        <v>#REF!</v>
      </c>
      <c r="E30" s="86" t="e">
        <f t="shared" ca="1" si="31"/>
        <v>#REF!</v>
      </c>
      <c r="F30" s="86" t="e">
        <f t="shared" ca="1" si="31"/>
        <v>#REF!</v>
      </c>
      <c r="G30" s="86" t="e">
        <f t="shared" ca="1" si="31"/>
        <v>#REF!</v>
      </c>
      <c r="H30" s="86" t="e">
        <f t="shared" ca="1" si="31"/>
        <v>#REF!</v>
      </c>
      <c r="I30" s="86" t="e">
        <f t="shared" ca="1" si="31"/>
        <v>#REF!</v>
      </c>
      <c r="J30" s="86" t="e">
        <f t="shared" ca="1" si="31"/>
        <v>#REF!</v>
      </c>
      <c r="K30" s="86" t="e">
        <f t="shared" ca="1" si="31"/>
        <v>#REF!</v>
      </c>
      <c r="L30" s="86" t="e">
        <f t="shared" ca="1" si="31"/>
        <v>#REF!</v>
      </c>
      <c r="M30" s="86" t="e">
        <f t="shared" ca="1" si="31"/>
        <v>#REF!</v>
      </c>
      <c r="N30" s="86" t="e">
        <f t="shared" ca="1" si="31"/>
        <v>#REF!</v>
      </c>
      <c r="O30" s="86" t="e">
        <f t="shared" ca="1" si="31"/>
        <v>#REF!</v>
      </c>
      <c r="P30" s="86" t="e">
        <f t="shared" ca="1" si="31"/>
        <v>#REF!</v>
      </c>
      <c r="Q30" s="86" t="e">
        <f t="shared" ca="1" si="31"/>
        <v>#REF!</v>
      </c>
      <c r="R30" s="86" t="e">
        <f t="shared" ca="1" si="31"/>
        <v>#REF!</v>
      </c>
      <c r="S30" s="86"/>
      <c r="Y30" s="86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91</v>
      </c>
      <c r="F2" s="131" t="s">
        <v>92</v>
      </c>
      <c r="G2" s="131" t="s">
        <v>93</v>
      </c>
      <c r="H2" s="131" t="s">
        <v>94</v>
      </c>
      <c r="I2" s="131" t="s">
        <v>96</v>
      </c>
      <c r="J2" s="131" t="s">
        <v>97</v>
      </c>
      <c r="K2" s="131" t="s">
        <v>98</v>
      </c>
      <c r="L2" s="131" t="s">
        <v>90</v>
      </c>
      <c r="M2" s="131" t="s">
        <v>100</v>
      </c>
      <c r="N2" s="131" t="s">
        <v>91</v>
      </c>
      <c r="O2" s="131" t="s">
        <v>84</v>
      </c>
      <c r="P2" s="131" t="s">
        <v>92</v>
      </c>
      <c r="Q2" s="131" t="s">
        <v>93</v>
      </c>
      <c r="R2" s="131" t="s">
        <v>101</v>
      </c>
      <c r="S2" s="131" t="s">
        <v>94</v>
      </c>
      <c r="T2" s="131" t="s">
        <v>96</v>
      </c>
      <c r="U2" s="131" t="s">
        <v>97</v>
      </c>
      <c r="V2" s="131" t="s">
        <v>103</v>
      </c>
      <c r="W2" s="131" t="s">
        <v>76</v>
      </c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 t="e">
        <f t="shared" ref="S3:W3" ca="1" si="1">SUM(S8:S12)-MAX(S8:S12)-MIN(S8:S12)</f>
        <v>#REF!</v>
      </c>
      <c r="T3" s="149" t="e">
        <f t="shared" ca="1" si="1"/>
        <v>#REF!</v>
      </c>
      <c r="U3" s="149" t="e">
        <f t="shared" ca="1" si="1"/>
        <v>#REF!</v>
      </c>
      <c r="V3" s="149" t="e">
        <f t="shared" ca="1" si="1"/>
        <v>#REF!</v>
      </c>
      <c r="W3" s="149" t="e">
        <f t="shared" ca="1" si="1"/>
        <v>#REF!</v>
      </c>
      <c r="X3" s="150"/>
      <c r="Y3" s="149" t="e">
        <f ca="1">SUM(Y8:Y12)-MAX(Y8:Y12)-MIN(Y8:Y12)</f>
        <v>#REF!</v>
      </c>
      <c r="Z3" s="185" t="e">
        <f ca="1">IF(SUM(AF8:AF12)&gt;0,SUM(C3:Y3)/2,SUM(C3:Y3))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32" ht="15" customHeight="1" x14ac:dyDescent="0.2">
      <c r="A4" s="467" t="str">
        <f>Doku!B49&amp;":"</f>
        <v>Spannweite:</v>
      </c>
      <c r="B4" s="467"/>
      <c r="C4" s="154" t="e">
        <f t="shared" ref="C4:R4" ca="1" si="2">MAX(C8:C12)-MIN(C8:C12)</f>
        <v>#REF!</v>
      </c>
      <c r="D4" s="154" t="e">
        <f t="shared" ca="1" si="2"/>
        <v>#REF!</v>
      </c>
      <c r="E4" s="154" t="e">
        <f t="shared" ca="1" si="2"/>
        <v>#REF!</v>
      </c>
      <c r="F4" s="154" t="e">
        <f t="shared" ca="1" si="2"/>
        <v>#REF!</v>
      </c>
      <c r="G4" s="154" t="e">
        <f t="shared" ca="1" si="2"/>
        <v>#REF!</v>
      </c>
      <c r="H4" s="154" t="e">
        <f t="shared" ca="1" si="2"/>
        <v>#REF!</v>
      </c>
      <c r="I4" s="154" t="e">
        <f t="shared" ca="1" si="2"/>
        <v>#REF!</v>
      </c>
      <c r="J4" s="154" t="e">
        <f t="shared" ca="1" si="2"/>
        <v>#REF!</v>
      </c>
      <c r="K4" s="154" t="e">
        <f t="shared" ca="1" si="2"/>
        <v>#REF!</v>
      </c>
      <c r="L4" s="154" t="e">
        <f t="shared" ca="1" si="2"/>
        <v>#REF!</v>
      </c>
      <c r="M4" s="154" t="e">
        <f t="shared" ca="1" si="2"/>
        <v>#REF!</v>
      </c>
      <c r="N4" s="154" t="e">
        <f t="shared" ca="1" si="2"/>
        <v>#REF!</v>
      </c>
      <c r="O4" s="154" t="e">
        <f t="shared" ca="1" si="2"/>
        <v>#REF!</v>
      </c>
      <c r="P4" s="154" t="e">
        <f t="shared" ca="1" si="2"/>
        <v>#REF!</v>
      </c>
      <c r="Q4" s="154" t="e">
        <f t="shared" ca="1" si="2"/>
        <v>#REF!</v>
      </c>
      <c r="R4" s="154" t="e">
        <f t="shared" ca="1" si="2"/>
        <v>#REF!</v>
      </c>
      <c r="S4" s="155" t="e">
        <f t="shared" ref="S4:W4" ca="1" si="3">MAX(S8:S12)-MIN(S8:S12)</f>
        <v>#REF!</v>
      </c>
      <c r="T4" s="155" t="e">
        <f t="shared" ca="1" si="3"/>
        <v>#REF!</v>
      </c>
      <c r="U4" s="155" t="e">
        <f t="shared" ca="1" si="3"/>
        <v>#REF!</v>
      </c>
      <c r="V4" s="155" t="e">
        <f t="shared" ca="1" si="3"/>
        <v>#REF!</v>
      </c>
      <c r="W4" s="155" t="e">
        <f t="shared" ca="1" si="3"/>
        <v>#REF!</v>
      </c>
      <c r="X4" s="155"/>
      <c r="Y4" s="154" t="e">
        <f ca="1">MAX(Y8:Y12)-MIN(Y8:Y12)</f>
        <v>#REF!</v>
      </c>
      <c r="Z4" s="186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32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4">D3/3</f>
        <v>#REF!</v>
      </c>
      <c r="E5" s="154" t="e">
        <f t="shared" ca="1" si="4"/>
        <v>#REF!</v>
      </c>
      <c r="F5" s="154" t="e">
        <f t="shared" ca="1" si="4"/>
        <v>#REF!</v>
      </c>
      <c r="G5" s="154" t="e">
        <f t="shared" ca="1" si="4"/>
        <v>#REF!</v>
      </c>
      <c r="H5" s="154" t="e">
        <f t="shared" ca="1" si="4"/>
        <v>#REF!</v>
      </c>
      <c r="I5" s="154" t="e">
        <f t="shared" ca="1" si="4"/>
        <v>#REF!</v>
      </c>
      <c r="J5" s="154" t="e">
        <f t="shared" ca="1" si="4"/>
        <v>#REF!</v>
      </c>
      <c r="K5" s="154" t="e">
        <f t="shared" ca="1" si="4"/>
        <v>#REF!</v>
      </c>
      <c r="L5" s="154" t="e">
        <f t="shared" ca="1" si="4"/>
        <v>#REF!</v>
      </c>
      <c r="M5" s="154" t="e">
        <f t="shared" ca="1" si="4"/>
        <v>#REF!</v>
      </c>
      <c r="N5" s="154" t="e">
        <f t="shared" ca="1" si="4"/>
        <v>#REF!</v>
      </c>
      <c r="O5" s="154" t="e">
        <f t="shared" ca="1" si="4"/>
        <v>#REF!</v>
      </c>
      <c r="P5" s="154" t="e">
        <f t="shared" ca="1" si="4"/>
        <v>#REF!</v>
      </c>
      <c r="Q5" s="154" t="e">
        <f t="shared" ca="1" si="4"/>
        <v>#REF!</v>
      </c>
      <c r="R5" s="154" t="e">
        <f t="shared" ca="1" si="4"/>
        <v>#REF!</v>
      </c>
      <c r="S5" s="154" t="e">
        <f t="shared" ca="1" si="4"/>
        <v>#REF!</v>
      </c>
      <c r="T5" s="154" t="e">
        <f t="shared" ca="1" si="4"/>
        <v>#REF!</v>
      </c>
      <c r="U5" s="154" t="e">
        <f t="shared" ca="1" si="4"/>
        <v>#REF!</v>
      </c>
      <c r="V5" s="154" t="e">
        <f t="shared" ca="1" si="4"/>
        <v>#REF!</v>
      </c>
      <c r="W5" s="154" t="e">
        <f t="shared" ca="1" si="4"/>
        <v>#REF!</v>
      </c>
      <c r="X5" s="154"/>
      <c r="Y5" s="154" t="e">
        <f t="shared" ca="1" si="4"/>
        <v>#REF!</v>
      </c>
      <c r="Z5" s="186" t="e">
        <f t="shared" ca="1" si="4"/>
        <v>#REF!</v>
      </c>
      <c r="AA5" s="186"/>
      <c r="AB5" s="158" t="e">
        <f t="shared" ref="AB5:AF5" ca="1" si="5">AVERAGE(AB8:AB12)</f>
        <v>#REF!</v>
      </c>
      <c r="AC5" s="158" t="e">
        <f t="shared" ca="1" si="5"/>
        <v>#REF!</v>
      </c>
      <c r="AD5" s="158" t="e">
        <f t="shared" ca="1" si="5"/>
        <v>#REF!</v>
      </c>
      <c r="AE5" s="154" t="e">
        <f t="shared" ca="1" si="5"/>
        <v>#REF!</v>
      </c>
      <c r="AF5" s="158" t="e">
        <f t="shared" ca="1" si="5"/>
        <v>#REF!</v>
      </c>
    </row>
    <row r="6" spans="1:32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5"/>
      <c r="Y6" s="154"/>
      <c r="Z6" s="188"/>
      <c r="AA6" s="188"/>
      <c r="AB6" s="162"/>
      <c r="AC6" s="162"/>
      <c r="AD6" s="162"/>
      <c r="AE6" s="154"/>
      <c r="AF6" s="162"/>
    </row>
    <row r="7" spans="1:32" ht="15" customHeight="1" x14ac:dyDescent="0.2">
      <c r="A7" s="140"/>
      <c r="B7" s="140" t="e">
        <f t="shared" ref="B7:B16" ca="1" si="6">INDIRECT("'"&amp;$A7&amp;"'!E5")</f>
        <v>#REF!</v>
      </c>
      <c r="C7" s="163" t="e">
        <f t="shared" ref="C7:C13" ca="1" si="7">INDIRECT("'"&amp;$A7&amp;"'!L13")</f>
        <v>#REF!</v>
      </c>
      <c r="D7" s="163" t="e">
        <f t="shared" ref="D7:D13" ca="1" si="8">INDIRECT("'"&amp;$A7&amp;"'!L14")</f>
        <v>#REF!</v>
      </c>
      <c r="E7" s="163" t="e">
        <f t="shared" ref="E7:E13" ca="1" si="9">INDIRECT("'"&amp;$A7&amp;"'!L15")</f>
        <v>#REF!</v>
      </c>
      <c r="F7" s="163" t="e">
        <f t="shared" ref="F7:F13" ca="1" si="10">INDIRECT("'"&amp;$A7&amp;"'!L16")</f>
        <v>#REF!</v>
      </c>
      <c r="G7" s="163" t="e">
        <f t="shared" ref="G7:G13" ca="1" si="11">INDIRECT("'"&amp;$A7&amp;"'!L17")</f>
        <v>#REF!</v>
      </c>
      <c r="H7" s="163" t="e">
        <f t="shared" ref="H7:H13" ca="1" si="12">INDIRECT("'"&amp;$A7&amp;"'!L18")</f>
        <v>#REF!</v>
      </c>
      <c r="I7" s="163" t="e">
        <f t="shared" ref="I7:I13" ca="1" si="13">INDIRECT("'"&amp;$A7&amp;"'!L19")</f>
        <v>#REF!</v>
      </c>
      <c r="J7" s="163" t="e">
        <f t="shared" ref="J7:J13" ca="1" si="14">INDIRECT("'"&amp;$A7&amp;"'!L20")</f>
        <v>#REF!</v>
      </c>
      <c r="K7" s="163" t="e">
        <f t="shared" ref="K7:K13" ca="1" si="15">INDIRECT("'"&amp;$A7&amp;"'!L21")</f>
        <v>#REF!</v>
      </c>
      <c r="L7" s="163" t="e">
        <f t="shared" ref="L7:L13" ca="1" si="16">INDIRECT("'"&amp;$A7&amp;"'!L22")</f>
        <v>#REF!</v>
      </c>
      <c r="M7" s="163" t="e">
        <f t="shared" ref="M7:M13" ca="1" si="17">INDIRECT("'"&amp;$A7&amp;"'!L23")</f>
        <v>#REF!</v>
      </c>
      <c r="N7" s="163" t="e">
        <f t="shared" ref="N7:N13" ca="1" si="18">INDIRECT("'"&amp;$A7&amp;"'!L24")</f>
        <v>#REF!</v>
      </c>
      <c r="O7" s="163" t="e">
        <f t="shared" ref="O7:O13" ca="1" si="19">INDIRECT("'"&amp;$A7&amp;"'!L25")</f>
        <v>#REF!</v>
      </c>
      <c r="P7" s="163" t="e">
        <f t="shared" ref="P7:P13" ca="1" si="20">INDIRECT("'"&amp;$A7&amp;"'!L26")</f>
        <v>#REF!</v>
      </c>
      <c r="Q7" s="163" t="e">
        <f t="shared" ref="Q7:Q13" ca="1" si="21">INDIRECT("'"&amp;$A7&amp;"'!L27")</f>
        <v>#REF!</v>
      </c>
      <c r="R7" s="163" t="e">
        <f t="shared" ref="R7:R13" ca="1" si="22">INDIRECT("'"&amp;$A7&amp;"'!L28")</f>
        <v>#REF!</v>
      </c>
      <c r="S7" s="163" t="e">
        <f t="shared" ref="S7:S13" ca="1" si="23">INDIRECT("'"&amp;$A7&amp;"'!L29")</f>
        <v>#REF!</v>
      </c>
      <c r="T7" s="163" t="e">
        <f t="shared" ref="T7:T13" ca="1" si="24">INDIRECT("'"&amp;$A7&amp;"'!L30")</f>
        <v>#REF!</v>
      </c>
      <c r="U7" s="163" t="e">
        <f t="shared" ref="U7:U13" ca="1" si="25">INDIRECT("'"&amp;$A7&amp;"'!L31")</f>
        <v>#REF!</v>
      </c>
      <c r="V7" s="163" t="e">
        <f t="shared" ref="V7:V13" ca="1" si="26">INDIRECT("'"&amp;$A7&amp;"'!L32")</f>
        <v>#REF!</v>
      </c>
      <c r="W7" s="163" t="e">
        <f t="shared" ref="W7:W13" ca="1" si="27">INDIRECT("'"&amp;$A7&amp;"'!L33")</f>
        <v>#REF!</v>
      </c>
      <c r="X7" s="163"/>
      <c r="Y7" s="163" t="e">
        <f ca="1">INDIRECT("'"&amp;$A7&amp;"'!L34")</f>
        <v>#REF!</v>
      </c>
      <c r="Z7" s="189" t="e">
        <f t="shared" ref="Z7:Z13" ca="1" si="28">INDIRECT("'"&amp;$A7&amp;"'!L36")</f>
        <v>#REF!</v>
      </c>
      <c r="AA7" s="189"/>
      <c r="AB7" s="164" t="e">
        <f t="shared" ref="AB7:AB13" ca="1" si="29">INDIRECT("'"&amp;$A7&amp;"'!F36")</f>
        <v>#REF!</v>
      </c>
      <c r="AC7" s="164" t="e">
        <f t="shared" ref="AC7:AC13" ca="1" si="30">INDIRECT("'"&amp;$A7&amp;"'!H36")</f>
        <v>#REF!</v>
      </c>
      <c r="AD7" s="164" t="e">
        <f t="shared" ref="AD7:AD13" ca="1" si="31">INDIRECT("'"&amp;$A7&amp;"'!I36")</f>
        <v>#REF!</v>
      </c>
      <c r="AE7" s="163" t="e">
        <f t="shared" ref="AE7:AE13" ca="1" si="32">INDIRECT("'"&amp;$A7&amp;"'!J36")</f>
        <v>#REF!</v>
      </c>
      <c r="AF7" s="164" t="e">
        <f t="shared" ref="AF7:AF13" ca="1" si="33">INDIRECT("'"&amp;$A7&amp;"'!K36")</f>
        <v>#REF!</v>
      </c>
    </row>
    <row r="8" spans="1:32" ht="15" customHeight="1" x14ac:dyDescent="0.2">
      <c r="A8" s="141"/>
      <c r="B8" s="141" t="e">
        <f t="shared" ca="1" si="6"/>
        <v>#REF!</v>
      </c>
      <c r="C8" s="148" t="e">
        <f t="shared" ca="1" si="7"/>
        <v>#REF!</v>
      </c>
      <c r="D8" s="148" t="e">
        <f t="shared" ca="1" si="8"/>
        <v>#REF!</v>
      </c>
      <c r="E8" s="148" t="e">
        <f t="shared" ca="1" si="9"/>
        <v>#REF!</v>
      </c>
      <c r="F8" s="148" t="e">
        <f t="shared" ca="1" si="10"/>
        <v>#REF!</v>
      </c>
      <c r="G8" s="148" t="e">
        <f t="shared" ca="1" si="11"/>
        <v>#REF!</v>
      </c>
      <c r="H8" s="148" t="e">
        <f t="shared" ca="1" si="12"/>
        <v>#REF!</v>
      </c>
      <c r="I8" s="148" t="e">
        <f t="shared" ca="1" si="13"/>
        <v>#REF!</v>
      </c>
      <c r="J8" s="148" t="e">
        <f t="shared" ca="1" si="14"/>
        <v>#REF!</v>
      </c>
      <c r="K8" s="148" t="e">
        <f t="shared" ca="1" si="15"/>
        <v>#REF!</v>
      </c>
      <c r="L8" s="148" t="e">
        <f t="shared" ca="1" si="16"/>
        <v>#REF!</v>
      </c>
      <c r="M8" s="148" t="e">
        <f t="shared" ca="1" si="17"/>
        <v>#REF!</v>
      </c>
      <c r="N8" s="148" t="e">
        <f t="shared" ca="1" si="18"/>
        <v>#REF!</v>
      </c>
      <c r="O8" s="148" t="e">
        <f t="shared" ca="1" si="19"/>
        <v>#REF!</v>
      </c>
      <c r="P8" s="148" t="e">
        <f t="shared" ca="1" si="20"/>
        <v>#REF!</v>
      </c>
      <c r="Q8" s="148" t="e">
        <f t="shared" ca="1" si="21"/>
        <v>#REF!</v>
      </c>
      <c r="R8" s="148" t="e">
        <f t="shared" ca="1" si="22"/>
        <v>#REF!</v>
      </c>
      <c r="S8" s="148" t="e">
        <f t="shared" ca="1" si="23"/>
        <v>#REF!</v>
      </c>
      <c r="T8" s="148" t="e">
        <f t="shared" ca="1" si="24"/>
        <v>#REF!</v>
      </c>
      <c r="U8" s="148" t="e">
        <f t="shared" ca="1" si="25"/>
        <v>#REF!</v>
      </c>
      <c r="V8" s="148" t="e">
        <f t="shared" ca="1" si="26"/>
        <v>#REF!</v>
      </c>
      <c r="W8" s="148" t="e">
        <f t="shared" ca="1" si="27"/>
        <v>#REF!</v>
      </c>
      <c r="X8" s="148"/>
      <c r="Y8" s="148" t="e">
        <f t="shared" ref="Y8:Y13" ca="1" si="34">INDIRECT("'"&amp;$A8&amp;"'!L29")</f>
        <v>#REF!</v>
      </c>
      <c r="Z8" s="190" t="e">
        <f t="shared" ca="1" si="28"/>
        <v>#REF!</v>
      </c>
      <c r="AA8" s="167" t="e">
        <f t="shared" ref="AA8:AA13" ca="1" si="35">SUM(C22:Y22)/COUNT(C8:Y8)</f>
        <v>#REF!</v>
      </c>
      <c r="AB8" s="168" t="e">
        <f t="shared" ca="1" si="29"/>
        <v>#REF!</v>
      </c>
      <c r="AC8" s="168" t="e">
        <f t="shared" ca="1" si="30"/>
        <v>#REF!</v>
      </c>
      <c r="AD8" s="168" t="e">
        <f t="shared" ca="1" si="31"/>
        <v>#REF!</v>
      </c>
      <c r="AE8" s="169" t="e">
        <f t="shared" ca="1" si="32"/>
        <v>#REF!</v>
      </c>
      <c r="AF8" s="168" t="e">
        <f t="shared" ca="1" si="33"/>
        <v>#REF!</v>
      </c>
    </row>
    <row r="9" spans="1:32" ht="15" customHeight="1" x14ac:dyDescent="0.2">
      <c r="A9" s="141"/>
      <c r="B9" s="141" t="e">
        <f t="shared" ca="1" si="6"/>
        <v>#REF!</v>
      </c>
      <c r="C9" s="169" t="e">
        <f t="shared" ca="1" si="7"/>
        <v>#REF!</v>
      </c>
      <c r="D9" s="169" t="e">
        <f t="shared" ca="1" si="8"/>
        <v>#REF!</v>
      </c>
      <c r="E9" s="169" t="e">
        <f t="shared" ca="1" si="9"/>
        <v>#REF!</v>
      </c>
      <c r="F9" s="169" t="e">
        <f t="shared" ca="1" si="10"/>
        <v>#REF!</v>
      </c>
      <c r="G9" s="169" t="e">
        <f t="shared" ca="1" si="11"/>
        <v>#REF!</v>
      </c>
      <c r="H9" s="169" t="e">
        <f t="shared" ca="1" si="12"/>
        <v>#REF!</v>
      </c>
      <c r="I9" s="169" t="e">
        <f t="shared" ca="1" si="13"/>
        <v>#REF!</v>
      </c>
      <c r="J9" s="169" t="e">
        <f t="shared" ca="1" si="14"/>
        <v>#REF!</v>
      </c>
      <c r="K9" s="169" t="e">
        <f t="shared" ca="1" si="15"/>
        <v>#REF!</v>
      </c>
      <c r="L9" s="169" t="e">
        <f t="shared" ca="1" si="16"/>
        <v>#REF!</v>
      </c>
      <c r="M9" s="169" t="e">
        <f t="shared" ca="1" si="17"/>
        <v>#REF!</v>
      </c>
      <c r="N9" s="169" t="e">
        <f t="shared" ca="1" si="18"/>
        <v>#REF!</v>
      </c>
      <c r="O9" s="169" t="e">
        <f t="shared" ca="1" si="19"/>
        <v>#REF!</v>
      </c>
      <c r="P9" s="169" t="e">
        <f t="shared" ca="1" si="20"/>
        <v>#REF!</v>
      </c>
      <c r="Q9" s="169" t="e">
        <f t="shared" ca="1" si="21"/>
        <v>#REF!</v>
      </c>
      <c r="R9" s="169" t="e">
        <f t="shared" ca="1" si="22"/>
        <v>#REF!</v>
      </c>
      <c r="S9" s="169" t="e">
        <f t="shared" ca="1" si="23"/>
        <v>#REF!</v>
      </c>
      <c r="T9" s="169" t="e">
        <f t="shared" ca="1" si="24"/>
        <v>#REF!</v>
      </c>
      <c r="U9" s="169" t="e">
        <f t="shared" ca="1" si="25"/>
        <v>#REF!</v>
      </c>
      <c r="V9" s="169" t="e">
        <f t="shared" ca="1" si="26"/>
        <v>#REF!</v>
      </c>
      <c r="W9" s="169" t="e">
        <f t="shared" ca="1" si="27"/>
        <v>#REF!</v>
      </c>
      <c r="X9" s="169"/>
      <c r="Y9" s="169" t="e">
        <f t="shared" ca="1" si="34"/>
        <v>#REF!</v>
      </c>
      <c r="Z9" s="190" t="e">
        <f t="shared" ca="1" si="28"/>
        <v>#REF!</v>
      </c>
      <c r="AA9" s="170" t="e">
        <f t="shared" ca="1" si="35"/>
        <v>#REF!</v>
      </c>
      <c r="AB9" s="168" t="e">
        <f t="shared" ca="1" si="29"/>
        <v>#REF!</v>
      </c>
      <c r="AC9" s="168" t="e">
        <f t="shared" ca="1" si="30"/>
        <v>#REF!</v>
      </c>
      <c r="AD9" s="168" t="e">
        <f t="shared" ca="1" si="31"/>
        <v>#REF!</v>
      </c>
      <c r="AE9" s="169" t="e">
        <f t="shared" ca="1" si="32"/>
        <v>#REF!</v>
      </c>
      <c r="AF9" s="168" t="e">
        <f t="shared" ca="1" si="33"/>
        <v>#REF!</v>
      </c>
    </row>
    <row r="10" spans="1:32" ht="15" customHeight="1" x14ac:dyDescent="0.2">
      <c r="A10" s="141"/>
      <c r="B10" s="141" t="e">
        <f t="shared" ca="1" si="6"/>
        <v>#REF!</v>
      </c>
      <c r="C10" s="169" t="e">
        <f t="shared" ca="1" si="7"/>
        <v>#REF!</v>
      </c>
      <c r="D10" s="169" t="e">
        <f t="shared" ca="1" si="8"/>
        <v>#REF!</v>
      </c>
      <c r="E10" s="169" t="e">
        <f t="shared" ca="1" si="9"/>
        <v>#REF!</v>
      </c>
      <c r="F10" s="169" t="e">
        <f t="shared" ca="1" si="10"/>
        <v>#REF!</v>
      </c>
      <c r="G10" s="169" t="e">
        <f t="shared" ca="1" si="11"/>
        <v>#REF!</v>
      </c>
      <c r="H10" s="169" t="e">
        <f t="shared" ca="1" si="12"/>
        <v>#REF!</v>
      </c>
      <c r="I10" s="169" t="e">
        <f t="shared" ca="1" si="13"/>
        <v>#REF!</v>
      </c>
      <c r="J10" s="169" t="e">
        <f t="shared" ca="1" si="14"/>
        <v>#REF!</v>
      </c>
      <c r="K10" s="169" t="e">
        <f t="shared" ca="1" si="15"/>
        <v>#REF!</v>
      </c>
      <c r="L10" s="169" t="e">
        <f t="shared" ca="1" si="16"/>
        <v>#REF!</v>
      </c>
      <c r="M10" s="169" t="e">
        <f t="shared" ca="1" si="17"/>
        <v>#REF!</v>
      </c>
      <c r="N10" s="169" t="e">
        <f t="shared" ca="1" si="18"/>
        <v>#REF!</v>
      </c>
      <c r="O10" s="169" t="e">
        <f t="shared" ca="1" si="19"/>
        <v>#REF!</v>
      </c>
      <c r="P10" s="169" t="e">
        <f t="shared" ca="1" si="20"/>
        <v>#REF!</v>
      </c>
      <c r="Q10" s="169" t="e">
        <f t="shared" ca="1" si="21"/>
        <v>#REF!</v>
      </c>
      <c r="R10" s="169" t="e">
        <f t="shared" ca="1" si="22"/>
        <v>#REF!</v>
      </c>
      <c r="S10" s="169" t="e">
        <f t="shared" ca="1" si="23"/>
        <v>#REF!</v>
      </c>
      <c r="T10" s="169" t="e">
        <f t="shared" ca="1" si="24"/>
        <v>#REF!</v>
      </c>
      <c r="U10" s="169" t="e">
        <f t="shared" ca="1" si="25"/>
        <v>#REF!</v>
      </c>
      <c r="V10" s="169" t="e">
        <f t="shared" ca="1" si="26"/>
        <v>#REF!</v>
      </c>
      <c r="W10" s="169" t="e">
        <f t="shared" ca="1" si="27"/>
        <v>#REF!</v>
      </c>
      <c r="X10" s="169"/>
      <c r="Y10" s="169" t="e">
        <f t="shared" ca="1" si="34"/>
        <v>#REF!</v>
      </c>
      <c r="Z10" s="190" t="e">
        <f t="shared" ca="1" si="28"/>
        <v>#REF!</v>
      </c>
      <c r="AA10" s="170" t="e">
        <f t="shared" ca="1" si="35"/>
        <v>#REF!</v>
      </c>
      <c r="AB10" s="168" t="e">
        <f t="shared" ca="1" si="29"/>
        <v>#REF!</v>
      </c>
      <c r="AC10" s="168" t="e">
        <f t="shared" ca="1" si="30"/>
        <v>#REF!</v>
      </c>
      <c r="AD10" s="168" t="e">
        <f t="shared" ca="1" si="31"/>
        <v>#REF!</v>
      </c>
      <c r="AE10" s="169" t="e">
        <f t="shared" ca="1" si="32"/>
        <v>#REF!</v>
      </c>
      <c r="AF10" s="168" t="e">
        <f t="shared" ca="1" si="33"/>
        <v>#REF!</v>
      </c>
    </row>
    <row r="11" spans="1:32" ht="15" customHeight="1" x14ac:dyDescent="0.2">
      <c r="A11" s="141"/>
      <c r="B11" s="141" t="e">
        <f t="shared" ca="1" si="6"/>
        <v>#REF!</v>
      </c>
      <c r="C11" s="169" t="e">
        <f t="shared" ca="1" si="7"/>
        <v>#REF!</v>
      </c>
      <c r="D11" s="169" t="e">
        <f t="shared" ca="1" si="8"/>
        <v>#REF!</v>
      </c>
      <c r="E11" s="169" t="e">
        <f t="shared" ca="1" si="9"/>
        <v>#REF!</v>
      </c>
      <c r="F11" s="169" t="e">
        <f t="shared" ca="1" si="10"/>
        <v>#REF!</v>
      </c>
      <c r="G11" s="169" t="e">
        <f t="shared" ca="1" si="11"/>
        <v>#REF!</v>
      </c>
      <c r="H11" s="169" t="e">
        <f t="shared" ca="1" si="12"/>
        <v>#REF!</v>
      </c>
      <c r="I11" s="169" t="e">
        <f t="shared" ca="1" si="13"/>
        <v>#REF!</v>
      </c>
      <c r="J11" s="169" t="e">
        <f t="shared" ca="1" si="14"/>
        <v>#REF!</v>
      </c>
      <c r="K11" s="169" t="e">
        <f t="shared" ca="1" si="15"/>
        <v>#REF!</v>
      </c>
      <c r="L11" s="169" t="e">
        <f t="shared" ca="1" si="16"/>
        <v>#REF!</v>
      </c>
      <c r="M11" s="169" t="e">
        <f t="shared" ca="1" si="17"/>
        <v>#REF!</v>
      </c>
      <c r="N11" s="169" t="e">
        <f t="shared" ca="1" si="18"/>
        <v>#REF!</v>
      </c>
      <c r="O11" s="169" t="e">
        <f t="shared" ca="1" si="19"/>
        <v>#REF!</v>
      </c>
      <c r="P11" s="169" t="e">
        <f t="shared" ca="1" si="20"/>
        <v>#REF!</v>
      </c>
      <c r="Q11" s="169" t="e">
        <f t="shared" ca="1" si="21"/>
        <v>#REF!</v>
      </c>
      <c r="R11" s="169" t="e">
        <f t="shared" ca="1" si="22"/>
        <v>#REF!</v>
      </c>
      <c r="S11" s="169" t="e">
        <f t="shared" ca="1" si="23"/>
        <v>#REF!</v>
      </c>
      <c r="T11" s="169" t="e">
        <f t="shared" ca="1" si="24"/>
        <v>#REF!</v>
      </c>
      <c r="U11" s="169" t="e">
        <f t="shared" ca="1" si="25"/>
        <v>#REF!</v>
      </c>
      <c r="V11" s="169" t="e">
        <f t="shared" ca="1" si="26"/>
        <v>#REF!</v>
      </c>
      <c r="W11" s="169" t="e">
        <f t="shared" ca="1" si="27"/>
        <v>#REF!</v>
      </c>
      <c r="X11" s="169"/>
      <c r="Y11" s="169" t="e">
        <f t="shared" ca="1" si="34"/>
        <v>#REF!</v>
      </c>
      <c r="Z11" s="190" t="e">
        <f t="shared" ca="1" si="28"/>
        <v>#REF!</v>
      </c>
      <c r="AA11" s="170" t="e">
        <f t="shared" ca="1" si="35"/>
        <v>#REF!</v>
      </c>
      <c r="AB11" s="168" t="e">
        <f t="shared" ca="1" si="29"/>
        <v>#REF!</v>
      </c>
      <c r="AC11" s="168" t="e">
        <f t="shared" ca="1" si="30"/>
        <v>#REF!</v>
      </c>
      <c r="AD11" s="168" t="e">
        <f t="shared" ca="1" si="31"/>
        <v>#REF!</v>
      </c>
      <c r="AE11" s="169" t="e">
        <f t="shared" ca="1" si="32"/>
        <v>#REF!</v>
      </c>
      <c r="AF11" s="168" t="e">
        <f t="shared" ca="1" si="33"/>
        <v>#REF!</v>
      </c>
    </row>
    <row r="12" spans="1:32" ht="15" customHeight="1" thickBot="1" x14ac:dyDescent="0.25">
      <c r="A12" s="141"/>
      <c r="B12" s="142" t="e">
        <f t="shared" ca="1" si="6"/>
        <v>#REF!</v>
      </c>
      <c r="C12" s="171" t="e">
        <f t="shared" ca="1" si="7"/>
        <v>#REF!</v>
      </c>
      <c r="D12" s="171" t="e">
        <f t="shared" ca="1" si="8"/>
        <v>#REF!</v>
      </c>
      <c r="E12" s="171" t="e">
        <f t="shared" ca="1" si="9"/>
        <v>#REF!</v>
      </c>
      <c r="F12" s="171" t="e">
        <f t="shared" ca="1" si="10"/>
        <v>#REF!</v>
      </c>
      <c r="G12" s="171" t="e">
        <f t="shared" ca="1" si="11"/>
        <v>#REF!</v>
      </c>
      <c r="H12" s="171" t="e">
        <f t="shared" ca="1" si="12"/>
        <v>#REF!</v>
      </c>
      <c r="I12" s="171" t="e">
        <f t="shared" ca="1" si="13"/>
        <v>#REF!</v>
      </c>
      <c r="J12" s="171" t="e">
        <f t="shared" ca="1" si="14"/>
        <v>#REF!</v>
      </c>
      <c r="K12" s="171" t="e">
        <f t="shared" ca="1" si="15"/>
        <v>#REF!</v>
      </c>
      <c r="L12" s="171" t="e">
        <f t="shared" ca="1" si="16"/>
        <v>#REF!</v>
      </c>
      <c r="M12" s="171" t="e">
        <f t="shared" ca="1" si="17"/>
        <v>#REF!</v>
      </c>
      <c r="N12" s="171" t="e">
        <f t="shared" ca="1" si="18"/>
        <v>#REF!</v>
      </c>
      <c r="O12" s="171" t="e">
        <f t="shared" ca="1" si="19"/>
        <v>#REF!</v>
      </c>
      <c r="P12" s="171" t="e">
        <f t="shared" ca="1" si="20"/>
        <v>#REF!</v>
      </c>
      <c r="Q12" s="171" t="e">
        <f t="shared" ca="1" si="21"/>
        <v>#REF!</v>
      </c>
      <c r="R12" s="171" t="e">
        <f t="shared" ca="1" si="22"/>
        <v>#REF!</v>
      </c>
      <c r="S12" s="171" t="e">
        <f t="shared" ca="1" si="23"/>
        <v>#REF!</v>
      </c>
      <c r="T12" s="171" t="e">
        <f t="shared" ca="1" si="24"/>
        <v>#REF!</v>
      </c>
      <c r="U12" s="171" t="e">
        <f t="shared" ca="1" si="25"/>
        <v>#REF!</v>
      </c>
      <c r="V12" s="171" t="e">
        <f t="shared" ca="1" si="26"/>
        <v>#REF!</v>
      </c>
      <c r="W12" s="171" t="e">
        <f t="shared" ca="1" si="27"/>
        <v>#REF!</v>
      </c>
      <c r="X12" s="171"/>
      <c r="Y12" s="171" t="e">
        <f t="shared" ca="1" si="34"/>
        <v>#REF!</v>
      </c>
      <c r="Z12" s="191" t="e">
        <f t="shared" ca="1" si="28"/>
        <v>#REF!</v>
      </c>
      <c r="AA12" s="170" t="e">
        <f t="shared" ca="1" si="35"/>
        <v>#REF!</v>
      </c>
      <c r="AB12" s="172" t="e">
        <f t="shared" ca="1" si="29"/>
        <v>#REF!</v>
      </c>
      <c r="AC12" s="172" t="e">
        <f t="shared" ca="1" si="30"/>
        <v>#REF!</v>
      </c>
      <c r="AD12" s="172" t="e">
        <f t="shared" ca="1" si="31"/>
        <v>#REF!</v>
      </c>
      <c r="AE12" s="171" t="e">
        <f t="shared" ca="1" si="32"/>
        <v>#REF!</v>
      </c>
      <c r="AF12" s="172" t="e">
        <f t="shared" ca="1" si="33"/>
        <v>#REF!</v>
      </c>
    </row>
    <row r="13" spans="1:32" ht="13.5" thickBot="1" x14ac:dyDescent="0.25">
      <c r="A13" s="143"/>
      <c r="B13" s="143" t="e">
        <f t="shared" ca="1" si="6"/>
        <v>#REF!</v>
      </c>
      <c r="C13" s="173" t="e">
        <f t="shared" ca="1" si="7"/>
        <v>#REF!</v>
      </c>
      <c r="D13" s="173" t="e">
        <f t="shared" ca="1" si="8"/>
        <v>#REF!</v>
      </c>
      <c r="E13" s="173" t="e">
        <f t="shared" ca="1" si="9"/>
        <v>#REF!</v>
      </c>
      <c r="F13" s="173" t="e">
        <f t="shared" ca="1" si="10"/>
        <v>#REF!</v>
      </c>
      <c r="G13" s="173" t="e">
        <f t="shared" ca="1" si="11"/>
        <v>#REF!</v>
      </c>
      <c r="H13" s="173" t="e">
        <f t="shared" ca="1" si="12"/>
        <v>#REF!</v>
      </c>
      <c r="I13" s="173" t="e">
        <f t="shared" ca="1" si="13"/>
        <v>#REF!</v>
      </c>
      <c r="J13" s="173" t="e">
        <f t="shared" ca="1" si="14"/>
        <v>#REF!</v>
      </c>
      <c r="K13" s="173" t="e">
        <f t="shared" ca="1" si="15"/>
        <v>#REF!</v>
      </c>
      <c r="L13" s="173" t="e">
        <f t="shared" ca="1" si="16"/>
        <v>#REF!</v>
      </c>
      <c r="M13" s="173" t="e">
        <f t="shared" ca="1" si="17"/>
        <v>#REF!</v>
      </c>
      <c r="N13" s="173" t="e">
        <f t="shared" ca="1" si="18"/>
        <v>#REF!</v>
      </c>
      <c r="O13" s="173" t="e">
        <f t="shared" ca="1" si="19"/>
        <v>#REF!</v>
      </c>
      <c r="P13" s="173" t="e">
        <f t="shared" ca="1" si="20"/>
        <v>#REF!</v>
      </c>
      <c r="Q13" s="173" t="e">
        <f t="shared" ca="1" si="21"/>
        <v>#REF!</v>
      </c>
      <c r="R13" s="173" t="e">
        <f t="shared" ca="1" si="22"/>
        <v>#REF!</v>
      </c>
      <c r="S13" s="173" t="e">
        <f t="shared" ca="1" si="23"/>
        <v>#REF!</v>
      </c>
      <c r="T13" s="173" t="e">
        <f t="shared" ca="1" si="24"/>
        <v>#REF!</v>
      </c>
      <c r="U13" s="173" t="e">
        <f t="shared" ca="1" si="25"/>
        <v>#REF!</v>
      </c>
      <c r="V13" s="173" t="e">
        <f t="shared" ca="1" si="26"/>
        <v>#REF!</v>
      </c>
      <c r="W13" s="173" t="e">
        <f t="shared" ca="1" si="27"/>
        <v>#REF!</v>
      </c>
      <c r="X13" s="173"/>
      <c r="Y13" s="173" t="e">
        <f t="shared" ca="1" si="34"/>
        <v>#REF!</v>
      </c>
      <c r="Z13" s="192" t="e">
        <f t="shared" ca="1" si="28"/>
        <v>#REF!</v>
      </c>
      <c r="AA13" s="175" t="e">
        <f t="shared" ca="1" si="35"/>
        <v>#REF!</v>
      </c>
      <c r="AB13" s="174" t="e">
        <f t="shared" ca="1" si="29"/>
        <v>#REF!</v>
      </c>
      <c r="AC13" s="174" t="e">
        <f t="shared" ca="1" si="30"/>
        <v>#REF!</v>
      </c>
      <c r="AD13" s="174" t="e">
        <f t="shared" ca="1" si="31"/>
        <v>#REF!</v>
      </c>
      <c r="AE13" s="173" t="e">
        <f t="shared" ca="1" si="32"/>
        <v>#REF!</v>
      </c>
      <c r="AF13" s="174" t="e">
        <f t="shared" ca="1" si="33"/>
        <v>#REF!</v>
      </c>
    </row>
    <row r="14" spans="1:32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7"/>
      <c r="AA14" s="193"/>
      <c r="AB14" s="179"/>
      <c r="AC14" s="179"/>
      <c r="AD14" s="179"/>
      <c r="AE14" s="176"/>
      <c r="AF14" s="179"/>
    </row>
    <row r="15" spans="1:32" ht="15" customHeight="1" x14ac:dyDescent="0.2">
      <c r="A15" s="141"/>
      <c r="B15" s="145" t="e">
        <f t="shared" ca="1" si="6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 t="e">
        <f ca="1">INDIRECT("'"&amp;$A15&amp;"'!L29")</f>
        <v>#REF!</v>
      </c>
      <c r="T15" s="180" t="e">
        <f ca="1">INDIRECT("'"&amp;$A15&amp;"'!L30")</f>
        <v>#REF!</v>
      </c>
      <c r="U15" s="180" t="e">
        <f ca="1">INDIRECT("'"&amp;$A15&amp;"'!L31")</f>
        <v>#REF!</v>
      </c>
      <c r="V15" s="180" t="e">
        <f ca="1">INDIRECT("'"&amp;$A15&amp;"'!L32")</f>
        <v>#REF!</v>
      </c>
      <c r="W15" s="180" t="e">
        <f ca="1">INDIRECT("'"&amp;$A15&amp;"'!L33")</f>
        <v>#REF!</v>
      </c>
      <c r="X15" s="180"/>
      <c r="Y15" s="180" t="e">
        <f ca="1">INDIRECT("'"&amp;$A15&amp;"'!L29")</f>
        <v>#REF!</v>
      </c>
      <c r="Z15" s="194" t="e">
        <f ca="1">INDIRECT("'"&amp;$A15&amp;"'!L36")</f>
        <v>#REF!</v>
      </c>
      <c r="AA15" s="182" t="e">
        <f ca="1">SUM(C29:Y29)/COUNT(C15:Y15)</f>
        <v>#REF!</v>
      </c>
      <c r="AB15" s="183" t="e">
        <f ca="1">INDIRECT("'"&amp;$A15&amp;"'!F36")</f>
        <v>#REF!</v>
      </c>
      <c r="AC15" s="183" t="e">
        <f ca="1">INDIRECT("'"&amp;$A15&amp;"'!H36")</f>
        <v>#REF!</v>
      </c>
      <c r="AD15" s="183" t="e">
        <f ca="1">INDIRECT("'"&amp;$A15&amp;"'!I36")</f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32" ht="15" customHeight="1" x14ac:dyDescent="0.2">
      <c r="A16" s="141"/>
      <c r="B16" s="144" t="e">
        <f t="shared" ca="1" si="6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 t="e">
        <f ca="1">INDIRECT("'"&amp;$A16&amp;"'!L29")</f>
        <v>#REF!</v>
      </c>
      <c r="T16" s="176" t="e">
        <f ca="1">INDIRECT("'"&amp;$A16&amp;"'!L30")</f>
        <v>#REF!</v>
      </c>
      <c r="U16" s="176" t="e">
        <f ca="1">INDIRECT("'"&amp;$A16&amp;"'!L31")</f>
        <v>#REF!</v>
      </c>
      <c r="V16" s="176" t="e">
        <f ca="1">INDIRECT("'"&amp;$A16&amp;"'!L32")</f>
        <v>#REF!</v>
      </c>
      <c r="W16" s="176" t="e">
        <f ca="1">INDIRECT("'"&amp;$A16&amp;"'!L33")</f>
        <v>#REF!</v>
      </c>
      <c r="X16" s="176"/>
      <c r="Y16" s="176" t="e">
        <f ca="1">INDIRECT("'"&amp;$A16&amp;"'!L29")</f>
        <v>#REF!</v>
      </c>
      <c r="Z16" s="195" t="e">
        <f ca="1">INDIRECT("'"&amp;$A16&amp;"'!L36")</f>
        <v>#REF!</v>
      </c>
      <c r="AA16" s="182" t="e">
        <f ca="1">SUM(C30:Y30)/COUNT(C16:Y16)</f>
        <v>#REF!</v>
      </c>
      <c r="AB16" s="179" t="e">
        <f ca="1">INDIRECT("'"&amp;$A16&amp;"'!F36")</f>
        <v>#REF!</v>
      </c>
      <c r="AC16" s="179" t="e">
        <f ca="1">INDIRECT("'"&amp;$A16&amp;"'!H36")</f>
        <v>#REF!</v>
      </c>
      <c r="AD16" s="179" t="e">
        <f ca="1">INDIRECT("'"&amp;$A16&amp;"'!I36")</f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ht="15" customHeight="1" x14ac:dyDescent="0.2">
      <c r="A17" s="467"/>
      <c r="B17" s="467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AF17" s="134"/>
    </row>
    <row r="18" spans="1:32" ht="15" customHeight="1" x14ac:dyDescent="0.2">
      <c r="A18" s="467"/>
      <c r="B18" s="467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36">IF(ABS(D$3/3-D8)&lt;=0.75,1,0)</f>
        <v>#REF!</v>
      </c>
      <c r="E22" s="86" t="e">
        <f t="shared" ca="1" si="36"/>
        <v>#REF!</v>
      </c>
      <c r="F22" s="86" t="e">
        <f t="shared" ca="1" si="36"/>
        <v>#REF!</v>
      </c>
      <c r="G22" s="86" t="e">
        <f t="shared" ca="1" si="36"/>
        <v>#REF!</v>
      </c>
      <c r="H22" s="86" t="e">
        <f t="shared" ca="1" si="36"/>
        <v>#REF!</v>
      </c>
      <c r="I22" s="86" t="e">
        <f t="shared" ca="1" si="36"/>
        <v>#REF!</v>
      </c>
      <c r="J22" s="86" t="e">
        <f t="shared" ca="1" si="36"/>
        <v>#REF!</v>
      </c>
      <c r="K22" s="86" t="e">
        <f t="shared" ca="1" si="36"/>
        <v>#REF!</v>
      </c>
      <c r="L22" s="86" t="e">
        <f t="shared" ca="1" si="36"/>
        <v>#REF!</v>
      </c>
      <c r="M22" s="86" t="e">
        <f t="shared" ca="1" si="36"/>
        <v>#REF!</v>
      </c>
      <c r="N22" s="86" t="e">
        <f t="shared" ca="1" si="36"/>
        <v>#REF!</v>
      </c>
      <c r="O22" s="86" t="e">
        <f t="shared" ca="1" si="36"/>
        <v>#REF!</v>
      </c>
      <c r="P22" s="86" t="e">
        <f t="shared" ca="1" si="36"/>
        <v>#REF!</v>
      </c>
      <c r="Q22" s="86" t="e">
        <f t="shared" ca="1" si="36"/>
        <v>#REF!</v>
      </c>
      <c r="R22" s="86" t="e">
        <f t="shared" ca="1" si="36"/>
        <v>#REF!</v>
      </c>
      <c r="S22" s="86" t="e">
        <f t="shared" ref="S22:W22" ca="1" si="37">IF(ABS(S$3/3-S8)&lt;=0.75,1,0)</f>
        <v>#REF!</v>
      </c>
      <c r="T22" s="86" t="e">
        <f t="shared" ca="1" si="37"/>
        <v>#REF!</v>
      </c>
      <c r="U22" s="86" t="e">
        <f t="shared" ca="1" si="37"/>
        <v>#REF!</v>
      </c>
      <c r="V22" s="86" t="e">
        <f t="shared" ca="1" si="37"/>
        <v>#REF!</v>
      </c>
      <c r="W22" s="86" t="e">
        <f t="shared" ca="1" si="37"/>
        <v>#REF!</v>
      </c>
      <c r="Y22" s="86" t="e">
        <f t="shared" ref="Y22" ca="1" si="38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9">IF(ABS(C$3/3-C9)&lt;=0.75,1,0)</f>
        <v>#REF!</v>
      </c>
      <c r="D23" s="86" t="e">
        <f t="shared" ca="1" si="39"/>
        <v>#REF!</v>
      </c>
      <c r="E23" s="86" t="e">
        <f t="shared" ca="1" si="39"/>
        <v>#REF!</v>
      </c>
      <c r="F23" s="86" t="e">
        <f t="shared" ca="1" si="39"/>
        <v>#REF!</v>
      </c>
      <c r="G23" s="86" t="e">
        <f t="shared" ca="1" si="39"/>
        <v>#REF!</v>
      </c>
      <c r="H23" s="86" t="e">
        <f t="shared" ca="1" si="39"/>
        <v>#REF!</v>
      </c>
      <c r="I23" s="86" t="e">
        <f t="shared" ca="1" si="39"/>
        <v>#REF!</v>
      </c>
      <c r="J23" s="86" t="e">
        <f t="shared" ca="1" si="39"/>
        <v>#REF!</v>
      </c>
      <c r="K23" s="86" t="e">
        <f t="shared" ca="1" si="39"/>
        <v>#REF!</v>
      </c>
      <c r="L23" s="86" t="e">
        <f t="shared" ca="1" si="39"/>
        <v>#REF!</v>
      </c>
      <c r="M23" s="86" t="e">
        <f t="shared" ca="1" si="39"/>
        <v>#REF!</v>
      </c>
      <c r="N23" s="86" t="e">
        <f t="shared" ca="1" si="39"/>
        <v>#REF!</v>
      </c>
      <c r="O23" s="86" t="e">
        <f t="shared" ca="1" si="39"/>
        <v>#REF!</v>
      </c>
      <c r="P23" s="86" t="e">
        <f t="shared" ca="1" si="39"/>
        <v>#REF!</v>
      </c>
      <c r="Q23" s="86" t="e">
        <f t="shared" ca="1" si="39"/>
        <v>#REF!</v>
      </c>
      <c r="R23" s="86" t="e">
        <f t="shared" ca="1" si="39"/>
        <v>#REF!</v>
      </c>
      <c r="S23" s="86" t="e">
        <f t="shared" ref="S23:W23" ca="1" si="40">IF(ABS(S$3/3-S9)&lt;=0.75,1,0)</f>
        <v>#REF!</v>
      </c>
      <c r="T23" s="86" t="e">
        <f t="shared" ca="1" si="40"/>
        <v>#REF!</v>
      </c>
      <c r="U23" s="86" t="e">
        <f t="shared" ca="1" si="40"/>
        <v>#REF!</v>
      </c>
      <c r="V23" s="86" t="e">
        <f t="shared" ca="1" si="40"/>
        <v>#REF!</v>
      </c>
      <c r="W23" s="86" t="e">
        <f t="shared" ca="1" si="40"/>
        <v>#REF!</v>
      </c>
      <c r="Y23" s="86" t="e">
        <f t="shared" ref="Y23" ca="1" si="41">IF(ABS(Y$3/3-Y9)&lt;=0.75,1,0)</f>
        <v>#REF!</v>
      </c>
    </row>
    <row r="24" spans="1:32" hidden="1" x14ac:dyDescent="0.2">
      <c r="A24" s="86">
        <f>A10</f>
        <v>0</v>
      </c>
      <c r="B24" s="86" t="e">
        <f t="shared" ref="B24:B30" ca="1" si="42">B10</f>
        <v>#REF!</v>
      </c>
      <c r="C24" s="86" t="e">
        <f t="shared" ca="1" si="39"/>
        <v>#REF!</v>
      </c>
      <c r="D24" s="86" t="e">
        <f t="shared" ca="1" si="39"/>
        <v>#REF!</v>
      </c>
      <c r="E24" s="86" t="e">
        <f t="shared" ca="1" si="39"/>
        <v>#REF!</v>
      </c>
      <c r="F24" s="86" t="e">
        <f t="shared" ca="1" si="39"/>
        <v>#REF!</v>
      </c>
      <c r="G24" s="86" t="e">
        <f t="shared" ca="1" si="39"/>
        <v>#REF!</v>
      </c>
      <c r="H24" s="86" t="e">
        <f t="shared" ca="1" si="39"/>
        <v>#REF!</v>
      </c>
      <c r="I24" s="86" t="e">
        <f t="shared" ca="1" si="39"/>
        <v>#REF!</v>
      </c>
      <c r="J24" s="86" t="e">
        <f t="shared" ca="1" si="39"/>
        <v>#REF!</v>
      </c>
      <c r="K24" s="86" t="e">
        <f t="shared" ca="1" si="39"/>
        <v>#REF!</v>
      </c>
      <c r="L24" s="86" t="e">
        <f t="shared" ca="1" si="39"/>
        <v>#REF!</v>
      </c>
      <c r="M24" s="86" t="e">
        <f t="shared" ca="1" si="39"/>
        <v>#REF!</v>
      </c>
      <c r="N24" s="86" t="e">
        <f t="shared" ca="1" si="39"/>
        <v>#REF!</v>
      </c>
      <c r="O24" s="86" t="e">
        <f t="shared" ca="1" si="39"/>
        <v>#REF!</v>
      </c>
      <c r="P24" s="86" t="e">
        <f t="shared" ca="1" si="39"/>
        <v>#REF!</v>
      </c>
      <c r="Q24" s="86" t="e">
        <f t="shared" ca="1" si="39"/>
        <v>#REF!</v>
      </c>
      <c r="R24" s="86" t="e">
        <f t="shared" ca="1" si="39"/>
        <v>#REF!</v>
      </c>
      <c r="S24" s="86" t="e">
        <f t="shared" ref="S24:W24" ca="1" si="43">IF(ABS(S$3/3-S10)&lt;=0.75,1,0)</f>
        <v>#REF!</v>
      </c>
      <c r="T24" s="86" t="e">
        <f t="shared" ca="1" si="43"/>
        <v>#REF!</v>
      </c>
      <c r="U24" s="86" t="e">
        <f t="shared" ca="1" si="43"/>
        <v>#REF!</v>
      </c>
      <c r="V24" s="86" t="e">
        <f t="shared" ca="1" si="43"/>
        <v>#REF!</v>
      </c>
      <c r="W24" s="86" t="e">
        <f t="shared" ca="1" si="43"/>
        <v>#REF!</v>
      </c>
      <c r="Y24" s="86" t="e">
        <f t="shared" ref="Y24" ca="1" si="44">IF(ABS(Y$3/3-Y10)&lt;=0.75,1,0)</f>
        <v>#REF!</v>
      </c>
    </row>
    <row r="25" spans="1:32" hidden="1" x14ac:dyDescent="0.2">
      <c r="A25" s="86">
        <f>A11</f>
        <v>0</v>
      </c>
      <c r="B25" s="86" t="e">
        <f t="shared" ca="1" si="42"/>
        <v>#REF!</v>
      </c>
      <c r="C25" s="86" t="e">
        <f t="shared" ca="1" si="39"/>
        <v>#REF!</v>
      </c>
      <c r="D25" s="86" t="e">
        <f t="shared" ca="1" si="39"/>
        <v>#REF!</v>
      </c>
      <c r="E25" s="86" t="e">
        <f t="shared" ca="1" si="39"/>
        <v>#REF!</v>
      </c>
      <c r="F25" s="86" t="e">
        <f t="shared" ca="1" si="39"/>
        <v>#REF!</v>
      </c>
      <c r="G25" s="86" t="e">
        <f t="shared" ca="1" si="39"/>
        <v>#REF!</v>
      </c>
      <c r="H25" s="86" t="e">
        <f t="shared" ca="1" si="39"/>
        <v>#REF!</v>
      </c>
      <c r="I25" s="86" t="e">
        <f t="shared" ca="1" si="39"/>
        <v>#REF!</v>
      </c>
      <c r="J25" s="86" t="e">
        <f t="shared" ca="1" si="39"/>
        <v>#REF!</v>
      </c>
      <c r="K25" s="86" t="e">
        <f t="shared" ca="1" si="39"/>
        <v>#REF!</v>
      </c>
      <c r="L25" s="86" t="e">
        <f t="shared" ca="1" si="39"/>
        <v>#REF!</v>
      </c>
      <c r="M25" s="86" t="e">
        <f t="shared" ca="1" si="39"/>
        <v>#REF!</v>
      </c>
      <c r="N25" s="86" t="e">
        <f t="shared" ca="1" si="39"/>
        <v>#REF!</v>
      </c>
      <c r="O25" s="86" t="e">
        <f t="shared" ca="1" si="39"/>
        <v>#REF!</v>
      </c>
      <c r="P25" s="86" t="e">
        <f t="shared" ca="1" si="39"/>
        <v>#REF!</v>
      </c>
      <c r="Q25" s="86" t="e">
        <f t="shared" ca="1" si="39"/>
        <v>#REF!</v>
      </c>
      <c r="R25" s="86" t="e">
        <f t="shared" ca="1" si="39"/>
        <v>#REF!</v>
      </c>
      <c r="S25" s="86" t="e">
        <f t="shared" ref="S25:W25" ca="1" si="45">IF(ABS(S$3/3-S11)&lt;=0.75,1,0)</f>
        <v>#REF!</v>
      </c>
      <c r="T25" s="86" t="e">
        <f t="shared" ca="1" si="45"/>
        <v>#REF!</v>
      </c>
      <c r="U25" s="86" t="e">
        <f t="shared" ca="1" si="45"/>
        <v>#REF!</v>
      </c>
      <c r="V25" s="86" t="e">
        <f t="shared" ca="1" si="45"/>
        <v>#REF!</v>
      </c>
      <c r="W25" s="86" t="e">
        <f t="shared" ca="1" si="45"/>
        <v>#REF!</v>
      </c>
      <c r="Y25" s="86" t="e">
        <f t="shared" ref="Y25" ca="1" si="46">IF(ABS(Y$3/3-Y11)&lt;=0.75,1,0)</f>
        <v>#REF!</v>
      </c>
    </row>
    <row r="26" spans="1:32" hidden="1" x14ac:dyDescent="0.2">
      <c r="A26" s="86">
        <f>A12</f>
        <v>0</v>
      </c>
      <c r="B26" s="86" t="e">
        <f t="shared" ca="1" si="42"/>
        <v>#REF!</v>
      </c>
      <c r="C26" s="86" t="e">
        <f t="shared" ca="1" si="39"/>
        <v>#REF!</v>
      </c>
      <c r="D26" s="86" t="e">
        <f t="shared" ca="1" si="39"/>
        <v>#REF!</v>
      </c>
      <c r="E26" s="86" t="e">
        <f t="shared" ca="1" si="39"/>
        <v>#REF!</v>
      </c>
      <c r="F26" s="86" t="e">
        <f t="shared" ca="1" si="39"/>
        <v>#REF!</v>
      </c>
      <c r="G26" s="86" t="e">
        <f t="shared" ca="1" si="39"/>
        <v>#REF!</v>
      </c>
      <c r="H26" s="86" t="e">
        <f t="shared" ca="1" si="39"/>
        <v>#REF!</v>
      </c>
      <c r="I26" s="86" t="e">
        <f t="shared" ca="1" si="39"/>
        <v>#REF!</v>
      </c>
      <c r="J26" s="86" t="e">
        <f t="shared" ca="1" si="39"/>
        <v>#REF!</v>
      </c>
      <c r="K26" s="86" t="e">
        <f t="shared" ca="1" si="39"/>
        <v>#REF!</v>
      </c>
      <c r="L26" s="86" t="e">
        <f t="shared" ca="1" si="39"/>
        <v>#REF!</v>
      </c>
      <c r="M26" s="86" t="e">
        <f t="shared" ca="1" si="39"/>
        <v>#REF!</v>
      </c>
      <c r="N26" s="86" t="e">
        <f t="shared" ca="1" si="39"/>
        <v>#REF!</v>
      </c>
      <c r="O26" s="86" t="e">
        <f t="shared" ca="1" si="39"/>
        <v>#REF!</v>
      </c>
      <c r="P26" s="86" t="e">
        <f t="shared" ca="1" si="39"/>
        <v>#REF!</v>
      </c>
      <c r="Q26" s="86" t="e">
        <f t="shared" ca="1" si="39"/>
        <v>#REF!</v>
      </c>
      <c r="R26" s="86" t="e">
        <f t="shared" ca="1" si="39"/>
        <v>#REF!</v>
      </c>
      <c r="S26" s="86" t="e">
        <f t="shared" ref="S26:W26" ca="1" si="47">IF(ABS(S$3/3-S12)&lt;=0.75,1,0)</f>
        <v>#REF!</v>
      </c>
      <c r="T26" s="86" t="e">
        <f t="shared" ca="1" si="47"/>
        <v>#REF!</v>
      </c>
      <c r="U26" s="86" t="e">
        <f t="shared" ca="1" si="47"/>
        <v>#REF!</v>
      </c>
      <c r="V26" s="86" t="e">
        <f t="shared" ca="1" si="47"/>
        <v>#REF!</v>
      </c>
      <c r="W26" s="86" t="e">
        <f t="shared" ca="1" si="47"/>
        <v>#REF!</v>
      </c>
      <c r="Y26" s="86" t="e">
        <f t="shared" ref="Y26" ca="1" si="48">IF(ABS(Y$3/3-Y12)&lt;=0.75,1,0)</f>
        <v>#REF!</v>
      </c>
    </row>
    <row r="27" spans="1:32" hidden="1" x14ac:dyDescent="0.2">
      <c r="A27" s="86">
        <f>A13</f>
        <v>0</v>
      </c>
      <c r="B27" s="86" t="e">
        <f t="shared" ca="1" si="42"/>
        <v>#REF!</v>
      </c>
      <c r="C27" s="86" t="e">
        <f t="shared" ca="1" si="39"/>
        <v>#REF!</v>
      </c>
      <c r="D27" s="86" t="e">
        <f t="shared" ca="1" si="39"/>
        <v>#REF!</v>
      </c>
      <c r="E27" s="86" t="e">
        <f t="shared" ca="1" si="39"/>
        <v>#REF!</v>
      </c>
      <c r="F27" s="86" t="e">
        <f t="shared" ca="1" si="39"/>
        <v>#REF!</v>
      </c>
      <c r="G27" s="86" t="e">
        <f t="shared" ca="1" si="39"/>
        <v>#REF!</v>
      </c>
      <c r="H27" s="86" t="e">
        <f t="shared" ca="1" si="39"/>
        <v>#REF!</v>
      </c>
      <c r="I27" s="86" t="e">
        <f t="shared" ca="1" si="39"/>
        <v>#REF!</v>
      </c>
      <c r="J27" s="86" t="e">
        <f t="shared" ca="1" si="39"/>
        <v>#REF!</v>
      </c>
      <c r="K27" s="86" t="e">
        <f t="shared" ca="1" si="39"/>
        <v>#REF!</v>
      </c>
      <c r="L27" s="86" t="e">
        <f t="shared" ca="1" si="39"/>
        <v>#REF!</v>
      </c>
      <c r="M27" s="86" t="e">
        <f t="shared" ca="1" si="39"/>
        <v>#REF!</v>
      </c>
      <c r="N27" s="86" t="e">
        <f t="shared" ca="1" si="39"/>
        <v>#REF!</v>
      </c>
      <c r="O27" s="86" t="e">
        <f t="shared" ca="1" si="39"/>
        <v>#REF!</v>
      </c>
      <c r="P27" s="86" t="e">
        <f t="shared" ca="1" si="39"/>
        <v>#REF!</v>
      </c>
      <c r="Q27" s="86" t="e">
        <f t="shared" ca="1" si="39"/>
        <v>#REF!</v>
      </c>
      <c r="R27" s="86" t="e">
        <f t="shared" ca="1" si="39"/>
        <v>#REF!</v>
      </c>
      <c r="S27" s="86" t="e">
        <f t="shared" ref="S27:W27" ca="1" si="49">IF(ABS(S$3/3-S13)&lt;=0.75,1,0)</f>
        <v>#REF!</v>
      </c>
      <c r="T27" s="86" t="e">
        <f t="shared" ca="1" si="49"/>
        <v>#REF!</v>
      </c>
      <c r="U27" s="86" t="e">
        <f t="shared" ca="1" si="49"/>
        <v>#REF!</v>
      </c>
      <c r="V27" s="86" t="e">
        <f t="shared" ca="1" si="49"/>
        <v>#REF!</v>
      </c>
      <c r="W27" s="86" t="e">
        <f t="shared" ca="1" si="49"/>
        <v>#REF!</v>
      </c>
      <c r="Y27" s="86" t="e">
        <f t="shared" ref="Y27" ca="1" si="50">IF(ABS(Y$3/3-Y13)&lt;=0.75,1,0)</f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2"/>
        <v>#REF!</v>
      </c>
      <c r="C29" s="86" t="e">
        <f t="shared" ca="1" si="39"/>
        <v>#REF!</v>
      </c>
      <c r="D29" s="86" t="e">
        <f t="shared" ca="1" si="39"/>
        <v>#REF!</v>
      </c>
      <c r="E29" s="86" t="e">
        <f t="shared" ca="1" si="39"/>
        <v>#REF!</v>
      </c>
      <c r="F29" s="86" t="e">
        <f t="shared" ca="1" si="39"/>
        <v>#REF!</v>
      </c>
      <c r="G29" s="86" t="e">
        <f t="shared" ca="1" si="39"/>
        <v>#REF!</v>
      </c>
      <c r="H29" s="86" t="e">
        <f t="shared" ca="1" si="39"/>
        <v>#REF!</v>
      </c>
      <c r="I29" s="86" t="e">
        <f t="shared" ca="1" si="39"/>
        <v>#REF!</v>
      </c>
      <c r="J29" s="86" t="e">
        <f t="shared" ca="1" si="39"/>
        <v>#REF!</v>
      </c>
      <c r="K29" s="86" t="e">
        <f t="shared" ca="1" si="39"/>
        <v>#REF!</v>
      </c>
      <c r="L29" s="86" t="e">
        <f t="shared" ca="1" si="39"/>
        <v>#REF!</v>
      </c>
      <c r="M29" s="86" t="e">
        <f t="shared" ca="1" si="39"/>
        <v>#REF!</v>
      </c>
      <c r="N29" s="86" t="e">
        <f t="shared" ca="1" si="39"/>
        <v>#REF!</v>
      </c>
      <c r="O29" s="86" t="e">
        <f t="shared" ca="1" si="39"/>
        <v>#REF!</v>
      </c>
      <c r="P29" s="86" t="e">
        <f t="shared" ca="1" si="39"/>
        <v>#REF!</v>
      </c>
      <c r="Q29" s="86" t="e">
        <f t="shared" ca="1" si="39"/>
        <v>#REF!</v>
      </c>
      <c r="R29" s="86" t="e">
        <f t="shared" ca="1" si="39"/>
        <v>#REF!</v>
      </c>
      <c r="S29" s="86" t="e">
        <f t="shared" ref="S29:W29" ca="1" si="51">IF(ABS(S$3/3-S15)&lt;=0.75,1,0)</f>
        <v>#REF!</v>
      </c>
      <c r="T29" s="86" t="e">
        <f t="shared" ca="1" si="51"/>
        <v>#REF!</v>
      </c>
      <c r="U29" s="86" t="e">
        <f t="shared" ca="1" si="51"/>
        <v>#REF!</v>
      </c>
      <c r="V29" s="86" t="e">
        <f t="shared" ca="1" si="51"/>
        <v>#REF!</v>
      </c>
      <c r="W29" s="86" t="e">
        <f t="shared" ca="1" si="51"/>
        <v>#REF!</v>
      </c>
      <c r="Y29" s="86" t="e">
        <f t="shared" ref="Y29" ca="1" si="52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2"/>
        <v>#REF!</v>
      </c>
      <c r="C30" s="86" t="e">
        <f t="shared" ca="1" si="39"/>
        <v>#REF!</v>
      </c>
      <c r="D30" s="86" t="e">
        <f t="shared" ca="1" si="39"/>
        <v>#REF!</v>
      </c>
      <c r="E30" s="86" t="e">
        <f t="shared" ca="1" si="39"/>
        <v>#REF!</v>
      </c>
      <c r="F30" s="86" t="e">
        <f t="shared" ca="1" si="39"/>
        <v>#REF!</v>
      </c>
      <c r="G30" s="86" t="e">
        <f t="shared" ca="1" si="39"/>
        <v>#REF!</v>
      </c>
      <c r="H30" s="86" t="e">
        <f t="shared" ca="1" si="39"/>
        <v>#REF!</v>
      </c>
      <c r="I30" s="86" t="e">
        <f t="shared" ca="1" si="39"/>
        <v>#REF!</v>
      </c>
      <c r="J30" s="86" t="e">
        <f t="shared" ca="1" si="39"/>
        <v>#REF!</v>
      </c>
      <c r="K30" s="86" t="e">
        <f t="shared" ca="1" si="39"/>
        <v>#REF!</v>
      </c>
      <c r="L30" s="86" t="e">
        <f t="shared" ca="1" si="39"/>
        <v>#REF!</v>
      </c>
      <c r="M30" s="86" t="e">
        <f t="shared" ca="1" si="39"/>
        <v>#REF!</v>
      </c>
      <c r="N30" s="86" t="e">
        <f t="shared" ca="1" si="39"/>
        <v>#REF!</v>
      </c>
      <c r="O30" s="86" t="e">
        <f t="shared" ca="1" si="39"/>
        <v>#REF!</v>
      </c>
      <c r="P30" s="86" t="e">
        <f t="shared" ca="1" si="39"/>
        <v>#REF!</v>
      </c>
      <c r="Q30" s="86" t="e">
        <f t="shared" ca="1" si="39"/>
        <v>#REF!</v>
      </c>
      <c r="R30" s="86" t="e">
        <f t="shared" ca="1" si="39"/>
        <v>#REF!</v>
      </c>
      <c r="S30" s="86" t="e">
        <f t="shared" ref="S30:W30" ca="1" si="53">IF(ABS(S$3/3-S16)&lt;=0.75,1,0)</f>
        <v>#REF!</v>
      </c>
      <c r="T30" s="86" t="e">
        <f t="shared" ca="1" si="53"/>
        <v>#REF!</v>
      </c>
      <c r="U30" s="86" t="e">
        <f t="shared" ca="1" si="53"/>
        <v>#REF!</v>
      </c>
      <c r="V30" s="86" t="e">
        <f t="shared" ca="1" si="53"/>
        <v>#REF!</v>
      </c>
      <c r="W30" s="86" t="e">
        <f t="shared" ca="1" si="53"/>
        <v>#REF!</v>
      </c>
      <c r="Y30" s="86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106</v>
      </c>
      <c r="F2" s="131" t="s">
        <v>107</v>
      </c>
      <c r="G2" s="131" t="s">
        <v>108</v>
      </c>
      <c r="H2" s="131" t="s">
        <v>109</v>
      </c>
      <c r="I2" s="131" t="s">
        <v>110</v>
      </c>
      <c r="J2" s="131" t="s">
        <v>111</v>
      </c>
      <c r="K2" s="131" t="s">
        <v>78</v>
      </c>
      <c r="L2" s="131" t="s">
        <v>113</v>
      </c>
      <c r="M2" s="131" t="s">
        <v>114</v>
      </c>
      <c r="N2" s="131" t="s">
        <v>115</v>
      </c>
      <c r="O2" s="131" t="s">
        <v>116</v>
      </c>
      <c r="P2" s="131" t="s">
        <v>91</v>
      </c>
      <c r="Q2" s="131" t="s">
        <v>117</v>
      </c>
      <c r="R2" s="131" t="s">
        <v>118</v>
      </c>
      <c r="S2" s="131" t="s">
        <v>120</v>
      </c>
      <c r="T2" s="131" t="s">
        <v>121</v>
      </c>
      <c r="U2" s="131" t="s">
        <v>122</v>
      </c>
      <c r="V2" s="131" t="s">
        <v>124</v>
      </c>
      <c r="W2" s="131" t="s">
        <v>125</v>
      </c>
      <c r="X2" s="131" t="s">
        <v>126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 t="e">
        <f t="shared" ref="S3:W3" ca="1" si="1">SUM(S8:S12)-MAX(S8:S12)-MIN(S8:S12)</f>
        <v>#REF!</v>
      </c>
      <c r="T3" s="149" t="e">
        <f t="shared" ca="1" si="1"/>
        <v>#REF!</v>
      </c>
      <c r="U3" s="149" t="e">
        <f t="shared" ca="1" si="1"/>
        <v>#REF!</v>
      </c>
      <c r="V3" s="149" t="e">
        <f t="shared" ca="1" si="1"/>
        <v>#REF!</v>
      </c>
      <c r="W3" s="149" t="e">
        <f t="shared" ca="1" si="1"/>
        <v>#REF!</v>
      </c>
      <c r="X3" s="149" t="e">
        <f t="shared" ref="X3" ca="1" si="2">SUM(X8:X12)-MAX(X8:X12)-MIN(X8:X12)</f>
        <v>#REF!</v>
      </c>
      <c r="Y3" s="149" t="e">
        <f ca="1">SUM(Y8:Y12)-MAX(Y8:Y12)-MIN(Y8:Y12)</f>
        <v>#REF!</v>
      </c>
      <c r="Z3" s="185" t="e">
        <f ca="1">IF(SUM(AE8:AE12)&gt;0,SUM(C3:Y3)/2,SUM(C3:Y3))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32" ht="15" customHeight="1" x14ac:dyDescent="0.2">
      <c r="A4" s="467" t="str">
        <f>Doku!B49&amp;":"</f>
        <v>Spannweite:</v>
      </c>
      <c r="B4" s="467"/>
      <c r="C4" s="154" t="e">
        <f t="shared" ref="C4:R4" ca="1" si="3">MAX(C8:C12)-MIN(C8:C12)</f>
        <v>#REF!</v>
      </c>
      <c r="D4" s="154" t="e">
        <f t="shared" ca="1" si="3"/>
        <v>#REF!</v>
      </c>
      <c r="E4" s="154" t="e">
        <f t="shared" ca="1" si="3"/>
        <v>#REF!</v>
      </c>
      <c r="F4" s="154" t="e">
        <f t="shared" ca="1" si="3"/>
        <v>#REF!</v>
      </c>
      <c r="G4" s="154" t="e">
        <f t="shared" ca="1" si="3"/>
        <v>#REF!</v>
      </c>
      <c r="H4" s="154" t="e">
        <f t="shared" ca="1" si="3"/>
        <v>#REF!</v>
      </c>
      <c r="I4" s="154" t="e">
        <f t="shared" ca="1" si="3"/>
        <v>#REF!</v>
      </c>
      <c r="J4" s="154" t="e">
        <f t="shared" ca="1" si="3"/>
        <v>#REF!</v>
      </c>
      <c r="K4" s="154" t="e">
        <f t="shared" ca="1" si="3"/>
        <v>#REF!</v>
      </c>
      <c r="L4" s="154" t="e">
        <f t="shared" ca="1" si="3"/>
        <v>#REF!</v>
      </c>
      <c r="M4" s="154" t="e">
        <f t="shared" ca="1" si="3"/>
        <v>#REF!</v>
      </c>
      <c r="N4" s="154" t="e">
        <f t="shared" ca="1" si="3"/>
        <v>#REF!</v>
      </c>
      <c r="O4" s="154" t="e">
        <f t="shared" ca="1" si="3"/>
        <v>#REF!</v>
      </c>
      <c r="P4" s="154" t="e">
        <f t="shared" ca="1" si="3"/>
        <v>#REF!</v>
      </c>
      <c r="Q4" s="154" t="e">
        <f t="shared" ca="1" si="3"/>
        <v>#REF!</v>
      </c>
      <c r="R4" s="154" t="e">
        <f t="shared" ca="1" si="3"/>
        <v>#REF!</v>
      </c>
      <c r="S4" s="155" t="e">
        <f t="shared" ref="S4:W4" ca="1" si="4">MAX(S8:S12)-MIN(S8:S12)</f>
        <v>#REF!</v>
      </c>
      <c r="T4" s="155" t="e">
        <f t="shared" ca="1" si="4"/>
        <v>#REF!</v>
      </c>
      <c r="U4" s="155" t="e">
        <f t="shared" ca="1" si="4"/>
        <v>#REF!</v>
      </c>
      <c r="V4" s="155" t="e">
        <f t="shared" ca="1" si="4"/>
        <v>#REF!</v>
      </c>
      <c r="W4" s="155" t="e">
        <f t="shared" ca="1" si="4"/>
        <v>#REF!</v>
      </c>
      <c r="X4" s="155" t="e">
        <f t="shared" ref="X4" ca="1" si="5">MAX(X8:X12)-MIN(X8:X12)</f>
        <v>#REF!</v>
      </c>
      <c r="Y4" s="154" t="e">
        <f ca="1">MAX(Y8:Y12)-MIN(Y8:Y12)</f>
        <v>#REF!</v>
      </c>
      <c r="Z4" s="186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32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6">D3/3</f>
        <v>#REF!</v>
      </c>
      <c r="E5" s="154" t="e">
        <f t="shared" ca="1" si="6"/>
        <v>#REF!</v>
      </c>
      <c r="F5" s="154" t="e">
        <f t="shared" ca="1" si="6"/>
        <v>#REF!</v>
      </c>
      <c r="G5" s="154" t="e">
        <f t="shared" ca="1" si="6"/>
        <v>#REF!</v>
      </c>
      <c r="H5" s="154" t="e">
        <f t="shared" ca="1" si="6"/>
        <v>#REF!</v>
      </c>
      <c r="I5" s="154" t="e">
        <f t="shared" ca="1" si="6"/>
        <v>#REF!</v>
      </c>
      <c r="J5" s="154" t="e">
        <f t="shared" ca="1" si="6"/>
        <v>#REF!</v>
      </c>
      <c r="K5" s="154" t="e">
        <f t="shared" ca="1" si="6"/>
        <v>#REF!</v>
      </c>
      <c r="L5" s="154" t="e">
        <f t="shared" ca="1" si="6"/>
        <v>#REF!</v>
      </c>
      <c r="M5" s="154" t="e">
        <f t="shared" ca="1" si="6"/>
        <v>#REF!</v>
      </c>
      <c r="N5" s="154" t="e">
        <f t="shared" ca="1" si="6"/>
        <v>#REF!</v>
      </c>
      <c r="O5" s="154" t="e">
        <f t="shared" ca="1" si="6"/>
        <v>#REF!</v>
      </c>
      <c r="P5" s="154" t="e">
        <f t="shared" ca="1" si="6"/>
        <v>#REF!</v>
      </c>
      <c r="Q5" s="154" t="e">
        <f t="shared" ca="1" si="6"/>
        <v>#REF!</v>
      </c>
      <c r="R5" s="154" t="e">
        <f t="shared" ca="1" si="6"/>
        <v>#REF!</v>
      </c>
      <c r="S5" s="154" t="e">
        <f t="shared" ca="1" si="6"/>
        <v>#REF!</v>
      </c>
      <c r="T5" s="154" t="e">
        <f t="shared" ca="1" si="6"/>
        <v>#REF!</v>
      </c>
      <c r="U5" s="154" t="e">
        <f t="shared" ca="1" si="6"/>
        <v>#REF!</v>
      </c>
      <c r="V5" s="154" t="e">
        <f t="shared" ca="1" si="6"/>
        <v>#REF!</v>
      </c>
      <c r="W5" s="154" t="e">
        <f t="shared" ca="1" si="6"/>
        <v>#REF!</v>
      </c>
      <c r="X5" s="154" t="e">
        <f t="shared" ca="1" si="6"/>
        <v>#REF!</v>
      </c>
      <c r="Y5" s="154" t="e">
        <f t="shared" ca="1" si="6"/>
        <v>#REF!</v>
      </c>
      <c r="Z5" s="186" t="e">
        <f t="shared" ca="1" si="6"/>
        <v>#REF!</v>
      </c>
      <c r="AA5" s="186"/>
      <c r="AB5" s="158" t="e">
        <f t="shared" ref="AB5:AF5" ca="1" si="7">AVERAGE(AB8:AB12)</f>
        <v>#REF!</v>
      </c>
      <c r="AC5" s="158" t="e">
        <f t="shared" ca="1" si="7"/>
        <v>#REF!</v>
      </c>
      <c r="AD5" s="158" t="e">
        <f t="shared" ca="1" si="7"/>
        <v>#REF!</v>
      </c>
      <c r="AE5" s="154" t="e">
        <f t="shared" ca="1" si="7"/>
        <v>#REF!</v>
      </c>
      <c r="AF5" s="158" t="e">
        <f t="shared" ca="1" si="7"/>
        <v>#REF!</v>
      </c>
    </row>
    <row r="6" spans="1:32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88"/>
      <c r="AA6" s="188"/>
      <c r="AB6" s="162"/>
      <c r="AC6" s="162"/>
      <c r="AD6" s="162"/>
      <c r="AE6" s="154"/>
      <c r="AF6" s="162"/>
    </row>
    <row r="7" spans="1:32" ht="15" customHeight="1" x14ac:dyDescent="0.2">
      <c r="A7" s="140"/>
      <c r="B7" s="140" t="e">
        <f t="shared" ref="B7:B16" ca="1" si="8">INDIRECT("'"&amp;$A7&amp;"'!E5")</f>
        <v>#REF!</v>
      </c>
      <c r="C7" s="163" t="e">
        <f t="shared" ref="C7:C13" ca="1" si="9">INDIRECT("'"&amp;$A7&amp;"'!L13")</f>
        <v>#REF!</v>
      </c>
      <c r="D7" s="163" t="e">
        <f t="shared" ref="D7:D13" ca="1" si="10">INDIRECT("'"&amp;$A7&amp;"'!L14")</f>
        <v>#REF!</v>
      </c>
      <c r="E7" s="163" t="e">
        <f t="shared" ref="E7:E13" ca="1" si="11">INDIRECT("'"&amp;$A7&amp;"'!L15")</f>
        <v>#REF!</v>
      </c>
      <c r="F7" s="163" t="e">
        <f t="shared" ref="F7:F13" ca="1" si="12">INDIRECT("'"&amp;$A7&amp;"'!L16")</f>
        <v>#REF!</v>
      </c>
      <c r="G7" s="163" t="e">
        <f t="shared" ref="G7:G13" ca="1" si="13">INDIRECT("'"&amp;$A7&amp;"'!L17")</f>
        <v>#REF!</v>
      </c>
      <c r="H7" s="163" t="e">
        <f t="shared" ref="H7:H13" ca="1" si="14">INDIRECT("'"&amp;$A7&amp;"'!L18")</f>
        <v>#REF!</v>
      </c>
      <c r="I7" s="163" t="e">
        <f t="shared" ref="I7:I13" ca="1" si="15">INDIRECT("'"&amp;$A7&amp;"'!L19")</f>
        <v>#REF!</v>
      </c>
      <c r="J7" s="163" t="e">
        <f t="shared" ref="J7:J13" ca="1" si="16">INDIRECT("'"&amp;$A7&amp;"'!L20")</f>
        <v>#REF!</v>
      </c>
      <c r="K7" s="163" t="e">
        <f t="shared" ref="K7:K13" ca="1" si="17">INDIRECT("'"&amp;$A7&amp;"'!L21")</f>
        <v>#REF!</v>
      </c>
      <c r="L7" s="163" t="e">
        <f t="shared" ref="L7:L13" ca="1" si="18">INDIRECT("'"&amp;$A7&amp;"'!L22")</f>
        <v>#REF!</v>
      </c>
      <c r="M7" s="163" t="e">
        <f t="shared" ref="M7:M13" ca="1" si="19">INDIRECT("'"&amp;$A7&amp;"'!L23")</f>
        <v>#REF!</v>
      </c>
      <c r="N7" s="163" t="e">
        <f t="shared" ref="N7:N13" ca="1" si="20">INDIRECT("'"&amp;$A7&amp;"'!L24")</f>
        <v>#REF!</v>
      </c>
      <c r="O7" s="163" t="e">
        <f t="shared" ref="O7:O13" ca="1" si="21">INDIRECT("'"&amp;$A7&amp;"'!L25")</f>
        <v>#REF!</v>
      </c>
      <c r="P7" s="163" t="e">
        <f t="shared" ref="P7:P13" ca="1" si="22">INDIRECT("'"&amp;$A7&amp;"'!L26")</f>
        <v>#REF!</v>
      </c>
      <c r="Q7" s="163" t="e">
        <f t="shared" ref="Q7:Q13" ca="1" si="23">INDIRECT("'"&amp;$A7&amp;"'!L27")</f>
        <v>#REF!</v>
      </c>
      <c r="R7" s="163" t="e">
        <f t="shared" ref="R7:R13" ca="1" si="24">INDIRECT("'"&amp;$A7&amp;"'!L28")</f>
        <v>#REF!</v>
      </c>
      <c r="S7" s="163" t="e">
        <f t="shared" ref="S7:S13" ca="1" si="25">INDIRECT("'"&amp;$A7&amp;"'!L29")</f>
        <v>#REF!</v>
      </c>
      <c r="T7" s="163" t="e">
        <f t="shared" ref="T7:T13" ca="1" si="26">INDIRECT("'"&amp;$A7&amp;"'!L30")</f>
        <v>#REF!</v>
      </c>
      <c r="U7" s="163" t="e">
        <f t="shared" ref="U7:U13" ca="1" si="27">INDIRECT("'"&amp;$A7&amp;"'!L31")</f>
        <v>#REF!</v>
      </c>
      <c r="V7" s="163" t="e">
        <f t="shared" ref="V7:V13" ca="1" si="28">INDIRECT("'"&amp;$A7&amp;"'!L32")</f>
        <v>#REF!</v>
      </c>
      <c r="W7" s="163" t="e">
        <f t="shared" ref="W7:W13" ca="1" si="29">INDIRECT("'"&amp;$A7&amp;"'!L33")</f>
        <v>#REF!</v>
      </c>
      <c r="X7" s="163" t="e">
        <f t="shared" ref="X7:X13" ca="1" si="30">INDIRECT("'"&amp;$A7&amp;"'!L34")</f>
        <v>#REF!</v>
      </c>
      <c r="Y7" s="163" t="e">
        <f t="shared" ref="Y7:Y13" ca="1" si="31">INDIRECT("'"&amp;$A7&amp;"'!L35")</f>
        <v>#REF!</v>
      </c>
      <c r="Z7" s="189" t="e">
        <f t="shared" ref="Z7:Z13" ca="1" si="32">INDIRECT("'"&amp;$A7&amp;"'!L36")</f>
        <v>#REF!</v>
      </c>
      <c r="AA7" s="189"/>
      <c r="AB7" s="164" t="e">
        <f t="shared" ref="AB7:AB13" ca="1" si="33">INDIRECT("'"&amp;$A7&amp;"'!F36")</f>
        <v>#REF!</v>
      </c>
      <c r="AC7" s="164" t="e">
        <f t="shared" ref="AC7:AC13" ca="1" si="34">INDIRECT("'"&amp;$A7&amp;"'!H36")</f>
        <v>#REF!</v>
      </c>
      <c r="AD7" s="164" t="e">
        <f t="shared" ref="AD7:AD13" ca="1" si="35">INDIRECT("'"&amp;$A7&amp;"'!I36")</f>
        <v>#REF!</v>
      </c>
      <c r="AE7" s="163" t="e">
        <f t="shared" ref="AE7:AE13" ca="1" si="36">INDIRECT("'"&amp;$A7&amp;"'!J36")</f>
        <v>#REF!</v>
      </c>
      <c r="AF7" s="164" t="e">
        <f t="shared" ref="AF7:AF13" ca="1" si="37">INDIRECT("'"&amp;$A7&amp;"'!K36")</f>
        <v>#REF!</v>
      </c>
    </row>
    <row r="8" spans="1:32" ht="15" customHeight="1" x14ac:dyDescent="0.2">
      <c r="A8" s="141"/>
      <c r="B8" s="141" t="e">
        <f t="shared" ca="1" si="8"/>
        <v>#REF!</v>
      </c>
      <c r="C8" s="148" t="e">
        <f t="shared" ca="1" si="9"/>
        <v>#REF!</v>
      </c>
      <c r="D8" s="148" t="e">
        <f t="shared" ca="1" si="10"/>
        <v>#REF!</v>
      </c>
      <c r="E8" s="148" t="e">
        <f t="shared" ca="1" si="11"/>
        <v>#REF!</v>
      </c>
      <c r="F8" s="148" t="e">
        <f t="shared" ca="1" si="12"/>
        <v>#REF!</v>
      </c>
      <c r="G8" s="148" t="e">
        <f t="shared" ca="1" si="13"/>
        <v>#REF!</v>
      </c>
      <c r="H8" s="148" t="e">
        <f t="shared" ca="1" si="14"/>
        <v>#REF!</v>
      </c>
      <c r="I8" s="148" t="e">
        <f t="shared" ca="1" si="15"/>
        <v>#REF!</v>
      </c>
      <c r="J8" s="148" t="e">
        <f t="shared" ca="1" si="16"/>
        <v>#REF!</v>
      </c>
      <c r="K8" s="148" t="e">
        <f t="shared" ca="1" si="17"/>
        <v>#REF!</v>
      </c>
      <c r="L8" s="148" t="e">
        <f t="shared" ca="1" si="18"/>
        <v>#REF!</v>
      </c>
      <c r="M8" s="148" t="e">
        <f t="shared" ca="1" si="19"/>
        <v>#REF!</v>
      </c>
      <c r="N8" s="148" t="e">
        <f t="shared" ca="1" si="20"/>
        <v>#REF!</v>
      </c>
      <c r="O8" s="148" t="e">
        <f t="shared" ca="1" si="21"/>
        <v>#REF!</v>
      </c>
      <c r="P8" s="148" t="e">
        <f t="shared" ca="1" si="22"/>
        <v>#REF!</v>
      </c>
      <c r="Q8" s="148" t="e">
        <f t="shared" ca="1" si="23"/>
        <v>#REF!</v>
      </c>
      <c r="R8" s="148" t="e">
        <f t="shared" ca="1" si="24"/>
        <v>#REF!</v>
      </c>
      <c r="S8" s="148" t="e">
        <f t="shared" ca="1" si="25"/>
        <v>#REF!</v>
      </c>
      <c r="T8" s="148" t="e">
        <f t="shared" ca="1" si="26"/>
        <v>#REF!</v>
      </c>
      <c r="U8" s="148" t="e">
        <f t="shared" ca="1" si="27"/>
        <v>#REF!</v>
      </c>
      <c r="V8" s="148" t="e">
        <f t="shared" ca="1" si="28"/>
        <v>#REF!</v>
      </c>
      <c r="W8" s="148" t="e">
        <f t="shared" ca="1" si="29"/>
        <v>#REF!</v>
      </c>
      <c r="X8" s="148" t="e">
        <f t="shared" ca="1" si="30"/>
        <v>#REF!</v>
      </c>
      <c r="Y8" s="148" t="e">
        <f t="shared" ca="1" si="31"/>
        <v>#REF!</v>
      </c>
      <c r="Z8" s="190" t="e">
        <f t="shared" ca="1" si="32"/>
        <v>#REF!</v>
      </c>
      <c r="AA8" s="167" t="e">
        <f t="shared" ref="AA8:AA13" ca="1" si="38">SUM(C22:Y22)/COUNT(C8:Y8)</f>
        <v>#REF!</v>
      </c>
      <c r="AB8" s="168" t="e">
        <f t="shared" ca="1" si="33"/>
        <v>#REF!</v>
      </c>
      <c r="AC8" s="168" t="e">
        <f t="shared" ca="1" si="34"/>
        <v>#REF!</v>
      </c>
      <c r="AD8" s="168" t="e">
        <f t="shared" ca="1" si="35"/>
        <v>#REF!</v>
      </c>
      <c r="AE8" s="169" t="e">
        <f t="shared" ca="1" si="36"/>
        <v>#REF!</v>
      </c>
      <c r="AF8" s="168" t="e">
        <f t="shared" ca="1" si="37"/>
        <v>#REF!</v>
      </c>
    </row>
    <row r="9" spans="1:32" ht="15" customHeight="1" x14ac:dyDescent="0.2">
      <c r="A9" s="141"/>
      <c r="B9" s="141" t="e">
        <f t="shared" ca="1" si="8"/>
        <v>#REF!</v>
      </c>
      <c r="C9" s="169" t="e">
        <f t="shared" ca="1" si="9"/>
        <v>#REF!</v>
      </c>
      <c r="D9" s="169" t="e">
        <f t="shared" ca="1" si="10"/>
        <v>#REF!</v>
      </c>
      <c r="E9" s="169" t="e">
        <f t="shared" ca="1" si="11"/>
        <v>#REF!</v>
      </c>
      <c r="F9" s="169" t="e">
        <f t="shared" ca="1" si="12"/>
        <v>#REF!</v>
      </c>
      <c r="G9" s="169" t="e">
        <f t="shared" ca="1" si="13"/>
        <v>#REF!</v>
      </c>
      <c r="H9" s="169" t="e">
        <f t="shared" ca="1" si="14"/>
        <v>#REF!</v>
      </c>
      <c r="I9" s="169" t="e">
        <f t="shared" ca="1" si="15"/>
        <v>#REF!</v>
      </c>
      <c r="J9" s="169" t="e">
        <f t="shared" ca="1" si="16"/>
        <v>#REF!</v>
      </c>
      <c r="K9" s="169" t="e">
        <f t="shared" ca="1" si="17"/>
        <v>#REF!</v>
      </c>
      <c r="L9" s="169" t="e">
        <f t="shared" ca="1" si="18"/>
        <v>#REF!</v>
      </c>
      <c r="M9" s="169" t="e">
        <f t="shared" ca="1" si="19"/>
        <v>#REF!</v>
      </c>
      <c r="N9" s="169" t="e">
        <f t="shared" ca="1" si="20"/>
        <v>#REF!</v>
      </c>
      <c r="O9" s="169" t="e">
        <f t="shared" ca="1" si="21"/>
        <v>#REF!</v>
      </c>
      <c r="P9" s="169" t="e">
        <f t="shared" ca="1" si="22"/>
        <v>#REF!</v>
      </c>
      <c r="Q9" s="169" t="e">
        <f t="shared" ca="1" si="23"/>
        <v>#REF!</v>
      </c>
      <c r="R9" s="169" t="e">
        <f t="shared" ca="1" si="24"/>
        <v>#REF!</v>
      </c>
      <c r="S9" s="169" t="e">
        <f t="shared" ca="1" si="25"/>
        <v>#REF!</v>
      </c>
      <c r="T9" s="169" t="e">
        <f t="shared" ca="1" si="26"/>
        <v>#REF!</v>
      </c>
      <c r="U9" s="169" t="e">
        <f t="shared" ca="1" si="27"/>
        <v>#REF!</v>
      </c>
      <c r="V9" s="169" t="e">
        <f t="shared" ca="1" si="28"/>
        <v>#REF!</v>
      </c>
      <c r="W9" s="169" t="e">
        <f t="shared" ca="1" si="29"/>
        <v>#REF!</v>
      </c>
      <c r="X9" s="169" t="e">
        <f t="shared" ca="1" si="30"/>
        <v>#REF!</v>
      </c>
      <c r="Y9" s="169" t="e">
        <f t="shared" ca="1" si="31"/>
        <v>#REF!</v>
      </c>
      <c r="Z9" s="190" t="e">
        <f t="shared" ca="1" si="32"/>
        <v>#REF!</v>
      </c>
      <c r="AA9" s="170" t="e">
        <f t="shared" ca="1" si="38"/>
        <v>#REF!</v>
      </c>
      <c r="AB9" s="168" t="e">
        <f t="shared" ca="1" si="33"/>
        <v>#REF!</v>
      </c>
      <c r="AC9" s="168" t="e">
        <f t="shared" ca="1" si="34"/>
        <v>#REF!</v>
      </c>
      <c r="AD9" s="168" t="e">
        <f t="shared" ca="1" si="35"/>
        <v>#REF!</v>
      </c>
      <c r="AE9" s="169" t="e">
        <f t="shared" ca="1" si="36"/>
        <v>#REF!</v>
      </c>
      <c r="AF9" s="168" t="e">
        <f t="shared" ca="1" si="37"/>
        <v>#REF!</v>
      </c>
    </row>
    <row r="10" spans="1:32" ht="15" customHeight="1" x14ac:dyDescent="0.2">
      <c r="A10" s="141"/>
      <c r="B10" s="141" t="e">
        <f t="shared" ca="1" si="8"/>
        <v>#REF!</v>
      </c>
      <c r="C10" s="169" t="e">
        <f t="shared" ca="1" si="9"/>
        <v>#REF!</v>
      </c>
      <c r="D10" s="169" t="e">
        <f t="shared" ca="1" si="10"/>
        <v>#REF!</v>
      </c>
      <c r="E10" s="169" t="e">
        <f t="shared" ca="1" si="11"/>
        <v>#REF!</v>
      </c>
      <c r="F10" s="169" t="e">
        <f t="shared" ca="1" si="12"/>
        <v>#REF!</v>
      </c>
      <c r="G10" s="169" t="e">
        <f t="shared" ca="1" si="13"/>
        <v>#REF!</v>
      </c>
      <c r="H10" s="169" t="e">
        <f t="shared" ca="1" si="14"/>
        <v>#REF!</v>
      </c>
      <c r="I10" s="169" t="e">
        <f t="shared" ca="1" si="15"/>
        <v>#REF!</v>
      </c>
      <c r="J10" s="169" t="e">
        <f t="shared" ca="1" si="16"/>
        <v>#REF!</v>
      </c>
      <c r="K10" s="169" t="e">
        <f t="shared" ca="1" si="17"/>
        <v>#REF!</v>
      </c>
      <c r="L10" s="169" t="e">
        <f t="shared" ca="1" si="18"/>
        <v>#REF!</v>
      </c>
      <c r="M10" s="169" t="e">
        <f t="shared" ca="1" si="19"/>
        <v>#REF!</v>
      </c>
      <c r="N10" s="169" t="e">
        <f t="shared" ca="1" si="20"/>
        <v>#REF!</v>
      </c>
      <c r="O10" s="169" t="e">
        <f t="shared" ca="1" si="21"/>
        <v>#REF!</v>
      </c>
      <c r="P10" s="169" t="e">
        <f t="shared" ca="1" si="22"/>
        <v>#REF!</v>
      </c>
      <c r="Q10" s="169" t="e">
        <f t="shared" ca="1" si="23"/>
        <v>#REF!</v>
      </c>
      <c r="R10" s="169" t="e">
        <f t="shared" ca="1" si="24"/>
        <v>#REF!</v>
      </c>
      <c r="S10" s="169" t="e">
        <f t="shared" ca="1" si="25"/>
        <v>#REF!</v>
      </c>
      <c r="T10" s="169" t="e">
        <f t="shared" ca="1" si="26"/>
        <v>#REF!</v>
      </c>
      <c r="U10" s="169" t="e">
        <f t="shared" ca="1" si="27"/>
        <v>#REF!</v>
      </c>
      <c r="V10" s="169" t="e">
        <f t="shared" ca="1" si="28"/>
        <v>#REF!</v>
      </c>
      <c r="W10" s="169" t="e">
        <f t="shared" ca="1" si="29"/>
        <v>#REF!</v>
      </c>
      <c r="X10" s="169" t="e">
        <f t="shared" ca="1" si="30"/>
        <v>#REF!</v>
      </c>
      <c r="Y10" s="169" t="e">
        <f t="shared" ca="1" si="31"/>
        <v>#REF!</v>
      </c>
      <c r="Z10" s="190" t="e">
        <f t="shared" ca="1" si="32"/>
        <v>#REF!</v>
      </c>
      <c r="AA10" s="170" t="e">
        <f t="shared" ca="1" si="38"/>
        <v>#REF!</v>
      </c>
      <c r="AB10" s="168" t="e">
        <f t="shared" ca="1" si="33"/>
        <v>#REF!</v>
      </c>
      <c r="AC10" s="168" t="e">
        <f t="shared" ca="1" si="34"/>
        <v>#REF!</v>
      </c>
      <c r="AD10" s="168" t="e">
        <f t="shared" ca="1" si="35"/>
        <v>#REF!</v>
      </c>
      <c r="AE10" s="169" t="e">
        <f t="shared" ca="1" si="36"/>
        <v>#REF!</v>
      </c>
      <c r="AF10" s="168" t="e">
        <f t="shared" ca="1" si="37"/>
        <v>#REF!</v>
      </c>
    </row>
    <row r="11" spans="1:32" ht="15" customHeight="1" x14ac:dyDescent="0.2">
      <c r="A11" s="141"/>
      <c r="B11" s="141" t="e">
        <f t="shared" ca="1" si="8"/>
        <v>#REF!</v>
      </c>
      <c r="C11" s="169" t="e">
        <f t="shared" ca="1" si="9"/>
        <v>#REF!</v>
      </c>
      <c r="D11" s="169" t="e">
        <f t="shared" ca="1" si="10"/>
        <v>#REF!</v>
      </c>
      <c r="E11" s="169" t="e">
        <f t="shared" ca="1" si="11"/>
        <v>#REF!</v>
      </c>
      <c r="F11" s="169" t="e">
        <f t="shared" ca="1" si="12"/>
        <v>#REF!</v>
      </c>
      <c r="G11" s="169" t="e">
        <f t="shared" ca="1" si="13"/>
        <v>#REF!</v>
      </c>
      <c r="H11" s="169" t="e">
        <f t="shared" ca="1" si="14"/>
        <v>#REF!</v>
      </c>
      <c r="I11" s="169" t="e">
        <f t="shared" ca="1" si="15"/>
        <v>#REF!</v>
      </c>
      <c r="J11" s="169" t="e">
        <f t="shared" ca="1" si="16"/>
        <v>#REF!</v>
      </c>
      <c r="K11" s="169" t="e">
        <f t="shared" ca="1" si="17"/>
        <v>#REF!</v>
      </c>
      <c r="L11" s="169" t="e">
        <f t="shared" ca="1" si="18"/>
        <v>#REF!</v>
      </c>
      <c r="M11" s="169" t="e">
        <f t="shared" ca="1" si="19"/>
        <v>#REF!</v>
      </c>
      <c r="N11" s="169" t="e">
        <f t="shared" ca="1" si="20"/>
        <v>#REF!</v>
      </c>
      <c r="O11" s="169" t="e">
        <f t="shared" ca="1" si="21"/>
        <v>#REF!</v>
      </c>
      <c r="P11" s="169" t="e">
        <f t="shared" ca="1" si="22"/>
        <v>#REF!</v>
      </c>
      <c r="Q11" s="169" t="e">
        <f t="shared" ca="1" si="23"/>
        <v>#REF!</v>
      </c>
      <c r="R11" s="169" t="e">
        <f t="shared" ca="1" si="24"/>
        <v>#REF!</v>
      </c>
      <c r="S11" s="169" t="e">
        <f t="shared" ca="1" si="25"/>
        <v>#REF!</v>
      </c>
      <c r="T11" s="169" t="e">
        <f t="shared" ca="1" si="26"/>
        <v>#REF!</v>
      </c>
      <c r="U11" s="169" t="e">
        <f t="shared" ca="1" si="27"/>
        <v>#REF!</v>
      </c>
      <c r="V11" s="169" t="e">
        <f t="shared" ca="1" si="28"/>
        <v>#REF!</v>
      </c>
      <c r="W11" s="169" t="e">
        <f t="shared" ca="1" si="29"/>
        <v>#REF!</v>
      </c>
      <c r="X11" s="169" t="e">
        <f t="shared" ca="1" si="30"/>
        <v>#REF!</v>
      </c>
      <c r="Y11" s="169" t="e">
        <f t="shared" ca="1" si="31"/>
        <v>#REF!</v>
      </c>
      <c r="Z11" s="190" t="e">
        <f t="shared" ca="1" si="32"/>
        <v>#REF!</v>
      </c>
      <c r="AA11" s="170" t="e">
        <f t="shared" ca="1" si="38"/>
        <v>#REF!</v>
      </c>
      <c r="AB11" s="168" t="e">
        <f t="shared" ca="1" si="33"/>
        <v>#REF!</v>
      </c>
      <c r="AC11" s="168" t="e">
        <f t="shared" ca="1" si="34"/>
        <v>#REF!</v>
      </c>
      <c r="AD11" s="168" t="e">
        <f t="shared" ca="1" si="35"/>
        <v>#REF!</v>
      </c>
      <c r="AE11" s="169" t="e">
        <f t="shared" ca="1" si="36"/>
        <v>#REF!</v>
      </c>
      <c r="AF11" s="168" t="e">
        <f t="shared" ca="1" si="37"/>
        <v>#REF!</v>
      </c>
    </row>
    <row r="12" spans="1:32" ht="15" customHeight="1" thickBot="1" x14ac:dyDescent="0.25">
      <c r="A12" s="142"/>
      <c r="B12" s="142" t="e">
        <f t="shared" ca="1" si="8"/>
        <v>#REF!</v>
      </c>
      <c r="C12" s="171" t="e">
        <f t="shared" ca="1" si="9"/>
        <v>#REF!</v>
      </c>
      <c r="D12" s="171" t="e">
        <f t="shared" ca="1" si="10"/>
        <v>#REF!</v>
      </c>
      <c r="E12" s="171" t="e">
        <f t="shared" ca="1" si="11"/>
        <v>#REF!</v>
      </c>
      <c r="F12" s="171" t="e">
        <f t="shared" ca="1" si="12"/>
        <v>#REF!</v>
      </c>
      <c r="G12" s="171" t="e">
        <f t="shared" ca="1" si="13"/>
        <v>#REF!</v>
      </c>
      <c r="H12" s="171" t="e">
        <f t="shared" ca="1" si="14"/>
        <v>#REF!</v>
      </c>
      <c r="I12" s="171" t="e">
        <f t="shared" ca="1" si="15"/>
        <v>#REF!</v>
      </c>
      <c r="J12" s="171" t="e">
        <f t="shared" ca="1" si="16"/>
        <v>#REF!</v>
      </c>
      <c r="K12" s="171" t="e">
        <f t="shared" ca="1" si="17"/>
        <v>#REF!</v>
      </c>
      <c r="L12" s="171" t="e">
        <f t="shared" ca="1" si="18"/>
        <v>#REF!</v>
      </c>
      <c r="M12" s="171" t="e">
        <f t="shared" ca="1" si="19"/>
        <v>#REF!</v>
      </c>
      <c r="N12" s="171" t="e">
        <f t="shared" ca="1" si="20"/>
        <v>#REF!</v>
      </c>
      <c r="O12" s="171" t="e">
        <f t="shared" ca="1" si="21"/>
        <v>#REF!</v>
      </c>
      <c r="P12" s="171" t="e">
        <f t="shared" ca="1" si="22"/>
        <v>#REF!</v>
      </c>
      <c r="Q12" s="171" t="e">
        <f t="shared" ca="1" si="23"/>
        <v>#REF!</v>
      </c>
      <c r="R12" s="171" t="e">
        <f t="shared" ca="1" si="24"/>
        <v>#REF!</v>
      </c>
      <c r="S12" s="171" t="e">
        <f t="shared" ca="1" si="25"/>
        <v>#REF!</v>
      </c>
      <c r="T12" s="171" t="e">
        <f t="shared" ca="1" si="26"/>
        <v>#REF!</v>
      </c>
      <c r="U12" s="171" t="e">
        <f t="shared" ca="1" si="27"/>
        <v>#REF!</v>
      </c>
      <c r="V12" s="171" t="e">
        <f t="shared" ca="1" si="28"/>
        <v>#REF!</v>
      </c>
      <c r="W12" s="171" t="e">
        <f t="shared" ca="1" si="29"/>
        <v>#REF!</v>
      </c>
      <c r="X12" s="171" t="e">
        <f t="shared" ca="1" si="30"/>
        <v>#REF!</v>
      </c>
      <c r="Y12" s="171" t="e">
        <f t="shared" ca="1" si="31"/>
        <v>#REF!</v>
      </c>
      <c r="Z12" s="191" t="e">
        <f t="shared" ca="1" si="32"/>
        <v>#REF!</v>
      </c>
      <c r="AA12" s="170" t="e">
        <f t="shared" ca="1" si="38"/>
        <v>#REF!</v>
      </c>
      <c r="AB12" s="172" t="e">
        <f t="shared" ca="1" si="33"/>
        <v>#REF!</v>
      </c>
      <c r="AC12" s="172" t="e">
        <f t="shared" ca="1" si="34"/>
        <v>#REF!</v>
      </c>
      <c r="AD12" s="172" t="e">
        <f t="shared" ca="1" si="35"/>
        <v>#REF!</v>
      </c>
      <c r="AE12" s="171" t="e">
        <f t="shared" ca="1" si="36"/>
        <v>#REF!</v>
      </c>
      <c r="AF12" s="172" t="e">
        <f t="shared" ca="1" si="37"/>
        <v>#REF!</v>
      </c>
    </row>
    <row r="13" spans="1:32" ht="13.5" thickBot="1" x14ac:dyDescent="0.25">
      <c r="A13" s="143"/>
      <c r="B13" s="143" t="e">
        <f t="shared" ca="1" si="8"/>
        <v>#REF!</v>
      </c>
      <c r="C13" s="173" t="e">
        <f t="shared" ca="1" si="9"/>
        <v>#REF!</v>
      </c>
      <c r="D13" s="173" t="e">
        <f t="shared" ca="1" si="10"/>
        <v>#REF!</v>
      </c>
      <c r="E13" s="173" t="e">
        <f t="shared" ca="1" si="11"/>
        <v>#REF!</v>
      </c>
      <c r="F13" s="173" t="e">
        <f t="shared" ca="1" si="12"/>
        <v>#REF!</v>
      </c>
      <c r="G13" s="173" t="e">
        <f t="shared" ca="1" si="13"/>
        <v>#REF!</v>
      </c>
      <c r="H13" s="173" t="e">
        <f t="shared" ca="1" si="14"/>
        <v>#REF!</v>
      </c>
      <c r="I13" s="173" t="e">
        <f t="shared" ca="1" si="15"/>
        <v>#REF!</v>
      </c>
      <c r="J13" s="173" t="e">
        <f t="shared" ca="1" si="16"/>
        <v>#REF!</v>
      </c>
      <c r="K13" s="173" t="e">
        <f t="shared" ca="1" si="17"/>
        <v>#REF!</v>
      </c>
      <c r="L13" s="173" t="e">
        <f t="shared" ca="1" si="18"/>
        <v>#REF!</v>
      </c>
      <c r="M13" s="173" t="e">
        <f t="shared" ca="1" si="19"/>
        <v>#REF!</v>
      </c>
      <c r="N13" s="173" t="e">
        <f t="shared" ca="1" si="20"/>
        <v>#REF!</v>
      </c>
      <c r="O13" s="173" t="e">
        <f t="shared" ca="1" si="21"/>
        <v>#REF!</v>
      </c>
      <c r="P13" s="173" t="e">
        <f t="shared" ca="1" si="22"/>
        <v>#REF!</v>
      </c>
      <c r="Q13" s="173" t="e">
        <f t="shared" ca="1" si="23"/>
        <v>#REF!</v>
      </c>
      <c r="R13" s="173" t="e">
        <f t="shared" ca="1" si="24"/>
        <v>#REF!</v>
      </c>
      <c r="S13" s="173" t="e">
        <f t="shared" ca="1" si="25"/>
        <v>#REF!</v>
      </c>
      <c r="T13" s="173" t="e">
        <f t="shared" ca="1" si="26"/>
        <v>#REF!</v>
      </c>
      <c r="U13" s="173" t="e">
        <f t="shared" ca="1" si="27"/>
        <v>#REF!</v>
      </c>
      <c r="V13" s="173" t="e">
        <f t="shared" ca="1" si="28"/>
        <v>#REF!</v>
      </c>
      <c r="W13" s="173" t="e">
        <f t="shared" ca="1" si="29"/>
        <v>#REF!</v>
      </c>
      <c r="X13" s="173" t="e">
        <f t="shared" ca="1" si="30"/>
        <v>#REF!</v>
      </c>
      <c r="Y13" s="173" t="e">
        <f t="shared" ca="1" si="31"/>
        <v>#REF!</v>
      </c>
      <c r="Z13" s="192" t="e">
        <f t="shared" ca="1" si="32"/>
        <v>#REF!</v>
      </c>
      <c r="AA13" s="175" t="e">
        <f t="shared" ca="1" si="38"/>
        <v>#REF!</v>
      </c>
      <c r="AB13" s="174" t="e">
        <f t="shared" ca="1" si="33"/>
        <v>#REF!</v>
      </c>
      <c r="AC13" s="174" t="e">
        <f t="shared" ca="1" si="34"/>
        <v>#REF!</v>
      </c>
      <c r="AD13" s="174" t="e">
        <f t="shared" ca="1" si="35"/>
        <v>#REF!</v>
      </c>
      <c r="AE13" s="173" t="e">
        <f t="shared" ca="1" si="36"/>
        <v>#REF!</v>
      </c>
      <c r="AF13" s="174" t="e">
        <f t="shared" ca="1" si="37"/>
        <v>#REF!</v>
      </c>
    </row>
    <row r="14" spans="1:32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7"/>
      <c r="AA14" s="193"/>
      <c r="AB14" s="179"/>
      <c r="AC14" s="179"/>
      <c r="AD14" s="179"/>
      <c r="AE14" s="176"/>
      <c r="AF14" s="179"/>
    </row>
    <row r="15" spans="1:32" x14ac:dyDescent="0.2">
      <c r="A15" s="145"/>
      <c r="B15" s="145" t="e">
        <f t="shared" ca="1" si="8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 t="e">
        <f ca="1">INDIRECT("'"&amp;$A15&amp;"'!L29")</f>
        <v>#REF!</v>
      </c>
      <c r="T15" s="180" t="e">
        <f ca="1">INDIRECT("'"&amp;$A15&amp;"'!L30")</f>
        <v>#REF!</v>
      </c>
      <c r="U15" s="180" t="e">
        <f ca="1">INDIRECT("'"&amp;$A15&amp;"'!L31")</f>
        <v>#REF!</v>
      </c>
      <c r="V15" s="180" t="e">
        <f ca="1">INDIRECT("'"&amp;$A15&amp;"'!L32")</f>
        <v>#REF!</v>
      </c>
      <c r="W15" s="180" t="e">
        <f ca="1">INDIRECT("'"&amp;$A15&amp;"'!L33")</f>
        <v>#REF!</v>
      </c>
      <c r="X15" s="180" t="e">
        <f ca="1">INDIRECT("'"&amp;$A15&amp;"'!L34")</f>
        <v>#REF!</v>
      </c>
      <c r="Y15" s="180" t="e">
        <f ca="1">INDIRECT("'"&amp;$A15&amp;"'!L35")</f>
        <v>#REF!</v>
      </c>
      <c r="Z15" s="194" t="e">
        <f ca="1">INDIRECT("'"&amp;$A15&amp;"'!L36")</f>
        <v>#REF!</v>
      </c>
      <c r="AA15" s="182" t="e">
        <f ca="1">SUM(C29:Y29)/COUNT(C15:Y15)</f>
        <v>#REF!</v>
      </c>
      <c r="AB15" s="183" t="e">
        <f ca="1">INDIRECT("'"&amp;$A15&amp;"'!F36")</f>
        <v>#REF!</v>
      </c>
      <c r="AC15" s="183" t="e">
        <f ca="1">INDIRECT("'"&amp;$A15&amp;"'!H36")</f>
        <v>#REF!</v>
      </c>
      <c r="AD15" s="183" t="e">
        <f ca="1">INDIRECT("'"&amp;$A15&amp;"'!I36")</f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32" x14ac:dyDescent="0.2">
      <c r="A16" s="144"/>
      <c r="B16" s="144" t="e">
        <f t="shared" ca="1" si="8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 t="e">
        <f ca="1">INDIRECT("'"&amp;$A16&amp;"'!L29")</f>
        <v>#REF!</v>
      </c>
      <c r="T16" s="176" t="e">
        <f ca="1">INDIRECT("'"&amp;$A16&amp;"'!L30")</f>
        <v>#REF!</v>
      </c>
      <c r="U16" s="176" t="e">
        <f ca="1">INDIRECT("'"&amp;$A16&amp;"'!L31")</f>
        <v>#REF!</v>
      </c>
      <c r="V16" s="176" t="e">
        <f ca="1">INDIRECT("'"&amp;$A16&amp;"'!L32")</f>
        <v>#REF!</v>
      </c>
      <c r="W16" s="176" t="e">
        <f ca="1">INDIRECT("'"&amp;$A16&amp;"'!L33")</f>
        <v>#REF!</v>
      </c>
      <c r="X16" s="176" t="e">
        <f ca="1">INDIRECT("'"&amp;$A16&amp;"'!L34")</f>
        <v>#REF!</v>
      </c>
      <c r="Y16" s="176" t="e">
        <f ca="1">INDIRECT("'"&amp;$A16&amp;"'!L35")</f>
        <v>#REF!</v>
      </c>
      <c r="Z16" s="195" t="e">
        <f ca="1">INDIRECT("'"&amp;$A16&amp;"'!L36")</f>
        <v>#REF!</v>
      </c>
      <c r="AA16" s="182" t="e">
        <f ca="1">SUM(C30:Y30)/COUNT(C16:Y16)</f>
        <v>#REF!</v>
      </c>
      <c r="AB16" s="179" t="e">
        <f ca="1">INDIRECT("'"&amp;$A16&amp;"'!F36")</f>
        <v>#REF!</v>
      </c>
      <c r="AC16" s="179" t="e">
        <f ca="1">INDIRECT("'"&amp;$A16&amp;"'!H36")</f>
        <v>#REF!</v>
      </c>
      <c r="AD16" s="179" t="e">
        <f ca="1">INDIRECT("'"&amp;$A16&amp;"'!I36")</f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W27" ca="1" si="39">IF(ABS(D$3/3-D8)&lt;=0.75,1,0)</f>
        <v>#REF!</v>
      </c>
      <c r="E22" s="86" t="e">
        <f t="shared" ca="1" si="39"/>
        <v>#REF!</v>
      </c>
      <c r="F22" s="86" t="e">
        <f t="shared" ca="1" si="39"/>
        <v>#REF!</v>
      </c>
      <c r="G22" s="86" t="e">
        <f t="shared" ca="1" si="39"/>
        <v>#REF!</v>
      </c>
      <c r="H22" s="86" t="e">
        <f t="shared" ca="1" si="39"/>
        <v>#REF!</v>
      </c>
      <c r="I22" s="86" t="e">
        <f t="shared" ca="1" si="39"/>
        <v>#REF!</v>
      </c>
      <c r="J22" s="86" t="e">
        <f t="shared" ca="1" si="39"/>
        <v>#REF!</v>
      </c>
      <c r="K22" s="86" t="e">
        <f t="shared" ca="1" si="39"/>
        <v>#REF!</v>
      </c>
      <c r="L22" s="86" t="e">
        <f t="shared" ca="1" si="39"/>
        <v>#REF!</v>
      </c>
      <c r="M22" s="86" t="e">
        <f t="shared" ca="1" si="39"/>
        <v>#REF!</v>
      </c>
      <c r="N22" s="86" t="e">
        <f t="shared" ca="1" si="39"/>
        <v>#REF!</v>
      </c>
      <c r="O22" s="86" t="e">
        <f t="shared" ca="1" si="39"/>
        <v>#REF!</v>
      </c>
      <c r="P22" s="86" t="e">
        <f t="shared" ca="1" si="39"/>
        <v>#REF!</v>
      </c>
      <c r="Q22" s="86" t="e">
        <f t="shared" ca="1" si="39"/>
        <v>#REF!</v>
      </c>
      <c r="R22" s="86" t="e">
        <f t="shared" ca="1" si="39"/>
        <v>#REF!</v>
      </c>
      <c r="S22" s="86" t="e">
        <f t="shared" ca="1" si="39"/>
        <v>#REF!</v>
      </c>
      <c r="T22" s="86" t="e">
        <f t="shared" ca="1" si="39"/>
        <v>#REF!</v>
      </c>
      <c r="U22" s="86" t="e">
        <f t="shared" ca="1" si="39"/>
        <v>#REF!</v>
      </c>
      <c r="V22" s="86" t="e">
        <f t="shared" ca="1" si="39"/>
        <v>#REF!</v>
      </c>
      <c r="W22" s="86" t="e">
        <f t="shared" ca="1" si="39"/>
        <v>#REF!</v>
      </c>
      <c r="X22" s="86" t="e">
        <f t="shared" ref="X22" ca="1" si="40">IF(ABS(X$3/3-X8)&lt;=0.75,1,0)</f>
        <v>#REF!</v>
      </c>
      <c r="Y22" s="86" t="e">
        <f t="shared" ref="Y22:Y27" ca="1" si="41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42">IF(ABS(C$3/3-C9)&lt;=0.75,1,0)</f>
        <v>#REF!</v>
      </c>
      <c r="D23" s="86" t="e">
        <f t="shared" ca="1" si="42"/>
        <v>#REF!</v>
      </c>
      <c r="E23" s="86" t="e">
        <f t="shared" ca="1" si="42"/>
        <v>#REF!</v>
      </c>
      <c r="F23" s="86" t="e">
        <f t="shared" ca="1" si="42"/>
        <v>#REF!</v>
      </c>
      <c r="G23" s="86" t="e">
        <f t="shared" ca="1" si="42"/>
        <v>#REF!</v>
      </c>
      <c r="H23" s="86" t="e">
        <f t="shared" ca="1" si="42"/>
        <v>#REF!</v>
      </c>
      <c r="I23" s="86" t="e">
        <f t="shared" ca="1" si="42"/>
        <v>#REF!</v>
      </c>
      <c r="J23" s="86" t="e">
        <f t="shared" ca="1" si="42"/>
        <v>#REF!</v>
      </c>
      <c r="K23" s="86" t="e">
        <f t="shared" ca="1" si="42"/>
        <v>#REF!</v>
      </c>
      <c r="L23" s="86" t="e">
        <f t="shared" ca="1" si="42"/>
        <v>#REF!</v>
      </c>
      <c r="M23" s="86" t="e">
        <f t="shared" ca="1" si="42"/>
        <v>#REF!</v>
      </c>
      <c r="N23" s="86" t="e">
        <f t="shared" ca="1" si="42"/>
        <v>#REF!</v>
      </c>
      <c r="O23" s="86" t="e">
        <f t="shared" ca="1" si="42"/>
        <v>#REF!</v>
      </c>
      <c r="P23" s="86" t="e">
        <f t="shared" ca="1" si="42"/>
        <v>#REF!</v>
      </c>
      <c r="Q23" s="86" t="e">
        <f t="shared" ca="1" si="42"/>
        <v>#REF!</v>
      </c>
      <c r="R23" s="86" t="e">
        <f t="shared" ca="1" si="42"/>
        <v>#REF!</v>
      </c>
      <c r="S23" s="86" t="e">
        <f t="shared" ca="1" si="39"/>
        <v>#REF!</v>
      </c>
      <c r="T23" s="86" t="e">
        <f t="shared" ca="1" si="39"/>
        <v>#REF!</v>
      </c>
      <c r="U23" s="86" t="e">
        <f t="shared" ca="1" si="39"/>
        <v>#REF!</v>
      </c>
      <c r="V23" s="86" t="e">
        <f t="shared" ca="1" si="39"/>
        <v>#REF!</v>
      </c>
      <c r="W23" s="86" t="e">
        <f t="shared" ca="1" si="39"/>
        <v>#REF!</v>
      </c>
      <c r="X23" s="86" t="e">
        <f t="shared" ref="X23" ca="1" si="43">IF(ABS(X$3/3-X9)&lt;=0.75,1,0)</f>
        <v>#REF!</v>
      </c>
      <c r="Y23" s="86" t="e">
        <f t="shared" ca="1" si="41"/>
        <v>#REF!</v>
      </c>
    </row>
    <row r="24" spans="1:32" hidden="1" x14ac:dyDescent="0.2">
      <c r="A24" s="86">
        <f>A10</f>
        <v>0</v>
      </c>
      <c r="B24" s="86" t="e">
        <f t="shared" ref="B24:B30" ca="1" si="44">B10</f>
        <v>#REF!</v>
      </c>
      <c r="C24" s="86" t="e">
        <f t="shared" ca="1" si="42"/>
        <v>#REF!</v>
      </c>
      <c r="D24" s="86" t="e">
        <f t="shared" ca="1" si="42"/>
        <v>#REF!</v>
      </c>
      <c r="E24" s="86" t="e">
        <f t="shared" ca="1" si="42"/>
        <v>#REF!</v>
      </c>
      <c r="F24" s="86" t="e">
        <f t="shared" ca="1" si="42"/>
        <v>#REF!</v>
      </c>
      <c r="G24" s="86" t="e">
        <f t="shared" ca="1" si="42"/>
        <v>#REF!</v>
      </c>
      <c r="H24" s="86" t="e">
        <f t="shared" ca="1" si="42"/>
        <v>#REF!</v>
      </c>
      <c r="I24" s="86" t="e">
        <f t="shared" ca="1" si="42"/>
        <v>#REF!</v>
      </c>
      <c r="J24" s="86" t="e">
        <f t="shared" ca="1" si="42"/>
        <v>#REF!</v>
      </c>
      <c r="K24" s="86" t="e">
        <f t="shared" ca="1" si="42"/>
        <v>#REF!</v>
      </c>
      <c r="L24" s="86" t="e">
        <f t="shared" ca="1" si="42"/>
        <v>#REF!</v>
      </c>
      <c r="M24" s="86" t="e">
        <f t="shared" ca="1" si="42"/>
        <v>#REF!</v>
      </c>
      <c r="N24" s="86" t="e">
        <f t="shared" ca="1" si="42"/>
        <v>#REF!</v>
      </c>
      <c r="O24" s="86" t="e">
        <f t="shared" ca="1" si="42"/>
        <v>#REF!</v>
      </c>
      <c r="P24" s="86" t="e">
        <f t="shared" ca="1" si="42"/>
        <v>#REF!</v>
      </c>
      <c r="Q24" s="86" t="e">
        <f t="shared" ca="1" si="42"/>
        <v>#REF!</v>
      </c>
      <c r="R24" s="86" t="e">
        <f t="shared" ca="1" si="42"/>
        <v>#REF!</v>
      </c>
      <c r="S24" s="86" t="e">
        <f t="shared" ca="1" si="39"/>
        <v>#REF!</v>
      </c>
      <c r="T24" s="86" t="e">
        <f t="shared" ca="1" si="39"/>
        <v>#REF!</v>
      </c>
      <c r="U24" s="86" t="e">
        <f t="shared" ca="1" si="39"/>
        <v>#REF!</v>
      </c>
      <c r="V24" s="86" t="e">
        <f t="shared" ca="1" si="39"/>
        <v>#REF!</v>
      </c>
      <c r="W24" s="86" t="e">
        <f t="shared" ca="1" si="39"/>
        <v>#REF!</v>
      </c>
      <c r="X24" s="86" t="e">
        <f t="shared" ref="X24" ca="1" si="45">IF(ABS(X$3/3-X10)&lt;=0.75,1,0)</f>
        <v>#REF!</v>
      </c>
      <c r="Y24" s="86" t="e">
        <f t="shared" ca="1" si="41"/>
        <v>#REF!</v>
      </c>
    </row>
    <row r="25" spans="1:32" hidden="1" x14ac:dyDescent="0.2">
      <c r="A25" s="86">
        <f>A11</f>
        <v>0</v>
      </c>
      <c r="B25" s="86" t="e">
        <f t="shared" ca="1" si="44"/>
        <v>#REF!</v>
      </c>
      <c r="C25" s="86" t="e">
        <f t="shared" ca="1" si="42"/>
        <v>#REF!</v>
      </c>
      <c r="D25" s="86" t="e">
        <f t="shared" ca="1" si="42"/>
        <v>#REF!</v>
      </c>
      <c r="E25" s="86" t="e">
        <f t="shared" ca="1" si="42"/>
        <v>#REF!</v>
      </c>
      <c r="F25" s="86" t="e">
        <f t="shared" ca="1" si="42"/>
        <v>#REF!</v>
      </c>
      <c r="G25" s="86" t="e">
        <f t="shared" ca="1" si="42"/>
        <v>#REF!</v>
      </c>
      <c r="H25" s="86" t="e">
        <f t="shared" ca="1" si="42"/>
        <v>#REF!</v>
      </c>
      <c r="I25" s="86" t="e">
        <f t="shared" ca="1" si="42"/>
        <v>#REF!</v>
      </c>
      <c r="J25" s="86" t="e">
        <f t="shared" ca="1" si="42"/>
        <v>#REF!</v>
      </c>
      <c r="K25" s="86" t="e">
        <f t="shared" ca="1" si="42"/>
        <v>#REF!</v>
      </c>
      <c r="L25" s="86" t="e">
        <f t="shared" ca="1" si="42"/>
        <v>#REF!</v>
      </c>
      <c r="M25" s="86" t="e">
        <f t="shared" ca="1" si="42"/>
        <v>#REF!</v>
      </c>
      <c r="N25" s="86" t="e">
        <f t="shared" ca="1" si="42"/>
        <v>#REF!</v>
      </c>
      <c r="O25" s="86" t="e">
        <f t="shared" ca="1" si="42"/>
        <v>#REF!</v>
      </c>
      <c r="P25" s="86" t="e">
        <f t="shared" ca="1" si="42"/>
        <v>#REF!</v>
      </c>
      <c r="Q25" s="86" t="e">
        <f t="shared" ca="1" si="42"/>
        <v>#REF!</v>
      </c>
      <c r="R25" s="86" t="e">
        <f t="shared" ca="1" si="42"/>
        <v>#REF!</v>
      </c>
      <c r="S25" s="86" t="e">
        <f t="shared" ca="1" si="39"/>
        <v>#REF!</v>
      </c>
      <c r="T25" s="86" t="e">
        <f t="shared" ca="1" si="39"/>
        <v>#REF!</v>
      </c>
      <c r="U25" s="86" t="e">
        <f t="shared" ca="1" si="39"/>
        <v>#REF!</v>
      </c>
      <c r="V25" s="86" t="e">
        <f t="shared" ca="1" si="39"/>
        <v>#REF!</v>
      </c>
      <c r="W25" s="86" t="e">
        <f t="shared" ca="1" si="39"/>
        <v>#REF!</v>
      </c>
      <c r="X25" s="86" t="e">
        <f t="shared" ref="X25" ca="1" si="46">IF(ABS(X$3/3-X11)&lt;=0.75,1,0)</f>
        <v>#REF!</v>
      </c>
      <c r="Y25" s="86" t="e">
        <f t="shared" ca="1" si="41"/>
        <v>#REF!</v>
      </c>
    </row>
    <row r="26" spans="1:32" hidden="1" x14ac:dyDescent="0.2">
      <c r="A26" s="86">
        <f>A12</f>
        <v>0</v>
      </c>
      <c r="B26" s="86" t="e">
        <f t="shared" ca="1" si="44"/>
        <v>#REF!</v>
      </c>
      <c r="C26" s="86" t="e">
        <f t="shared" ca="1" si="42"/>
        <v>#REF!</v>
      </c>
      <c r="D26" s="86" t="e">
        <f t="shared" ca="1" si="42"/>
        <v>#REF!</v>
      </c>
      <c r="E26" s="86" t="e">
        <f t="shared" ca="1" si="42"/>
        <v>#REF!</v>
      </c>
      <c r="F26" s="86" t="e">
        <f t="shared" ca="1" si="42"/>
        <v>#REF!</v>
      </c>
      <c r="G26" s="86" t="e">
        <f t="shared" ca="1" si="42"/>
        <v>#REF!</v>
      </c>
      <c r="H26" s="86" t="e">
        <f t="shared" ca="1" si="42"/>
        <v>#REF!</v>
      </c>
      <c r="I26" s="86" t="e">
        <f t="shared" ca="1" si="42"/>
        <v>#REF!</v>
      </c>
      <c r="J26" s="86" t="e">
        <f t="shared" ca="1" si="42"/>
        <v>#REF!</v>
      </c>
      <c r="K26" s="86" t="e">
        <f t="shared" ca="1" si="42"/>
        <v>#REF!</v>
      </c>
      <c r="L26" s="86" t="e">
        <f t="shared" ca="1" si="42"/>
        <v>#REF!</v>
      </c>
      <c r="M26" s="86" t="e">
        <f t="shared" ca="1" si="42"/>
        <v>#REF!</v>
      </c>
      <c r="N26" s="86" t="e">
        <f t="shared" ca="1" si="42"/>
        <v>#REF!</v>
      </c>
      <c r="O26" s="86" t="e">
        <f t="shared" ca="1" si="42"/>
        <v>#REF!</v>
      </c>
      <c r="P26" s="86" t="e">
        <f t="shared" ca="1" si="42"/>
        <v>#REF!</v>
      </c>
      <c r="Q26" s="86" t="e">
        <f t="shared" ca="1" si="42"/>
        <v>#REF!</v>
      </c>
      <c r="R26" s="86" t="e">
        <f t="shared" ca="1" si="42"/>
        <v>#REF!</v>
      </c>
      <c r="S26" s="86" t="e">
        <f t="shared" ca="1" si="39"/>
        <v>#REF!</v>
      </c>
      <c r="T26" s="86" t="e">
        <f t="shared" ca="1" si="39"/>
        <v>#REF!</v>
      </c>
      <c r="U26" s="86" t="e">
        <f t="shared" ca="1" si="39"/>
        <v>#REF!</v>
      </c>
      <c r="V26" s="86" t="e">
        <f t="shared" ca="1" si="39"/>
        <v>#REF!</v>
      </c>
      <c r="W26" s="86" t="e">
        <f t="shared" ca="1" si="39"/>
        <v>#REF!</v>
      </c>
      <c r="X26" s="86" t="e">
        <f t="shared" ref="X26" ca="1" si="47">IF(ABS(X$3/3-X12)&lt;=0.75,1,0)</f>
        <v>#REF!</v>
      </c>
      <c r="Y26" s="86" t="e">
        <f t="shared" ca="1" si="41"/>
        <v>#REF!</v>
      </c>
    </row>
    <row r="27" spans="1:32" hidden="1" x14ac:dyDescent="0.2">
      <c r="A27" s="86">
        <f>A13</f>
        <v>0</v>
      </c>
      <c r="B27" s="86" t="e">
        <f t="shared" ca="1" si="44"/>
        <v>#REF!</v>
      </c>
      <c r="C27" s="86" t="e">
        <f t="shared" ca="1" si="42"/>
        <v>#REF!</v>
      </c>
      <c r="D27" s="86" t="e">
        <f t="shared" ca="1" si="42"/>
        <v>#REF!</v>
      </c>
      <c r="E27" s="86" t="e">
        <f t="shared" ca="1" si="42"/>
        <v>#REF!</v>
      </c>
      <c r="F27" s="86" t="e">
        <f t="shared" ca="1" si="42"/>
        <v>#REF!</v>
      </c>
      <c r="G27" s="86" t="e">
        <f t="shared" ca="1" si="42"/>
        <v>#REF!</v>
      </c>
      <c r="H27" s="86" t="e">
        <f t="shared" ca="1" si="42"/>
        <v>#REF!</v>
      </c>
      <c r="I27" s="86" t="e">
        <f t="shared" ca="1" si="42"/>
        <v>#REF!</v>
      </c>
      <c r="J27" s="86" t="e">
        <f t="shared" ca="1" si="42"/>
        <v>#REF!</v>
      </c>
      <c r="K27" s="86" t="e">
        <f t="shared" ca="1" si="42"/>
        <v>#REF!</v>
      </c>
      <c r="L27" s="86" t="e">
        <f t="shared" ca="1" si="42"/>
        <v>#REF!</v>
      </c>
      <c r="M27" s="86" t="e">
        <f t="shared" ca="1" si="42"/>
        <v>#REF!</v>
      </c>
      <c r="N27" s="86" t="e">
        <f t="shared" ca="1" si="42"/>
        <v>#REF!</v>
      </c>
      <c r="O27" s="86" t="e">
        <f t="shared" ca="1" si="42"/>
        <v>#REF!</v>
      </c>
      <c r="P27" s="86" t="e">
        <f t="shared" ca="1" si="42"/>
        <v>#REF!</v>
      </c>
      <c r="Q27" s="86" t="e">
        <f t="shared" ca="1" si="42"/>
        <v>#REF!</v>
      </c>
      <c r="R27" s="86" t="e">
        <f t="shared" ca="1" si="42"/>
        <v>#REF!</v>
      </c>
      <c r="S27" s="86" t="e">
        <f t="shared" ca="1" si="39"/>
        <v>#REF!</v>
      </c>
      <c r="T27" s="86" t="e">
        <f t="shared" ca="1" si="39"/>
        <v>#REF!</v>
      </c>
      <c r="U27" s="86" t="e">
        <f t="shared" ca="1" si="39"/>
        <v>#REF!</v>
      </c>
      <c r="V27" s="86" t="e">
        <f t="shared" ca="1" si="39"/>
        <v>#REF!</v>
      </c>
      <c r="W27" s="86" t="e">
        <f t="shared" ca="1" si="39"/>
        <v>#REF!</v>
      </c>
      <c r="X27" s="86" t="e">
        <f t="shared" ref="X27" ca="1" si="48">IF(ABS(X$3/3-X13)&lt;=0.75,1,0)</f>
        <v>#REF!</v>
      </c>
      <c r="Y27" s="86" t="e">
        <f t="shared" ca="1" si="41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4"/>
        <v>#REF!</v>
      </c>
      <c r="C29" s="86" t="e">
        <f t="shared" ca="1" si="42"/>
        <v>#REF!</v>
      </c>
      <c r="D29" s="86" t="e">
        <f t="shared" ca="1" si="42"/>
        <v>#REF!</v>
      </c>
      <c r="E29" s="86" t="e">
        <f t="shared" ca="1" si="42"/>
        <v>#REF!</v>
      </c>
      <c r="F29" s="86" t="e">
        <f t="shared" ca="1" si="42"/>
        <v>#REF!</v>
      </c>
      <c r="G29" s="86" t="e">
        <f t="shared" ca="1" si="42"/>
        <v>#REF!</v>
      </c>
      <c r="H29" s="86" t="e">
        <f t="shared" ca="1" si="42"/>
        <v>#REF!</v>
      </c>
      <c r="I29" s="86" t="e">
        <f t="shared" ca="1" si="42"/>
        <v>#REF!</v>
      </c>
      <c r="J29" s="86" t="e">
        <f t="shared" ca="1" si="42"/>
        <v>#REF!</v>
      </c>
      <c r="K29" s="86" t="e">
        <f t="shared" ca="1" si="42"/>
        <v>#REF!</v>
      </c>
      <c r="L29" s="86" t="e">
        <f t="shared" ca="1" si="42"/>
        <v>#REF!</v>
      </c>
      <c r="M29" s="86" t="e">
        <f t="shared" ca="1" si="42"/>
        <v>#REF!</v>
      </c>
      <c r="N29" s="86" t="e">
        <f t="shared" ca="1" si="42"/>
        <v>#REF!</v>
      </c>
      <c r="O29" s="86" t="e">
        <f t="shared" ca="1" si="42"/>
        <v>#REF!</v>
      </c>
      <c r="P29" s="86" t="e">
        <f t="shared" ca="1" si="42"/>
        <v>#REF!</v>
      </c>
      <c r="Q29" s="86" t="e">
        <f t="shared" ca="1" si="42"/>
        <v>#REF!</v>
      </c>
      <c r="R29" s="86" t="e">
        <f t="shared" ca="1" si="42"/>
        <v>#REF!</v>
      </c>
      <c r="S29" s="86" t="e">
        <f t="shared" ref="S29:W30" ca="1" si="49">IF(ABS(S$3/3-S15)&lt;=0.75,1,0)</f>
        <v>#REF!</v>
      </c>
      <c r="T29" s="86" t="e">
        <f t="shared" ca="1" si="49"/>
        <v>#REF!</v>
      </c>
      <c r="U29" s="86" t="e">
        <f t="shared" ca="1" si="49"/>
        <v>#REF!</v>
      </c>
      <c r="V29" s="86" t="e">
        <f t="shared" ca="1" si="49"/>
        <v>#REF!</v>
      </c>
      <c r="W29" s="86" t="e">
        <f t="shared" ca="1" si="49"/>
        <v>#REF!</v>
      </c>
      <c r="X29" s="86" t="e">
        <f t="shared" ref="X29" ca="1" si="50">IF(ABS(X$3/3-X15)&lt;=0.75,1,0)</f>
        <v>#REF!</v>
      </c>
      <c r="Y29" s="86" t="e">
        <f t="shared" ref="Y29:Y30" ca="1" si="51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4"/>
        <v>#REF!</v>
      </c>
      <c r="C30" s="86" t="e">
        <f t="shared" ca="1" si="42"/>
        <v>#REF!</v>
      </c>
      <c r="D30" s="86" t="e">
        <f t="shared" ca="1" si="42"/>
        <v>#REF!</v>
      </c>
      <c r="E30" s="86" t="e">
        <f t="shared" ca="1" si="42"/>
        <v>#REF!</v>
      </c>
      <c r="F30" s="86" t="e">
        <f t="shared" ca="1" si="42"/>
        <v>#REF!</v>
      </c>
      <c r="G30" s="86" t="e">
        <f t="shared" ca="1" si="42"/>
        <v>#REF!</v>
      </c>
      <c r="H30" s="86" t="e">
        <f t="shared" ca="1" si="42"/>
        <v>#REF!</v>
      </c>
      <c r="I30" s="86" t="e">
        <f t="shared" ca="1" si="42"/>
        <v>#REF!</v>
      </c>
      <c r="J30" s="86" t="e">
        <f t="shared" ca="1" si="42"/>
        <v>#REF!</v>
      </c>
      <c r="K30" s="86" t="e">
        <f t="shared" ca="1" si="42"/>
        <v>#REF!</v>
      </c>
      <c r="L30" s="86" t="e">
        <f t="shared" ca="1" si="42"/>
        <v>#REF!</v>
      </c>
      <c r="M30" s="86" t="e">
        <f t="shared" ca="1" si="42"/>
        <v>#REF!</v>
      </c>
      <c r="N30" s="86" t="e">
        <f t="shared" ca="1" si="42"/>
        <v>#REF!</v>
      </c>
      <c r="O30" s="86" t="e">
        <f t="shared" ca="1" si="42"/>
        <v>#REF!</v>
      </c>
      <c r="P30" s="86" t="e">
        <f t="shared" ca="1" si="42"/>
        <v>#REF!</v>
      </c>
      <c r="Q30" s="86" t="e">
        <f t="shared" ca="1" si="42"/>
        <v>#REF!</v>
      </c>
      <c r="R30" s="86" t="e">
        <f t="shared" ca="1" si="42"/>
        <v>#REF!</v>
      </c>
      <c r="S30" s="86" t="e">
        <f t="shared" ca="1" si="49"/>
        <v>#REF!</v>
      </c>
      <c r="T30" s="86" t="e">
        <f t="shared" ca="1" si="49"/>
        <v>#REF!</v>
      </c>
      <c r="U30" s="86" t="e">
        <f t="shared" ca="1" si="49"/>
        <v>#REF!</v>
      </c>
      <c r="V30" s="86" t="e">
        <f t="shared" ca="1" si="49"/>
        <v>#REF!</v>
      </c>
      <c r="W30" s="86" t="e">
        <f t="shared" ca="1" si="49"/>
        <v>#REF!</v>
      </c>
      <c r="X30" s="86" t="e">
        <f t="shared" ref="X30" ca="1" si="52">IF(ABS(X$3/3-X16)&lt;=0.75,1,0)</f>
        <v>#REF!</v>
      </c>
      <c r="Y30" s="86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INDIRECT("'"&amp;$A8&amp;"'!K6")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129</v>
      </c>
      <c r="E2" s="131" t="s">
        <v>130</v>
      </c>
      <c r="F2" s="131" t="s">
        <v>131</v>
      </c>
      <c r="G2" s="131" t="s">
        <v>132</v>
      </c>
      <c r="H2" s="131" t="s">
        <v>133</v>
      </c>
      <c r="I2" s="131" t="s">
        <v>134</v>
      </c>
      <c r="J2" s="131" t="s">
        <v>135</v>
      </c>
      <c r="K2" s="131" t="s">
        <v>151</v>
      </c>
      <c r="L2" s="131" t="s">
        <v>137</v>
      </c>
      <c r="M2" s="131" t="s">
        <v>152</v>
      </c>
      <c r="N2" s="131" t="s">
        <v>139</v>
      </c>
      <c r="O2" s="131" t="s">
        <v>153</v>
      </c>
      <c r="P2" s="131" t="s">
        <v>154</v>
      </c>
      <c r="Q2" s="131" t="s">
        <v>142</v>
      </c>
      <c r="R2" s="131" t="s">
        <v>144</v>
      </c>
      <c r="S2" s="131" t="s">
        <v>145</v>
      </c>
      <c r="T2" s="131" t="s">
        <v>146</v>
      </c>
      <c r="U2" s="131" t="s">
        <v>147</v>
      </c>
      <c r="V2" s="131" t="s">
        <v>148</v>
      </c>
      <c r="W2" s="131" t="s">
        <v>149</v>
      </c>
      <c r="X2" s="131" t="s">
        <v>150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 t="e">
        <f t="shared" ref="S3:X3" ca="1" si="1">SUM(S8:S12)-MAX(S8:S12)-MIN(S8:S12)</f>
        <v>#REF!</v>
      </c>
      <c r="T3" s="149" t="e">
        <f t="shared" ca="1" si="1"/>
        <v>#REF!</v>
      </c>
      <c r="U3" s="149" t="e">
        <f t="shared" ca="1" si="1"/>
        <v>#REF!</v>
      </c>
      <c r="V3" s="149" t="e">
        <f t="shared" ca="1" si="1"/>
        <v>#REF!</v>
      </c>
      <c r="W3" s="149" t="e">
        <f t="shared" ca="1" si="1"/>
        <v>#REF!</v>
      </c>
      <c r="X3" s="149" t="e">
        <f t="shared" ca="1" si="1"/>
        <v>#REF!</v>
      </c>
      <c r="Y3" s="149" t="e">
        <f ca="1">SUM(Y8:Y12)-MAX(Y8:Y12)-MIN(Y8:Y12)</f>
        <v>#REF!</v>
      </c>
      <c r="Z3" s="185" t="e">
        <f ca="1">IF(SUM(AE8:AE12)&gt;0,SUM(C3:Y3)/2,SUM(C3:Y3))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32" ht="15" customHeight="1" x14ac:dyDescent="0.2">
      <c r="A4" s="467" t="str">
        <f>Doku!B49&amp;":"</f>
        <v>Spannweite:</v>
      </c>
      <c r="B4" s="467"/>
      <c r="C4" s="154" t="e">
        <f t="shared" ref="C4:R4" ca="1" si="2">MAX(C8:C12)-MIN(C8:C12)</f>
        <v>#REF!</v>
      </c>
      <c r="D4" s="154" t="e">
        <f t="shared" ca="1" si="2"/>
        <v>#REF!</v>
      </c>
      <c r="E4" s="154" t="e">
        <f t="shared" ca="1" si="2"/>
        <v>#REF!</v>
      </c>
      <c r="F4" s="154" t="e">
        <f t="shared" ca="1" si="2"/>
        <v>#REF!</v>
      </c>
      <c r="G4" s="154" t="e">
        <f t="shared" ca="1" si="2"/>
        <v>#REF!</v>
      </c>
      <c r="H4" s="154" t="e">
        <f t="shared" ca="1" si="2"/>
        <v>#REF!</v>
      </c>
      <c r="I4" s="154" t="e">
        <f t="shared" ca="1" si="2"/>
        <v>#REF!</v>
      </c>
      <c r="J4" s="154" t="e">
        <f t="shared" ca="1" si="2"/>
        <v>#REF!</v>
      </c>
      <c r="K4" s="154" t="e">
        <f t="shared" ca="1" si="2"/>
        <v>#REF!</v>
      </c>
      <c r="L4" s="154" t="e">
        <f t="shared" ca="1" si="2"/>
        <v>#REF!</v>
      </c>
      <c r="M4" s="154" t="e">
        <f t="shared" ca="1" si="2"/>
        <v>#REF!</v>
      </c>
      <c r="N4" s="154" t="e">
        <f t="shared" ca="1" si="2"/>
        <v>#REF!</v>
      </c>
      <c r="O4" s="154" t="e">
        <f t="shared" ca="1" si="2"/>
        <v>#REF!</v>
      </c>
      <c r="P4" s="154" t="e">
        <f t="shared" ca="1" si="2"/>
        <v>#REF!</v>
      </c>
      <c r="Q4" s="154" t="e">
        <f t="shared" ca="1" si="2"/>
        <v>#REF!</v>
      </c>
      <c r="R4" s="154" t="e">
        <f t="shared" ca="1" si="2"/>
        <v>#REF!</v>
      </c>
      <c r="S4" s="155" t="e">
        <f t="shared" ref="S4:X4" ca="1" si="3">MAX(S8:S12)-MIN(S8:S12)</f>
        <v>#REF!</v>
      </c>
      <c r="T4" s="155" t="e">
        <f t="shared" ca="1" si="3"/>
        <v>#REF!</v>
      </c>
      <c r="U4" s="155" t="e">
        <f t="shared" ca="1" si="3"/>
        <v>#REF!</v>
      </c>
      <c r="V4" s="155" t="e">
        <f t="shared" ca="1" si="3"/>
        <v>#REF!</v>
      </c>
      <c r="W4" s="155" t="e">
        <f t="shared" ca="1" si="3"/>
        <v>#REF!</v>
      </c>
      <c r="X4" s="155" t="e">
        <f t="shared" ca="1" si="3"/>
        <v>#REF!</v>
      </c>
      <c r="Y4" s="154" t="e">
        <f ca="1">MAX(Y8:Y12)-MIN(Y8:Y12)</f>
        <v>#REF!</v>
      </c>
      <c r="Z4" s="186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32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4">D3/3</f>
        <v>#REF!</v>
      </c>
      <c r="E5" s="154" t="e">
        <f t="shared" ca="1" si="4"/>
        <v>#REF!</v>
      </c>
      <c r="F5" s="154" t="e">
        <f t="shared" ca="1" si="4"/>
        <v>#REF!</v>
      </c>
      <c r="G5" s="154" t="e">
        <f t="shared" ca="1" si="4"/>
        <v>#REF!</v>
      </c>
      <c r="H5" s="154" t="e">
        <f t="shared" ca="1" si="4"/>
        <v>#REF!</v>
      </c>
      <c r="I5" s="154" t="e">
        <f t="shared" ca="1" si="4"/>
        <v>#REF!</v>
      </c>
      <c r="J5" s="154" t="e">
        <f t="shared" ca="1" si="4"/>
        <v>#REF!</v>
      </c>
      <c r="K5" s="154" t="e">
        <f t="shared" ca="1" si="4"/>
        <v>#REF!</v>
      </c>
      <c r="L5" s="154" t="e">
        <f t="shared" ca="1" si="4"/>
        <v>#REF!</v>
      </c>
      <c r="M5" s="154" t="e">
        <f t="shared" ca="1" si="4"/>
        <v>#REF!</v>
      </c>
      <c r="N5" s="154" t="e">
        <f t="shared" ca="1" si="4"/>
        <v>#REF!</v>
      </c>
      <c r="O5" s="154" t="e">
        <f t="shared" ca="1" si="4"/>
        <v>#REF!</v>
      </c>
      <c r="P5" s="154" t="e">
        <f t="shared" ca="1" si="4"/>
        <v>#REF!</v>
      </c>
      <c r="Q5" s="154" t="e">
        <f t="shared" ca="1" si="4"/>
        <v>#REF!</v>
      </c>
      <c r="R5" s="154" t="e">
        <f t="shared" ca="1" si="4"/>
        <v>#REF!</v>
      </c>
      <c r="S5" s="154" t="e">
        <f t="shared" ca="1" si="4"/>
        <v>#REF!</v>
      </c>
      <c r="T5" s="154" t="e">
        <f t="shared" ca="1" si="4"/>
        <v>#REF!</v>
      </c>
      <c r="U5" s="154" t="e">
        <f t="shared" ca="1" si="4"/>
        <v>#REF!</v>
      </c>
      <c r="V5" s="154" t="e">
        <f t="shared" ca="1" si="4"/>
        <v>#REF!</v>
      </c>
      <c r="W5" s="154" t="e">
        <f t="shared" ca="1" si="4"/>
        <v>#REF!</v>
      </c>
      <c r="X5" s="154" t="e">
        <f t="shared" ca="1" si="4"/>
        <v>#REF!</v>
      </c>
      <c r="Y5" s="154" t="e">
        <f t="shared" ca="1" si="4"/>
        <v>#REF!</v>
      </c>
      <c r="Z5" s="186" t="e">
        <f t="shared" ca="1" si="4"/>
        <v>#REF!</v>
      </c>
      <c r="AA5" s="186"/>
      <c r="AB5" s="158" t="e">
        <f t="shared" ref="AB5:AF5" ca="1" si="5">AVERAGE(AB8:AB12)</f>
        <v>#REF!</v>
      </c>
      <c r="AC5" s="158" t="e">
        <f t="shared" ca="1" si="5"/>
        <v>#REF!</v>
      </c>
      <c r="AD5" s="158" t="e">
        <f t="shared" ca="1" si="5"/>
        <v>#REF!</v>
      </c>
      <c r="AE5" s="154" t="e">
        <f t="shared" ca="1" si="5"/>
        <v>#REF!</v>
      </c>
      <c r="AF5" s="158" t="e">
        <f t="shared" ca="1" si="5"/>
        <v>#REF!</v>
      </c>
    </row>
    <row r="6" spans="1:32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88"/>
      <c r="AA6" s="188"/>
      <c r="AB6" s="162"/>
      <c r="AC6" s="162"/>
      <c r="AD6" s="162"/>
      <c r="AE6" s="154"/>
      <c r="AF6" s="162"/>
    </row>
    <row r="7" spans="1:32" ht="15" customHeight="1" x14ac:dyDescent="0.2">
      <c r="A7" s="140"/>
      <c r="B7" s="140" t="e">
        <f t="shared" ref="B7:B16" ca="1" si="6">INDIRECT("'"&amp;$A7&amp;"'!E5")</f>
        <v>#REF!</v>
      </c>
      <c r="C7" s="163" t="e">
        <f t="shared" ref="C7:C13" ca="1" si="7">INDIRECT("'"&amp;$A7&amp;"'!L13")</f>
        <v>#REF!</v>
      </c>
      <c r="D7" s="163" t="e">
        <f t="shared" ref="D7:D13" ca="1" si="8">INDIRECT("'"&amp;$A7&amp;"'!L14")</f>
        <v>#REF!</v>
      </c>
      <c r="E7" s="163" t="e">
        <f t="shared" ref="E7:E13" ca="1" si="9">INDIRECT("'"&amp;$A7&amp;"'!L15")</f>
        <v>#REF!</v>
      </c>
      <c r="F7" s="163" t="e">
        <f t="shared" ref="F7:F13" ca="1" si="10">INDIRECT("'"&amp;$A7&amp;"'!L16")</f>
        <v>#REF!</v>
      </c>
      <c r="G7" s="163" t="e">
        <f t="shared" ref="G7:G13" ca="1" si="11">INDIRECT("'"&amp;$A7&amp;"'!L17")</f>
        <v>#REF!</v>
      </c>
      <c r="H7" s="163" t="e">
        <f t="shared" ref="H7:H13" ca="1" si="12">INDIRECT("'"&amp;$A7&amp;"'!L18")</f>
        <v>#REF!</v>
      </c>
      <c r="I7" s="163" t="e">
        <f t="shared" ref="I7:I13" ca="1" si="13">INDIRECT("'"&amp;$A7&amp;"'!L19")</f>
        <v>#REF!</v>
      </c>
      <c r="J7" s="163" t="e">
        <f t="shared" ref="J7:J13" ca="1" si="14">INDIRECT("'"&amp;$A7&amp;"'!L20")</f>
        <v>#REF!</v>
      </c>
      <c r="K7" s="163" t="e">
        <f t="shared" ref="K7:K13" ca="1" si="15">INDIRECT("'"&amp;$A7&amp;"'!L21")</f>
        <v>#REF!</v>
      </c>
      <c r="L7" s="163" t="e">
        <f t="shared" ref="L7:L13" ca="1" si="16">INDIRECT("'"&amp;$A7&amp;"'!L22")</f>
        <v>#REF!</v>
      </c>
      <c r="M7" s="163" t="e">
        <f t="shared" ref="M7:M13" ca="1" si="17">INDIRECT("'"&amp;$A7&amp;"'!L23")</f>
        <v>#REF!</v>
      </c>
      <c r="N7" s="163" t="e">
        <f t="shared" ref="N7:N13" ca="1" si="18">INDIRECT("'"&amp;$A7&amp;"'!L24")</f>
        <v>#REF!</v>
      </c>
      <c r="O7" s="163" t="e">
        <f t="shared" ref="O7:O13" ca="1" si="19">INDIRECT("'"&amp;$A7&amp;"'!L25")</f>
        <v>#REF!</v>
      </c>
      <c r="P7" s="163" t="e">
        <f t="shared" ref="P7:P13" ca="1" si="20">INDIRECT("'"&amp;$A7&amp;"'!L26")</f>
        <v>#REF!</v>
      </c>
      <c r="Q7" s="163" t="e">
        <f t="shared" ref="Q7:Q13" ca="1" si="21">INDIRECT("'"&amp;$A7&amp;"'!L27")</f>
        <v>#REF!</v>
      </c>
      <c r="R7" s="163" t="e">
        <f t="shared" ref="R7:R13" ca="1" si="22">INDIRECT("'"&amp;$A7&amp;"'!L28")</f>
        <v>#REF!</v>
      </c>
      <c r="S7" s="163" t="e">
        <f t="shared" ref="S7:S13" ca="1" si="23">INDIRECT("'"&amp;$A7&amp;"'!L29")</f>
        <v>#REF!</v>
      </c>
      <c r="T7" s="163" t="e">
        <f t="shared" ref="T7:T13" ca="1" si="24">INDIRECT("'"&amp;$A7&amp;"'!L30")</f>
        <v>#REF!</v>
      </c>
      <c r="U7" s="163" t="e">
        <f t="shared" ref="U7:U13" ca="1" si="25">INDIRECT("'"&amp;$A7&amp;"'!L31")</f>
        <v>#REF!</v>
      </c>
      <c r="V7" s="163" t="e">
        <f t="shared" ref="V7:V13" ca="1" si="26">INDIRECT("'"&amp;$A7&amp;"'!L32")</f>
        <v>#REF!</v>
      </c>
      <c r="W7" s="163" t="e">
        <f t="shared" ref="W7:W13" ca="1" si="27">INDIRECT("'"&amp;$A7&amp;"'!L33")</f>
        <v>#REF!</v>
      </c>
      <c r="X7" s="163" t="e">
        <f t="shared" ref="X7:X13" ca="1" si="28">INDIRECT("'"&amp;$A7&amp;"'!L34")</f>
        <v>#REF!</v>
      </c>
      <c r="Y7" s="163" t="e">
        <f t="shared" ref="Y7:Y13" ca="1" si="29">INDIRECT("'"&amp;$A7&amp;"'!L35")</f>
        <v>#REF!</v>
      </c>
      <c r="Z7" s="189" t="e">
        <f t="shared" ref="Z7:Z13" ca="1" si="30">INDIRECT("'"&amp;$A7&amp;"'!L36")</f>
        <v>#REF!</v>
      </c>
      <c r="AA7" s="189"/>
      <c r="AB7" s="164" t="e">
        <f t="shared" ref="AB7:AB13" ca="1" si="31">INDIRECT("'"&amp;$A7&amp;"'!F36")</f>
        <v>#REF!</v>
      </c>
      <c r="AC7" s="164" t="e">
        <f t="shared" ref="AC7:AC13" ca="1" si="32">INDIRECT("'"&amp;$A7&amp;"'!H36")</f>
        <v>#REF!</v>
      </c>
      <c r="AD7" s="164" t="e">
        <f t="shared" ref="AD7:AD13" ca="1" si="33">INDIRECT("'"&amp;$A7&amp;"'!I36")</f>
        <v>#REF!</v>
      </c>
      <c r="AE7" s="163" t="e">
        <f t="shared" ref="AE7:AE13" ca="1" si="34">INDIRECT("'"&amp;$A7&amp;"'!J36")</f>
        <v>#REF!</v>
      </c>
      <c r="AF7" s="164" t="e">
        <f t="shared" ref="AF7:AF13" ca="1" si="35">INDIRECT("'"&amp;$A7&amp;"'!K36")</f>
        <v>#REF!</v>
      </c>
    </row>
    <row r="8" spans="1:32" ht="15" customHeight="1" x14ac:dyDescent="0.2">
      <c r="A8" s="141"/>
      <c r="B8" s="141" t="e">
        <f t="shared" ca="1" si="6"/>
        <v>#REF!</v>
      </c>
      <c r="C8" s="148" t="e">
        <f t="shared" ca="1" si="7"/>
        <v>#REF!</v>
      </c>
      <c r="D8" s="148" t="e">
        <f t="shared" ca="1" si="8"/>
        <v>#REF!</v>
      </c>
      <c r="E8" s="148" t="e">
        <f t="shared" ca="1" si="9"/>
        <v>#REF!</v>
      </c>
      <c r="F8" s="148" t="e">
        <f t="shared" ca="1" si="10"/>
        <v>#REF!</v>
      </c>
      <c r="G8" s="148" t="e">
        <f t="shared" ca="1" si="11"/>
        <v>#REF!</v>
      </c>
      <c r="H8" s="148" t="e">
        <f t="shared" ca="1" si="12"/>
        <v>#REF!</v>
      </c>
      <c r="I8" s="148" t="e">
        <f t="shared" ca="1" si="13"/>
        <v>#REF!</v>
      </c>
      <c r="J8" s="148" t="e">
        <f t="shared" ca="1" si="14"/>
        <v>#REF!</v>
      </c>
      <c r="K8" s="148" t="e">
        <f t="shared" ca="1" si="15"/>
        <v>#REF!</v>
      </c>
      <c r="L8" s="148" t="e">
        <f t="shared" ca="1" si="16"/>
        <v>#REF!</v>
      </c>
      <c r="M8" s="148" t="e">
        <f t="shared" ca="1" si="17"/>
        <v>#REF!</v>
      </c>
      <c r="N8" s="148" t="e">
        <f t="shared" ca="1" si="18"/>
        <v>#REF!</v>
      </c>
      <c r="O8" s="148" t="e">
        <f t="shared" ca="1" si="19"/>
        <v>#REF!</v>
      </c>
      <c r="P8" s="148" t="e">
        <f t="shared" ca="1" si="20"/>
        <v>#REF!</v>
      </c>
      <c r="Q8" s="148" t="e">
        <f t="shared" ca="1" si="21"/>
        <v>#REF!</v>
      </c>
      <c r="R8" s="148" t="e">
        <f t="shared" ca="1" si="22"/>
        <v>#REF!</v>
      </c>
      <c r="S8" s="148" t="e">
        <f t="shared" ca="1" si="23"/>
        <v>#REF!</v>
      </c>
      <c r="T8" s="148" t="e">
        <f t="shared" ca="1" si="24"/>
        <v>#REF!</v>
      </c>
      <c r="U8" s="148" t="e">
        <f t="shared" ca="1" si="25"/>
        <v>#REF!</v>
      </c>
      <c r="V8" s="148" t="e">
        <f t="shared" ca="1" si="26"/>
        <v>#REF!</v>
      </c>
      <c r="W8" s="148" t="e">
        <f t="shared" ca="1" si="27"/>
        <v>#REF!</v>
      </c>
      <c r="X8" s="148" t="e">
        <f t="shared" ca="1" si="28"/>
        <v>#REF!</v>
      </c>
      <c r="Y8" s="148" t="e">
        <f t="shared" ca="1" si="29"/>
        <v>#REF!</v>
      </c>
      <c r="Z8" s="190" t="e">
        <f t="shared" ca="1" si="30"/>
        <v>#REF!</v>
      </c>
      <c r="AA8" s="167" t="e">
        <f t="shared" ref="AA8:AA13" ca="1" si="36">SUM(C22:Y22)/COUNT(C8:Y8)</f>
        <v>#REF!</v>
      </c>
      <c r="AB8" s="168" t="e">
        <f t="shared" ca="1" si="31"/>
        <v>#REF!</v>
      </c>
      <c r="AC8" s="168" t="e">
        <f t="shared" ca="1" si="32"/>
        <v>#REF!</v>
      </c>
      <c r="AD8" s="168" t="e">
        <f t="shared" ca="1" si="33"/>
        <v>#REF!</v>
      </c>
      <c r="AE8" s="169" t="e">
        <f t="shared" ca="1" si="34"/>
        <v>#REF!</v>
      </c>
      <c r="AF8" s="168" t="e">
        <f t="shared" ca="1" si="35"/>
        <v>#REF!</v>
      </c>
    </row>
    <row r="9" spans="1:32" ht="15" customHeight="1" x14ac:dyDescent="0.2">
      <c r="A9" s="141"/>
      <c r="B9" s="141" t="e">
        <f t="shared" ca="1" si="6"/>
        <v>#REF!</v>
      </c>
      <c r="C9" s="169" t="e">
        <f t="shared" ca="1" si="7"/>
        <v>#REF!</v>
      </c>
      <c r="D9" s="169" t="e">
        <f t="shared" ca="1" si="8"/>
        <v>#REF!</v>
      </c>
      <c r="E9" s="169" t="e">
        <f t="shared" ca="1" si="9"/>
        <v>#REF!</v>
      </c>
      <c r="F9" s="169" t="e">
        <f t="shared" ca="1" si="10"/>
        <v>#REF!</v>
      </c>
      <c r="G9" s="169" t="e">
        <f t="shared" ca="1" si="11"/>
        <v>#REF!</v>
      </c>
      <c r="H9" s="169" t="e">
        <f t="shared" ca="1" si="12"/>
        <v>#REF!</v>
      </c>
      <c r="I9" s="169" t="e">
        <f t="shared" ca="1" si="13"/>
        <v>#REF!</v>
      </c>
      <c r="J9" s="169" t="e">
        <f t="shared" ca="1" si="14"/>
        <v>#REF!</v>
      </c>
      <c r="K9" s="169" t="e">
        <f t="shared" ca="1" si="15"/>
        <v>#REF!</v>
      </c>
      <c r="L9" s="169" t="e">
        <f t="shared" ca="1" si="16"/>
        <v>#REF!</v>
      </c>
      <c r="M9" s="169" t="e">
        <f t="shared" ca="1" si="17"/>
        <v>#REF!</v>
      </c>
      <c r="N9" s="169" t="e">
        <f t="shared" ca="1" si="18"/>
        <v>#REF!</v>
      </c>
      <c r="O9" s="169" t="e">
        <f t="shared" ca="1" si="19"/>
        <v>#REF!</v>
      </c>
      <c r="P9" s="169" t="e">
        <f t="shared" ca="1" si="20"/>
        <v>#REF!</v>
      </c>
      <c r="Q9" s="169" t="e">
        <f t="shared" ca="1" si="21"/>
        <v>#REF!</v>
      </c>
      <c r="R9" s="169" t="e">
        <f t="shared" ca="1" si="22"/>
        <v>#REF!</v>
      </c>
      <c r="S9" s="169" t="e">
        <f t="shared" ca="1" si="23"/>
        <v>#REF!</v>
      </c>
      <c r="T9" s="169" t="e">
        <f t="shared" ca="1" si="24"/>
        <v>#REF!</v>
      </c>
      <c r="U9" s="169" t="e">
        <f t="shared" ca="1" si="25"/>
        <v>#REF!</v>
      </c>
      <c r="V9" s="169" t="e">
        <f t="shared" ca="1" si="26"/>
        <v>#REF!</v>
      </c>
      <c r="W9" s="169" t="e">
        <f t="shared" ca="1" si="27"/>
        <v>#REF!</v>
      </c>
      <c r="X9" s="169" t="e">
        <f t="shared" ca="1" si="28"/>
        <v>#REF!</v>
      </c>
      <c r="Y9" s="169" t="e">
        <f t="shared" ca="1" si="29"/>
        <v>#REF!</v>
      </c>
      <c r="Z9" s="190" t="e">
        <f t="shared" ca="1" si="30"/>
        <v>#REF!</v>
      </c>
      <c r="AA9" s="170" t="e">
        <f t="shared" ca="1" si="36"/>
        <v>#REF!</v>
      </c>
      <c r="AB9" s="168" t="e">
        <f t="shared" ca="1" si="31"/>
        <v>#REF!</v>
      </c>
      <c r="AC9" s="168" t="e">
        <f t="shared" ca="1" si="32"/>
        <v>#REF!</v>
      </c>
      <c r="AD9" s="168" t="e">
        <f t="shared" ca="1" si="33"/>
        <v>#REF!</v>
      </c>
      <c r="AE9" s="169" t="e">
        <f t="shared" ca="1" si="34"/>
        <v>#REF!</v>
      </c>
      <c r="AF9" s="168" t="e">
        <f t="shared" ca="1" si="35"/>
        <v>#REF!</v>
      </c>
    </row>
    <row r="10" spans="1:32" ht="15" customHeight="1" x14ac:dyDescent="0.2">
      <c r="A10" s="141"/>
      <c r="B10" s="141" t="e">
        <f t="shared" ca="1" si="6"/>
        <v>#REF!</v>
      </c>
      <c r="C10" s="169" t="e">
        <f t="shared" ca="1" si="7"/>
        <v>#REF!</v>
      </c>
      <c r="D10" s="169" t="e">
        <f t="shared" ca="1" si="8"/>
        <v>#REF!</v>
      </c>
      <c r="E10" s="169" t="e">
        <f t="shared" ca="1" si="9"/>
        <v>#REF!</v>
      </c>
      <c r="F10" s="169" t="e">
        <f t="shared" ca="1" si="10"/>
        <v>#REF!</v>
      </c>
      <c r="G10" s="169" t="e">
        <f t="shared" ca="1" si="11"/>
        <v>#REF!</v>
      </c>
      <c r="H10" s="169" t="e">
        <f t="shared" ca="1" si="12"/>
        <v>#REF!</v>
      </c>
      <c r="I10" s="169" t="e">
        <f t="shared" ca="1" si="13"/>
        <v>#REF!</v>
      </c>
      <c r="J10" s="169" t="e">
        <f t="shared" ca="1" si="14"/>
        <v>#REF!</v>
      </c>
      <c r="K10" s="169" t="e">
        <f t="shared" ca="1" si="15"/>
        <v>#REF!</v>
      </c>
      <c r="L10" s="169" t="e">
        <f t="shared" ca="1" si="16"/>
        <v>#REF!</v>
      </c>
      <c r="M10" s="169" t="e">
        <f t="shared" ca="1" si="17"/>
        <v>#REF!</v>
      </c>
      <c r="N10" s="169" t="e">
        <f t="shared" ca="1" si="18"/>
        <v>#REF!</v>
      </c>
      <c r="O10" s="169" t="e">
        <f t="shared" ca="1" si="19"/>
        <v>#REF!</v>
      </c>
      <c r="P10" s="169" t="e">
        <f t="shared" ca="1" si="20"/>
        <v>#REF!</v>
      </c>
      <c r="Q10" s="169" t="e">
        <f t="shared" ca="1" si="21"/>
        <v>#REF!</v>
      </c>
      <c r="R10" s="169" t="e">
        <f t="shared" ca="1" si="22"/>
        <v>#REF!</v>
      </c>
      <c r="S10" s="169" t="e">
        <f t="shared" ca="1" si="23"/>
        <v>#REF!</v>
      </c>
      <c r="T10" s="169" t="e">
        <f t="shared" ca="1" si="24"/>
        <v>#REF!</v>
      </c>
      <c r="U10" s="169" t="e">
        <f t="shared" ca="1" si="25"/>
        <v>#REF!</v>
      </c>
      <c r="V10" s="169" t="e">
        <f t="shared" ca="1" si="26"/>
        <v>#REF!</v>
      </c>
      <c r="W10" s="169" t="e">
        <f t="shared" ca="1" si="27"/>
        <v>#REF!</v>
      </c>
      <c r="X10" s="169" t="e">
        <f t="shared" ca="1" si="28"/>
        <v>#REF!</v>
      </c>
      <c r="Y10" s="169" t="e">
        <f t="shared" ca="1" si="29"/>
        <v>#REF!</v>
      </c>
      <c r="Z10" s="190" t="e">
        <f t="shared" ca="1" si="30"/>
        <v>#REF!</v>
      </c>
      <c r="AA10" s="170" t="e">
        <f t="shared" ca="1" si="36"/>
        <v>#REF!</v>
      </c>
      <c r="AB10" s="168" t="e">
        <f t="shared" ca="1" si="31"/>
        <v>#REF!</v>
      </c>
      <c r="AC10" s="168" t="e">
        <f t="shared" ca="1" si="32"/>
        <v>#REF!</v>
      </c>
      <c r="AD10" s="168" t="e">
        <f t="shared" ca="1" si="33"/>
        <v>#REF!</v>
      </c>
      <c r="AE10" s="169" t="e">
        <f t="shared" ca="1" si="34"/>
        <v>#REF!</v>
      </c>
      <c r="AF10" s="168" t="e">
        <f t="shared" ca="1" si="35"/>
        <v>#REF!</v>
      </c>
    </row>
    <row r="11" spans="1:32" ht="15" customHeight="1" x14ac:dyDescent="0.2">
      <c r="A11" s="141"/>
      <c r="B11" s="141" t="e">
        <f t="shared" ca="1" si="6"/>
        <v>#REF!</v>
      </c>
      <c r="C11" s="169" t="e">
        <f t="shared" ca="1" si="7"/>
        <v>#REF!</v>
      </c>
      <c r="D11" s="169" t="e">
        <f t="shared" ca="1" si="8"/>
        <v>#REF!</v>
      </c>
      <c r="E11" s="169" t="e">
        <f t="shared" ca="1" si="9"/>
        <v>#REF!</v>
      </c>
      <c r="F11" s="169" t="e">
        <f t="shared" ca="1" si="10"/>
        <v>#REF!</v>
      </c>
      <c r="G11" s="169" t="e">
        <f t="shared" ca="1" si="11"/>
        <v>#REF!</v>
      </c>
      <c r="H11" s="169" t="e">
        <f t="shared" ca="1" si="12"/>
        <v>#REF!</v>
      </c>
      <c r="I11" s="169" t="e">
        <f t="shared" ca="1" si="13"/>
        <v>#REF!</v>
      </c>
      <c r="J11" s="169" t="e">
        <f t="shared" ca="1" si="14"/>
        <v>#REF!</v>
      </c>
      <c r="K11" s="169" t="e">
        <f t="shared" ca="1" si="15"/>
        <v>#REF!</v>
      </c>
      <c r="L11" s="169" t="e">
        <f t="shared" ca="1" si="16"/>
        <v>#REF!</v>
      </c>
      <c r="M11" s="169" t="e">
        <f t="shared" ca="1" si="17"/>
        <v>#REF!</v>
      </c>
      <c r="N11" s="169" t="e">
        <f t="shared" ca="1" si="18"/>
        <v>#REF!</v>
      </c>
      <c r="O11" s="169" t="e">
        <f t="shared" ca="1" si="19"/>
        <v>#REF!</v>
      </c>
      <c r="P11" s="169" t="e">
        <f t="shared" ca="1" si="20"/>
        <v>#REF!</v>
      </c>
      <c r="Q11" s="169" t="e">
        <f t="shared" ca="1" si="21"/>
        <v>#REF!</v>
      </c>
      <c r="R11" s="169" t="e">
        <f t="shared" ca="1" si="22"/>
        <v>#REF!</v>
      </c>
      <c r="S11" s="169" t="e">
        <f t="shared" ca="1" si="23"/>
        <v>#REF!</v>
      </c>
      <c r="T11" s="169" t="e">
        <f t="shared" ca="1" si="24"/>
        <v>#REF!</v>
      </c>
      <c r="U11" s="169" t="e">
        <f t="shared" ca="1" si="25"/>
        <v>#REF!</v>
      </c>
      <c r="V11" s="169" t="e">
        <f t="shared" ca="1" si="26"/>
        <v>#REF!</v>
      </c>
      <c r="W11" s="169" t="e">
        <f t="shared" ca="1" si="27"/>
        <v>#REF!</v>
      </c>
      <c r="X11" s="169" t="e">
        <f t="shared" ca="1" si="28"/>
        <v>#REF!</v>
      </c>
      <c r="Y11" s="169" t="e">
        <f t="shared" ca="1" si="29"/>
        <v>#REF!</v>
      </c>
      <c r="Z11" s="190" t="e">
        <f t="shared" ca="1" si="30"/>
        <v>#REF!</v>
      </c>
      <c r="AA11" s="170" t="e">
        <f t="shared" ca="1" si="36"/>
        <v>#REF!</v>
      </c>
      <c r="AB11" s="168" t="e">
        <f t="shared" ca="1" si="31"/>
        <v>#REF!</v>
      </c>
      <c r="AC11" s="168" t="e">
        <f t="shared" ca="1" si="32"/>
        <v>#REF!</v>
      </c>
      <c r="AD11" s="168" t="e">
        <f t="shared" ca="1" si="33"/>
        <v>#REF!</v>
      </c>
      <c r="AE11" s="169" t="e">
        <f t="shared" ca="1" si="34"/>
        <v>#REF!</v>
      </c>
      <c r="AF11" s="168" t="e">
        <f t="shared" ca="1" si="35"/>
        <v>#REF!</v>
      </c>
    </row>
    <row r="12" spans="1:32" ht="15" customHeight="1" thickBot="1" x14ac:dyDescent="0.25">
      <c r="A12" s="142"/>
      <c r="B12" s="142" t="e">
        <f t="shared" ca="1" si="6"/>
        <v>#REF!</v>
      </c>
      <c r="C12" s="171" t="e">
        <f t="shared" ca="1" si="7"/>
        <v>#REF!</v>
      </c>
      <c r="D12" s="171" t="e">
        <f t="shared" ca="1" si="8"/>
        <v>#REF!</v>
      </c>
      <c r="E12" s="171" t="e">
        <f t="shared" ca="1" si="9"/>
        <v>#REF!</v>
      </c>
      <c r="F12" s="171" t="e">
        <f t="shared" ca="1" si="10"/>
        <v>#REF!</v>
      </c>
      <c r="G12" s="171" t="e">
        <f t="shared" ca="1" si="11"/>
        <v>#REF!</v>
      </c>
      <c r="H12" s="171" t="e">
        <f t="shared" ca="1" si="12"/>
        <v>#REF!</v>
      </c>
      <c r="I12" s="171" t="e">
        <f t="shared" ca="1" si="13"/>
        <v>#REF!</v>
      </c>
      <c r="J12" s="171" t="e">
        <f t="shared" ca="1" si="14"/>
        <v>#REF!</v>
      </c>
      <c r="K12" s="171" t="e">
        <f t="shared" ca="1" si="15"/>
        <v>#REF!</v>
      </c>
      <c r="L12" s="171" t="e">
        <f t="shared" ca="1" si="16"/>
        <v>#REF!</v>
      </c>
      <c r="M12" s="171" t="e">
        <f t="shared" ca="1" si="17"/>
        <v>#REF!</v>
      </c>
      <c r="N12" s="171" t="e">
        <f t="shared" ca="1" si="18"/>
        <v>#REF!</v>
      </c>
      <c r="O12" s="171" t="e">
        <f t="shared" ca="1" si="19"/>
        <v>#REF!</v>
      </c>
      <c r="P12" s="171" t="e">
        <f t="shared" ca="1" si="20"/>
        <v>#REF!</v>
      </c>
      <c r="Q12" s="171" t="e">
        <f t="shared" ca="1" si="21"/>
        <v>#REF!</v>
      </c>
      <c r="R12" s="171" t="e">
        <f t="shared" ca="1" si="22"/>
        <v>#REF!</v>
      </c>
      <c r="S12" s="171" t="e">
        <f t="shared" ca="1" si="23"/>
        <v>#REF!</v>
      </c>
      <c r="T12" s="171" t="e">
        <f t="shared" ca="1" si="24"/>
        <v>#REF!</v>
      </c>
      <c r="U12" s="171" t="e">
        <f t="shared" ca="1" si="25"/>
        <v>#REF!</v>
      </c>
      <c r="V12" s="171" t="e">
        <f t="shared" ca="1" si="26"/>
        <v>#REF!</v>
      </c>
      <c r="W12" s="171" t="e">
        <f t="shared" ca="1" si="27"/>
        <v>#REF!</v>
      </c>
      <c r="X12" s="171" t="e">
        <f t="shared" ca="1" si="28"/>
        <v>#REF!</v>
      </c>
      <c r="Y12" s="171" t="e">
        <f t="shared" ca="1" si="29"/>
        <v>#REF!</v>
      </c>
      <c r="Z12" s="191" t="e">
        <f t="shared" ca="1" si="30"/>
        <v>#REF!</v>
      </c>
      <c r="AA12" s="170" t="e">
        <f t="shared" ca="1" si="36"/>
        <v>#REF!</v>
      </c>
      <c r="AB12" s="172" t="e">
        <f t="shared" ca="1" si="31"/>
        <v>#REF!</v>
      </c>
      <c r="AC12" s="172" t="e">
        <f t="shared" ca="1" si="32"/>
        <v>#REF!</v>
      </c>
      <c r="AD12" s="172" t="e">
        <f t="shared" ca="1" si="33"/>
        <v>#REF!</v>
      </c>
      <c r="AE12" s="171" t="e">
        <f t="shared" ca="1" si="34"/>
        <v>#REF!</v>
      </c>
      <c r="AF12" s="172" t="e">
        <f t="shared" ca="1" si="35"/>
        <v>#REF!</v>
      </c>
    </row>
    <row r="13" spans="1:32" ht="13.5" thickBot="1" x14ac:dyDescent="0.25">
      <c r="A13" s="143"/>
      <c r="B13" s="143" t="e">
        <f t="shared" ca="1" si="6"/>
        <v>#REF!</v>
      </c>
      <c r="C13" s="173" t="e">
        <f t="shared" ca="1" si="7"/>
        <v>#REF!</v>
      </c>
      <c r="D13" s="173" t="e">
        <f t="shared" ca="1" si="8"/>
        <v>#REF!</v>
      </c>
      <c r="E13" s="173" t="e">
        <f t="shared" ca="1" si="9"/>
        <v>#REF!</v>
      </c>
      <c r="F13" s="173" t="e">
        <f t="shared" ca="1" si="10"/>
        <v>#REF!</v>
      </c>
      <c r="G13" s="173" t="e">
        <f t="shared" ca="1" si="11"/>
        <v>#REF!</v>
      </c>
      <c r="H13" s="173" t="e">
        <f t="shared" ca="1" si="12"/>
        <v>#REF!</v>
      </c>
      <c r="I13" s="173" t="e">
        <f t="shared" ca="1" si="13"/>
        <v>#REF!</v>
      </c>
      <c r="J13" s="173" t="e">
        <f t="shared" ca="1" si="14"/>
        <v>#REF!</v>
      </c>
      <c r="K13" s="173" t="e">
        <f t="shared" ca="1" si="15"/>
        <v>#REF!</v>
      </c>
      <c r="L13" s="173" t="e">
        <f t="shared" ca="1" si="16"/>
        <v>#REF!</v>
      </c>
      <c r="M13" s="173" t="e">
        <f t="shared" ca="1" si="17"/>
        <v>#REF!</v>
      </c>
      <c r="N13" s="173" t="e">
        <f t="shared" ca="1" si="18"/>
        <v>#REF!</v>
      </c>
      <c r="O13" s="173" t="e">
        <f t="shared" ca="1" si="19"/>
        <v>#REF!</v>
      </c>
      <c r="P13" s="173" t="e">
        <f t="shared" ca="1" si="20"/>
        <v>#REF!</v>
      </c>
      <c r="Q13" s="173" t="e">
        <f t="shared" ca="1" si="21"/>
        <v>#REF!</v>
      </c>
      <c r="R13" s="173" t="e">
        <f t="shared" ca="1" si="22"/>
        <v>#REF!</v>
      </c>
      <c r="S13" s="173" t="e">
        <f t="shared" ca="1" si="23"/>
        <v>#REF!</v>
      </c>
      <c r="T13" s="173" t="e">
        <f t="shared" ca="1" si="24"/>
        <v>#REF!</v>
      </c>
      <c r="U13" s="173" t="e">
        <f t="shared" ca="1" si="25"/>
        <v>#REF!</v>
      </c>
      <c r="V13" s="173" t="e">
        <f t="shared" ca="1" si="26"/>
        <v>#REF!</v>
      </c>
      <c r="W13" s="173" t="e">
        <f t="shared" ca="1" si="27"/>
        <v>#REF!</v>
      </c>
      <c r="X13" s="173" t="e">
        <f t="shared" ca="1" si="28"/>
        <v>#REF!</v>
      </c>
      <c r="Y13" s="173" t="e">
        <f t="shared" ca="1" si="29"/>
        <v>#REF!</v>
      </c>
      <c r="Z13" s="192" t="e">
        <f t="shared" ca="1" si="30"/>
        <v>#REF!</v>
      </c>
      <c r="AA13" s="175" t="e">
        <f t="shared" ca="1" si="36"/>
        <v>#REF!</v>
      </c>
      <c r="AB13" s="174" t="e">
        <f t="shared" ca="1" si="31"/>
        <v>#REF!</v>
      </c>
      <c r="AC13" s="174" t="e">
        <f t="shared" ca="1" si="32"/>
        <v>#REF!</v>
      </c>
      <c r="AD13" s="174" t="e">
        <f t="shared" ca="1" si="33"/>
        <v>#REF!</v>
      </c>
      <c r="AE13" s="173" t="e">
        <f t="shared" ca="1" si="34"/>
        <v>#REF!</v>
      </c>
      <c r="AF13" s="174" t="e">
        <f t="shared" ca="1" si="35"/>
        <v>#REF!</v>
      </c>
    </row>
    <row r="14" spans="1:32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7"/>
      <c r="AA14" s="193"/>
      <c r="AB14" s="179"/>
      <c r="AC14" s="179"/>
      <c r="AD14" s="179"/>
      <c r="AE14" s="176"/>
      <c r="AF14" s="179"/>
    </row>
    <row r="15" spans="1:32" x14ac:dyDescent="0.2">
      <c r="A15" s="145"/>
      <c r="B15" s="145" t="e">
        <f t="shared" ca="1" si="6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 t="e">
        <f ca="1">INDIRECT("'"&amp;$A15&amp;"'!L29")</f>
        <v>#REF!</v>
      </c>
      <c r="T15" s="180" t="e">
        <f ca="1">INDIRECT("'"&amp;$A15&amp;"'!L30")</f>
        <v>#REF!</v>
      </c>
      <c r="U15" s="180" t="e">
        <f ca="1">INDIRECT("'"&amp;$A15&amp;"'!L31")</f>
        <v>#REF!</v>
      </c>
      <c r="V15" s="180" t="e">
        <f ca="1">INDIRECT("'"&amp;$A15&amp;"'!L32")</f>
        <v>#REF!</v>
      </c>
      <c r="W15" s="180" t="e">
        <f ca="1">INDIRECT("'"&amp;$A15&amp;"'!L33")</f>
        <v>#REF!</v>
      </c>
      <c r="X15" s="180" t="e">
        <f ca="1">INDIRECT("'"&amp;$A15&amp;"'!L34")</f>
        <v>#REF!</v>
      </c>
      <c r="Y15" s="180" t="e">
        <f ca="1">INDIRECT("'"&amp;$A15&amp;"'!L35")</f>
        <v>#REF!</v>
      </c>
      <c r="Z15" s="194" t="e">
        <f ca="1">INDIRECT("'"&amp;$A15&amp;"'!L36")</f>
        <v>#REF!</v>
      </c>
      <c r="AA15" s="182" t="e">
        <f ca="1">SUM(C29:Y29)/COUNT(C15:Y15)</f>
        <v>#REF!</v>
      </c>
      <c r="AB15" s="183" t="e">
        <f ca="1">INDIRECT("'"&amp;$A15&amp;"'!F36")</f>
        <v>#REF!</v>
      </c>
      <c r="AC15" s="183" t="e">
        <f ca="1">INDIRECT("'"&amp;$A15&amp;"'!H36")</f>
        <v>#REF!</v>
      </c>
      <c r="AD15" s="183" t="e">
        <f ca="1">INDIRECT("'"&amp;$A15&amp;"'!I36")</f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32" x14ac:dyDescent="0.2">
      <c r="A16" s="144"/>
      <c r="B16" s="144" t="e">
        <f t="shared" ca="1" si="6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 t="e">
        <f ca="1">INDIRECT("'"&amp;$A16&amp;"'!L29")</f>
        <v>#REF!</v>
      </c>
      <c r="T16" s="176" t="e">
        <f ca="1">INDIRECT("'"&amp;$A16&amp;"'!L30")</f>
        <v>#REF!</v>
      </c>
      <c r="U16" s="176" t="e">
        <f ca="1">INDIRECT("'"&amp;$A16&amp;"'!L31")</f>
        <v>#REF!</v>
      </c>
      <c r="V16" s="176" t="e">
        <f ca="1">INDIRECT("'"&amp;$A16&amp;"'!L32")</f>
        <v>#REF!</v>
      </c>
      <c r="W16" s="176" t="e">
        <f ca="1">INDIRECT("'"&amp;$A16&amp;"'!L33")</f>
        <v>#REF!</v>
      </c>
      <c r="X16" s="176" t="e">
        <f ca="1">INDIRECT("'"&amp;$A16&amp;"'!L34")</f>
        <v>#REF!</v>
      </c>
      <c r="Y16" s="176" t="e">
        <f ca="1">INDIRECT("'"&amp;$A16&amp;"'!L35")</f>
        <v>#REF!</v>
      </c>
      <c r="Z16" s="195" t="e">
        <f ca="1">INDIRECT("'"&amp;$A16&amp;"'!L36")</f>
        <v>#REF!</v>
      </c>
      <c r="AA16" s="182" t="e">
        <f ca="1">SUM(C30:Y30)/COUNT(C16:Y16)</f>
        <v>#REF!</v>
      </c>
      <c r="AB16" s="179" t="e">
        <f ca="1">INDIRECT("'"&amp;$A16&amp;"'!F36")</f>
        <v>#REF!</v>
      </c>
      <c r="AC16" s="179" t="e">
        <f ca="1">INDIRECT("'"&amp;$A16&amp;"'!H36")</f>
        <v>#REF!</v>
      </c>
      <c r="AD16" s="179" t="e">
        <f ca="1">INDIRECT("'"&amp;$A16&amp;"'!I36")</f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W27" ca="1" si="37">IF(ABS(D$3/3-D8)&lt;=0.75,1,0)</f>
        <v>#REF!</v>
      </c>
      <c r="E22" s="86" t="e">
        <f t="shared" ca="1" si="37"/>
        <v>#REF!</v>
      </c>
      <c r="F22" s="86" t="e">
        <f t="shared" ca="1" si="37"/>
        <v>#REF!</v>
      </c>
      <c r="G22" s="86" t="e">
        <f t="shared" ca="1" si="37"/>
        <v>#REF!</v>
      </c>
      <c r="H22" s="86" t="e">
        <f t="shared" ca="1" si="37"/>
        <v>#REF!</v>
      </c>
      <c r="I22" s="86" t="e">
        <f t="shared" ca="1" si="37"/>
        <v>#REF!</v>
      </c>
      <c r="J22" s="86" t="e">
        <f t="shared" ca="1" si="37"/>
        <v>#REF!</v>
      </c>
      <c r="K22" s="86" t="e">
        <f t="shared" ca="1" si="37"/>
        <v>#REF!</v>
      </c>
      <c r="L22" s="86" t="e">
        <f t="shared" ca="1" si="37"/>
        <v>#REF!</v>
      </c>
      <c r="M22" s="86" t="e">
        <f t="shared" ca="1" si="37"/>
        <v>#REF!</v>
      </c>
      <c r="N22" s="86" t="e">
        <f t="shared" ca="1" si="37"/>
        <v>#REF!</v>
      </c>
      <c r="O22" s="86" t="e">
        <f t="shared" ca="1" si="37"/>
        <v>#REF!</v>
      </c>
      <c r="P22" s="86" t="e">
        <f t="shared" ca="1" si="37"/>
        <v>#REF!</v>
      </c>
      <c r="Q22" s="86" t="e">
        <f t="shared" ca="1" si="37"/>
        <v>#REF!</v>
      </c>
      <c r="R22" s="86" t="e">
        <f t="shared" ca="1" si="37"/>
        <v>#REF!</v>
      </c>
      <c r="S22" s="86" t="e">
        <f t="shared" ca="1" si="37"/>
        <v>#REF!</v>
      </c>
      <c r="T22" s="86" t="e">
        <f t="shared" ca="1" si="37"/>
        <v>#REF!</v>
      </c>
      <c r="U22" s="86" t="e">
        <f t="shared" ca="1" si="37"/>
        <v>#REF!</v>
      </c>
      <c r="V22" s="86" t="e">
        <f t="shared" ca="1" si="37"/>
        <v>#REF!</v>
      </c>
      <c r="W22" s="86" t="e">
        <f t="shared" ca="1" si="37"/>
        <v>#REF!</v>
      </c>
      <c r="X22" s="86" t="e">
        <f t="shared" ref="X22" ca="1" si="38">IF(ABS(X$3/3-X8)&lt;=0.75,1,0)</f>
        <v>#REF!</v>
      </c>
      <c r="Y22" s="86" t="e">
        <f t="shared" ref="Y22:Y27" ca="1" si="39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40">IF(ABS(C$3/3-C9)&lt;=0.75,1,0)</f>
        <v>#REF!</v>
      </c>
      <c r="D23" s="86" t="e">
        <f t="shared" ca="1" si="40"/>
        <v>#REF!</v>
      </c>
      <c r="E23" s="86" t="e">
        <f t="shared" ca="1" si="40"/>
        <v>#REF!</v>
      </c>
      <c r="F23" s="86" t="e">
        <f t="shared" ca="1" si="40"/>
        <v>#REF!</v>
      </c>
      <c r="G23" s="86" t="e">
        <f t="shared" ca="1" si="40"/>
        <v>#REF!</v>
      </c>
      <c r="H23" s="86" t="e">
        <f t="shared" ca="1" si="40"/>
        <v>#REF!</v>
      </c>
      <c r="I23" s="86" t="e">
        <f t="shared" ca="1" si="40"/>
        <v>#REF!</v>
      </c>
      <c r="J23" s="86" t="e">
        <f t="shared" ca="1" si="40"/>
        <v>#REF!</v>
      </c>
      <c r="K23" s="86" t="e">
        <f t="shared" ca="1" si="40"/>
        <v>#REF!</v>
      </c>
      <c r="L23" s="86" t="e">
        <f t="shared" ca="1" si="40"/>
        <v>#REF!</v>
      </c>
      <c r="M23" s="86" t="e">
        <f t="shared" ca="1" si="40"/>
        <v>#REF!</v>
      </c>
      <c r="N23" s="86" t="e">
        <f t="shared" ca="1" si="40"/>
        <v>#REF!</v>
      </c>
      <c r="O23" s="86" t="e">
        <f t="shared" ca="1" si="40"/>
        <v>#REF!</v>
      </c>
      <c r="P23" s="86" t="e">
        <f t="shared" ca="1" si="40"/>
        <v>#REF!</v>
      </c>
      <c r="Q23" s="86" t="e">
        <f t="shared" ca="1" si="40"/>
        <v>#REF!</v>
      </c>
      <c r="R23" s="86" t="e">
        <f t="shared" ca="1" si="40"/>
        <v>#REF!</v>
      </c>
      <c r="S23" s="86" t="e">
        <f t="shared" ca="1" si="37"/>
        <v>#REF!</v>
      </c>
      <c r="T23" s="86" t="e">
        <f t="shared" ca="1" si="37"/>
        <v>#REF!</v>
      </c>
      <c r="U23" s="86" t="e">
        <f t="shared" ca="1" si="37"/>
        <v>#REF!</v>
      </c>
      <c r="V23" s="86" t="e">
        <f t="shared" ca="1" si="37"/>
        <v>#REF!</v>
      </c>
      <c r="W23" s="86" t="e">
        <f t="shared" ca="1" si="37"/>
        <v>#REF!</v>
      </c>
      <c r="X23" s="86" t="e">
        <f t="shared" ref="X23" ca="1" si="41">IF(ABS(X$3/3-X9)&lt;=0.75,1,0)</f>
        <v>#REF!</v>
      </c>
      <c r="Y23" s="86" t="e">
        <f t="shared" ca="1" si="39"/>
        <v>#REF!</v>
      </c>
    </row>
    <row r="24" spans="1:32" hidden="1" x14ac:dyDescent="0.2">
      <c r="A24" s="86">
        <f>A10</f>
        <v>0</v>
      </c>
      <c r="B24" s="86" t="e">
        <f t="shared" ref="B24:B30" ca="1" si="42">B10</f>
        <v>#REF!</v>
      </c>
      <c r="C24" s="86" t="e">
        <f t="shared" ca="1" si="40"/>
        <v>#REF!</v>
      </c>
      <c r="D24" s="86" t="e">
        <f t="shared" ca="1" si="40"/>
        <v>#REF!</v>
      </c>
      <c r="E24" s="86" t="e">
        <f t="shared" ca="1" si="40"/>
        <v>#REF!</v>
      </c>
      <c r="F24" s="86" t="e">
        <f t="shared" ca="1" si="40"/>
        <v>#REF!</v>
      </c>
      <c r="G24" s="86" t="e">
        <f t="shared" ca="1" si="40"/>
        <v>#REF!</v>
      </c>
      <c r="H24" s="86" t="e">
        <f t="shared" ca="1" si="40"/>
        <v>#REF!</v>
      </c>
      <c r="I24" s="86" t="e">
        <f t="shared" ca="1" si="40"/>
        <v>#REF!</v>
      </c>
      <c r="J24" s="86" t="e">
        <f t="shared" ca="1" si="40"/>
        <v>#REF!</v>
      </c>
      <c r="K24" s="86" t="e">
        <f t="shared" ca="1" si="40"/>
        <v>#REF!</v>
      </c>
      <c r="L24" s="86" t="e">
        <f t="shared" ca="1" si="40"/>
        <v>#REF!</v>
      </c>
      <c r="M24" s="86" t="e">
        <f t="shared" ca="1" si="40"/>
        <v>#REF!</v>
      </c>
      <c r="N24" s="86" t="e">
        <f t="shared" ca="1" si="40"/>
        <v>#REF!</v>
      </c>
      <c r="O24" s="86" t="e">
        <f t="shared" ca="1" si="40"/>
        <v>#REF!</v>
      </c>
      <c r="P24" s="86" t="e">
        <f t="shared" ca="1" si="40"/>
        <v>#REF!</v>
      </c>
      <c r="Q24" s="86" t="e">
        <f t="shared" ca="1" si="40"/>
        <v>#REF!</v>
      </c>
      <c r="R24" s="86" t="e">
        <f t="shared" ca="1" si="40"/>
        <v>#REF!</v>
      </c>
      <c r="S24" s="86" t="e">
        <f t="shared" ca="1" si="37"/>
        <v>#REF!</v>
      </c>
      <c r="T24" s="86" t="e">
        <f t="shared" ca="1" si="37"/>
        <v>#REF!</v>
      </c>
      <c r="U24" s="86" t="e">
        <f t="shared" ca="1" si="37"/>
        <v>#REF!</v>
      </c>
      <c r="V24" s="86" t="e">
        <f t="shared" ca="1" si="37"/>
        <v>#REF!</v>
      </c>
      <c r="W24" s="86" t="e">
        <f t="shared" ca="1" si="37"/>
        <v>#REF!</v>
      </c>
      <c r="X24" s="86" t="e">
        <f t="shared" ref="X24" ca="1" si="43">IF(ABS(X$3/3-X10)&lt;=0.75,1,0)</f>
        <v>#REF!</v>
      </c>
      <c r="Y24" s="86" t="e">
        <f t="shared" ca="1" si="39"/>
        <v>#REF!</v>
      </c>
    </row>
    <row r="25" spans="1:32" hidden="1" x14ac:dyDescent="0.2">
      <c r="A25" s="86">
        <f>A11</f>
        <v>0</v>
      </c>
      <c r="B25" s="86" t="e">
        <f t="shared" ca="1" si="42"/>
        <v>#REF!</v>
      </c>
      <c r="C25" s="86" t="e">
        <f t="shared" ca="1" si="40"/>
        <v>#REF!</v>
      </c>
      <c r="D25" s="86" t="e">
        <f t="shared" ca="1" si="40"/>
        <v>#REF!</v>
      </c>
      <c r="E25" s="86" t="e">
        <f t="shared" ca="1" si="40"/>
        <v>#REF!</v>
      </c>
      <c r="F25" s="86" t="e">
        <f t="shared" ca="1" si="40"/>
        <v>#REF!</v>
      </c>
      <c r="G25" s="86" t="e">
        <f t="shared" ca="1" si="40"/>
        <v>#REF!</v>
      </c>
      <c r="H25" s="86" t="e">
        <f t="shared" ca="1" si="40"/>
        <v>#REF!</v>
      </c>
      <c r="I25" s="86" t="e">
        <f t="shared" ca="1" si="40"/>
        <v>#REF!</v>
      </c>
      <c r="J25" s="86" t="e">
        <f t="shared" ca="1" si="40"/>
        <v>#REF!</v>
      </c>
      <c r="K25" s="86" t="e">
        <f t="shared" ca="1" si="40"/>
        <v>#REF!</v>
      </c>
      <c r="L25" s="86" t="e">
        <f t="shared" ca="1" si="40"/>
        <v>#REF!</v>
      </c>
      <c r="M25" s="86" t="e">
        <f t="shared" ca="1" si="40"/>
        <v>#REF!</v>
      </c>
      <c r="N25" s="86" t="e">
        <f t="shared" ca="1" si="40"/>
        <v>#REF!</v>
      </c>
      <c r="O25" s="86" t="e">
        <f t="shared" ca="1" si="40"/>
        <v>#REF!</v>
      </c>
      <c r="P25" s="86" t="e">
        <f t="shared" ca="1" si="40"/>
        <v>#REF!</v>
      </c>
      <c r="Q25" s="86" t="e">
        <f t="shared" ca="1" si="40"/>
        <v>#REF!</v>
      </c>
      <c r="R25" s="86" t="e">
        <f t="shared" ca="1" si="40"/>
        <v>#REF!</v>
      </c>
      <c r="S25" s="86" t="e">
        <f t="shared" ca="1" si="37"/>
        <v>#REF!</v>
      </c>
      <c r="T25" s="86" t="e">
        <f t="shared" ca="1" si="37"/>
        <v>#REF!</v>
      </c>
      <c r="U25" s="86" t="e">
        <f t="shared" ca="1" si="37"/>
        <v>#REF!</v>
      </c>
      <c r="V25" s="86" t="e">
        <f t="shared" ca="1" si="37"/>
        <v>#REF!</v>
      </c>
      <c r="W25" s="86" t="e">
        <f t="shared" ca="1" si="37"/>
        <v>#REF!</v>
      </c>
      <c r="X25" s="86" t="e">
        <f t="shared" ref="X25" ca="1" si="44">IF(ABS(X$3/3-X11)&lt;=0.75,1,0)</f>
        <v>#REF!</v>
      </c>
      <c r="Y25" s="86" t="e">
        <f t="shared" ca="1" si="39"/>
        <v>#REF!</v>
      </c>
    </row>
    <row r="26" spans="1:32" hidden="1" x14ac:dyDescent="0.2">
      <c r="A26" s="86">
        <f>A12</f>
        <v>0</v>
      </c>
      <c r="B26" s="86" t="e">
        <f t="shared" ca="1" si="42"/>
        <v>#REF!</v>
      </c>
      <c r="C26" s="86" t="e">
        <f t="shared" ca="1" si="40"/>
        <v>#REF!</v>
      </c>
      <c r="D26" s="86" t="e">
        <f t="shared" ca="1" si="40"/>
        <v>#REF!</v>
      </c>
      <c r="E26" s="86" t="e">
        <f t="shared" ca="1" si="40"/>
        <v>#REF!</v>
      </c>
      <c r="F26" s="86" t="e">
        <f t="shared" ca="1" si="40"/>
        <v>#REF!</v>
      </c>
      <c r="G26" s="86" t="e">
        <f t="shared" ca="1" si="40"/>
        <v>#REF!</v>
      </c>
      <c r="H26" s="86" t="e">
        <f t="shared" ca="1" si="40"/>
        <v>#REF!</v>
      </c>
      <c r="I26" s="86" t="e">
        <f t="shared" ca="1" si="40"/>
        <v>#REF!</v>
      </c>
      <c r="J26" s="86" t="e">
        <f t="shared" ca="1" si="40"/>
        <v>#REF!</v>
      </c>
      <c r="K26" s="86" t="e">
        <f t="shared" ca="1" si="40"/>
        <v>#REF!</v>
      </c>
      <c r="L26" s="86" t="e">
        <f t="shared" ca="1" si="40"/>
        <v>#REF!</v>
      </c>
      <c r="M26" s="86" t="e">
        <f t="shared" ca="1" si="40"/>
        <v>#REF!</v>
      </c>
      <c r="N26" s="86" t="e">
        <f t="shared" ca="1" si="40"/>
        <v>#REF!</v>
      </c>
      <c r="O26" s="86" t="e">
        <f t="shared" ca="1" si="40"/>
        <v>#REF!</v>
      </c>
      <c r="P26" s="86" t="e">
        <f t="shared" ca="1" si="40"/>
        <v>#REF!</v>
      </c>
      <c r="Q26" s="86" t="e">
        <f t="shared" ca="1" si="40"/>
        <v>#REF!</v>
      </c>
      <c r="R26" s="86" t="e">
        <f t="shared" ca="1" si="40"/>
        <v>#REF!</v>
      </c>
      <c r="S26" s="86" t="e">
        <f t="shared" ca="1" si="37"/>
        <v>#REF!</v>
      </c>
      <c r="T26" s="86" t="e">
        <f t="shared" ca="1" si="37"/>
        <v>#REF!</v>
      </c>
      <c r="U26" s="86" t="e">
        <f t="shared" ca="1" si="37"/>
        <v>#REF!</v>
      </c>
      <c r="V26" s="86" t="e">
        <f t="shared" ca="1" si="37"/>
        <v>#REF!</v>
      </c>
      <c r="W26" s="86" t="e">
        <f t="shared" ca="1" si="37"/>
        <v>#REF!</v>
      </c>
      <c r="X26" s="86" t="e">
        <f t="shared" ref="X26" ca="1" si="45">IF(ABS(X$3/3-X12)&lt;=0.75,1,0)</f>
        <v>#REF!</v>
      </c>
      <c r="Y26" s="86" t="e">
        <f t="shared" ca="1" si="39"/>
        <v>#REF!</v>
      </c>
    </row>
    <row r="27" spans="1:32" hidden="1" x14ac:dyDescent="0.2">
      <c r="A27" s="86">
        <f>A13</f>
        <v>0</v>
      </c>
      <c r="B27" s="86" t="e">
        <f t="shared" ca="1" si="42"/>
        <v>#REF!</v>
      </c>
      <c r="C27" s="86" t="e">
        <f t="shared" ca="1" si="40"/>
        <v>#REF!</v>
      </c>
      <c r="D27" s="86" t="e">
        <f t="shared" ca="1" si="40"/>
        <v>#REF!</v>
      </c>
      <c r="E27" s="86" t="e">
        <f t="shared" ca="1" si="40"/>
        <v>#REF!</v>
      </c>
      <c r="F27" s="86" t="e">
        <f t="shared" ca="1" si="40"/>
        <v>#REF!</v>
      </c>
      <c r="G27" s="86" t="e">
        <f t="shared" ca="1" si="40"/>
        <v>#REF!</v>
      </c>
      <c r="H27" s="86" t="e">
        <f t="shared" ca="1" si="40"/>
        <v>#REF!</v>
      </c>
      <c r="I27" s="86" t="e">
        <f t="shared" ca="1" si="40"/>
        <v>#REF!</v>
      </c>
      <c r="J27" s="86" t="e">
        <f t="shared" ca="1" si="40"/>
        <v>#REF!</v>
      </c>
      <c r="K27" s="86" t="e">
        <f t="shared" ca="1" si="40"/>
        <v>#REF!</v>
      </c>
      <c r="L27" s="86" t="e">
        <f t="shared" ca="1" si="40"/>
        <v>#REF!</v>
      </c>
      <c r="M27" s="86" t="e">
        <f t="shared" ca="1" si="40"/>
        <v>#REF!</v>
      </c>
      <c r="N27" s="86" t="e">
        <f t="shared" ca="1" si="40"/>
        <v>#REF!</v>
      </c>
      <c r="O27" s="86" t="e">
        <f t="shared" ca="1" si="40"/>
        <v>#REF!</v>
      </c>
      <c r="P27" s="86" t="e">
        <f t="shared" ca="1" si="40"/>
        <v>#REF!</v>
      </c>
      <c r="Q27" s="86" t="e">
        <f t="shared" ca="1" si="40"/>
        <v>#REF!</v>
      </c>
      <c r="R27" s="86" t="e">
        <f t="shared" ca="1" si="40"/>
        <v>#REF!</v>
      </c>
      <c r="S27" s="86" t="e">
        <f t="shared" ca="1" si="37"/>
        <v>#REF!</v>
      </c>
      <c r="T27" s="86" t="e">
        <f t="shared" ca="1" si="37"/>
        <v>#REF!</v>
      </c>
      <c r="U27" s="86" t="e">
        <f t="shared" ca="1" si="37"/>
        <v>#REF!</v>
      </c>
      <c r="V27" s="86" t="e">
        <f t="shared" ca="1" si="37"/>
        <v>#REF!</v>
      </c>
      <c r="W27" s="86" t="e">
        <f t="shared" ca="1" si="37"/>
        <v>#REF!</v>
      </c>
      <c r="X27" s="86" t="e">
        <f t="shared" ref="X27" ca="1" si="46">IF(ABS(X$3/3-X13)&lt;=0.75,1,0)</f>
        <v>#REF!</v>
      </c>
      <c r="Y27" s="86" t="e">
        <f t="shared" ca="1" si="39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2"/>
        <v>#REF!</v>
      </c>
      <c r="C29" s="86" t="e">
        <f t="shared" ca="1" si="40"/>
        <v>#REF!</v>
      </c>
      <c r="D29" s="86" t="e">
        <f t="shared" ca="1" si="40"/>
        <v>#REF!</v>
      </c>
      <c r="E29" s="86" t="e">
        <f t="shared" ca="1" si="40"/>
        <v>#REF!</v>
      </c>
      <c r="F29" s="86" t="e">
        <f t="shared" ca="1" si="40"/>
        <v>#REF!</v>
      </c>
      <c r="G29" s="86" t="e">
        <f t="shared" ca="1" si="40"/>
        <v>#REF!</v>
      </c>
      <c r="H29" s="86" t="e">
        <f t="shared" ca="1" si="40"/>
        <v>#REF!</v>
      </c>
      <c r="I29" s="86" t="e">
        <f t="shared" ca="1" si="40"/>
        <v>#REF!</v>
      </c>
      <c r="J29" s="86" t="e">
        <f t="shared" ca="1" si="40"/>
        <v>#REF!</v>
      </c>
      <c r="K29" s="86" t="e">
        <f t="shared" ca="1" si="40"/>
        <v>#REF!</v>
      </c>
      <c r="L29" s="86" t="e">
        <f t="shared" ca="1" si="40"/>
        <v>#REF!</v>
      </c>
      <c r="M29" s="86" t="e">
        <f t="shared" ca="1" si="40"/>
        <v>#REF!</v>
      </c>
      <c r="N29" s="86" t="e">
        <f t="shared" ca="1" si="40"/>
        <v>#REF!</v>
      </c>
      <c r="O29" s="86" t="e">
        <f t="shared" ca="1" si="40"/>
        <v>#REF!</v>
      </c>
      <c r="P29" s="86" t="e">
        <f t="shared" ca="1" si="40"/>
        <v>#REF!</v>
      </c>
      <c r="Q29" s="86" t="e">
        <f t="shared" ca="1" si="40"/>
        <v>#REF!</v>
      </c>
      <c r="R29" s="86" t="e">
        <f t="shared" ca="1" si="40"/>
        <v>#REF!</v>
      </c>
      <c r="S29" s="86" t="e">
        <f t="shared" ref="S29:W30" ca="1" si="47">IF(ABS(S$3/3-S15)&lt;=0.75,1,0)</f>
        <v>#REF!</v>
      </c>
      <c r="T29" s="86" t="e">
        <f t="shared" ca="1" si="47"/>
        <v>#REF!</v>
      </c>
      <c r="U29" s="86" t="e">
        <f t="shared" ca="1" si="47"/>
        <v>#REF!</v>
      </c>
      <c r="V29" s="86" t="e">
        <f t="shared" ca="1" si="47"/>
        <v>#REF!</v>
      </c>
      <c r="W29" s="86" t="e">
        <f t="shared" ca="1" si="47"/>
        <v>#REF!</v>
      </c>
      <c r="X29" s="86" t="e">
        <f t="shared" ref="X29" ca="1" si="48">IF(ABS(X$3/3-X15)&lt;=0.75,1,0)</f>
        <v>#REF!</v>
      </c>
      <c r="Y29" s="86" t="e">
        <f t="shared" ref="Y29:Y30" ca="1" si="49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2"/>
        <v>#REF!</v>
      </c>
      <c r="C30" s="86" t="e">
        <f t="shared" ca="1" si="40"/>
        <v>#REF!</v>
      </c>
      <c r="D30" s="86" t="e">
        <f t="shared" ca="1" si="40"/>
        <v>#REF!</v>
      </c>
      <c r="E30" s="86" t="e">
        <f t="shared" ca="1" si="40"/>
        <v>#REF!</v>
      </c>
      <c r="F30" s="86" t="e">
        <f t="shared" ca="1" si="40"/>
        <v>#REF!</v>
      </c>
      <c r="G30" s="86" t="e">
        <f t="shared" ca="1" si="40"/>
        <v>#REF!</v>
      </c>
      <c r="H30" s="86" t="e">
        <f t="shared" ca="1" si="40"/>
        <v>#REF!</v>
      </c>
      <c r="I30" s="86" t="e">
        <f t="shared" ca="1" si="40"/>
        <v>#REF!</v>
      </c>
      <c r="J30" s="86" t="e">
        <f t="shared" ca="1" si="40"/>
        <v>#REF!</v>
      </c>
      <c r="K30" s="86" t="e">
        <f t="shared" ca="1" si="40"/>
        <v>#REF!</v>
      </c>
      <c r="L30" s="86" t="e">
        <f t="shared" ca="1" si="40"/>
        <v>#REF!</v>
      </c>
      <c r="M30" s="86" t="e">
        <f t="shared" ca="1" si="40"/>
        <v>#REF!</v>
      </c>
      <c r="N30" s="86" t="e">
        <f t="shared" ca="1" si="40"/>
        <v>#REF!</v>
      </c>
      <c r="O30" s="86" t="e">
        <f t="shared" ca="1" si="40"/>
        <v>#REF!</v>
      </c>
      <c r="P30" s="86" t="e">
        <f t="shared" ca="1" si="40"/>
        <v>#REF!</v>
      </c>
      <c r="Q30" s="86" t="e">
        <f t="shared" ca="1" si="40"/>
        <v>#REF!</v>
      </c>
      <c r="R30" s="86" t="e">
        <f t="shared" ca="1" si="40"/>
        <v>#REF!</v>
      </c>
      <c r="S30" s="86" t="e">
        <f t="shared" ca="1" si="47"/>
        <v>#REF!</v>
      </c>
      <c r="T30" s="86" t="e">
        <f t="shared" ca="1" si="47"/>
        <v>#REF!</v>
      </c>
      <c r="U30" s="86" t="e">
        <f t="shared" ca="1" si="47"/>
        <v>#REF!</v>
      </c>
      <c r="V30" s="86" t="e">
        <f t="shared" ca="1" si="47"/>
        <v>#REF!</v>
      </c>
      <c r="W30" s="86" t="e">
        <f t="shared" ca="1" si="47"/>
        <v>#REF!</v>
      </c>
      <c r="X30" s="86" t="e">
        <f t="shared" ref="X30" ca="1" si="50">IF(ABS(X$3/3-X16)&lt;=0.75,1,0)</f>
        <v>#REF!</v>
      </c>
      <c r="Y30" s="86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214</v>
      </c>
      <c r="E2" s="131" t="s">
        <v>215</v>
      </c>
      <c r="F2" s="131" t="s">
        <v>216</v>
      </c>
      <c r="G2" s="131" t="s">
        <v>217</v>
      </c>
      <c r="H2" s="131" t="s">
        <v>218</v>
      </c>
      <c r="I2" s="131" t="s">
        <v>219</v>
      </c>
      <c r="J2" s="131" t="s">
        <v>220</v>
      </c>
      <c r="K2" s="131" t="s">
        <v>221</v>
      </c>
      <c r="L2" s="131" t="s">
        <v>222</v>
      </c>
      <c r="M2" s="131" t="s">
        <v>223</v>
      </c>
      <c r="N2" s="131" t="s">
        <v>224</v>
      </c>
      <c r="O2" s="131" t="s">
        <v>225</v>
      </c>
      <c r="P2" s="131" t="s">
        <v>226</v>
      </c>
      <c r="Q2" s="131" t="s">
        <v>227</v>
      </c>
      <c r="R2" s="131" t="s">
        <v>228</v>
      </c>
      <c r="S2" s="131" t="s">
        <v>229</v>
      </c>
      <c r="T2" s="131" t="s">
        <v>230</v>
      </c>
      <c r="U2" s="131" t="s">
        <v>231</v>
      </c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66" t="str">
        <f>Doku!B42&amp;":"</f>
        <v>Gesamt:</v>
      </c>
      <c r="B3" s="466"/>
      <c r="C3" s="149" t="e">
        <f t="shared" ref="C3:R3" ca="1" si="0">SUM(C8:C12)-MAX(C8:C12)-MIN(C8:C12)</f>
        <v>#REF!</v>
      </c>
      <c r="D3" s="149" t="e">
        <f t="shared" ca="1" si="0"/>
        <v>#REF!</v>
      </c>
      <c r="E3" s="149" t="e">
        <f t="shared" ca="1" si="0"/>
        <v>#REF!</v>
      </c>
      <c r="F3" s="149" t="e">
        <f t="shared" ca="1" si="0"/>
        <v>#REF!</v>
      </c>
      <c r="G3" s="149" t="e">
        <f t="shared" ca="1" si="0"/>
        <v>#REF!</v>
      </c>
      <c r="H3" s="149" t="e">
        <f t="shared" ca="1" si="0"/>
        <v>#REF!</v>
      </c>
      <c r="I3" s="149" t="e">
        <f t="shared" ca="1" si="0"/>
        <v>#REF!</v>
      </c>
      <c r="J3" s="149" t="e">
        <f t="shared" ca="1" si="0"/>
        <v>#REF!</v>
      </c>
      <c r="K3" s="149" t="e">
        <f t="shared" ca="1" si="0"/>
        <v>#REF!</v>
      </c>
      <c r="L3" s="149" t="e">
        <f t="shared" ca="1" si="0"/>
        <v>#REF!</v>
      </c>
      <c r="M3" s="149" t="e">
        <f t="shared" ca="1" si="0"/>
        <v>#REF!</v>
      </c>
      <c r="N3" s="149" t="e">
        <f t="shared" ca="1" si="0"/>
        <v>#REF!</v>
      </c>
      <c r="O3" s="149" t="e">
        <f t="shared" ca="1" si="0"/>
        <v>#REF!</v>
      </c>
      <c r="P3" s="149" t="e">
        <f t="shared" ca="1" si="0"/>
        <v>#REF!</v>
      </c>
      <c r="Q3" s="149" t="e">
        <f t="shared" ca="1" si="0"/>
        <v>#REF!</v>
      </c>
      <c r="R3" s="149" t="e">
        <f t="shared" ca="1" si="0"/>
        <v>#REF!</v>
      </c>
      <c r="S3" s="149" t="e">
        <f t="shared" ref="S3:U3" ca="1" si="1">SUM(S8:S12)-MAX(S8:S12)-MIN(S8:S12)</f>
        <v>#REF!</v>
      </c>
      <c r="T3" s="149" t="e">
        <f t="shared" ca="1" si="1"/>
        <v>#REF!</v>
      </c>
      <c r="U3" s="149" t="e">
        <f t="shared" ca="1" si="1"/>
        <v>#REF!</v>
      </c>
      <c r="V3" s="149"/>
      <c r="W3" s="149"/>
      <c r="X3" s="150"/>
      <c r="Y3" s="149" t="e">
        <f ca="1">SUM(Y8:Y12)-MAX(Y8:Y12)-MIN(Y8:Y12)</f>
        <v>#REF!</v>
      </c>
      <c r="Z3" s="185" t="e">
        <f ca="1">IF(SUM(AF8:AF12)&gt;0,SUM(C3:Y3)/2,SUM(C3:Y3))</f>
        <v>#REF!</v>
      </c>
      <c r="AA3" s="185"/>
      <c r="AB3" s="153" t="e">
        <f ca="1">SUM(AB8:AB12)-MAX(AB8:AB12)-MIN(AB8:AB12)</f>
        <v>#REF!</v>
      </c>
      <c r="AC3" s="153" t="e">
        <f ca="1">SUM(AC8:AC12)-MAX(AC8:AC12)-MIN(AC8:AC12)</f>
        <v>#REF!</v>
      </c>
      <c r="AD3" s="153" t="e">
        <f ca="1">SUM(AD8:AD12)-MAX(AD8:AD12)-MIN(AD8:AD12)</f>
        <v>#REF!</v>
      </c>
      <c r="AE3" s="149" t="e">
        <f ca="1">SUM(AE8:AE12)-MAX(AE8:AE12)-MIN(AE8:AE12)</f>
        <v>#REF!</v>
      </c>
      <c r="AF3" s="153" t="e">
        <f ca="1">SUM(AF8:AF12)-MAX(AF8:AF12)-MIN(AF8:AF12)</f>
        <v>#REF!</v>
      </c>
    </row>
    <row r="4" spans="1:32" ht="15" customHeight="1" x14ac:dyDescent="0.2">
      <c r="A4" s="467" t="str">
        <f>Doku!B49&amp;":"</f>
        <v>Spannweite:</v>
      </c>
      <c r="B4" s="467"/>
      <c r="C4" s="154" t="e">
        <f t="shared" ref="C4:U4" ca="1" si="2">MAX(C8:C12)-MIN(C8:C12)</f>
        <v>#REF!</v>
      </c>
      <c r="D4" s="154" t="e">
        <f t="shared" ca="1" si="2"/>
        <v>#REF!</v>
      </c>
      <c r="E4" s="154" t="e">
        <f t="shared" ca="1" si="2"/>
        <v>#REF!</v>
      </c>
      <c r="F4" s="154" t="e">
        <f t="shared" ca="1" si="2"/>
        <v>#REF!</v>
      </c>
      <c r="G4" s="154" t="e">
        <f t="shared" ca="1" si="2"/>
        <v>#REF!</v>
      </c>
      <c r="H4" s="154" t="e">
        <f t="shared" ca="1" si="2"/>
        <v>#REF!</v>
      </c>
      <c r="I4" s="154" t="e">
        <f t="shared" ca="1" si="2"/>
        <v>#REF!</v>
      </c>
      <c r="J4" s="154" t="e">
        <f t="shared" ca="1" si="2"/>
        <v>#REF!</v>
      </c>
      <c r="K4" s="154" t="e">
        <f t="shared" ca="1" si="2"/>
        <v>#REF!</v>
      </c>
      <c r="L4" s="154" t="e">
        <f t="shared" ca="1" si="2"/>
        <v>#REF!</v>
      </c>
      <c r="M4" s="154" t="e">
        <f t="shared" ca="1" si="2"/>
        <v>#REF!</v>
      </c>
      <c r="N4" s="154" t="e">
        <f t="shared" ca="1" si="2"/>
        <v>#REF!</v>
      </c>
      <c r="O4" s="154" t="e">
        <f t="shared" ca="1" si="2"/>
        <v>#REF!</v>
      </c>
      <c r="P4" s="154" t="e">
        <f t="shared" ca="1" si="2"/>
        <v>#REF!</v>
      </c>
      <c r="Q4" s="154" t="e">
        <f t="shared" ca="1" si="2"/>
        <v>#REF!</v>
      </c>
      <c r="R4" s="154" t="e">
        <f t="shared" ca="1" si="2"/>
        <v>#REF!</v>
      </c>
      <c r="S4" s="155" t="e">
        <f t="shared" ca="1" si="2"/>
        <v>#REF!</v>
      </c>
      <c r="T4" s="155" t="e">
        <f t="shared" ca="1" si="2"/>
        <v>#REF!</v>
      </c>
      <c r="U4" s="155" t="e">
        <f t="shared" ca="1" si="2"/>
        <v>#REF!</v>
      </c>
      <c r="V4" s="155"/>
      <c r="W4" s="155"/>
      <c r="X4" s="155"/>
      <c r="Y4" s="154" t="e">
        <f ca="1">MAX(Y8:Y12)-MIN(Y8:Y12)</f>
        <v>#REF!</v>
      </c>
      <c r="Z4" s="186" t="e">
        <f ca="1">MAX(Z8:Z12)-MIN(Z8:Z12)</f>
        <v>#REF!</v>
      </c>
      <c r="AA4" s="187"/>
      <c r="AB4" s="158" t="e">
        <f ca="1">MAX(AB8:AB12)-MIN(AB8:AB12)</f>
        <v>#REF!</v>
      </c>
      <c r="AC4" s="158" t="e">
        <f ca="1">MAX(AC8:AC12)-MIN(AC8:AC12)</f>
        <v>#REF!</v>
      </c>
      <c r="AD4" s="158" t="e">
        <f ca="1">MAX(AD8:AD12)-MIN(AD8:AD12)</f>
        <v>#REF!</v>
      </c>
      <c r="AE4" s="154" t="e">
        <f ca="1">MAX(AE8:AE12)-MIN(AE8:AE12)</f>
        <v>#REF!</v>
      </c>
      <c r="AF4" s="158" t="e">
        <f ca="1">MAX(AF8:AF12)-MIN(AF8:AF12)</f>
        <v>#REF!</v>
      </c>
    </row>
    <row r="5" spans="1:32" ht="15" customHeight="1" x14ac:dyDescent="0.2">
      <c r="A5" s="467" t="str">
        <f>Doku!B47&amp;":"</f>
        <v>Mittelwert:</v>
      </c>
      <c r="B5" s="467"/>
      <c r="C5" s="154" t="e">
        <f ca="1">C3/3</f>
        <v>#REF!</v>
      </c>
      <c r="D5" s="154" t="e">
        <f t="shared" ref="D5:Z5" ca="1" si="3">D3/3</f>
        <v>#REF!</v>
      </c>
      <c r="E5" s="154" t="e">
        <f t="shared" ca="1" si="3"/>
        <v>#REF!</v>
      </c>
      <c r="F5" s="154" t="e">
        <f t="shared" ca="1" si="3"/>
        <v>#REF!</v>
      </c>
      <c r="G5" s="154" t="e">
        <f t="shared" ca="1" si="3"/>
        <v>#REF!</v>
      </c>
      <c r="H5" s="154" t="e">
        <f t="shared" ca="1" si="3"/>
        <v>#REF!</v>
      </c>
      <c r="I5" s="154" t="e">
        <f t="shared" ca="1" si="3"/>
        <v>#REF!</v>
      </c>
      <c r="J5" s="154" t="e">
        <f t="shared" ca="1" si="3"/>
        <v>#REF!</v>
      </c>
      <c r="K5" s="154" t="e">
        <f t="shared" ca="1" si="3"/>
        <v>#REF!</v>
      </c>
      <c r="L5" s="154" t="e">
        <f t="shared" ca="1" si="3"/>
        <v>#REF!</v>
      </c>
      <c r="M5" s="154" t="e">
        <f t="shared" ca="1" si="3"/>
        <v>#REF!</v>
      </c>
      <c r="N5" s="154" t="e">
        <f t="shared" ca="1" si="3"/>
        <v>#REF!</v>
      </c>
      <c r="O5" s="154" t="e">
        <f t="shared" ca="1" si="3"/>
        <v>#REF!</v>
      </c>
      <c r="P5" s="154" t="e">
        <f t="shared" ca="1" si="3"/>
        <v>#REF!</v>
      </c>
      <c r="Q5" s="154" t="e">
        <f t="shared" ca="1" si="3"/>
        <v>#REF!</v>
      </c>
      <c r="R5" s="154" t="e">
        <f t="shared" ca="1" si="3"/>
        <v>#REF!</v>
      </c>
      <c r="S5" s="154" t="e">
        <f t="shared" ca="1" si="3"/>
        <v>#REF!</v>
      </c>
      <c r="T5" s="154" t="e">
        <f t="shared" ca="1" si="3"/>
        <v>#REF!</v>
      </c>
      <c r="U5" s="154" t="e">
        <f t="shared" ca="1" si="3"/>
        <v>#REF!</v>
      </c>
      <c r="V5" s="154"/>
      <c r="W5" s="154"/>
      <c r="X5" s="154"/>
      <c r="Y5" s="154" t="e">
        <f t="shared" ca="1" si="3"/>
        <v>#REF!</v>
      </c>
      <c r="Z5" s="186" t="e">
        <f t="shared" ca="1" si="3"/>
        <v>#REF!</v>
      </c>
      <c r="AA5" s="186"/>
      <c r="AB5" s="158" t="e">
        <f t="shared" ref="AB5:AF5" ca="1" si="4">AVERAGE(AB8:AB12)</f>
        <v>#REF!</v>
      </c>
      <c r="AC5" s="158" t="e">
        <f t="shared" ca="1" si="4"/>
        <v>#REF!</v>
      </c>
      <c r="AD5" s="158" t="e">
        <f t="shared" ca="1" si="4"/>
        <v>#REF!</v>
      </c>
      <c r="AE5" s="154" t="e">
        <f t="shared" ca="1" si="4"/>
        <v>#REF!</v>
      </c>
      <c r="AF5" s="158" t="e">
        <f t="shared" ca="1" si="4"/>
        <v>#REF!</v>
      </c>
    </row>
    <row r="6" spans="1:32" ht="15" hidden="1" customHeight="1" x14ac:dyDescent="0.2">
      <c r="A6" s="467"/>
      <c r="B6" s="467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5"/>
      <c r="Y6" s="154"/>
      <c r="Z6" s="188"/>
      <c r="AA6" s="188"/>
      <c r="AB6" s="162"/>
      <c r="AC6" s="162"/>
      <c r="AD6" s="162"/>
      <c r="AE6" s="154"/>
      <c r="AF6" s="162"/>
    </row>
    <row r="7" spans="1:32" ht="15" customHeight="1" x14ac:dyDescent="0.2">
      <c r="A7" s="140"/>
      <c r="B7" s="140" t="e">
        <f t="shared" ref="B7:B16" ca="1" si="5">INDIRECT("'"&amp;$A7&amp;"'!E5")</f>
        <v>#REF!</v>
      </c>
      <c r="C7" s="163" t="e">
        <f t="shared" ref="C7:C13" ca="1" si="6">INDIRECT("'"&amp;$A7&amp;"'!L13")</f>
        <v>#REF!</v>
      </c>
      <c r="D7" s="163" t="e">
        <f t="shared" ref="D7:D13" ca="1" si="7">INDIRECT("'"&amp;$A7&amp;"'!L14")</f>
        <v>#REF!</v>
      </c>
      <c r="E7" s="163" t="e">
        <f t="shared" ref="E7:E13" ca="1" si="8">INDIRECT("'"&amp;$A7&amp;"'!L15")</f>
        <v>#REF!</v>
      </c>
      <c r="F7" s="163" t="e">
        <f t="shared" ref="F7:F13" ca="1" si="9">INDIRECT("'"&amp;$A7&amp;"'!L16")</f>
        <v>#REF!</v>
      </c>
      <c r="G7" s="163" t="e">
        <f t="shared" ref="G7:G13" ca="1" si="10">INDIRECT("'"&amp;$A7&amp;"'!L17")</f>
        <v>#REF!</v>
      </c>
      <c r="H7" s="163" t="e">
        <f t="shared" ref="H7:H13" ca="1" si="11">INDIRECT("'"&amp;$A7&amp;"'!L18")</f>
        <v>#REF!</v>
      </c>
      <c r="I7" s="163" t="e">
        <f t="shared" ref="I7:I13" ca="1" si="12">INDIRECT("'"&amp;$A7&amp;"'!L19")</f>
        <v>#REF!</v>
      </c>
      <c r="J7" s="163" t="e">
        <f t="shared" ref="J7:J13" ca="1" si="13">INDIRECT("'"&amp;$A7&amp;"'!L20")</f>
        <v>#REF!</v>
      </c>
      <c r="K7" s="163" t="e">
        <f t="shared" ref="K7:K13" ca="1" si="14">INDIRECT("'"&amp;$A7&amp;"'!L21")</f>
        <v>#REF!</v>
      </c>
      <c r="L7" s="163" t="e">
        <f t="shared" ref="L7:L13" ca="1" si="15">INDIRECT("'"&amp;$A7&amp;"'!L22")</f>
        <v>#REF!</v>
      </c>
      <c r="M7" s="163" t="e">
        <f t="shared" ref="M7:M13" ca="1" si="16">INDIRECT("'"&amp;$A7&amp;"'!L23")</f>
        <v>#REF!</v>
      </c>
      <c r="N7" s="163" t="e">
        <f t="shared" ref="N7:N13" ca="1" si="17">INDIRECT("'"&amp;$A7&amp;"'!L24")</f>
        <v>#REF!</v>
      </c>
      <c r="O7" s="163" t="e">
        <f t="shared" ref="O7:O13" ca="1" si="18">INDIRECT("'"&amp;$A7&amp;"'!L25")</f>
        <v>#REF!</v>
      </c>
      <c r="P7" s="163" t="e">
        <f t="shared" ref="P7:P13" ca="1" si="19">INDIRECT("'"&amp;$A7&amp;"'!L26")</f>
        <v>#REF!</v>
      </c>
      <c r="Q7" s="163" t="e">
        <f t="shared" ref="Q7:Q13" ca="1" si="20">INDIRECT("'"&amp;$A7&amp;"'!L27")</f>
        <v>#REF!</v>
      </c>
      <c r="R7" s="163" t="e">
        <f t="shared" ref="R7:R13" ca="1" si="21">INDIRECT("'"&amp;$A7&amp;"'!L28")</f>
        <v>#REF!</v>
      </c>
      <c r="S7" s="163" t="e">
        <f t="shared" ref="S7:S13" ca="1" si="22">INDIRECT("'"&amp;$A7&amp;"'!L29")</f>
        <v>#REF!</v>
      </c>
      <c r="T7" s="163" t="e">
        <f t="shared" ref="T7:T13" ca="1" si="23">INDIRECT("'"&amp;$A7&amp;"'!L30")</f>
        <v>#REF!</v>
      </c>
      <c r="U7" s="163" t="e">
        <f t="shared" ref="U7:U13" ca="1" si="24">INDIRECT("'"&amp;$A7&amp;"'!L31")</f>
        <v>#REF!</v>
      </c>
      <c r="V7" s="163"/>
      <c r="W7" s="163"/>
      <c r="X7" s="163"/>
      <c r="Y7" s="163" t="e">
        <f ca="1">INDIRECT("'"&amp;$A7&amp;"'!L34")</f>
        <v>#REF!</v>
      </c>
      <c r="Z7" s="189" t="e">
        <f t="shared" ref="Z7:Z13" ca="1" si="25">INDIRECT("'"&amp;$A7&amp;"'!L36")</f>
        <v>#REF!</v>
      </c>
      <c r="AA7" s="189"/>
      <c r="AB7" s="164" t="e">
        <f t="shared" ref="AB7:AB13" ca="1" si="26">INDIRECT("'"&amp;$A7&amp;"'!F36")</f>
        <v>#REF!</v>
      </c>
      <c r="AC7" s="164" t="e">
        <f t="shared" ref="AC7:AC13" ca="1" si="27">INDIRECT("'"&amp;$A7&amp;"'!H36")</f>
        <v>#REF!</v>
      </c>
      <c r="AD7" s="164" t="e">
        <f t="shared" ref="AD7:AD13" ca="1" si="28">INDIRECT("'"&amp;$A7&amp;"'!I36")</f>
        <v>#REF!</v>
      </c>
      <c r="AE7" s="163" t="e">
        <f t="shared" ref="AE7:AE13" ca="1" si="29">INDIRECT("'"&amp;$A7&amp;"'!J36")</f>
        <v>#REF!</v>
      </c>
      <c r="AF7" s="164" t="e">
        <f t="shared" ref="AF7:AF13" ca="1" si="30">INDIRECT("'"&amp;$A7&amp;"'!K36")</f>
        <v>#REF!</v>
      </c>
    </row>
    <row r="8" spans="1:32" ht="15" customHeight="1" x14ac:dyDescent="0.2">
      <c r="A8" s="141"/>
      <c r="B8" s="141" t="e">
        <f t="shared" ca="1" si="5"/>
        <v>#REF!</v>
      </c>
      <c r="C8" s="148" t="e">
        <f t="shared" ca="1" si="6"/>
        <v>#REF!</v>
      </c>
      <c r="D8" s="148" t="e">
        <f t="shared" ca="1" si="7"/>
        <v>#REF!</v>
      </c>
      <c r="E8" s="148" t="e">
        <f t="shared" ca="1" si="8"/>
        <v>#REF!</v>
      </c>
      <c r="F8" s="148" t="e">
        <f t="shared" ca="1" si="9"/>
        <v>#REF!</v>
      </c>
      <c r="G8" s="148" t="e">
        <f t="shared" ca="1" si="10"/>
        <v>#REF!</v>
      </c>
      <c r="H8" s="148" t="e">
        <f t="shared" ca="1" si="11"/>
        <v>#REF!</v>
      </c>
      <c r="I8" s="148" t="e">
        <f t="shared" ca="1" si="12"/>
        <v>#REF!</v>
      </c>
      <c r="J8" s="148" t="e">
        <f t="shared" ca="1" si="13"/>
        <v>#REF!</v>
      </c>
      <c r="K8" s="148" t="e">
        <f t="shared" ca="1" si="14"/>
        <v>#REF!</v>
      </c>
      <c r="L8" s="148" t="e">
        <f t="shared" ca="1" si="15"/>
        <v>#REF!</v>
      </c>
      <c r="M8" s="148" t="e">
        <f t="shared" ca="1" si="16"/>
        <v>#REF!</v>
      </c>
      <c r="N8" s="148" t="e">
        <f t="shared" ca="1" si="17"/>
        <v>#REF!</v>
      </c>
      <c r="O8" s="148" t="e">
        <f t="shared" ca="1" si="18"/>
        <v>#REF!</v>
      </c>
      <c r="P8" s="148" t="e">
        <f t="shared" ca="1" si="19"/>
        <v>#REF!</v>
      </c>
      <c r="Q8" s="148" t="e">
        <f t="shared" ca="1" si="20"/>
        <v>#REF!</v>
      </c>
      <c r="R8" s="148" t="e">
        <f t="shared" ca="1" si="21"/>
        <v>#REF!</v>
      </c>
      <c r="S8" s="148" t="e">
        <f t="shared" ca="1" si="22"/>
        <v>#REF!</v>
      </c>
      <c r="T8" s="148" t="e">
        <f t="shared" ca="1" si="23"/>
        <v>#REF!</v>
      </c>
      <c r="U8" s="148" t="e">
        <f t="shared" ca="1" si="24"/>
        <v>#REF!</v>
      </c>
      <c r="V8" s="148"/>
      <c r="W8" s="148"/>
      <c r="X8" s="148"/>
      <c r="Y8" s="148" t="e">
        <f t="shared" ref="Y8:Y13" ca="1" si="31">INDIRECT("'"&amp;$A8&amp;"'!L29")</f>
        <v>#REF!</v>
      </c>
      <c r="Z8" s="190" t="e">
        <f t="shared" ca="1" si="25"/>
        <v>#REF!</v>
      </c>
      <c r="AA8" s="167" t="e">
        <f t="shared" ref="AA8:AA13" ca="1" si="32">SUM(C22:Y22)/COUNT(C8:Y8)</f>
        <v>#REF!</v>
      </c>
      <c r="AB8" s="168" t="e">
        <f t="shared" ca="1" si="26"/>
        <v>#REF!</v>
      </c>
      <c r="AC8" s="168" t="e">
        <f t="shared" ca="1" si="27"/>
        <v>#REF!</v>
      </c>
      <c r="AD8" s="168" t="e">
        <f t="shared" ca="1" si="28"/>
        <v>#REF!</v>
      </c>
      <c r="AE8" s="169" t="e">
        <f t="shared" ca="1" si="29"/>
        <v>#REF!</v>
      </c>
      <c r="AF8" s="168" t="e">
        <f t="shared" ca="1" si="30"/>
        <v>#REF!</v>
      </c>
    </row>
    <row r="9" spans="1:32" ht="15" customHeight="1" x14ac:dyDescent="0.2">
      <c r="A9" s="141"/>
      <c r="B9" s="141" t="e">
        <f t="shared" ca="1" si="5"/>
        <v>#REF!</v>
      </c>
      <c r="C9" s="169" t="e">
        <f t="shared" ca="1" si="6"/>
        <v>#REF!</v>
      </c>
      <c r="D9" s="169" t="e">
        <f t="shared" ca="1" si="7"/>
        <v>#REF!</v>
      </c>
      <c r="E9" s="169" t="e">
        <f t="shared" ca="1" si="8"/>
        <v>#REF!</v>
      </c>
      <c r="F9" s="169" t="e">
        <f t="shared" ca="1" si="9"/>
        <v>#REF!</v>
      </c>
      <c r="G9" s="169" t="e">
        <f t="shared" ca="1" si="10"/>
        <v>#REF!</v>
      </c>
      <c r="H9" s="169" t="e">
        <f t="shared" ca="1" si="11"/>
        <v>#REF!</v>
      </c>
      <c r="I9" s="169" t="e">
        <f t="shared" ca="1" si="12"/>
        <v>#REF!</v>
      </c>
      <c r="J9" s="169" t="e">
        <f t="shared" ca="1" si="13"/>
        <v>#REF!</v>
      </c>
      <c r="K9" s="169" t="e">
        <f t="shared" ca="1" si="14"/>
        <v>#REF!</v>
      </c>
      <c r="L9" s="169" t="e">
        <f t="shared" ca="1" si="15"/>
        <v>#REF!</v>
      </c>
      <c r="M9" s="169" t="e">
        <f t="shared" ca="1" si="16"/>
        <v>#REF!</v>
      </c>
      <c r="N9" s="169" t="e">
        <f t="shared" ca="1" si="17"/>
        <v>#REF!</v>
      </c>
      <c r="O9" s="169" t="e">
        <f t="shared" ca="1" si="18"/>
        <v>#REF!</v>
      </c>
      <c r="P9" s="169" t="e">
        <f t="shared" ca="1" si="19"/>
        <v>#REF!</v>
      </c>
      <c r="Q9" s="169" t="e">
        <f t="shared" ca="1" si="20"/>
        <v>#REF!</v>
      </c>
      <c r="R9" s="169" t="e">
        <f t="shared" ca="1" si="21"/>
        <v>#REF!</v>
      </c>
      <c r="S9" s="169" t="e">
        <f t="shared" ca="1" si="22"/>
        <v>#REF!</v>
      </c>
      <c r="T9" s="169" t="e">
        <f t="shared" ca="1" si="23"/>
        <v>#REF!</v>
      </c>
      <c r="U9" s="169" t="e">
        <f t="shared" ca="1" si="24"/>
        <v>#REF!</v>
      </c>
      <c r="V9" s="169"/>
      <c r="W9" s="169"/>
      <c r="X9" s="169"/>
      <c r="Y9" s="169" t="e">
        <f t="shared" ca="1" si="31"/>
        <v>#REF!</v>
      </c>
      <c r="Z9" s="190" t="e">
        <f t="shared" ca="1" si="25"/>
        <v>#REF!</v>
      </c>
      <c r="AA9" s="170" t="e">
        <f t="shared" ca="1" si="32"/>
        <v>#REF!</v>
      </c>
      <c r="AB9" s="168" t="e">
        <f t="shared" ca="1" si="26"/>
        <v>#REF!</v>
      </c>
      <c r="AC9" s="168" t="e">
        <f t="shared" ca="1" si="27"/>
        <v>#REF!</v>
      </c>
      <c r="AD9" s="168" t="e">
        <f t="shared" ca="1" si="28"/>
        <v>#REF!</v>
      </c>
      <c r="AE9" s="169" t="e">
        <f t="shared" ca="1" si="29"/>
        <v>#REF!</v>
      </c>
      <c r="AF9" s="168" t="e">
        <f t="shared" ca="1" si="30"/>
        <v>#REF!</v>
      </c>
    </row>
    <row r="10" spans="1:32" ht="15" customHeight="1" x14ac:dyDescent="0.2">
      <c r="A10" s="141"/>
      <c r="B10" s="141" t="e">
        <f t="shared" ca="1" si="5"/>
        <v>#REF!</v>
      </c>
      <c r="C10" s="169" t="e">
        <f t="shared" ca="1" si="6"/>
        <v>#REF!</v>
      </c>
      <c r="D10" s="169" t="e">
        <f t="shared" ca="1" si="7"/>
        <v>#REF!</v>
      </c>
      <c r="E10" s="169" t="e">
        <f t="shared" ca="1" si="8"/>
        <v>#REF!</v>
      </c>
      <c r="F10" s="169" t="e">
        <f t="shared" ca="1" si="9"/>
        <v>#REF!</v>
      </c>
      <c r="G10" s="169" t="e">
        <f t="shared" ca="1" si="10"/>
        <v>#REF!</v>
      </c>
      <c r="H10" s="169" t="e">
        <f t="shared" ca="1" si="11"/>
        <v>#REF!</v>
      </c>
      <c r="I10" s="169" t="e">
        <f t="shared" ca="1" si="12"/>
        <v>#REF!</v>
      </c>
      <c r="J10" s="169" t="e">
        <f t="shared" ca="1" si="13"/>
        <v>#REF!</v>
      </c>
      <c r="K10" s="169" t="e">
        <f t="shared" ca="1" si="14"/>
        <v>#REF!</v>
      </c>
      <c r="L10" s="169" t="e">
        <f t="shared" ca="1" si="15"/>
        <v>#REF!</v>
      </c>
      <c r="M10" s="169" t="e">
        <f t="shared" ca="1" si="16"/>
        <v>#REF!</v>
      </c>
      <c r="N10" s="169" t="e">
        <f t="shared" ca="1" si="17"/>
        <v>#REF!</v>
      </c>
      <c r="O10" s="169" t="e">
        <f t="shared" ca="1" si="18"/>
        <v>#REF!</v>
      </c>
      <c r="P10" s="169" t="e">
        <f t="shared" ca="1" si="19"/>
        <v>#REF!</v>
      </c>
      <c r="Q10" s="169" t="e">
        <f t="shared" ca="1" si="20"/>
        <v>#REF!</v>
      </c>
      <c r="R10" s="169" t="e">
        <f t="shared" ca="1" si="21"/>
        <v>#REF!</v>
      </c>
      <c r="S10" s="169" t="e">
        <f t="shared" ca="1" si="22"/>
        <v>#REF!</v>
      </c>
      <c r="T10" s="169" t="e">
        <f t="shared" ca="1" si="23"/>
        <v>#REF!</v>
      </c>
      <c r="U10" s="169" t="e">
        <f t="shared" ca="1" si="24"/>
        <v>#REF!</v>
      </c>
      <c r="V10" s="169"/>
      <c r="W10" s="169"/>
      <c r="X10" s="169"/>
      <c r="Y10" s="169" t="e">
        <f t="shared" ca="1" si="31"/>
        <v>#REF!</v>
      </c>
      <c r="Z10" s="190" t="e">
        <f t="shared" ca="1" si="25"/>
        <v>#REF!</v>
      </c>
      <c r="AA10" s="170" t="e">
        <f t="shared" ca="1" si="32"/>
        <v>#REF!</v>
      </c>
      <c r="AB10" s="168" t="e">
        <f t="shared" ca="1" si="26"/>
        <v>#REF!</v>
      </c>
      <c r="AC10" s="168" t="e">
        <f t="shared" ca="1" si="27"/>
        <v>#REF!</v>
      </c>
      <c r="AD10" s="168" t="e">
        <f t="shared" ca="1" si="28"/>
        <v>#REF!</v>
      </c>
      <c r="AE10" s="169" t="e">
        <f t="shared" ca="1" si="29"/>
        <v>#REF!</v>
      </c>
      <c r="AF10" s="168" t="e">
        <f t="shared" ca="1" si="30"/>
        <v>#REF!</v>
      </c>
    </row>
    <row r="11" spans="1:32" ht="15" customHeight="1" x14ac:dyDescent="0.2">
      <c r="A11" s="141"/>
      <c r="B11" s="141" t="e">
        <f t="shared" ca="1" si="5"/>
        <v>#REF!</v>
      </c>
      <c r="C11" s="169" t="e">
        <f t="shared" ca="1" si="6"/>
        <v>#REF!</v>
      </c>
      <c r="D11" s="169" t="e">
        <f t="shared" ca="1" si="7"/>
        <v>#REF!</v>
      </c>
      <c r="E11" s="169" t="e">
        <f t="shared" ca="1" si="8"/>
        <v>#REF!</v>
      </c>
      <c r="F11" s="169" t="e">
        <f t="shared" ca="1" si="9"/>
        <v>#REF!</v>
      </c>
      <c r="G11" s="169" t="e">
        <f t="shared" ca="1" si="10"/>
        <v>#REF!</v>
      </c>
      <c r="H11" s="169" t="e">
        <f t="shared" ca="1" si="11"/>
        <v>#REF!</v>
      </c>
      <c r="I11" s="169" t="e">
        <f t="shared" ca="1" si="12"/>
        <v>#REF!</v>
      </c>
      <c r="J11" s="169" t="e">
        <f t="shared" ca="1" si="13"/>
        <v>#REF!</v>
      </c>
      <c r="K11" s="169" t="e">
        <f t="shared" ca="1" si="14"/>
        <v>#REF!</v>
      </c>
      <c r="L11" s="169" t="e">
        <f t="shared" ca="1" si="15"/>
        <v>#REF!</v>
      </c>
      <c r="M11" s="169" t="e">
        <f t="shared" ca="1" si="16"/>
        <v>#REF!</v>
      </c>
      <c r="N11" s="169" t="e">
        <f t="shared" ca="1" si="17"/>
        <v>#REF!</v>
      </c>
      <c r="O11" s="169" t="e">
        <f t="shared" ca="1" si="18"/>
        <v>#REF!</v>
      </c>
      <c r="P11" s="169" t="e">
        <f t="shared" ca="1" si="19"/>
        <v>#REF!</v>
      </c>
      <c r="Q11" s="169" t="e">
        <f t="shared" ca="1" si="20"/>
        <v>#REF!</v>
      </c>
      <c r="R11" s="169" t="e">
        <f t="shared" ca="1" si="21"/>
        <v>#REF!</v>
      </c>
      <c r="S11" s="169" t="e">
        <f t="shared" ca="1" si="22"/>
        <v>#REF!</v>
      </c>
      <c r="T11" s="169" t="e">
        <f t="shared" ca="1" si="23"/>
        <v>#REF!</v>
      </c>
      <c r="U11" s="169" t="e">
        <f t="shared" ca="1" si="24"/>
        <v>#REF!</v>
      </c>
      <c r="V11" s="169"/>
      <c r="W11" s="169"/>
      <c r="X11" s="169"/>
      <c r="Y11" s="169" t="e">
        <f t="shared" ca="1" si="31"/>
        <v>#REF!</v>
      </c>
      <c r="Z11" s="190" t="e">
        <f t="shared" ca="1" si="25"/>
        <v>#REF!</v>
      </c>
      <c r="AA11" s="170" t="e">
        <f t="shared" ca="1" si="32"/>
        <v>#REF!</v>
      </c>
      <c r="AB11" s="168" t="e">
        <f t="shared" ca="1" si="26"/>
        <v>#REF!</v>
      </c>
      <c r="AC11" s="168" t="e">
        <f t="shared" ca="1" si="27"/>
        <v>#REF!</v>
      </c>
      <c r="AD11" s="168" t="e">
        <f t="shared" ca="1" si="28"/>
        <v>#REF!</v>
      </c>
      <c r="AE11" s="169" t="e">
        <f t="shared" ca="1" si="29"/>
        <v>#REF!</v>
      </c>
      <c r="AF11" s="168" t="e">
        <f t="shared" ca="1" si="30"/>
        <v>#REF!</v>
      </c>
    </row>
    <row r="12" spans="1:32" ht="15" customHeight="1" thickBot="1" x14ac:dyDescent="0.25">
      <c r="A12" s="141"/>
      <c r="B12" s="142" t="e">
        <f t="shared" ca="1" si="5"/>
        <v>#REF!</v>
      </c>
      <c r="C12" s="171" t="e">
        <f t="shared" ca="1" si="6"/>
        <v>#REF!</v>
      </c>
      <c r="D12" s="171" t="e">
        <f t="shared" ca="1" si="7"/>
        <v>#REF!</v>
      </c>
      <c r="E12" s="171" t="e">
        <f t="shared" ca="1" si="8"/>
        <v>#REF!</v>
      </c>
      <c r="F12" s="171" t="e">
        <f t="shared" ca="1" si="9"/>
        <v>#REF!</v>
      </c>
      <c r="G12" s="171" t="e">
        <f t="shared" ca="1" si="10"/>
        <v>#REF!</v>
      </c>
      <c r="H12" s="171" t="e">
        <f t="shared" ca="1" si="11"/>
        <v>#REF!</v>
      </c>
      <c r="I12" s="171" t="e">
        <f t="shared" ca="1" si="12"/>
        <v>#REF!</v>
      </c>
      <c r="J12" s="171" t="e">
        <f t="shared" ca="1" si="13"/>
        <v>#REF!</v>
      </c>
      <c r="K12" s="171" t="e">
        <f t="shared" ca="1" si="14"/>
        <v>#REF!</v>
      </c>
      <c r="L12" s="171" t="e">
        <f t="shared" ca="1" si="15"/>
        <v>#REF!</v>
      </c>
      <c r="M12" s="171" t="e">
        <f t="shared" ca="1" si="16"/>
        <v>#REF!</v>
      </c>
      <c r="N12" s="171" t="e">
        <f t="shared" ca="1" si="17"/>
        <v>#REF!</v>
      </c>
      <c r="O12" s="171" t="e">
        <f t="shared" ca="1" si="18"/>
        <v>#REF!</v>
      </c>
      <c r="P12" s="171" t="e">
        <f t="shared" ca="1" si="19"/>
        <v>#REF!</v>
      </c>
      <c r="Q12" s="171" t="e">
        <f t="shared" ca="1" si="20"/>
        <v>#REF!</v>
      </c>
      <c r="R12" s="171" t="e">
        <f t="shared" ca="1" si="21"/>
        <v>#REF!</v>
      </c>
      <c r="S12" s="171" t="e">
        <f t="shared" ca="1" si="22"/>
        <v>#REF!</v>
      </c>
      <c r="T12" s="171" t="e">
        <f t="shared" ca="1" si="23"/>
        <v>#REF!</v>
      </c>
      <c r="U12" s="171" t="e">
        <f t="shared" ca="1" si="24"/>
        <v>#REF!</v>
      </c>
      <c r="V12" s="171"/>
      <c r="W12" s="171"/>
      <c r="X12" s="171"/>
      <c r="Y12" s="171" t="e">
        <f t="shared" ca="1" si="31"/>
        <v>#REF!</v>
      </c>
      <c r="Z12" s="191" t="e">
        <f t="shared" ca="1" si="25"/>
        <v>#REF!</v>
      </c>
      <c r="AA12" s="170" t="e">
        <f t="shared" ca="1" si="32"/>
        <v>#REF!</v>
      </c>
      <c r="AB12" s="172" t="e">
        <f t="shared" ca="1" si="26"/>
        <v>#REF!</v>
      </c>
      <c r="AC12" s="172" t="e">
        <f t="shared" ca="1" si="27"/>
        <v>#REF!</v>
      </c>
      <c r="AD12" s="172" t="e">
        <f t="shared" ca="1" si="28"/>
        <v>#REF!</v>
      </c>
      <c r="AE12" s="171" t="e">
        <f t="shared" ca="1" si="29"/>
        <v>#REF!</v>
      </c>
      <c r="AF12" s="172" t="e">
        <f t="shared" ca="1" si="30"/>
        <v>#REF!</v>
      </c>
    </row>
    <row r="13" spans="1:32" ht="13.5" thickBot="1" x14ac:dyDescent="0.25">
      <c r="A13" s="143"/>
      <c r="B13" s="143" t="e">
        <f t="shared" ca="1" si="5"/>
        <v>#REF!</v>
      </c>
      <c r="C13" s="173" t="e">
        <f t="shared" ca="1" si="6"/>
        <v>#REF!</v>
      </c>
      <c r="D13" s="173" t="e">
        <f t="shared" ca="1" si="7"/>
        <v>#REF!</v>
      </c>
      <c r="E13" s="173" t="e">
        <f t="shared" ca="1" si="8"/>
        <v>#REF!</v>
      </c>
      <c r="F13" s="173" t="e">
        <f t="shared" ca="1" si="9"/>
        <v>#REF!</v>
      </c>
      <c r="G13" s="173" t="e">
        <f t="shared" ca="1" si="10"/>
        <v>#REF!</v>
      </c>
      <c r="H13" s="173" t="e">
        <f t="shared" ca="1" si="11"/>
        <v>#REF!</v>
      </c>
      <c r="I13" s="173" t="e">
        <f t="shared" ca="1" si="12"/>
        <v>#REF!</v>
      </c>
      <c r="J13" s="173" t="e">
        <f t="shared" ca="1" si="13"/>
        <v>#REF!</v>
      </c>
      <c r="K13" s="173" t="e">
        <f t="shared" ca="1" si="14"/>
        <v>#REF!</v>
      </c>
      <c r="L13" s="173" t="e">
        <f t="shared" ca="1" si="15"/>
        <v>#REF!</v>
      </c>
      <c r="M13" s="173" t="e">
        <f t="shared" ca="1" si="16"/>
        <v>#REF!</v>
      </c>
      <c r="N13" s="173" t="e">
        <f t="shared" ca="1" si="17"/>
        <v>#REF!</v>
      </c>
      <c r="O13" s="173" t="e">
        <f t="shared" ca="1" si="18"/>
        <v>#REF!</v>
      </c>
      <c r="P13" s="173" t="e">
        <f t="shared" ca="1" si="19"/>
        <v>#REF!</v>
      </c>
      <c r="Q13" s="173" t="e">
        <f t="shared" ca="1" si="20"/>
        <v>#REF!</v>
      </c>
      <c r="R13" s="173" t="e">
        <f t="shared" ca="1" si="21"/>
        <v>#REF!</v>
      </c>
      <c r="S13" s="173" t="e">
        <f t="shared" ca="1" si="22"/>
        <v>#REF!</v>
      </c>
      <c r="T13" s="173" t="e">
        <f t="shared" ca="1" si="23"/>
        <v>#REF!</v>
      </c>
      <c r="U13" s="173" t="e">
        <f t="shared" ca="1" si="24"/>
        <v>#REF!</v>
      </c>
      <c r="V13" s="173"/>
      <c r="W13" s="173"/>
      <c r="X13" s="173"/>
      <c r="Y13" s="173" t="e">
        <f t="shared" ca="1" si="31"/>
        <v>#REF!</v>
      </c>
      <c r="Z13" s="192" t="e">
        <f t="shared" ca="1" si="25"/>
        <v>#REF!</v>
      </c>
      <c r="AA13" s="175" t="e">
        <f t="shared" ca="1" si="32"/>
        <v>#REF!</v>
      </c>
      <c r="AB13" s="174" t="e">
        <f t="shared" ca="1" si="26"/>
        <v>#REF!</v>
      </c>
      <c r="AC13" s="174" t="e">
        <f t="shared" ca="1" si="27"/>
        <v>#REF!</v>
      </c>
      <c r="AD13" s="174" t="e">
        <f t="shared" ca="1" si="28"/>
        <v>#REF!</v>
      </c>
      <c r="AE13" s="173" t="e">
        <f t="shared" ca="1" si="29"/>
        <v>#REF!</v>
      </c>
      <c r="AF13" s="174" t="e">
        <f t="shared" ca="1" si="30"/>
        <v>#REF!</v>
      </c>
    </row>
    <row r="14" spans="1:32" ht="15" customHeight="1" x14ac:dyDescent="0.2">
      <c r="A14" s="144"/>
      <c r="B14" s="144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7"/>
      <c r="AA14" s="193"/>
      <c r="AB14" s="179"/>
      <c r="AC14" s="179"/>
      <c r="AD14" s="179"/>
      <c r="AE14" s="176"/>
      <c r="AF14" s="179"/>
    </row>
    <row r="15" spans="1:32" ht="15" customHeight="1" x14ac:dyDescent="0.2">
      <c r="A15" s="141"/>
      <c r="B15" s="145" t="e">
        <f t="shared" ca="1" si="5"/>
        <v>#REF!</v>
      </c>
      <c r="C15" s="180" t="e">
        <f ca="1">INDIRECT("'"&amp;$A15&amp;"'!L13")</f>
        <v>#REF!</v>
      </c>
      <c r="D15" s="180" t="e">
        <f ca="1">INDIRECT("'"&amp;$A15&amp;"'!L14")</f>
        <v>#REF!</v>
      </c>
      <c r="E15" s="180" t="e">
        <f ca="1">INDIRECT("'"&amp;$A15&amp;"'!L15")</f>
        <v>#REF!</v>
      </c>
      <c r="F15" s="180" t="e">
        <f ca="1">INDIRECT("'"&amp;$A15&amp;"'!L16")</f>
        <v>#REF!</v>
      </c>
      <c r="G15" s="180" t="e">
        <f ca="1">INDIRECT("'"&amp;$A15&amp;"'!L17")</f>
        <v>#REF!</v>
      </c>
      <c r="H15" s="180" t="e">
        <f ca="1">INDIRECT("'"&amp;$A15&amp;"'!L18")</f>
        <v>#REF!</v>
      </c>
      <c r="I15" s="180" t="e">
        <f ca="1">INDIRECT("'"&amp;$A15&amp;"'!L19")</f>
        <v>#REF!</v>
      </c>
      <c r="J15" s="180" t="e">
        <f ca="1">INDIRECT("'"&amp;$A15&amp;"'!L20")</f>
        <v>#REF!</v>
      </c>
      <c r="K15" s="180" t="e">
        <f ca="1">INDIRECT("'"&amp;$A15&amp;"'!L21")</f>
        <v>#REF!</v>
      </c>
      <c r="L15" s="180" t="e">
        <f ca="1">INDIRECT("'"&amp;$A15&amp;"'!L22")</f>
        <v>#REF!</v>
      </c>
      <c r="M15" s="180" t="e">
        <f ca="1">INDIRECT("'"&amp;$A15&amp;"'!L23")</f>
        <v>#REF!</v>
      </c>
      <c r="N15" s="180" t="e">
        <f ca="1">INDIRECT("'"&amp;$A15&amp;"'!L24")</f>
        <v>#REF!</v>
      </c>
      <c r="O15" s="180" t="e">
        <f ca="1">INDIRECT("'"&amp;$A15&amp;"'!L25")</f>
        <v>#REF!</v>
      </c>
      <c r="P15" s="180" t="e">
        <f ca="1">INDIRECT("'"&amp;$A15&amp;"'!L26")</f>
        <v>#REF!</v>
      </c>
      <c r="Q15" s="180" t="e">
        <f ca="1">INDIRECT("'"&amp;$A15&amp;"'!L27")</f>
        <v>#REF!</v>
      </c>
      <c r="R15" s="180" t="e">
        <f ca="1">INDIRECT("'"&amp;$A15&amp;"'!L28")</f>
        <v>#REF!</v>
      </c>
      <c r="S15" s="180" t="e">
        <f ca="1">INDIRECT("'"&amp;$A15&amp;"'!L29")</f>
        <v>#REF!</v>
      </c>
      <c r="T15" s="180" t="e">
        <f ca="1">INDIRECT("'"&amp;$A15&amp;"'!L30")</f>
        <v>#REF!</v>
      </c>
      <c r="U15" s="180" t="e">
        <f ca="1">INDIRECT("'"&amp;$A15&amp;"'!L31")</f>
        <v>#REF!</v>
      </c>
      <c r="V15" s="180"/>
      <c r="W15" s="180"/>
      <c r="X15" s="180"/>
      <c r="Y15" s="180" t="e">
        <f ca="1">INDIRECT("'"&amp;$A15&amp;"'!L29")</f>
        <v>#REF!</v>
      </c>
      <c r="Z15" s="194" t="e">
        <f ca="1">INDIRECT("'"&amp;$A15&amp;"'!L36")</f>
        <v>#REF!</v>
      </c>
      <c r="AA15" s="182" t="e">
        <f ca="1">SUM(C29:Y29)/COUNT(C15:Y15)</f>
        <v>#REF!</v>
      </c>
      <c r="AB15" s="183" t="e">
        <f ca="1">INDIRECT("'"&amp;$A15&amp;"'!F36")</f>
        <v>#REF!</v>
      </c>
      <c r="AC15" s="183" t="e">
        <f ca="1">INDIRECT("'"&amp;$A15&amp;"'!H36")</f>
        <v>#REF!</v>
      </c>
      <c r="AD15" s="183" t="e">
        <f ca="1">INDIRECT("'"&amp;$A15&amp;"'!I36")</f>
        <v>#REF!</v>
      </c>
      <c r="AE15" s="180" t="e">
        <f ca="1">INDIRECT("'"&amp;$A15&amp;"'!J36")</f>
        <v>#REF!</v>
      </c>
      <c r="AF15" s="183" t="e">
        <f ca="1">INDIRECT("'"&amp;$A15&amp;"'!K36")</f>
        <v>#REF!</v>
      </c>
    </row>
    <row r="16" spans="1:32" ht="15" customHeight="1" x14ac:dyDescent="0.2">
      <c r="A16" s="141"/>
      <c r="B16" s="144" t="e">
        <f t="shared" ca="1" si="5"/>
        <v>#REF!</v>
      </c>
      <c r="C16" s="176" t="e">
        <f ca="1">INDIRECT("'"&amp;$A16&amp;"'!L13")</f>
        <v>#REF!</v>
      </c>
      <c r="D16" s="176" t="e">
        <f ca="1">INDIRECT("'"&amp;$A16&amp;"'!L14")</f>
        <v>#REF!</v>
      </c>
      <c r="E16" s="176" t="e">
        <f ca="1">INDIRECT("'"&amp;$A16&amp;"'!L15")</f>
        <v>#REF!</v>
      </c>
      <c r="F16" s="176" t="e">
        <f ca="1">INDIRECT("'"&amp;$A16&amp;"'!L16")</f>
        <v>#REF!</v>
      </c>
      <c r="G16" s="176" t="e">
        <f ca="1">INDIRECT("'"&amp;$A16&amp;"'!L17")</f>
        <v>#REF!</v>
      </c>
      <c r="H16" s="176" t="e">
        <f ca="1">INDIRECT("'"&amp;$A16&amp;"'!L18")</f>
        <v>#REF!</v>
      </c>
      <c r="I16" s="176" t="e">
        <f ca="1">INDIRECT("'"&amp;$A16&amp;"'!L19")</f>
        <v>#REF!</v>
      </c>
      <c r="J16" s="176" t="e">
        <f ca="1">INDIRECT("'"&amp;$A16&amp;"'!L20")</f>
        <v>#REF!</v>
      </c>
      <c r="K16" s="176" t="e">
        <f ca="1">INDIRECT("'"&amp;$A16&amp;"'!L21")</f>
        <v>#REF!</v>
      </c>
      <c r="L16" s="176" t="e">
        <f ca="1">INDIRECT("'"&amp;$A16&amp;"'!L22")</f>
        <v>#REF!</v>
      </c>
      <c r="M16" s="176" t="e">
        <f ca="1">INDIRECT("'"&amp;$A16&amp;"'!L23")</f>
        <v>#REF!</v>
      </c>
      <c r="N16" s="176" t="e">
        <f ca="1">INDIRECT("'"&amp;$A16&amp;"'!L24")</f>
        <v>#REF!</v>
      </c>
      <c r="O16" s="176" t="e">
        <f ca="1">INDIRECT("'"&amp;$A16&amp;"'!L25")</f>
        <v>#REF!</v>
      </c>
      <c r="P16" s="176" t="e">
        <f ca="1">INDIRECT("'"&amp;$A16&amp;"'!L26")</f>
        <v>#REF!</v>
      </c>
      <c r="Q16" s="176" t="e">
        <f ca="1">INDIRECT("'"&amp;$A16&amp;"'!L27")</f>
        <v>#REF!</v>
      </c>
      <c r="R16" s="176" t="e">
        <f ca="1">INDIRECT("'"&amp;$A16&amp;"'!L28")</f>
        <v>#REF!</v>
      </c>
      <c r="S16" s="176" t="e">
        <f ca="1">INDIRECT("'"&amp;$A16&amp;"'!L29")</f>
        <v>#REF!</v>
      </c>
      <c r="T16" s="176" t="e">
        <f ca="1">INDIRECT("'"&amp;$A16&amp;"'!L30")</f>
        <v>#REF!</v>
      </c>
      <c r="U16" s="176" t="e">
        <f ca="1">INDIRECT("'"&amp;$A16&amp;"'!L31")</f>
        <v>#REF!</v>
      </c>
      <c r="V16" s="176"/>
      <c r="W16" s="176"/>
      <c r="X16" s="176"/>
      <c r="Y16" s="176" t="e">
        <f ca="1">INDIRECT("'"&amp;$A16&amp;"'!L29")</f>
        <v>#REF!</v>
      </c>
      <c r="Z16" s="195" t="e">
        <f ca="1">INDIRECT("'"&amp;$A16&amp;"'!L36")</f>
        <v>#REF!</v>
      </c>
      <c r="AA16" s="182" t="e">
        <f ca="1">SUM(C30:Y30)/COUNT(C16:Y16)</f>
        <v>#REF!</v>
      </c>
      <c r="AB16" s="179" t="e">
        <f ca="1">INDIRECT("'"&amp;$A16&amp;"'!F36")</f>
        <v>#REF!</v>
      </c>
      <c r="AC16" s="179" t="e">
        <f ca="1">INDIRECT("'"&amp;$A16&amp;"'!H36")</f>
        <v>#REF!</v>
      </c>
      <c r="AD16" s="179" t="e">
        <f ca="1">INDIRECT("'"&amp;$A16&amp;"'!I36")</f>
        <v>#REF!</v>
      </c>
      <c r="AE16" s="176" t="e">
        <f ca="1">INDIRECT("'"&amp;$A16&amp;"'!J36")</f>
        <v>#REF!</v>
      </c>
      <c r="AF16" s="179" t="e">
        <f ca="1">INDIRECT("'"&amp;$A16&amp;"'!K36")</f>
        <v>#REF!</v>
      </c>
    </row>
    <row r="17" spans="1:32" ht="15" customHeight="1" x14ac:dyDescent="0.2">
      <c r="A17" s="467"/>
      <c r="B17" s="467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AF17" s="134"/>
    </row>
    <row r="18" spans="1:32" ht="15" customHeight="1" x14ac:dyDescent="0.2">
      <c r="A18" s="467"/>
      <c r="B18" s="467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U27" ca="1" si="33">IF(ABS(D$3/3-D8)&lt;=0.75,1,0)</f>
        <v>#REF!</v>
      </c>
      <c r="E22" s="86" t="e">
        <f t="shared" ca="1" si="33"/>
        <v>#REF!</v>
      </c>
      <c r="F22" s="86" t="e">
        <f t="shared" ca="1" si="33"/>
        <v>#REF!</v>
      </c>
      <c r="G22" s="86" t="e">
        <f t="shared" ca="1" si="33"/>
        <v>#REF!</v>
      </c>
      <c r="H22" s="86" t="e">
        <f t="shared" ca="1" si="33"/>
        <v>#REF!</v>
      </c>
      <c r="I22" s="86" t="e">
        <f t="shared" ca="1" si="33"/>
        <v>#REF!</v>
      </c>
      <c r="J22" s="86" t="e">
        <f t="shared" ca="1" si="33"/>
        <v>#REF!</v>
      </c>
      <c r="K22" s="86" t="e">
        <f t="shared" ca="1" si="33"/>
        <v>#REF!</v>
      </c>
      <c r="L22" s="86" t="e">
        <f t="shared" ca="1" si="33"/>
        <v>#REF!</v>
      </c>
      <c r="M22" s="86" t="e">
        <f t="shared" ca="1" si="33"/>
        <v>#REF!</v>
      </c>
      <c r="N22" s="86" t="e">
        <f t="shared" ca="1" si="33"/>
        <v>#REF!</v>
      </c>
      <c r="O22" s="86" t="e">
        <f t="shared" ca="1" si="33"/>
        <v>#REF!</v>
      </c>
      <c r="P22" s="86" t="e">
        <f t="shared" ca="1" si="33"/>
        <v>#REF!</v>
      </c>
      <c r="Q22" s="86" t="e">
        <f t="shared" ca="1" si="33"/>
        <v>#REF!</v>
      </c>
      <c r="R22" s="86" t="e">
        <f t="shared" ca="1" si="33"/>
        <v>#REF!</v>
      </c>
      <c r="S22" s="86" t="e">
        <f t="shared" ca="1" si="33"/>
        <v>#REF!</v>
      </c>
      <c r="T22" s="86" t="e">
        <f t="shared" ca="1" si="33"/>
        <v>#REF!</v>
      </c>
      <c r="U22" s="86" t="e">
        <f t="shared" ca="1" si="33"/>
        <v>#REF!</v>
      </c>
      <c r="V22" s="86"/>
      <c r="W22" s="86"/>
      <c r="Y22" s="86" t="e">
        <f t="shared" ref="Y22:Y27" ca="1" si="34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5">IF(ABS(C$3/3-C9)&lt;=0.75,1,0)</f>
        <v>#REF!</v>
      </c>
      <c r="D23" s="86" t="e">
        <f t="shared" ca="1" si="35"/>
        <v>#REF!</v>
      </c>
      <c r="E23" s="86" t="e">
        <f t="shared" ca="1" si="35"/>
        <v>#REF!</v>
      </c>
      <c r="F23" s="86" t="e">
        <f t="shared" ca="1" si="35"/>
        <v>#REF!</v>
      </c>
      <c r="G23" s="86" t="e">
        <f t="shared" ca="1" si="35"/>
        <v>#REF!</v>
      </c>
      <c r="H23" s="86" t="e">
        <f t="shared" ca="1" si="35"/>
        <v>#REF!</v>
      </c>
      <c r="I23" s="86" t="e">
        <f t="shared" ca="1" si="35"/>
        <v>#REF!</v>
      </c>
      <c r="J23" s="86" t="e">
        <f t="shared" ca="1" si="35"/>
        <v>#REF!</v>
      </c>
      <c r="K23" s="86" t="e">
        <f t="shared" ca="1" si="35"/>
        <v>#REF!</v>
      </c>
      <c r="L23" s="86" t="e">
        <f t="shared" ca="1" si="35"/>
        <v>#REF!</v>
      </c>
      <c r="M23" s="86" t="e">
        <f t="shared" ca="1" si="35"/>
        <v>#REF!</v>
      </c>
      <c r="N23" s="86" t="e">
        <f t="shared" ca="1" si="35"/>
        <v>#REF!</v>
      </c>
      <c r="O23" s="86" t="e">
        <f t="shared" ca="1" si="35"/>
        <v>#REF!</v>
      </c>
      <c r="P23" s="86" t="e">
        <f t="shared" ca="1" si="35"/>
        <v>#REF!</v>
      </c>
      <c r="Q23" s="86" t="e">
        <f t="shared" ca="1" si="35"/>
        <v>#REF!</v>
      </c>
      <c r="R23" s="86" t="e">
        <f t="shared" ca="1" si="35"/>
        <v>#REF!</v>
      </c>
      <c r="S23" s="86" t="e">
        <f t="shared" ca="1" si="33"/>
        <v>#REF!</v>
      </c>
      <c r="T23" s="86" t="e">
        <f t="shared" ca="1" si="33"/>
        <v>#REF!</v>
      </c>
      <c r="U23" s="86" t="e">
        <f t="shared" ca="1" si="33"/>
        <v>#REF!</v>
      </c>
      <c r="V23" s="86"/>
      <c r="W23" s="86"/>
      <c r="Y23" s="86" t="e">
        <f t="shared" ca="1" si="34"/>
        <v>#REF!</v>
      </c>
    </row>
    <row r="24" spans="1:32" hidden="1" x14ac:dyDescent="0.2">
      <c r="A24" s="86">
        <f>A10</f>
        <v>0</v>
      </c>
      <c r="B24" s="86" t="e">
        <f t="shared" ref="B24:B30" ca="1" si="36">B10</f>
        <v>#REF!</v>
      </c>
      <c r="C24" s="86" t="e">
        <f t="shared" ca="1" si="35"/>
        <v>#REF!</v>
      </c>
      <c r="D24" s="86" t="e">
        <f t="shared" ca="1" si="35"/>
        <v>#REF!</v>
      </c>
      <c r="E24" s="86" t="e">
        <f t="shared" ca="1" si="35"/>
        <v>#REF!</v>
      </c>
      <c r="F24" s="86" t="e">
        <f t="shared" ca="1" si="35"/>
        <v>#REF!</v>
      </c>
      <c r="G24" s="86" t="e">
        <f t="shared" ca="1" si="35"/>
        <v>#REF!</v>
      </c>
      <c r="H24" s="86" t="e">
        <f t="shared" ca="1" si="35"/>
        <v>#REF!</v>
      </c>
      <c r="I24" s="86" t="e">
        <f t="shared" ca="1" si="35"/>
        <v>#REF!</v>
      </c>
      <c r="J24" s="86" t="e">
        <f t="shared" ca="1" si="35"/>
        <v>#REF!</v>
      </c>
      <c r="K24" s="86" t="e">
        <f t="shared" ca="1" si="35"/>
        <v>#REF!</v>
      </c>
      <c r="L24" s="86" t="e">
        <f t="shared" ca="1" si="35"/>
        <v>#REF!</v>
      </c>
      <c r="M24" s="86" t="e">
        <f t="shared" ca="1" si="35"/>
        <v>#REF!</v>
      </c>
      <c r="N24" s="86" t="e">
        <f t="shared" ca="1" si="35"/>
        <v>#REF!</v>
      </c>
      <c r="O24" s="86" t="e">
        <f t="shared" ca="1" si="35"/>
        <v>#REF!</v>
      </c>
      <c r="P24" s="86" t="e">
        <f t="shared" ca="1" si="35"/>
        <v>#REF!</v>
      </c>
      <c r="Q24" s="86" t="e">
        <f t="shared" ca="1" si="35"/>
        <v>#REF!</v>
      </c>
      <c r="R24" s="86" t="e">
        <f t="shared" ca="1" si="35"/>
        <v>#REF!</v>
      </c>
      <c r="S24" s="86" t="e">
        <f t="shared" ca="1" si="33"/>
        <v>#REF!</v>
      </c>
      <c r="T24" s="86" t="e">
        <f t="shared" ca="1" si="33"/>
        <v>#REF!</v>
      </c>
      <c r="U24" s="86" t="e">
        <f t="shared" ca="1" si="33"/>
        <v>#REF!</v>
      </c>
      <c r="V24" s="86"/>
      <c r="W24" s="86"/>
      <c r="Y24" s="86" t="e">
        <f t="shared" ca="1" si="34"/>
        <v>#REF!</v>
      </c>
    </row>
    <row r="25" spans="1:32" hidden="1" x14ac:dyDescent="0.2">
      <c r="A25" s="86">
        <f>A11</f>
        <v>0</v>
      </c>
      <c r="B25" s="86" t="e">
        <f t="shared" ca="1" si="36"/>
        <v>#REF!</v>
      </c>
      <c r="C25" s="86" t="e">
        <f t="shared" ca="1" si="35"/>
        <v>#REF!</v>
      </c>
      <c r="D25" s="86" t="e">
        <f t="shared" ca="1" si="35"/>
        <v>#REF!</v>
      </c>
      <c r="E25" s="86" t="e">
        <f t="shared" ca="1" si="35"/>
        <v>#REF!</v>
      </c>
      <c r="F25" s="86" t="e">
        <f t="shared" ca="1" si="35"/>
        <v>#REF!</v>
      </c>
      <c r="G25" s="86" t="e">
        <f t="shared" ca="1" si="35"/>
        <v>#REF!</v>
      </c>
      <c r="H25" s="86" t="e">
        <f t="shared" ca="1" si="35"/>
        <v>#REF!</v>
      </c>
      <c r="I25" s="86" t="e">
        <f t="shared" ca="1" si="35"/>
        <v>#REF!</v>
      </c>
      <c r="J25" s="86" t="e">
        <f t="shared" ca="1" si="35"/>
        <v>#REF!</v>
      </c>
      <c r="K25" s="86" t="e">
        <f t="shared" ca="1" si="35"/>
        <v>#REF!</v>
      </c>
      <c r="L25" s="86" t="e">
        <f t="shared" ca="1" si="35"/>
        <v>#REF!</v>
      </c>
      <c r="M25" s="86" t="e">
        <f t="shared" ca="1" si="35"/>
        <v>#REF!</v>
      </c>
      <c r="N25" s="86" t="e">
        <f t="shared" ca="1" si="35"/>
        <v>#REF!</v>
      </c>
      <c r="O25" s="86" t="e">
        <f t="shared" ca="1" si="35"/>
        <v>#REF!</v>
      </c>
      <c r="P25" s="86" t="e">
        <f t="shared" ca="1" si="35"/>
        <v>#REF!</v>
      </c>
      <c r="Q25" s="86" t="e">
        <f t="shared" ca="1" si="35"/>
        <v>#REF!</v>
      </c>
      <c r="R25" s="86" t="e">
        <f t="shared" ca="1" si="35"/>
        <v>#REF!</v>
      </c>
      <c r="S25" s="86" t="e">
        <f t="shared" ca="1" si="33"/>
        <v>#REF!</v>
      </c>
      <c r="T25" s="86" t="e">
        <f t="shared" ca="1" si="33"/>
        <v>#REF!</v>
      </c>
      <c r="U25" s="86" t="e">
        <f t="shared" ca="1" si="33"/>
        <v>#REF!</v>
      </c>
      <c r="V25" s="86"/>
      <c r="W25" s="86"/>
      <c r="Y25" s="86" t="e">
        <f t="shared" ca="1" si="34"/>
        <v>#REF!</v>
      </c>
    </row>
    <row r="26" spans="1:32" hidden="1" x14ac:dyDescent="0.2">
      <c r="A26" s="86">
        <f>A12</f>
        <v>0</v>
      </c>
      <c r="B26" s="86" t="e">
        <f t="shared" ca="1" si="36"/>
        <v>#REF!</v>
      </c>
      <c r="C26" s="86" t="e">
        <f t="shared" ca="1" si="35"/>
        <v>#REF!</v>
      </c>
      <c r="D26" s="86" t="e">
        <f t="shared" ca="1" si="35"/>
        <v>#REF!</v>
      </c>
      <c r="E26" s="86" t="e">
        <f t="shared" ca="1" si="35"/>
        <v>#REF!</v>
      </c>
      <c r="F26" s="86" t="e">
        <f t="shared" ca="1" si="35"/>
        <v>#REF!</v>
      </c>
      <c r="G26" s="86" t="e">
        <f t="shared" ca="1" si="35"/>
        <v>#REF!</v>
      </c>
      <c r="H26" s="86" t="e">
        <f t="shared" ca="1" si="35"/>
        <v>#REF!</v>
      </c>
      <c r="I26" s="86" t="e">
        <f t="shared" ca="1" si="35"/>
        <v>#REF!</v>
      </c>
      <c r="J26" s="86" t="e">
        <f t="shared" ca="1" si="35"/>
        <v>#REF!</v>
      </c>
      <c r="K26" s="86" t="e">
        <f t="shared" ca="1" si="35"/>
        <v>#REF!</v>
      </c>
      <c r="L26" s="86" t="e">
        <f t="shared" ca="1" si="35"/>
        <v>#REF!</v>
      </c>
      <c r="M26" s="86" t="e">
        <f t="shared" ca="1" si="35"/>
        <v>#REF!</v>
      </c>
      <c r="N26" s="86" t="e">
        <f t="shared" ca="1" si="35"/>
        <v>#REF!</v>
      </c>
      <c r="O26" s="86" t="e">
        <f t="shared" ca="1" si="35"/>
        <v>#REF!</v>
      </c>
      <c r="P26" s="86" t="e">
        <f t="shared" ca="1" si="35"/>
        <v>#REF!</v>
      </c>
      <c r="Q26" s="86" t="e">
        <f t="shared" ca="1" si="35"/>
        <v>#REF!</v>
      </c>
      <c r="R26" s="86" t="e">
        <f t="shared" ca="1" si="35"/>
        <v>#REF!</v>
      </c>
      <c r="S26" s="86" t="e">
        <f t="shared" ca="1" si="33"/>
        <v>#REF!</v>
      </c>
      <c r="T26" s="86" t="e">
        <f t="shared" ca="1" si="33"/>
        <v>#REF!</v>
      </c>
      <c r="U26" s="86" t="e">
        <f t="shared" ca="1" si="33"/>
        <v>#REF!</v>
      </c>
      <c r="V26" s="86"/>
      <c r="W26" s="86"/>
      <c r="Y26" s="86" t="e">
        <f t="shared" ca="1" si="34"/>
        <v>#REF!</v>
      </c>
    </row>
    <row r="27" spans="1:32" hidden="1" x14ac:dyDescent="0.2">
      <c r="A27" s="86">
        <f>A13</f>
        <v>0</v>
      </c>
      <c r="B27" s="86" t="e">
        <f t="shared" ca="1" si="36"/>
        <v>#REF!</v>
      </c>
      <c r="C27" s="86" t="e">
        <f t="shared" ca="1" si="35"/>
        <v>#REF!</v>
      </c>
      <c r="D27" s="86" t="e">
        <f t="shared" ca="1" si="35"/>
        <v>#REF!</v>
      </c>
      <c r="E27" s="86" t="e">
        <f t="shared" ca="1" si="35"/>
        <v>#REF!</v>
      </c>
      <c r="F27" s="86" t="e">
        <f t="shared" ca="1" si="35"/>
        <v>#REF!</v>
      </c>
      <c r="G27" s="86" t="e">
        <f t="shared" ca="1" si="35"/>
        <v>#REF!</v>
      </c>
      <c r="H27" s="86" t="e">
        <f t="shared" ca="1" si="35"/>
        <v>#REF!</v>
      </c>
      <c r="I27" s="86" t="e">
        <f t="shared" ca="1" si="35"/>
        <v>#REF!</v>
      </c>
      <c r="J27" s="86" t="e">
        <f t="shared" ca="1" si="35"/>
        <v>#REF!</v>
      </c>
      <c r="K27" s="86" t="e">
        <f t="shared" ca="1" si="35"/>
        <v>#REF!</v>
      </c>
      <c r="L27" s="86" t="e">
        <f t="shared" ca="1" si="35"/>
        <v>#REF!</v>
      </c>
      <c r="M27" s="86" t="e">
        <f t="shared" ca="1" si="35"/>
        <v>#REF!</v>
      </c>
      <c r="N27" s="86" t="e">
        <f t="shared" ca="1" si="35"/>
        <v>#REF!</v>
      </c>
      <c r="O27" s="86" t="e">
        <f t="shared" ca="1" si="35"/>
        <v>#REF!</v>
      </c>
      <c r="P27" s="86" t="e">
        <f t="shared" ca="1" si="35"/>
        <v>#REF!</v>
      </c>
      <c r="Q27" s="86" t="e">
        <f t="shared" ca="1" si="35"/>
        <v>#REF!</v>
      </c>
      <c r="R27" s="86" t="e">
        <f t="shared" ca="1" si="35"/>
        <v>#REF!</v>
      </c>
      <c r="S27" s="86" t="e">
        <f t="shared" ca="1" si="33"/>
        <v>#REF!</v>
      </c>
      <c r="T27" s="86" t="e">
        <f t="shared" ca="1" si="33"/>
        <v>#REF!</v>
      </c>
      <c r="U27" s="86" t="e">
        <f t="shared" ca="1" si="33"/>
        <v>#REF!</v>
      </c>
      <c r="V27" s="86"/>
      <c r="W27" s="86"/>
      <c r="Y27" s="86" t="e">
        <f t="shared" ca="1" si="34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36"/>
        <v>#REF!</v>
      </c>
      <c r="C29" s="86" t="e">
        <f t="shared" ca="1" si="35"/>
        <v>#REF!</v>
      </c>
      <c r="D29" s="86" t="e">
        <f t="shared" ca="1" si="35"/>
        <v>#REF!</v>
      </c>
      <c r="E29" s="86" t="e">
        <f t="shared" ca="1" si="35"/>
        <v>#REF!</v>
      </c>
      <c r="F29" s="86" t="e">
        <f t="shared" ca="1" si="35"/>
        <v>#REF!</v>
      </c>
      <c r="G29" s="86" t="e">
        <f t="shared" ca="1" si="35"/>
        <v>#REF!</v>
      </c>
      <c r="H29" s="86" t="e">
        <f t="shared" ca="1" si="35"/>
        <v>#REF!</v>
      </c>
      <c r="I29" s="86" t="e">
        <f t="shared" ca="1" si="35"/>
        <v>#REF!</v>
      </c>
      <c r="J29" s="86" t="e">
        <f t="shared" ca="1" si="35"/>
        <v>#REF!</v>
      </c>
      <c r="K29" s="86" t="e">
        <f t="shared" ca="1" si="35"/>
        <v>#REF!</v>
      </c>
      <c r="L29" s="86" t="e">
        <f t="shared" ca="1" si="35"/>
        <v>#REF!</v>
      </c>
      <c r="M29" s="86" t="e">
        <f t="shared" ca="1" si="35"/>
        <v>#REF!</v>
      </c>
      <c r="N29" s="86" t="e">
        <f t="shared" ca="1" si="35"/>
        <v>#REF!</v>
      </c>
      <c r="O29" s="86" t="e">
        <f t="shared" ca="1" si="35"/>
        <v>#REF!</v>
      </c>
      <c r="P29" s="86" t="e">
        <f t="shared" ca="1" si="35"/>
        <v>#REF!</v>
      </c>
      <c r="Q29" s="86" t="e">
        <f t="shared" ca="1" si="35"/>
        <v>#REF!</v>
      </c>
      <c r="R29" s="86" t="e">
        <f t="shared" ca="1" si="35"/>
        <v>#REF!</v>
      </c>
      <c r="S29" s="86" t="e">
        <f t="shared" ref="S29:U30" ca="1" si="37">IF(ABS(S$3/3-S15)&lt;=0.75,1,0)</f>
        <v>#REF!</v>
      </c>
      <c r="T29" s="86" t="e">
        <f t="shared" ca="1" si="37"/>
        <v>#REF!</v>
      </c>
      <c r="U29" s="86" t="e">
        <f t="shared" ca="1" si="37"/>
        <v>#REF!</v>
      </c>
      <c r="V29" s="86"/>
      <c r="W29" s="86"/>
      <c r="Y29" s="86" t="e">
        <f t="shared" ref="Y29:Y30" ca="1" si="38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36"/>
        <v>#REF!</v>
      </c>
      <c r="C30" s="86" t="e">
        <f t="shared" ca="1" si="35"/>
        <v>#REF!</v>
      </c>
      <c r="D30" s="86" t="e">
        <f t="shared" ca="1" si="35"/>
        <v>#REF!</v>
      </c>
      <c r="E30" s="86" t="e">
        <f t="shared" ca="1" si="35"/>
        <v>#REF!</v>
      </c>
      <c r="F30" s="86" t="e">
        <f t="shared" ca="1" si="35"/>
        <v>#REF!</v>
      </c>
      <c r="G30" s="86" t="e">
        <f t="shared" ca="1" si="35"/>
        <v>#REF!</v>
      </c>
      <c r="H30" s="86" t="e">
        <f t="shared" ca="1" si="35"/>
        <v>#REF!</v>
      </c>
      <c r="I30" s="86" t="e">
        <f t="shared" ca="1" si="35"/>
        <v>#REF!</v>
      </c>
      <c r="J30" s="86" t="e">
        <f t="shared" ca="1" si="35"/>
        <v>#REF!</v>
      </c>
      <c r="K30" s="86" t="e">
        <f t="shared" ca="1" si="35"/>
        <v>#REF!</v>
      </c>
      <c r="L30" s="86" t="e">
        <f t="shared" ca="1" si="35"/>
        <v>#REF!</v>
      </c>
      <c r="M30" s="86" t="e">
        <f t="shared" ca="1" si="35"/>
        <v>#REF!</v>
      </c>
      <c r="N30" s="86" t="e">
        <f t="shared" ca="1" si="35"/>
        <v>#REF!</v>
      </c>
      <c r="O30" s="86" t="e">
        <f t="shared" ca="1" si="35"/>
        <v>#REF!</v>
      </c>
      <c r="P30" s="86" t="e">
        <f t="shared" ca="1" si="35"/>
        <v>#REF!</v>
      </c>
      <c r="Q30" s="86" t="e">
        <f t="shared" ca="1" si="35"/>
        <v>#REF!</v>
      </c>
      <c r="R30" s="86" t="e">
        <f t="shared" ca="1" si="35"/>
        <v>#REF!</v>
      </c>
      <c r="S30" s="86" t="e">
        <f t="shared" ca="1" si="37"/>
        <v>#REF!</v>
      </c>
      <c r="T30" s="86" t="e">
        <f t="shared" ca="1" si="37"/>
        <v>#REF!</v>
      </c>
      <c r="U30" s="86" t="e">
        <f t="shared" ca="1" si="37"/>
        <v>#REF!</v>
      </c>
      <c r="V30" s="86"/>
      <c r="W30" s="86"/>
      <c r="Y30" s="86" t="e">
        <f t="shared" ca="1" si="38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9"/>
  </cols>
  <sheetData>
    <row r="1" spans="1:3" x14ac:dyDescent="0.25">
      <c r="A1" s="69" t="s">
        <v>31</v>
      </c>
      <c r="B1" s="27" t="s">
        <v>190</v>
      </c>
    </row>
    <row r="2" spans="1:3" x14ac:dyDescent="0.25">
      <c r="A2" s="69" t="s">
        <v>32</v>
      </c>
      <c r="B2" s="69" t="s">
        <v>33</v>
      </c>
    </row>
    <row r="3" spans="1:3" x14ac:dyDescent="0.25">
      <c r="A3" s="30" t="s">
        <v>196</v>
      </c>
    </row>
    <row r="4" spans="1:3" x14ac:dyDescent="0.25">
      <c r="A4" s="69" t="s">
        <v>34</v>
      </c>
    </row>
    <row r="5" spans="1:3" x14ac:dyDescent="0.25">
      <c r="A5" s="69" t="s">
        <v>35</v>
      </c>
      <c r="B5" s="69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9" t="s">
        <v>37</v>
      </c>
    </row>
    <row r="10" spans="1:3" x14ac:dyDescent="0.25">
      <c r="B10" s="30" t="s">
        <v>200</v>
      </c>
      <c r="C10" s="69" t="s">
        <v>38</v>
      </c>
    </row>
    <row r="11" spans="1:3" x14ac:dyDescent="0.25">
      <c r="B11" s="30" t="s">
        <v>201</v>
      </c>
      <c r="C11" s="69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9" t="s">
        <v>40</v>
      </c>
    </row>
    <row r="24" spans="1:3" x14ac:dyDescent="0.25">
      <c r="A24" s="69" t="s">
        <v>44</v>
      </c>
    </row>
    <row r="25" spans="1:3" x14ac:dyDescent="0.25">
      <c r="B25" s="69" t="s">
        <v>45</v>
      </c>
    </row>
    <row r="26" spans="1:3" ht="15" customHeight="1" x14ac:dyDescent="0.25">
      <c r="A26" s="69" t="s">
        <v>161</v>
      </c>
    </row>
    <row r="27" spans="1:3" ht="15" customHeight="1" x14ac:dyDescent="0.25"/>
    <row r="28" spans="1:3" ht="15" customHeight="1" x14ac:dyDescent="0.25">
      <c r="A28" s="69" t="s">
        <v>156</v>
      </c>
      <c r="B28" s="30" t="s">
        <v>193</v>
      </c>
    </row>
    <row r="29" spans="1:3" ht="15" customHeight="1" x14ac:dyDescent="0.25">
      <c r="A29" s="69" t="s">
        <v>155</v>
      </c>
      <c r="B29" s="30" t="s">
        <v>194</v>
      </c>
    </row>
    <row r="30" spans="1:3" ht="15" customHeight="1" x14ac:dyDescent="0.25">
      <c r="A30" s="69" t="s">
        <v>159</v>
      </c>
      <c r="B30" s="69" t="s">
        <v>160</v>
      </c>
    </row>
    <row r="31" spans="1:3" ht="15" customHeight="1" x14ac:dyDescent="0.25">
      <c r="A31" s="69" t="s">
        <v>157</v>
      </c>
      <c r="B31" s="69" t="s">
        <v>158</v>
      </c>
    </row>
    <row r="32" spans="1:3" ht="15" customHeight="1" x14ac:dyDescent="0.25">
      <c r="A32" s="69" t="s">
        <v>162</v>
      </c>
      <c r="B32" s="69" t="s">
        <v>189</v>
      </c>
    </row>
    <row r="33" spans="1:2" ht="15" customHeight="1" x14ac:dyDescent="0.25">
      <c r="A33" s="69" t="s">
        <v>163</v>
      </c>
      <c r="B33" s="69" t="s">
        <v>1</v>
      </c>
    </row>
    <row r="34" spans="1:2" ht="15" customHeight="1" x14ac:dyDescent="0.25">
      <c r="A34" s="69" t="s">
        <v>164</v>
      </c>
      <c r="B34" s="69" t="s">
        <v>2</v>
      </c>
    </row>
    <row r="35" spans="1:2" ht="15" customHeight="1" x14ac:dyDescent="0.25">
      <c r="A35" s="69" t="s">
        <v>165</v>
      </c>
      <c r="B35" s="69" t="s">
        <v>3</v>
      </c>
    </row>
    <row r="36" spans="1:2" ht="15" customHeight="1" x14ac:dyDescent="0.25">
      <c r="A36" s="69" t="s">
        <v>166</v>
      </c>
      <c r="B36" s="69" t="s">
        <v>4</v>
      </c>
    </row>
    <row r="37" spans="1:2" ht="15" customHeight="1" x14ac:dyDescent="0.25">
      <c r="A37" s="69" t="s">
        <v>167</v>
      </c>
      <c r="B37" s="69" t="s">
        <v>6</v>
      </c>
    </row>
    <row r="38" spans="1:2" ht="15" customHeight="1" x14ac:dyDescent="0.25">
      <c r="A38" s="69" t="s">
        <v>168</v>
      </c>
      <c r="B38" s="69" t="s">
        <v>67</v>
      </c>
    </row>
    <row r="39" spans="1:2" ht="15" customHeight="1" x14ac:dyDescent="0.25">
      <c r="A39" s="69" t="s">
        <v>169</v>
      </c>
      <c r="B39" s="69" t="s">
        <v>66</v>
      </c>
    </row>
    <row r="40" spans="1:2" ht="15" customHeight="1" x14ac:dyDescent="0.25">
      <c r="A40" s="69" t="s">
        <v>170</v>
      </c>
      <c r="B40" s="69" t="s">
        <v>65</v>
      </c>
    </row>
    <row r="41" spans="1:2" ht="15" customHeight="1" x14ac:dyDescent="0.25">
      <c r="A41" s="69" t="s">
        <v>171</v>
      </c>
      <c r="B41" s="69" t="s">
        <v>5</v>
      </c>
    </row>
    <row r="42" spans="1:2" ht="15" customHeight="1" x14ac:dyDescent="0.25">
      <c r="A42" s="69" t="s">
        <v>172</v>
      </c>
      <c r="B42" s="69" t="s">
        <v>41</v>
      </c>
    </row>
    <row r="43" spans="1:2" ht="15" customHeight="1" x14ac:dyDescent="0.25">
      <c r="A43" s="69" t="s">
        <v>173</v>
      </c>
      <c r="B43" s="69" t="s">
        <v>174</v>
      </c>
    </row>
    <row r="44" spans="1:2" ht="15" customHeight="1" x14ac:dyDescent="0.25">
      <c r="A44" s="69" t="s">
        <v>175</v>
      </c>
      <c r="B44" s="69" t="s">
        <v>42</v>
      </c>
    </row>
    <row r="45" spans="1:2" ht="15" customHeight="1" x14ac:dyDescent="0.25">
      <c r="A45" s="69" t="s">
        <v>176</v>
      </c>
      <c r="B45" s="69" t="s">
        <v>177</v>
      </c>
    </row>
    <row r="46" spans="1:2" ht="15" customHeight="1" x14ac:dyDescent="0.25">
      <c r="A46" s="69" t="s">
        <v>178</v>
      </c>
      <c r="B46" s="69" t="s">
        <v>179</v>
      </c>
    </row>
    <row r="47" spans="1:2" ht="15" customHeight="1" x14ac:dyDescent="0.25">
      <c r="A47" s="69" t="s">
        <v>180</v>
      </c>
      <c r="B47" s="69" t="s">
        <v>181</v>
      </c>
    </row>
    <row r="48" spans="1:2" ht="15" customHeight="1" x14ac:dyDescent="0.25">
      <c r="A48" s="69" t="s">
        <v>182</v>
      </c>
      <c r="B48" s="69" t="s">
        <v>183</v>
      </c>
    </row>
    <row r="49" spans="1:8" x14ac:dyDescent="0.25">
      <c r="A49" s="69" t="s">
        <v>184</v>
      </c>
      <c r="B49" s="69" t="s">
        <v>185</v>
      </c>
    </row>
    <row r="50" spans="1:8" x14ac:dyDescent="0.25">
      <c r="A50" s="69" t="s">
        <v>186</v>
      </c>
      <c r="B50" s="69" t="s">
        <v>43</v>
      </c>
    </row>
    <row r="51" spans="1:8" x14ac:dyDescent="0.25">
      <c r="A51" s="69" t="s">
        <v>187</v>
      </c>
      <c r="B51" s="69" t="s">
        <v>7</v>
      </c>
      <c r="F51" s="30"/>
      <c r="G51" s="32"/>
      <c r="H51"/>
    </row>
    <row r="52" spans="1:8" x14ac:dyDescent="0.25">
      <c r="A52" s="69" t="s">
        <v>188</v>
      </c>
      <c r="B52" s="69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2018-04-22T09:35:53Z</dcterms:modified>
</cp:coreProperties>
</file>