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827" codeName="{3D1A710C-6663-3D7B-7F91-EC182F24A4BC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Templates\"/>
    </mc:Choice>
  </mc:AlternateContent>
  <xr:revisionPtr revIDLastSave="0" documentId="13_ncr:1_{E64EDF65-9C1C-442B-B5FB-A32DF09D35A6}" xr6:coauthVersionLast="37" xr6:coauthVersionMax="37" xr10:uidLastSave="{00000000-0000-0000-0000-000000000000}"/>
  <bookViews>
    <workbookView xWindow="120" yWindow="315" windowWidth="21930" windowHeight="9960" xr2:uid="{00000000-000D-0000-FFFF-FFFF00000000}"/>
  </bookViews>
  <sheets>
    <sheet name="1 Nage" sheetId="1" r:id="rId1"/>
    <sheet name="2 Katame" sheetId="5" r:id="rId2"/>
    <sheet name="3 Ju" sheetId="6" r:id="rId3"/>
    <sheet name="4 Kime" sheetId="7" r:id="rId4"/>
    <sheet name="5 Goshin" sheetId="8" r:id="rId5"/>
    <sheet name="6 Koshiki" sheetId="9" r:id="rId6"/>
    <sheet name="7 Jugend" sheetId="10" r:id="rId7"/>
    <sheet name="Configuration" sheetId="4" r:id="rId8"/>
  </sheets>
  <functionGroups builtInGroupCount="19"/>
  <definedNames>
    <definedName name="Affiliation">Configuration!$B$24</definedName>
    <definedName name="Average">Configuration!$B$34</definedName>
    <definedName name="BigMistake">Configuration!$B$28</definedName>
    <definedName name="ChampionshipDate">Configuration!$B$6</definedName>
    <definedName name="ChampionshipDateTitle">Configuration!$B$5</definedName>
    <definedName name="ChampionshipName">Configuration!$B$3</definedName>
    <definedName name="ChampionshipType">Configuration!$B$4</definedName>
    <definedName name="Closing">Configuration!$B$38</definedName>
    <definedName name="Club">Configuration!$B$23</definedName>
    <definedName name="_xlnm.Print_Area" localSheetId="0">'1 Nage'!$A:$H</definedName>
    <definedName name="_xlnm.Print_Area" localSheetId="1">'2 Katame'!$A:$H</definedName>
    <definedName name="_xlnm.Print_Area" localSheetId="2">'3 Ju'!$A:$H</definedName>
    <definedName name="_xlnm.Print_Area" localSheetId="3">'4 Kime'!$A:$H</definedName>
    <definedName name="_xlnm.Print_Area" localSheetId="4">'5 Goshin'!$A:$H</definedName>
    <definedName name="_xlnm.Print_Area" localSheetId="5">'6 Koshiki'!$A:$H</definedName>
    <definedName name="_xlnm.Print_Area" localSheetId="6">'7 Jugend'!$A:$H</definedName>
    <definedName name="_xlnm.Print_Area" localSheetId="7">Configuration!$M:$M</definedName>
    <definedName name="GivenNameTitle">Configuration!$B$20</definedName>
    <definedName name="HeadJudge">Configuration!$B$10</definedName>
    <definedName name="Judge1">Configuration!$B$8</definedName>
    <definedName name="Judge2">Configuration!$B$9</definedName>
    <definedName name="Judge4">Configuration!$B$11</definedName>
    <definedName name="Judge5">Configuration!$B$12</definedName>
    <definedName name="JudgeGiven" localSheetId="6">Configuration!#REF!</definedName>
    <definedName name="JudgeGiven">Configuration!#REF!</definedName>
    <definedName name="JudgeHead">Configuration!$B$10</definedName>
    <definedName name="JudgeName" localSheetId="6">Configuration!#REF!</definedName>
    <definedName name="JudgeName">Configuration!#REF!</definedName>
    <definedName name="JudgeNameN" localSheetId="6">Configuration!#REF!</definedName>
    <definedName name="JudgeNameN">Configuration!#REF!</definedName>
    <definedName name="JudgeOther1">Configuration!$B$16</definedName>
    <definedName name="JudgeOther2">Configuration!$B$17</definedName>
    <definedName name="JudgePos">Configuration!$B$18</definedName>
    <definedName name="JudgeStandin">Configuration!$B$13</definedName>
    <definedName name="JudgeSupervisor">Configuration!$B$14</definedName>
    <definedName name="JudgeTestee">Configuration!$B$15</definedName>
    <definedName name="JudgeTitle">Configuration!$B$7</definedName>
    <definedName name="MediumMistake">Configuration!$B$27</definedName>
    <definedName name="NameTitle">Configuration!$B$19</definedName>
    <definedName name="OmittedTechnique">Configuration!$B$29</definedName>
    <definedName name="Opening">Configuration!$B$37</definedName>
    <definedName name="Other1">Configuration!$B$16</definedName>
    <definedName name="Other2">Configuration!$B$17</definedName>
    <definedName name="PairTitle">Configuration!$B$33</definedName>
    <definedName name="Score">Configuration!$B$30</definedName>
    <definedName name="sds">Configuration!$D$19</definedName>
    <definedName name="SmallMistake">Configuration!$B$26</definedName>
    <definedName name="Span">Configuration!$B$36</definedName>
    <definedName name="StandardDeviation">Configuration!$B$35</definedName>
    <definedName name="StandIn">Configuration!$B$13</definedName>
    <definedName name="StartNo">Configuration!$B$21</definedName>
    <definedName name="StartNoShort">Configuration!$B$22</definedName>
    <definedName name="SumScore">Configuration!$B$31</definedName>
    <definedName name="Supervisor">Configuration!$B$14</definedName>
    <definedName name="SureName" localSheetId="6">Configuration!#REF!</definedName>
    <definedName name="SureName">Configuration!#REF!</definedName>
    <definedName name="SureNameTitle">Configuration!$D$19</definedName>
    <definedName name="Technique">Configuration!$B$25</definedName>
    <definedName name="Testee">Configuration!$B$15</definedName>
    <definedName name="ToriClub" localSheetId="6">Configuration!#REF!</definedName>
    <definedName name="ToriClub">Configuration!#REF!</definedName>
    <definedName name="ToriGiven" localSheetId="6">Configuration!#REF!</definedName>
    <definedName name="ToriGiven">Configuration!#REF!</definedName>
    <definedName name="ToriName" localSheetId="6">Configuration!#REF!</definedName>
    <definedName name="ToriName">Configuration!#REF!</definedName>
    <definedName name="TranscriptChecked">Configuration!$B$32</definedName>
    <definedName name="UkeClub" localSheetId="6">Configuration!#REF!</definedName>
    <definedName name="UkeClub">Configuration!#REF!</definedName>
    <definedName name="UkeGiven" localSheetId="6">Configuration!#REF!</definedName>
    <definedName name="UkeGiven">Configuration!#REF!</definedName>
    <definedName name="UkeName" localSheetId="6">Configuration!#REF!</definedName>
    <definedName name="UkeName">Configuration!#REF!</definedName>
  </definedNames>
  <calcPr calcId="162913"/>
</workbook>
</file>

<file path=xl/calcChain.xml><?xml version="1.0" encoding="utf-8"?>
<calcChain xmlns="http://schemas.openxmlformats.org/spreadsheetml/2006/main">
  <c r="J11" i="10" l="1"/>
  <c r="J10" i="10"/>
  <c r="J9" i="10"/>
  <c r="H9" i="10"/>
  <c r="J8" i="10"/>
  <c r="J7" i="10"/>
  <c r="J6" i="10"/>
  <c r="J5" i="10"/>
  <c r="M4" i="10"/>
  <c r="L4" i="10"/>
  <c r="K4" i="10"/>
  <c r="J4" i="10"/>
  <c r="H4" i="10"/>
  <c r="G4" i="10"/>
  <c r="F4" i="10"/>
  <c r="E4" i="10"/>
  <c r="D4" i="10"/>
  <c r="C4" i="10"/>
  <c r="B4" i="10"/>
  <c r="A4" i="10"/>
  <c r="A3" i="10"/>
  <c r="A2" i="10"/>
  <c r="J11" i="9" l="1"/>
  <c r="H9" i="9" l="1"/>
  <c r="H9" i="8"/>
  <c r="H9" i="7"/>
  <c r="H9" i="6"/>
  <c r="H9" i="5"/>
  <c r="H9" i="1"/>
  <c r="L4" i="1" l="1"/>
  <c r="L4" i="5"/>
  <c r="L4" i="6"/>
  <c r="L4" i="7"/>
  <c r="L4" i="8"/>
  <c r="K4" i="1"/>
  <c r="K4" i="5"/>
  <c r="K4" i="6"/>
  <c r="K4" i="7"/>
  <c r="K4" i="8"/>
  <c r="K4" i="9"/>
  <c r="H4" i="1"/>
  <c r="G4" i="1"/>
  <c r="F4" i="1"/>
  <c r="E4" i="1"/>
  <c r="D4" i="1"/>
  <c r="C4" i="1"/>
  <c r="B4" i="1"/>
  <c r="A4" i="1"/>
  <c r="H4" i="5"/>
  <c r="G4" i="5"/>
  <c r="F4" i="5"/>
  <c r="E4" i="5"/>
  <c r="D4" i="5"/>
  <c r="C4" i="5"/>
  <c r="B4" i="5"/>
  <c r="A4" i="5"/>
  <c r="H4" i="6"/>
  <c r="G4" i="6"/>
  <c r="F4" i="6"/>
  <c r="E4" i="6"/>
  <c r="D4" i="6"/>
  <c r="C4" i="6"/>
  <c r="B4" i="6"/>
  <c r="A4" i="6"/>
  <c r="H4" i="7"/>
  <c r="G4" i="7"/>
  <c r="F4" i="7"/>
  <c r="E4" i="7"/>
  <c r="D4" i="7"/>
  <c r="C4" i="7"/>
  <c r="B4" i="7"/>
  <c r="A4" i="7"/>
  <c r="H4" i="8"/>
  <c r="G4" i="8"/>
  <c r="F4" i="8"/>
  <c r="E4" i="8"/>
  <c r="D4" i="8"/>
  <c r="C4" i="8"/>
  <c r="B4" i="8"/>
  <c r="A4" i="8"/>
  <c r="L4" i="9"/>
  <c r="F4" i="9"/>
  <c r="C4" i="9"/>
  <c r="E4" i="9"/>
  <c r="B4" i="9"/>
  <c r="G4" i="9"/>
  <c r="D4" i="9"/>
  <c r="M4" i="9" l="1"/>
  <c r="J4" i="9"/>
  <c r="M4" i="8"/>
  <c r="J4" i="8"/>
  <c r="M4" i="7"/>
  <c r="J4" i="7"/>
  <c r="M4" i="6"/>
  <c r="J4" i="6"/>
  <c r="M4" i="5"/>
  <c r="J4" i="5"/>
  <c r="M4" i="1"/>
  <c r="H4" i="9" l="1"/>
  <c r="A4" i="9"/>
  <c r="A2" i="9"/>
  <c r="A3" i="8"/>
  <c r="A2" i="8"/>
  <c r="A2" i="7"/>
  <c r="A3" i="6"/>
  <c r="A2" i="6"/>
  <c r="A2" i="5"/>
  <c r="A3" i="5"/>
  <c r="J9" i="9"/>
  <c r="J8" i="9"/>
  <c r="J7" i="9"/>
  <c r="J6" i="9"/>
  <c r="J5" i="9"/>
  <c r="J11" i="8"/>
  <c r="J10" i="8"/>
  <c r="J9" i="8"/>
  <c r="J8" i="8"/>
  <c r="J7" i="8"/>
  <c r="J6" i="8"/>
  <c r="J5" i="8"/>
  <c r="J11" i="7"/>
  <c r="J10" i="7"/>
  <c r="J9" i="7"/>
  <c r="J8" i="7"/>
  <c r="J7" i="7"/>
  <c r="J6" i="7"/>
  <c r="J5" i="7"/>
  <c r="J11" i="6"/>
  <c r="J10" i="6"/>
  <c r="J9" i="6"/>
  <c r="J8" i="6"/>
  <c r="J7" i="6"/>
  <c r="J6" i="6"/>
  <c r="J5" i="6"/>
  <c r="J11" i="5"/>
  <c r="J10" i="5"/>
  <c r="J9" i="5"/>
  <c r="J8" i="5"/>
  <c r="J7" i="5"/>
  <c r="J6" i="5"/>
  <c r="J5" i="5"/>
  <c r="J11" i="1"/>
  <c r="J10" i="1"/>
  <c r="J9" i="1"/>
  <c r="J8" i="1"/>
  <c r="J7" i="1"/>
  <c r="J6" i="1"/>
  <c r="J5" i="1"/>
  <c r="J4" i="1"/>
  <c r="A3" i="1"/>
  <c r="A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Dr. Martin Jung</author>
  </authors>
  <commentList>
    <comment ref="H9" authorId="0" shapeId="0" xr:uid="{5AB34C5A-A4AE-4CBA-BE81-7115C19B80B4}">
      <text>
        <r>
          <rPr>
            <b/>
            <sz val="9"/>
            <color indexed="81"/>
            <rFont val="Segoe UI"/>
            <family val="2"/>
          </rPr>
          <t>Dr. Martin Jung:</t>
        </r>
        <r>
          <rPr>
            <sz val="9"/>
            <color indexed="81"/>
            <rFont val="Segoe UI"/>
            <family val="2"/>
          </rPr>
          <t xml:space="preserve">
Standard</t>
        </r>
      </text>
    </comment>
    <comment ref="I9" authorId="0" shapeId="0" xr:uid="{F88B5C7D-A852-492C-A61A-2A10F617BFF6}">
      <text>
        <r>
          <rPr>
            <b/>
            <sz val="9"/>
            <color indexed="81"/>
            <rFont val="Segoe UI"/>
            <family val="2"/>
          </rPr>
          <t>Dr. Martin Jung:</t>
        </r>
        <r>
          <rPr>
            <sz val="9"/>
            <color indexed="81"/>
            <rFont val="Segoe UI"/>
            <family val="2"/>
          </rPr>
          <t xml:space="preserve">
Standard</t>
        </r>
      </text>
    </comment>
    <comment ref="J9" authorId="0" shapeId="0" xr:uid="{A6CE855F-8CCF-40C5-BB87-506AFB261965}">
      <text>
        <r>
          <rPr>
            <b/>
            <sz val="9"/>
            <color indexed="81"/>
            <rFont val="Segoe UI"/>
            <family val="2"/>
          </rPr>
          <t>Dr. Martin Jung:</t>
        </r>
        <r>
          <rPr>
            <sz val="9"/>
            <color indexed="81"/>
            <rFont val="Segoe UI"/>
            <family val="2"/>
          </rPr>
          <t xml:space="preserve">
Test Values</t>
        </r>
      </text>
    </comment>
  </commentList>
</comments>
</file>

<file path=xl/sharedStrings.xml><?xml version="1.0" encoding="utf-8"?>
<sst xmlns="http://schemas.openxmlformats.org/spreadsheetml/2006/main" count="124" uniqueCount="112">
  <si>
    <t>Name</t>
  </si>
  <si>
    <t>Vorname</t>
  </si>
  <si>
    <t>Beobachter</t>
  </si>
  <si>
    <t>Position</t>
  </si>
  <si>
    <t>Startnummer</t>
  </si>
  <si>
    <t>Wertung 1</t>
  </si>
  <si>
    <t>Wertung 2</t>
  </si>
  <si>
    <t>Wertung 4</t>
  </si>
  <si>
    <t>Wertung 5</t>
  </si>
  <si>
    <t>Wertung 3 (H)</t>
  </si>
  <si>
    <t>Springer</t>
  </si>
  <si>
    <t>Nage no kata</t>
  </si>
  <si>
    <t>Hospitant</t>
  </si>
  <si>
    <t>Vorrunde</t>
  </si>
  <si>
    <t>Katame no kata</t>
  </si>
  <si>
    <t>Ju no kata</t>
  </si>
  <si>
    <t>Kime no kata</t>
  </si>
  <si>
    <t>Kodokan Goshin Jutsu</t>
  </si>
  <si>
    <t>Koshiki no kata</t>
  </si>
  <si>
    <t>Affiliation</t>
  </si>
  <si>
    <t>Sonst 1</t>
  </si>
  <si>
    <t>Sonst 2</t>
  </si>
  <si>
    <t>Land</t>
  </si>
  <si>
    <t>M is the "print area" -&gt; do not enter anything</t>
  </si>
  <si>
    <t>Judge 1</t>
  </si>
  <si>
    <t>Judge 2</t>
  </si>
  <si>
    <t>Judge 4</t>
  </si>
  <si>
    <t>Head Judge</t>
  </si>
  <si>
    <t>Judge 5</t>
  </si>
  <si>
    <t>Stand in</t>
  </si>
  <si>
    <t>Supervisor</t>
  </si>
  <si>
    <t>Testee</t>
  </si>
  <si>
    <t>Other/Placeholder 1</t>
  </si>
  <si>
    <t>Other/Placeholder 2</t>
  </si>
  <si>
    <t>Starting Position</t>
  </si>
  <si>
    <t>Judge Position</t>
  </si>
  <si>
    <t>I18N / N10 and data</t>
  </si>
  <si>
    <t>Date of Championship</t>
  </si>
  <si>
    <t>Name of Championship</t>
  </si>
  <si>
    <t>Type of Championship</t>
  </si>
  <si>
    <t>Datum</t>
  </si>
  <si>
    <t>Bewerter</t>
  </si>
  <si>
    <t>Club</t>
  </si>
  <si>
    <t>Verein</t>
  </si>
  <si>
    <t>Technique</t>
  </si>
  <si>
    <t>Technik</t>
  </si>
  <si>
    <t>Kleiner Fehler</t>
  </si>
  <si>
    <t>Mittlerer Fehler</t>
  </si>
  <si>
    <t>Großer Fehler</t>
  </si>
  <si>
    <t>Technik vergessen</t>
  </si>
  <si>
    <t>Gesamt</t>
  </si>
  <si>
    <t>Summe Fehler und Punkte</t>
  </si>
  <si>
    <t>Transcript checked</t>
  </si>
  <si>
    <t>Übertrag ok?</t>
  </si>
  <si>
    <t>Pair</t>
  </si>
  <si>
    <t>Paarung</t>
  </si>
  <si>
    <t>Average</t>
  </si>
  <si>
    <t>Mittelwert</t>
  </si>
  <si>
    <t>StdDev</t>
  </si>
  <si>
    <t>Standardabweichung</t>
  </si>
  <si>
    <t>Span</t>
  </si>
  <si>
    <t>Spannweite</t>
  </si>
  <si>
    <t>Opening</t>
  </si>
  <si>
    <t>Angrüßen</t>
  </si>
  <si>
    <t>Closing</t>
  </si>
  <si>
    <t>Abgrüßen</t>
  </si>
  <si>
    <t>Date of Championship Title</t>
  </si>
  <si>
    <t>Judge Title</t>
  </si>
  <si>
    <t>Starting Position Short</t>
  </si>
  <si>
    <t>Start Nr</t>
  </si>
  <si>
    <t>GivenName</t>
  </si>
  <si>
    <t>Small Mistake</t>
  </si>
  <si>
    <t>Medium Mistake</t>
  </si>
  <si>
    <t>Big Mistake</t>
  </si>
  <si>
    <t>Omitted Technique</t>
  </si>
  <si>
    <t>Score</t>
  </si>
  <si>
    <t>SumScore</t>
  </si>
  <si>
    <t>Hospitant 1</t>
  </si>
  <si>
    <t>Hospitant 2</t>
  </si>
  <si>
    <r>
      <t xml:space="preserve">This structure has to stay intact. Add future values below the existing parameters. </t>
    </r>
    <r>
      <rPr>
        <b/>
        <sz val="11"/>
        <color rgb="FFFF0000"/>
        <rFont val="Calibri"/>
        <family val="2"/>
        <scheme val="minor"/>
      </rPr>
      <t>This page has to remain the last page!</t>
    </r>
  </si>
  <si>
    <t>Bogen</t>
  </si>
  <si>
    <t>Auswertung</t>
  </si>
  <si>
    <t>Evaluation sheet name</t>
  </si>
  <si>
    <t>Summary sheet name</t>
  </si>
  <si>
    <t>CODE TAKES ONLY 200 Parameter</t>
  </si>
  <si>
    <t>Hauptrunde</t>
  </si>
  <si>
    <t>Placement</t>
  </si>
  <si>
    <t>Platzierung</t>
  </si>
  <si>
    <t>Resultscore1</t>
  </si>
  <si>
    <t>WR1</t>
  </si>
  <si>
    <t>Resultscore2</t>
  </si>
  <si>
    <t>WR2</t>
  </si>
  <si>
    <t>Resultscore3</t>
  </si>
  <si>
    <t>WR3</t>
  </si>
  <si>
    <t>Resultscore4</t>
  </si>
  <si>
    <t>WR4</t>
  </si>
  <si>
    <t>Resultscore5</t>
  </si>
  <si>
    <t>WR5</t>
  </si>
  <si>
    <t>Percent Deviation</t>
  </si>
  <si>
    <t>Meisterschaftsname</t>
  </si>
  <si>
    <t>xx.yy.zzzz</t>
  </si>
  <si>
    <t>CorrectionValue</t>
  </si>
  <si>
    <t>Korrektur</t>
  </si>
  <si>
    <t>Generator Parameters</t>
  </si>
  <si>
    <t>print</t>
  </si>
  <si>
    <t>README / ANLEITUNG</t>
  </si>
  <si>
    <t>FALSE</t>
  </si>
  <si>
    <t>blanks file</t>
  </si>
  <si>
    <t>Blank.xlsm</t>
  </si>
  <si>
    <t>Test-Blank.xlsm</t>
  </si>
  <si>
    <t>Übereinstimmung [%]</t>
  </si>
  <si>
    <t>Jugendpokal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</si>
</sst>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36"/>
      <color theme="1"/>
      <name val="Cambria"/>
      <family val="1"/>
      <scheme val="major"/>
    </font>
    <font>
      <b/>
      <sz val="20"/>
      <color theme="1"/>
      <name val="Cambria"/>
      <family val="1"/>
      <scheme val="major"/>
    </font>
    <font>
      <b/>
      <sz val="10"/>
      <color theme="1"/>
      <name val="Arial"/>
      <family val="2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28"/>
      <color theme="1"/>
      <name val="Cambria"/>
      <family val="1"/>
      <scheme val="major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3" fillId="0" borderId="0"/>
    <xf numFmtId="0" fontId="11" fillId="0" borderId="0"/>
    <xf numFmtId="0" fontId="10" fillId="0" borderId="0"/>
    <xf numFmtId="0" fontId="1" fillId="0" borderId="0"/>
  </cellStyleXfs>
  <cellXfs count="31">
    <xf numFmtId="0" fontId="0" fillId="0" borderId="0" xfId="0"/>
    <xf numFmtId="0" fontId="2" fillId="0" borderId="0" xfId="0" applyFont="1"/>
    <xf numFmtId="14" fontId="0" fillId="0" borderId="0" xfId="0" applyNumberFormat="1"/>
    <xf numFmtId="0" fontId="0" fillId="0" borderId="0" xfId="0"/>
    <xf numFmtId="14" fontId="0" fillId="0" borderId="0" xfId="0" applyNumberFormat="1"/>
    <xf numFmtId="0" fontId="0" fillId="0" borderId="0" xfId="0" applyAlignment="1">
      <alignment horizontal="left"/>
    </xf>
    <xf numFmtId="0" fontId="4" fillId="0" borderId="0" xfId="0" applyFont="1" applyAlignment="1"/>
    <xf numFmtId="0" fontId="5" fillId="0" borderId="0" xfId="0" applyFont="1" applyFill="1" applyAlignment="1"/>
    <xf numFmtId="0" fontId="6" fillId="0" borderId="0" xfId="0" applyFont="1" applyBorder="1"/>
    <xf numFmtId="0" fontId="0" fillId="0" borderId="0" xfId="0" applyFont="1" applyBorder="1"/>
    <xf numFmtId="0" fontId="0" fillId="0" borderId="0" xfId="0" applyAlignment="1">
      <alignment vertical="center"/>
    </xf>
    <xf numFmtId="0" fontId="9" fillId="0" borderId="0" xfId="0" applyFont="1" applyFill="1"/>
    <xf numFmtId="0" fontId="9" fillId="2" borderId="0" xfId="0" applyFont="1" applyFill="1"/>
    <xf numFmtId="0" fontId="8" fillId="0" borderId="1" xfId="0" applyFont="1" applyBorder="1"/>
    <xf numFmtId="0" fontId="8" fillId="0" borderId="0" xfId="0" applyFont="1" applyFill="1" applyAlignment="1">
      <alignment horizontal="center"/>
    </xf>
    <xf numFmtId="0" fontId="8" fillId="2" borderId="0" xfId="0" applyFont="1" applyFill="1" applyAlignment="1">
      <alignment horizontal="center"/>
    </xf>
    <xf numFmtId="0" fontId="10" fillId="0" borderId="0" xfId="0" applyFont="1"/>
    <xf numFmtId="0" fontId="0" fillId="0" borderId="0" xfId="0" applyFont="1"/>
    <xf numFmtId="0" fontId="8" fillId="2" borderId="1" xfId="0" applyFont="1" applyFill="1" applyBorder="1" applyAlignment="1">
      <alignment horizontal="center"/>
    </xf>
    <xf numFmtId="0" fontId="9" fillId="2" borderId="1" xfId="0" applyFont="1" applyFill="1" applyBorder="1"/>
    <xf numFmtId="0" fontId="3" fillId="0" borderId="0" xfId="0" applyFont="1" applyFill="1" applyBorder="1"/>
    <xf numFmtId="14" fontId="0" fillId="0" borderId="0" xfId="0" applyNumberFormat="1" applyAlignment="1">
      <alignment horizontal="right"/>
    </xf>
    <xf numFmtId="0" fontId="14" fillId="0" borderId="0" xfId="0" applyFont="1" applyAlignment="1">
      <alignment horizontal="left"/>
    </xf>
    <xf numFmtId="14" fontId="14" fillId="0" borderId="0" xfId="0" applyNumberFormat="1" applyFont="1" applyAlignment="1">
      <alignment horizontal="left"/>
    </xf>
    <xf numFmtId="0" fontId="4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5" fillId="0" borderId="0" xfId="0" applyFont="1" applyFill="1" applyAlignment="1">
      <alignment horizontal="center"/>
    </xf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Fill="1" applyAlignment="1">
      <alignment horizontal="center" vertical="center"/>
    </xf>
    <xf numFmtId="0" fontId="15" fillId="0" borderId="0" xfId="0" applyFont="1" applyAlignment="1">
      <alignment horizontal="left" vertical="center"/>
    </xf>
  </cellXfs>
  <cellStyles count="5">
    <cellStyle name="Normal 2" xfId="2" xr:uid="{00000000-0005-0000-0000-000001000000}"/>
    <cellStyle name="Normal 2 2" xfId="3" xr:uid="{00000000-0005-0000-0000-000002000000}"/>
    <cellStyle name="Normal 3" xfId="4" xr:uid="{00000000-0005-0000-0000-000003000000}"/>
    <cellStyle name="Standard" xfId="0" builtinId="0"/>
    <cellStyle name="Standard 2" xfId="1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446206</xdr:colOff>
      <xdr:row>0</xdr:row>
      <xdr:rowOff>0</xdr:rowOff>
    </xdr:from>
    <xdr:to>
      <xdr:col>1</xdr:col>
      <xdr:colOff>1224917</xdr:colOff>
      <xdr:row>1</xdr:row>
      <xdr:rowOff>5580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9181" y="0"/>
          <a:ext cx="778711" cy="1081905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0</xdr:rowOff>
    </xdr:from>
    <xdr:ext cx="1267748" cy="1080000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247650</xdr:rowOff>
        </xdr:from>
        <xdr:to>
          <xdr:col>10</xdr:col>
          <xdr:colOff>419100</xdr:colOff>
          <xdr:row>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Nage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522569</xdr:colOff>
      <xdr:row>0</xdr:row>
      <xdr:rowOff>0</xdr:rowOff>
    </xdr:from>
    <xdr:ext cx="1281468" cy="1081695"/>
    <xdr:pic>
      <xdr:nvPicPr>
        <xdr:cNvPr id="3" name="Grafik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5544" y="0"/>
          <a:ext cx="1281468" cy="10816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257175</xdr:rowOff>
        </xdr:from>
        <xdr:to>
          <xdr:col>10</xdr:col>
          <xdr:colOff>400050</xdr:colOff>
          <xdr:row>3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Katame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460127</xdr:colOff>
      <xdr:row>0</xdr:row>
      <xdr:rowOff>0</xdr:rowOff>
    </xdr:from>
    <xdr:ext cx="724785" cy="1078095"/>
    <xdr:pic>
      <xdr:nvPicPr>
        <xdr:cNvPr id="3" name="Grafik 1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3102" y="0"/>
          <a:ext cx="72478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247650</xdr:rowOff>
        </xdr:from>
        <xdr:to>
          <xdr:col>10</xdr:col>
          <xdr:colOff>419100</xdr:colOff>
          <xdr:row>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Ju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374862</xdr:colOff>
      <xdr:row>0</xdr:row>
      <xdr:rowOff>0</xdr:rowOff>
    </xdr:from>
    <xdr:ext cx="1295825" cy="1078095"/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7837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247650</xdr:rowOff>
        </xdr:from>
        <xdr:to>
          <xdr:col>10</xdr:col>
          <xdr:colOff>428625</xdr:colOff>
          <xdr:row>3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Kime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330081</xdr:colOff>
      <xdr:row>0</xdr:row>
      <xdr:rowOff>0</xdr:rowOff>
    </xdr:from>
    <xdr:ext cx="1607306" cy="1078095"/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3056" y="0"/>
          <a:ext cx="1607306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266700</xdr:rowOff>
        </xdr:from>
        <xdr:to>
          <xdr:col>10</xdr:col>
          <xdr:colOff>428625</xdr:colOff>
          <xdr:row>3</xdr:row>
          <xdr:rowOff>19050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Goshin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342383</xdr:colOff>
      <xdr:row>0</xdr:row>
      <xdr:rowOff>0</xdr:rowOff>
    </xdr:from>
    <xdr:ext cx="1852179" cy="1078095"/>
    <xdr:pic>
      <xdr:nvPicPr>
        <xdr:cNvPr id="3" name="Grafik 9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5358" y="0"/>
          <a:ext cx="1852179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2</xdr:row>
          <xdr:rowOff>257175</xdr:rowOff>
        </xdr:from>
        <xdr:to>
          <xdr:col>10</xdr:col>
          <xdr:colOff>447675</xdr:colOff>
          <xdr:row>3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Koshiki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446206</xdr:colOff>
      <xdr:row>0</xdr:row>
      <xdr:rowOff>0</xdr:rowOff>
    </xdr:from>
    <xdr:to>
      <xdr:col>1</xdr:col>
      <xdr:colOff>1224917</xdr:colOff>
      <xdr:row>1</xdr:row>
      <xdr:rowOff>5580</xdr:rowOff>
    </xdr:to>
    <xdr:pic>
      <xdr:nvPicPr>
        <xdr:cNvPr id="2" name="Picture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9181" y="0"/>
          <a:ext cx="778711" cy="1081905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0</xdr:rowOff>
    </xdr:from>
    <xdr:ext cx="1267748" cy="1080000"/>
    <xdr:pic>
      <xdr:nvPicPr>
        <xdr:cNvPr id="3" name="Picture 5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247650</xdr:rowOff>
        </xdr:from>
        <xdr:to>
          <xdr:col>10</xdr:col>
          <xdr:colOff>419100</xdr:colOff>
          <xdr:row>3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6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Jugend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752475</xdr:colOff>
          <xdr:row>3</xdr:row>
          <xdr:rowOff>19050</xdr:rowOff>
        </xdr:from>
        <xdr:to>
          <xdr:col>5</xdr:col>
          <xdr:colOff>95250</xdr:colOff>
          <xdr:row>5</xdr:row>
          <xdr:rowOff>114300</xdr:rowOff>
        </xdr:to>
        <xdr:sp macro="" textlink="">
          <xdr:nvSpPr>
            <xdr:cNvPr id="1027" name="Schaltfläche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7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1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T63"/>
  <sheetViews>
    <sheetView tabSelected="1" zoomScaleNormal="100" zoomScalePageLayoutView="70" workbookViewId="0"/>
  </sheetViews>
  <sheetFormatPr baseColWidth="10" defaultColWidth="11.5703125" defaultRowHeight="15" x14ac:dyDescent="0.25"/>
  <cols>
    <col min="1" max="1" width="14.140625" bestFit="1" customWidth="1"/>
    <col min="2" max="3" width="18.7109375" customWidth="1"/>
    <col min="4" max="4" width="25.7109375" customWidth="1"/>
    <col min="5" max="6" width="18.7109375" customWidth="1"/>
    <col min="7" max="7" width="25.7109375" customWidth="1"/>
    <col min="8" max="8" width="10.140625" bestFit="1" customWidth="1"/>
    <col min="9" max="9" width="3.7109375" customWidth="1"/>
  </cols>
  <sheetData>
    <row r="1" spans="1:18" s="3" customFormat="1" ht="84.95" customHeight="1" x14ac:dyDescent="0.6">
      <c r="A1" s="24"/>
      <c r="B1" s="24"/>
      <c r="C1" s="24"/>
      <c r="D1" s="28" t="s">
        <v>11</v>
      </c>
      <c r="E1" s="28"/>
      <c r="F1" s="28"/>
      <c r="G1" s="24"/>
      <c r="H1" s="24"/>
      <c r="I1" s="6"/>
      <c r="J1" s="6"/>
    </row>
    <row r="2" spans="1:18" s="3" customFormat="1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s="10" customFormat="1" ht="40.1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2"/>
    </row>
    <row r="5" spans="1:18" ht="15.95" customHeight="1" x14ac:dyDescent="0.25">
      <c r="A5" s="14">
        <v>1</v>
      </c>
      <c r="B5" s="11"/>
      <c r="C5" s="11"/>
      <c r="D5" s="11"/>
      <c r="E5" s="11"/>
      <c r="F5" s="11"/>
      <c r="G5" s="11"/>
      <c r="H5" s="11"/>
      <c r="J5" s="1" t="str">
        <f>Judge1</f>
        <v>Wertung 1</v>
      </c>
      <c r="K5" s="3"/>
      <c r="L5" s="3"/>
      <c r="M5" s="3"/>
    </row>
    <row r="6" spans="1:18" ht="15.95" customHeight="1" x14ac:dyDescent="0.25">
      <c r="A6" s="15">
        <v>2</v>
      </c>
      <c r="B6" s="12"/>
      <c r="C6" s="12"/>
      <c r="D6" s="12"/>
      <c r="E6" s="12"/>
      <c r="F6" s="12"/>
      <c r="G6" s="12"/>
      <c r="H6" s="12"/>
      <c r="J6" s="1" t="str">
        <f>Judge2</f>
        <v>Wertung 2</v>
      </c>
      <c r="K6" s="3"/>
      <c r="L6" s="3"/>
      <c r="M6" s="3"/>
      <c r="O6" s="3"/>
      <c r="P6" s="3"/>
      <c r="Q6" s="3"/>
    </row>
    <row r="7" spans="1:18" ht="15.95" customHeight="1" x14ac:dyDescent="0.25">
      <c r="A7" s="14">
        <v>3</v>
      </c>
      <c r="B7" s="11"/>
      <c r="C7" s="11"/>
      <c r="D7" s="11"/>
      <c r="E7" s="11"/>
      <c r="F7" s="11"/>
      <c r="G7" s="11"/>
      <c r="H7" s="11"/>
      <c r="J7" s="1" t="str">
        <f>JudgeHead</f>
        <v>Wertung 3 (H)</v>
      </c>
      <c r="K7" s="3"/>
      <c r="L7" s="3"/>
      <c r="M7" s="3"/>
      <c r="N7" s="3"/>
      <c r="O7" s="3"/>
      <c r="P7" s="3"/>
      <c r="Q7" s="3"/>
      <c r="R7" s="20"/>
    </row>
    <row r="8" spans="1:18" ht="15.95" customHeight="1" x14ac:dyDescent="0.25">
      <c r="A8" s="18">
        <v>4</v>
      </c>
      <c r="B8" s="19"/>
      <c r="C8" s="19"/>
      <c r="D8" s="19"/>
      <c r="E8" s="19"/>
      <c r="F8" s="19"/>
      <c r="G8" s="19"/>
      <c r="H8" s="19"/>
      <c r="J8" s="1" t="str">
        <f>Judge4</f>
        <v>Wertung 4</v>
      </c>
      <c r="N8" s="3"/>
      <c r="O8" s="3"/>
      <c r="P8" s="3"/>
    </row>
    <row r="9" spans="1:18" ht="15.95" customHeight="1" x14ac:dyDescent="0.25">
      <c r="A9" s="3"/>
      <c r="B9" s="3"/>
      <c r="C9" s="3"/>
      <c r="D9" s="3"/>
      <c r="E9" s="3"/>
      <c r="F9" s="3"/>
      <c r="G9" s="3"/>
      <c r="H9" s="21" t="str">
        <f>ChampionshipDate</f>
        <v>xx.yy.zzzz</v>
      </c>
      <c r="J9" s="1" t="str">
        <f>Judge5</f>
        <v>Wertung 5</v>
      </c>
      <c r="N9" s="3"/>
      <c r="O9" s="3"/>
      <c r="P9" s="3"/>
    </row>
    <row r="10" spans="1:18" ht="15.95" customHeight="1" x14ac:dyDescent="0.25">
      <c r="A10" s="3"/>
      <c r="B10" s="3"/>
      <c r="C10" s="3"/>
      <c r="D10" s="3"/>
      <c r="E10" s="3"/>
      <c r="F10" s="3"/>
      <c r="G10" s="3"/>
      <c r="H10" s="3"/>
      <c r="J10" s="1" t="str">
        <f>JudgeStandin</f>
        <v>Springer</v>
      </c>
      <c r="N10" s="3"/>
      <c r="O10" s="3"/>
      <c r="P10" s="3"/>
    </row>
    <row r="11" spans="1:18" ht="15.95" customHeight="1" x14ac:dyDescent="0.25">
      <c r="A11" s="3"/>
      <c r="B11" s="3"/>
      <c r="C11" s="3"/>
      <c r="D11" s="3"/>
      <c r="E11" s="8"/>
      <c r="F11" s="9"/>
      <c r="G11" s="8"/>
      <c r="H11" s="9"/>
      <c r="I11" s="4"/>
      <c r="J11" s="1" t="str">
        <f>JudgeSupervisor</f>
        <v>Beobachter</v>
      </c>
      <c r="N11" s="3"/>
      <c r="O11" s="3"/>
      <c r="P11" s="3"/>
    </row>
    <row r="12" spans="1:18" ht="15.95" customHeight="1" x14ac:dyDescent="0.25">
      <c r="A12" s="3"/>
      <c r="B12" s="3"/>
      <c r="C12" s="3"/>
      <c r="D12" s="3"/>
      <c r="E12" s="8"/>
      <c r="F12" s="9"/>
      <c r="G12" s="8"/>
      <c r="H12" s="9"/>
      <c r="J12" s="1" t="s">
        <v>77</v>
      </c>
      <c r="K12" s="3"/>
      <c r="L12" s="3"/>
      <c r="M12" s="3"/>
      <c r="N12" s="3"/>
      <c r="O12" s="3"/>
      <c r="P12" s="3"/>
      <c r="Q12" s="3"/>
      <c r="R12" s="20"/>
    </row>
    <row r="13" spans="1:18" ht="15.95" customHeight="1" x14ac:dyDescent="0.25">
      <c r="A13" s="3"/>
      <c r="B13" s="3"/>
      <c r="C13" s="3"/>
      <c r="D13" s="3"/>
      <c r="E13" s="8"/>
      <c r="F13" s="9"/>
      <c r="G13" s="8"/>
      <c r="H13" s="9"/>
      <c r="J13" s="1" t="s">
        <v>78</v>
      </c>
      <c r="K13" s="20"/>
      <c r="L13" s="20"/>
      <c r="M13" s="20"/>
      <c r="N13" s="3"/>
      <c r="O13" s="3"/>
      <c r="P13" s="3"/>
      <c r="Q13" s="3"/>
      <c r="R13" s="20"/>
    </row>
    <row r="14" spans="1:18" ht="15.95" customHeight="1" x14ac:dyDescent="0.25">
      <c r="A14" s="3"/>
      <c r="B14" s="3"/>
      <c r="C14" s="3"/>
      <c r="D14" s="3"/>
      <c r="E14" s="3"/>
      <c r="F14" s="3"/>
      <c r="G14" s="3"/>
      <c r="H14" s="3"/>
      <c r="J14" s="1"/>
      <c r="L14" s="20"/>
      <c r="M14" s="20"/>
      <c r="N14" s="3"/>
      <c r="O14" s="3"/>
      <c r="P14" s="3"/>
      <c r="Q14" s="3"/>
      <c r="R14" s="20"/>
    </row>
    <row r="15" spans="1:18" ht="15.95" customHeight="1" x14ac:dyDescent="0.25">
      <c r="A15" s="3"/>
      <c r="B15" s="3"/>
      <c r="C15" s="3"/>
      <c r="D15" s="3"/>
      <c r="E15" s="8"/>
      <c r="F15" s="9"/>
      <c r="G15" s="8"/>
      <c r="H15" s="9"/>
      <c r="N15" s="3"/>
      <c r="O15" s="3"/>
      <c r="P15" s="3"/>
      <c r="Q15" s="3"/>
      <c r="R15" s="20"/>
    </row>
    <row r="16" spans="1:18" ht="15.95" customHeight="1" x14ac:dyDescent="0.25">
      <c r="A16" s="3"/>
      <c r="B16" s="3"/>
      <c r="C16" s="3"/>
      <c r="D16" s="3"/>
      <c r="E16" s="8"/>
      <c r="F16" s="9"/>
      <c r="G16" s="8"/>
      <c r="H16" s="9"/>
      <c r="J16" s="3"/>
      <c r="K16" s="3"/>
      <c r="L16" s="3"/>
      <c r="M16" s="3"/>
      <c r="N16" s="3"/>
      <c r="O16" s="3"/>
      <c r="P16" s="3"/>
      <c r="Q16" s="3"/>
    </row>
    <row r="17" spans="1:17" ht="15.95" customHeight="1" x14ac:dyDescent="0.25">
      <c r="A17" s="3"/>
      <c r="B17" s="3"/>
      <c r="C17" s="3"/>
      <c r="D17" s="3"/>
      <c r="E17" s="8"/>
      <c r="F17" s="9"/>
      <c r="G17" s="8"/>
      <c r="H17" s="9"/>
      <c r="I17" s="3"/>
      <c r="N17" s="3"/>
      <c r="O17" s="3"/>
      <c r="P17" s="3"/>
      <c r="Q17" s="3"/>
    </row>
    <row r="18" spans="1:17" x14ac:dyDescent="0.25">
      <c r="A18" s="3"/>
      <c r="B18" s="3"/>
      <c r="C18" s="3"/>
      <c r="D18" s="3"/>
      <c r="E18" s="8"/>
      <c r="F18" s="9"/>
      <c r="G18" s="8"/>
      <c r="H18" s="9"/>
      <c r="N18" s="3"/>
      <c r="O18" s="3"/>
      <c r="P18" s="3"/>
      <c r="Q18" s="3"/>
    </row>
    <row r="19" spans="1:17" x14ac:dyDescent="0.25">
      <c r="A19" s="3"/>
      <c r="B19" s="3"/>
      <c r="C19" s="3"/>
      <c r="D19" s="3"/>
      <c r="E19" s="8"/>
      <c r="F19" s="9"/>
      <c r="G19" s="8"/>
      <c r="H19" s="9"/>
    </row>
    <row r="20" spans="1:17" x14ac:dyDescent="0.25">
      <c r="A20" s="3"/>
      <c r="B20" s="3"/>
      <c r="C20" s="3"/>
      <c r="D20" s="3"/>
      <c r="E20" s="3"/>
      <c r="F20" s="3"/>
      <c r="G20" s="3"/>
      <c r="H20" s="3"/>
    </row>
    <row r="21" spans="1:17" x14ac:dyDescent="0.25">
      <c r="A21" s="3"/>
      <c r="B21" s="3"/>
      <c r="C21" s="3"/>
      <c r="D21" s="3"/>
      <c r="E21" s="8"/>
      <c r="F21" s="9"/>
      <c r="G21" s="8"/>
      <c r="H21" s="9"/>
    </row>
    <row r="22" spans="1:17" x14ac:dyDescent="0.25">
      <c r="A22" s="3"/>
      <c r="B22" s="3"/>
      <c r="C22" s="3"/>
      <c r="D22" s="3"/>
      <c r="E22" s="3"/>
      <c r="F22" s="3"/>
      <c r="G22" s="3"/>
      <c r="H22" s="3"/>
      <c r="I22" s="9"/>
      <c r="J22" s="8"/>
    </row>
    <row r="23" spans="1:17" x14ac:dyDescent="0.25">
      <c r="A23" s="3"/>
      <c r="B23" s="3"/>
      <c r="C23" s="3"/>
      <c r="D23" s="3"/>
      <c r="E23" s="8"/>
      <c r="F23" s="9"/>
      <c r="G23" s="8"/>
      <c r="H23" s="9"/>
      <c r="I23" s="9"/>
      <c r="J23" s="8"/>
    </row>
    <row r="24" spans="1:17" x14ac:dyDescent="0.25">
      <c r="A24" s="3"/>
      <c r="B24" s="3"/>
      <c r="C24" s="3"/>
      <c r="D24" s="3"/>
      <c r="E24" s="3"/>
      <c r="F24" s="3"/>
      <c r="G24" s="3"/>
      <c r="H24" s="3"/>
      <c r="I24" s="9"/>
      <c r="J24" s="8"/>
    </row>
    <row r="25" spans="1:17" x14ac:dyDescent="0.25">
      <c r="A25" s="3"/>
      <c r="B25" s="3"/>
      <c r="C25" s="3"/>
      <c r="D25" s="3"/>
      <c r="E25" s="3"/>
      <c r="F25" s="3"/>
      <c r="G25" s="3"/>
      <c r="H25" s="3"/>
      <c r="I25" s="9"/>
      <c r="J25" s="8"/>
    </row>
    <row r="26" spans="1:17" x14ac:dyDescent="0.25">
      <c r="A26" s="3"/>
      <c r="B26" s="3"/>
      <c r="C26" s="3"/>
      <c r="D26" s="3"/>
      <c r="E26" s="3"/>
      <c r="F26" s="3"/>
      <c r="G26" s="3"/>
      <c r="H26" s="3"/>
      <c r="I26" s="9"/>
      <c r="J26" s="8"/>
    </row>
    <row r="27" spans="1:17" x14ac:dyDescent="0.25">
      <c r="A27" s="3"/>
      <c r="B27" s="3"/>
      <c r="C27" s="3"/>
      <c r="D27" s="3"/>
      <c r="E27" s="3"/>
      <c r="F27" s="3"/>
      <c r="G27" s="3"/>
      <c r="H27" s="3"/>
      <c r="I27" s="9"/>
      <c r="J27" s="8"/>
    </row>
    <row r="28" spans="1:17" x14ac:dyDescent="0.25">
      <c r="E28" s="8"/>
      <c r="F28" s="9"/>
      <c r="G28" s="8"/>
      <c r="H28" s="9"/>
      <c r="I28" s="9"/>
      <c r="J28" s="8"/>
    </row>
    <row r="29" spans="1:17" x14ac:dyDescent="0.25">
      <c r="E29" s="8"/>
      <c r="F29" s="9"/>
      <c r="G29" s="8"/>
      <c r="H29" s="9"/>
      <c r="I29" s="9"/>
      <c r="J29" s="8"/>
    </row>
    <row r="30" spans="1:17" x14ac:dyDescent="0.25">
      <c r="E30" s="8"/>
      <c r="F30" s="9"/>
      <c r="G30" s="8"/>
      <c r="H30" s="9"/>
      <c r="I30" s="9"/>
      <c r="J30" s="8"/>
    </row>
    <row r="31" spans="1:17" x14ac:dyDescent="0.25">
      <c r="E31" s="8"/>
      <c r="F31" s="9"/>
      <c r="G31" s="8"/>
      <c r="H31" s="9"/>
      <c r="I31" s="9"/>
      <c r="J31" s="8"/>
    </row>
    <row r="33" spans="5:10" x14ac:dyDescent="0.25">
      <c r="E33" s="8"/>
      <c r="F33" s="9"/>
      <c r="G33" s="8"/>
      <c r="H33" s="9"/>
      <c r="I33" s="9"/>
      <c r="J33" s="8"/>
    </row>
    <row r="35" spans="5:10" x14ac:dyDescent="0.25">
      <c r="E35" s="8"/>
      <c r="F35" s="9"/>
      <c r="G35" s="8"/>
      <c r="H35" s="9"/>
      <c r="I35" s="9"/>
      <c r="J35" s="8"/>
    </row>
    <row r="50" spans="7:20" x14ac:dyDescent="0.25">
      <c r="G50" s="3"/>
      <c r="H50" s="3"/>
      <c r="I50" s="3"/>
      <c r="J50" s="3"/>
      <c r="K50" s="4"/>
      <c r="L50" s="3"/>
      <c r="M50" s="3"/>
      <c r="N50" s="3"/>
      <c r="O50" s="3"/>
      <c r="P50" s="3"/>
      <c r="Q50" s="4"/>
      <c r="R50" s="3"/>
      <c r="S50" s="3"/>
      <c r="T50" s="3"/>
    </row>
    <row r="51" spans="7:20" x14ac:dyDescent="0.25">
      <c r="G51" s="3"/>
      <c r="H51" s="3"/>
      <c r="I51" s="3"/>
      <c r="J51" s="3"/>
      <c r="K51" s="4"/>
      <c r="L51" s="3"/>
      <c r="M51" s="3"/>
      <c r="N51" s="3"/>
      <c r="O51" s="3"/>
      <c r="P51" s="3"/>
      <c r="Q51" s="4"/>
      <c r="R51" s="3"/>
      <c r="S51" s="3"/>
      <c r="T51" s="3"/>
    </row>
    <row r="52" spans="7:20" x14ac:dyDescent="0.25">
      <c r="G52" s="3"/>
      <c r="H52" s="3"/>
      <c r="I52" s="3"/>
      <c r="J52" s="3"/>
      <c r="K52" s="4"/>
      <c r="L52" s="3"/>
      <c r="M52" s="3"/>
      <c r="N52" s="3"/>
      <c r="O52" s="3"/>
      <c r="P52" s="3"/>
      <c r="Q52" s="4"/>
      <c r="R52" s="3"/>
      <c r="S52" s="3"/>
      <c r="T52" s="3"/>
    </row>
    <row r="53" spans="7:20" x14ac:dyDescent="0.25">
      <c r="G53" s="3"/>
      <c r="H53" s="3"/>
      <c r="I53" s="3"/>
      <c r="J53" s="3"/>
      <c r="K53" s="4"/>
      <c r="L53" s="3"/>
      <c r="M53" s="3"/>
      <c r="N53" s="3"/>
      <c r="O53" s="3"/>
      <c r="P53" s="3"/>
      <c r="Q53" s="4"/>
      <c r="R53" s="3"/>
      <c r="S53" s="3"/>
      <c r="T53" s="3"/>
    </row>
    <row r="54" spans="7:20" x14ac:dyDescent="0.25">
      <c r="G54" s="3"/>
      <c r="H54" s="3"/>
      <c r="I54" s="3"/>
      <c r="J54" s="3"/>
      <c r="K54" s="4"/>
      <c r="L54" s="3"/>
      <c r="M54" s="3"/>
      <c r="N54" s="3"/>
      <c r="O54" s="3"/>
      <c r="P54" s="3"/>
      <c r="Q54" s="4"/>
      <c r="R54" s="3"/>
      <c r="S54" s="3"/>
      <c r="T54" s="3"/>
    </row>
    <row r="55" spans="7:20" x14ac:dyDescent="0.25">
      <c r="G55" s="3"/>
      <c r="H55" s="3"/>
      <c r="I55" s="3"/>
      <c r="J55" s="3"/>
      <c r="K55" s="4"/>
      <c r="L55" s="3"/>
      <c r="M55" s="3"/>
      <c r="N55" s="3"/>
      <c r="O55" s="3"/>
      <c r="P55" s="3"/>
      <c r="Q55" s="4"/>
      <c r="R55" s="3"/>
      <c r="S55" s="3"/>
      <c r="T55" s="3"/>
    </row>
    <row r="56" spans="7:20" x14ac:dyDescent="0.25">
      <c r="G56" s="3"/>
      <c r="H56" s="3"/>
      <c r="I56" s="3"/>
      <c r="J56" s="3"/>
      <c r="K56" s="4"/>
      <c r="L56" s="3"/>
      <c r="M56" s="3"/>
      <c r="N56" s="3"/>
      <c r="O56" s="3"/>
      <c r="P56" s="3"/>
      <c r="Q56" s="4"/>
      <c r="R56" s="3"/>
      <c r="S56" s="3"/>
      <c r="T56" s="3"/>
    </row>
    <row r="57" spans="7:20" x14ac:dyDescent="0.25">
      <c r="G57" s="3"/>
      <c r="H57" s="3"/>
      <c r="I57" s="3"/>
      <c r="J57" s="3"/>
      <c r="K57" s="4"/>
      <c r="L57" s="3"/>
      <c r="M57" s="3"/>
      <c r="N57" s="3"/>
      <c r="O57" s="3"/>
      <c r="P57" s="3"/>
      <c r="Q57" s="4"/>
      <c r="R57" s="3"/>
      <c r="S57" s="3"/>
      <c r="T57" s="3"/>
    </row>
    <row r="58" spans="7:20" x14ac:dyDescent="0.25">
      <c r="G58" s="3"/>
      <c r="H58" s="3"/>
      <c r="I58" s="3"/>
      <c r="J58" s="3"/>
      <c r="K58" s="4"/>
      <c r="L58" s="3"/>
      <c r="M58" s="3"/>
      <c r="N58" s="3"/>
      <c r="O58" s="3"/>
      <c r="P58" s="3"/>
      <c r="Q58" s="4"/>
      <c r="R58" s="3"/>
      <c r="S58" s="3"/>
      <c r="T58" s="3"/>
    </row>
    <row r="59" spans="7:20" x14ac:dyDescent="0.25">
      <c r="G59" s="3"/>
      <c r="H59" s="3"/>
      <c r="I59" s="3"/>
      <c r="J59" s="3"/>
      <c r="K59" s="4"/>
      <c r="L59" s="3"/>
      <c r="M59" s="3"/>
      <c r="N59" s="3"/>
      <c r="O59" s="3"/>
      <c r="P59" s="3"/>
      <c r="Q59" s="4"/>
      <c r="R59" s="3"/>
      <c r="S59" s="3"/>
      <c r="T59" s="3"/>
    </row>
    <row r="60" spans="7:20" x14ac:dyDescent="0.25">
      <c r="G60" s="3"/>
      <c r="H60" s="3"/>
      <c r="I60" s="3"/>
      <c r="J60" s="3"/>
      <c r="K60" s="4"/>
      <c r="L60" s="3"/>
      <c r="M60" s="3"/>
      <c r="N60" s="3"/>
      <c r="O60" s="3"/>
      <c r="P60" s="3"/>
      <c r="Q60" s="4"/>
      <c r="R60" s="3"/>
      <c r="S60" s="3"/>
      <c r="T60" s="3"/>
    </row>
    <row r="61" spans="7:20" x14ac:dyDescent="0.25">
      <c r="G61" s="3"/>
      <c r="H61" s="3"/>
      <c r="I61" s="3"/>
      <c r="J61" s="3"/>
      <c r="K61" s="4"/>
      <c r="L61" s="3"/>
      <c r="M61" s="3"/>
      <c r="N61" s="3"/>
      <c r="O61" s="3"/>
      <c r="P61" s="3"/>
      <c r="Q61" s="4"/>
      <c r="R61" s="3"/>
      <c r="S61" s="3"/>
      <c r="T61" s="3"/>
    </row>
    <row r="62" spans="7:20" x14ac:dyDescent="0.25">
      <c r="G62" s="3"/>
      <c r="H62" s="3"/>
      <c r="I62" s="3"/>
      <c r="J62" s="3"/>
      <c r="K62" s="4"/>
      <c r="L62" s="3"/>
      <c r="M62" s="3"/>
      <c r="N62" s="3"/>
      <c r="O62" s="3"/>
      <c r="P62" s="3"/>
      <c r="Q62" s="4"/>
      <c r="R62" s="3"/>
      <c r="S62" s="3"/>
      <c r="T62" s="3"/>
    </row>
    <row r="63" spans="7:20" x14ac:dyDescent="0.25">
      <c r="G63" s="3"/>
      <c r="H63" s="3"/>
      <c r="I63" s="3"/>
      <c r="J63" s="3"/>
      <c r="K63" s="4"/>
      <c r="L63" s="3"/>
      <c r="M63" s="3"/>
      <c r="N63" s="3"/>
      <c r="O63" s="3"/>
      <c r="P63" s="3"/>
      <c r="Q63" s="4"/>
      <c r="R63" s="3"/>
      <c r="S63" s="3"/>
      <c r="T63" s="3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9525</xdr:colOff>
                    <xdr:row>2</xdr:row>
                    <xdr:rowOff>247650</xdr:rowOff>
                  </from>
                  <to>
                    <xdr:col>10</xdr:col>
                    <xdr:colOff>419100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>
    <pageSetUpPr fitToPage="1"/>
  </sheetPr>
  <dimension ref="A1:Q65"/>
  <sheetViews>
    <sheetView zoomScaleNormal="100" zoomScalePageLayoutView="70"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4" ht="84.95" customHeight="1" x14ac:dyDescent="0.6">
      <c r="A1" s="24"/>
      <c r="B1" s="24"/>
      <c r="C1" s="24"/>
      <c r="D1" s="28" t="s">
        <v>14</v>
      </c>
      <c r="E1" s="28"/>
      <c r="F1" s="28"/>
      <c r="G1" s="24"/>
      <c r="H1" s="24"/>
      <c r="I1" s="6"/>
      <c r="J1" s="6"/>
    </row>
    <row r="2" spans="1:14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4" s="10" customFormat="1" ht="40.1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4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4" ht="15.95" customHeight="1" x14ac:dyDescent="0.25">
      <c r="A5" s="14">
        <v>1</v>
      </c>
      <c r="B5" s="11"/>
      <c r="C5" s="11"/>
      <c r="D5" s="11"/>
      <c r="E5" s="11"/>
      <c r="F5" s="11"/>
      <c r="G5" s="11"/>
      <c r="H5" s="11"/>
      <c r="J5" s="1" t="str">
        <f>Judge1</f>
        <v>Wertung 1</v>
      </c>
    </row>
    <row r="6" spans="1:14" ht="15.95" customHeight="1" x14ac:dyDescent="0.25">
      <c r="A6" s="15">
        <v>2</v>
      </c>
      <c r="B6" s="12"/>
      <c r="C6" s="12"/>
      <c r="D6" s="12"/>
      <c r="E6" s="12"/>
      <c r="F6" s="12"/>
      <c r="G6" s="12"/>
      <c r="H6" s="12"/>
      <c r="J6" s="1" t="str">
        <f>Judge2</f>
        <v>Wertung 2</v>
      </c>
    </row>
    <row r="7" spans="1:14" ht="15.95" customHeight="1" x14ac:dyDescent="0.25">
      <c r="A7" s="14">
        <v>3</v>
      </c>
      <c r="B7" s="11"/>
      <c r="C7" s="11"/>
      <c r="D7" s="11"/>
      <c r="E7" s="11"/>
      <c r="F7" s="11"/>
      <c r="G7" s="11"/>
      <c r="H7" s="11"/>
      <c r="J7" s="1" t="str">
        <f>JudgeHead</f>
        <v>Wertung 3 (H)</v>
      </c>
    </row>
    <row r="8" spans="1:14" ht="15.95" customHeight="1" x14ac:dyDescent="0.25">
      <c r="A8" s="18">
        <v>4</v>
      </c>
      <c r="B8" s="19"/>
      <c r="C8" s="19"/>
      <c r="D8" s="19"/>
      <c r="E8" s="19"/>
      <c r="F8" s="19"/>
      <c r="G8" s="19"/>
      <c r="H8" s="19"/>
      <c r="J8" s="1" t="str">
        <f>Judge4</f>
        <v>Wertung 4</v>
      </c>
    </row>
    <row r="9" spans="1:14" ht="15.95" customHeight="1" x14ac:dyDescent="0.25">
      <c r="H9" s="21" t="str">
        <f>ChampionshipDate</f>
        <v>xx.yy.zzzz</v>
      </c>
      <c r="J9" s="1" t="str">
        <f>Judge5</f>
        <v>Wertung 5</v>
      </c>
    </row>
    <row r="10" spans="1:14" ht="15.95" customHeight="1" x14ac:dyDescent="0.25">
      <c r="J10" s="1" t="str">
        <f>JudgeStandin</f>
        <v>Springer</v>
      </c>
    </row>
    <row r="11" spans="1:14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</row>
    <row r="12" spans="1:14" ht="15.95" customHeight="1" x14ac:dyDescent="0.25">
      <c r="E12" s="8"/>
      <c r="F12" s="9"/>
      <c r="G12" s="8"/>
      <c r="H12" s="9"/>
      <c r="J12" s="1" t="s">
        <v>77</v>
      </c>
    </row>
    <row r="13" spans="1:14" ht="15.95" customHeight="1" x14ac:dyDescent="0.25">
      <c r="E13" s="8"/>
      <c r="F13" s="9"/>
      <c r="G13" s="8"/>
      <c r="H13" s="9"/>
      <c r="J13" s="1" t="s">
        <v>78</v>
      </c>
    </row>
    <row r="14" spans="1:14" ht="15.95" customHeight="1" x14ac:dyDescent="0.25">
      <c r="J14" s="1"/>
    </row>
    <row r="15" spans="1:14" ht="15.95" customHeight="1" x14ac:dyDescent="0.25">
      <c r="E15" s="8"/>
      <c r="F15" s="9"/>
      <c r="G15" s="8"/>
      <c r="H15" s="9"/>
    </row>
    <row r="16" spans="1:14" ht="15.95" customHeight="1" x14ac:dyDescent="0.25">
      <c r="E16" s="8"/>
      <c r="F16" s="9"/>
      <c r="G16" s="8"/>
      <c r="H16" s="9"/>
      <c r="J16" s="1"/>
    </row>
    <row r="17" spans="5:10" ht="15.95" customHeight="1" x14ac:dyDescent="0.25">
      <c r="E17" s="8"/>
      <c r="F17" s="9"/>
      <c r="G17" s="8"/>
      <c r="H17" s="9"/>
      <c r="J17" s="1"/>
    </row>
    <row r="18" spans="5:10" ht="15.95" customHeight="1" x14ac:dyDescent="0.25">
      <c r="E18" s="8"/>
      <c r="F18" s="9"/>
      <c r="G18" s="8"/>
      <c r="H18" s="9"/>
    </row>
    <row r="19" spans="5:10" ht="15.95" customHeight="1" x14ac:dyDescent="0.25">
      <c r="E19" s="8"/>
      <c r="F19" s="9"/>
      <c r="G19" s="8"/>
      <c r="H19" s="9"/>
    </row>
    <row r="20" spans="5:10" ht="15.95" customHeight="1" x14ac:dyDescent="0.25">
      <c r="E20" s="8"/>
      <c r="F20" s="9"/>
      <c r="G20" s="8"/>
      <c r="H20" s="9"/>
    </row>
    <row r="21" spans="5:10" ht="15.95" customHeight="1" x14ac:dyDescent="0.25"/>
    <row r="22" spans="5:10" x14ac:dyDescent="0.25">
      <c r="E22" s="8"/>
      <c r="F22" s="9"/>
      <c r="G22" s="8"/>
      <c r="H22" s="9"/>
    </row>
    <row r="24" spans="5:10" x14ac:dyDescent="0.25">
      <c r="E24" s="8"/>
      <c r="F24" s="9"/>
      <c r="G24" s="8"/>
      <c r="H24" s="9"/>
    </row>
    <row r="29" spans="5:10" x14ac:dyDescent="0.25">
      <c r="E29" s="8"/>
      <c r="F29" s="9"/>
      <c r="G29" s="8"/>
      <c r="H29" s="9"/>
      <c r="I29" s="9"/>
      <c r="J29" s="8"/>
    </row>
    <row r="30" spans="5:10" x14ac:dyDescent="0.25">
      <c r="E30" s="8"/>
      <c r="F30" s="9"/>
      <c r="G30" s="8"/>
      <c r="H30" s="9"/>
      <c r="I30" s="9"/>
      <c r="J30" s="8"/>
    </row>
    <row r="31" spans="5:10" x14ac:dyDescent="0.25">
      <c r="E31" s="8"/>
      <c r="F31" s="9"/>
      <c r="G31" s="8"/>
      <c r="H31" s="9"/>
      <c r="I31" s="9"/>
      <c r="J31" s="8"/>
    </row>
    <row r="32" spans="5:10" x14ac:dyDescent="0.25">
      <c r="E32" s="8"/>
      <c r="F32" s="9"/>
      <c r="G32" s="8"/>
      <c r="H32" s="9"/>
      <c r="I32" s="9"/>
      <c r="J32" s="8"/>
    </row>
    <row r="33" spans="5:10" x14ac:dyDescent="0.25">
      <c r="E33" s="8"/>
      <c r="F33" s="9"/>
      <c r="G33" s="8"/>
      <c r="H33" s="9"/>
      <c r="I33" s="9"/>
      <c r="J33" s="8"/>
    </row>
    <row r="34" spans="5:10" x14ac:dyDescent="0.25">
      <c r="E34" s="8"/>
      <c r="F34" s="9"/>
      <c r="G34" s="8"/>
      <c r="H34" s="9"/>
      <c r="I34" s="9"/>
      <c r="J34" s="8"/>
    </row>
    <row r="35" spans="5:10" x14ac:dyDescent="0.25">
      <c r="E35" s="8"/>
      <c r="F35" s="9"/>
      <c r="G35" s="8"/>
      <c r="H35" s="9"/>
      <c r="I35" s="9"/>
      <c r="J35" s="8"/>
    </row>
    <row r="36" spans="5:10" x14ac:dyDescent="0.25">
      <c r="E36" s="8"/>
      <c r="F36" s="9"/>
      <c r="G36" s="8"/>
      <c r="H36" s="9"/>
      <c r="I36" s="9"/>
      <c r="J36" s="8"/>
    </row>
    <row r="37" spans="5:10" x14ac:dyDescent="0.25">
      <c r="E37" s="8"/>
      <c r="F37" s="9"/>
      <c r="G37" s="8"/>
      <c r="H37" s="9"/>
      <c r="I37" s="9"/>
      <c r="J37" s="8"/>
    </row>
    <row r="38" spans="5:10" x14ac:dyDescent="0.25">
      <c r="E38" s="8"/>
      <c r="F38" s="9"/>
      <c r="G38" s="8"/>
      <c r="H38" s="9"/>
      <c r="I38" s="9"/>
      <c r="J38" s="8"/>
    </row>
    <row r="39" spans="5:10" x14ac:dyDescent="0.25">
      <c r="E39" s="8"/>
      <c r="F39" s="9"/>
      <c r="G39" s="8"/>
      <c r="H39" s="9"/>
      <c r="I39" s="9"/>
      <c r="J39" s="8"/>
    </row>
    <row r="40" spans="5:10" x14ac:dyDescent="0.25">
      <c r="E40" s="8"/>
      <c r="F40" s="9"/>
      <c r="G40" s="8"/>
      <c r="H40" s="9"/>
      <c r="I40" s="9"/>
      <c r="J40" s="8"/>
    </row>
    <row r="41" spans="5:10" x14ac:dyDescent="0.25">
      <c r="E41" s="8"/>
      <c r="F41" s="9"/>
      <c r="G41" s="8"/>
      <c r="H41" s="9"/>
      <c r="I41" s="9"/>
      <c r="J41" s="8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  <row r="56" spans="11:17" x14ac:dyDescent="0.25">
      <c r="K56" s="4"/>
      <c r="Q56" s="4"/>
    </row>
    <row r="57" spans="11:17" x14ac:dyDescent="0.25">
      <c r="K57" s="4"/>
      <c r="Q57" s="4"/>
    </row>
    <row r="58" spans="11:17" x14ac:dyDescent="0.25">
      <c r="K58" s="4"/>
      <c r="Q58" s="4"/>
    </row>
    <row r="59" spans="11:17" x14ac:dyDescent="0.25">
      <c r="K59" s="4"/>
      <c r="Q59" s="4"/>
    </row>
    <row r="60" spans="11:17" x14ac:dyDescent="0.25">
      <c r="K60" s="4"/>
      <c r="Q60" s="4"/>
    </row>
    <row r="61" spans="11:17" x14ac:dyDescent="0.25">
      <c r="K61" s="4"/>
      <c r="Q61" s="4"/>
    </row>
    <row r="62" spans="11:17" x14ac:dyDescent="0.25">
      <c r="K62" s="4"/>
      <c r="Q62" s="4"/>
    </row>
    <row r="63" spans="11:17" x14ac:dyDescent="0.25">
      <c r="K63" s="4"/>
      <c r="Q63" s="4"/>
    </row>
    <row r="64" spans="11:17" x14ac:dyDescent="0.25">
      <c r="K64" s="4"/>
      <c r="Q64" s="4"/>
    </row>
    <row r="65" spans="11:17" x14ac:dyDescent="0.25">
      <c r="K65" s="4"/>
      <c r="Q65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257175</xdr:rowOff>
                  </from>
                  <to>
                    <xdr:col>10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5">
    <pageSetUpPr fitToPage="1"/>
  </sheetPr>
  <dimension ref="A1:R58"/>
  <sheetViews>
    <sheetView zoomScaleNormal="100"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4"/>
      <c r="B1" s="24"/>
      <c r="C1" s="24"/>
      <c r="D1" s="28" t="s">
        <v>15</v>
      </c>
      <c r="E1" s="28"/>
      <c r="F1" s="28"/>
      <c r="G1" s="24"/>
      <c r="H1" s="24"/>
      <c r="I1" s="6"/>
      <c r="J1" s="6"/>
    </row>
    <row r="2" spans="1:18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ht="40.3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/>
      <c r="C5" s="11"/>
      <c r="D5" s="11"/>
      <c r="E5" s="11"/>
      <c r="F5" s="11"/>
      <c r="G5" s="11"/>
      <c r="H5" s="11"/>
      <c r="J5" s="1" t="str">
        <f>Judge1</f>
        <v>Wertung 1</v>
      </c>
      <c r="R5" s="4"/>
    </row>
    <row r="6" spans="1:18" ht="15.95" customHeight="1" x14ac:dyDescent="0.25">
      <c r="A6" s="15">
        <v>2</v>
      </c>
      <c r="B6" s="12"/>
      <c r="C6" s="12"/>
      <c r="D6" s="12"/>
      <c r="E6" s="12"/>
      <c r="F6" s="12"/>
      <c r="G6" s="12"/>
      <c r="H6" s="12"/>
      <c r="J6" s="1" t="str">
        <f>Judge2</f>
        <v>Wertung 2</v>
      </c>
      <c r="R6" s="4"/>
    </row>
    <row r="7" spans="1:18" ht="15.95" customHeight="1" x14ac:dyDescent="0.25">
      <c r="A7" s="14">
        <v>3</v>
      </c>
      <c r="B7" s="11"/>
      <c r="C7" s="11"/>
      <c r="D7" s="11"/>
      <c r="E7" s="11"/>
      <c r="F7" s="11"/>
      <c r="G7" s="11"/>
      <c r="H7" s="11"/>
      <c r="J7" s="1" t="str">
        <f>JudgeHead</f>
        <v>Wertung 3 (H)</v>
      </c>
      <c r="R7" s="4"/>
    </row>
    <row r="8" spans="1:18" ht="15.95" customHeight="1" x14ac:dyDescent="0.25">
      <c r="A8" s="18">
        <v>4</v>
      </c>
      <c r="B8" s="19"/>
      <c r="C8" s="19"/>
      <c r="D8" s="19"/>
      <c r="E8" s="19"/>
      <c r="F8" s="19"/>
      <c r="G8" s="19"/>
      <c r="H8" s="19"/>
      <c r="J8" s="1" t="str">
        <f>Judge4</f>
        <v>Wertung 4</v>
      </c>
      <c r="R8" s="4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R9" s="4"/>
    </row>
    <row r="10" spans="1:18" ht="15.95" customHeight="1" x14ac:dyDescent="0.25">
      <c r="J10" s="1" t="str">
        <f>JudgeStandin</f>
        <v>Springer</v>
      </c>
      <c r="R10" s="4"/>
    </row>
    <row r="11" spans="1:18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R11" s="4"/>
    </row>
    <row r="12" spans="1:18" ht="15.95" customHeight="1" x14ac:dyDescent="0.25">
      <c r="E12" s="8"/>
      <c r="F12" s="9"/>
      <c r="G12" s="8"/>
      <c r="H12" s="9"/>
      <c r="J12" s="1" t="s">
        <v>77</v>
      </c>
      <c r="R12" s="4"/>
    </row>
    <row r="13" spans="1:18" ht="15.95" customHeight="1" x14ac:dyDescent="0.25">
      <c r="E13" s="8"/>
      <c r="F13" s="9"/>
      <c r="G13" s="8"/>
      <c r="H13" s="9"/>
      <c r="J13" s="1" t="s">
        <v>78</v>
      </c>
      <c r="R13" s="4"/>
    </row>
    <row r="14" spans="1:18" ht="15.95" customHeight="1" x14ac:dyDescent="0.25">
      <c r="J14" s="1"/>
      <c r="R14" s="4"/>
    </row>
    <row r="15" spans="1:18" ht="15.95" customHeight="1" x14ac:dyDescent="0.25">
      <c r="E15" s="8"/>
      <c r="F15" s="9"/>
      <c r="G15" s="8"/>
      <c r="H15" s="9"/>
      <c r="L15" s="4"/>
      <c r="R15" s="4"/>
    </row>
    <row r="16" spans="1:18" ht="15.95" customHeight="1" x14ac:dyDescent="0.25">
      <c r="E16" s="8"/>
      <c r="F16" s="9"/>
      <c r="G16" s="8"/>
      <c r="H16" s="9"/>
      <c r="L16" s="4"/>
      <c r="R16" s="4"/>
    </row>
    <row r="17" spans="4:18" ht="15.95" customHeight="1" x14ac:dyDescent="0.25">
      <c r="E17" s="8"/>
      <c r="F17" s="9"/>
      <c r="G17" s="8"/>
      <c r="H17" s="9"/>
      <c r="L17" s="4"/>
      <c r="R17" s="4"/>
    </row>
    <row r="18" spans="4:18" ht="15.95" customHeight="1" x14ac:dyDescent="0.25">
      <c r="E18" s="8"/>
      <c r="F18" s="9"/>
      <c r="G18" s="8"/>
      <c r="H18" s="9"/>
    </row>
    <row r="19" spans="4:18" x14ac:dyDescent="0.25">
      <c r="E19" s="8"/>
      <c r="F19" s="9"/>
      <c r="G19" s="8"/>
      <c r="H19" s="9"/>
    </row>
    <row r="20" spans="4:18" x14ac:dyDescent="0.25">
      <c r="E20" s="8"/>
      <c r="F20" s="9"/>
      <c r="G20" s="8"/>
      <c r="H20" s="9"/>
    </row>
    <row r="22" spans="4:18" x14ac:dyDescent="0.25">
      <c r="E22" s="8"/>
      <c r="F22" s="9"/>
      <c r="G22" s="8"/>
      <c r="H22" s="9"/>
      <c r="I22" s="9"/>
      <c r="J22" s="8"/>
    </row>
    <row r="23" spans="4:18" x14ac:dyDescent="0.25">
      <c r="I23" s="9"/>
      <c r="J23" s="8"/>
    </row>
    <row r="24" spans="4:18" x14ac:dyDescent="0.25">
      <c r="E24" s="8"/>
      <c r="F24" s="9"/>
      <c r="G24" s="8"/>
      <c r="H24" s="9"/>
    </row>
    <row r="26" spans="4:18" x14ac:dyDescent="0.25">
      <c r="I26" s="4"/>
    </row>
    <row r="27" spans="4:18" x14ac:dyDescent="0.25">
      <c r="I27" s="4"/>
    </row>
    <row r="28" spans="4:18" x14ac:dyDescent="0.25">
      <c r="I28" s="4"/>
    </row>
    <row r="29" spans="4:18" x14ac:dyDescent="0.25">
      <c r="E29" s="8"/>
      <c r="F29" s="9"/>
      <c r="G29" s="8"/>
      <c r="H29" s="9"/>
      <c r="I29" s="4"/>
    </row>
    <row r="30" spans="4:18" x14ac:dyDescent="0.25">
      <c r="E30" s="8"/>
      <c r="F30" s="9"/>
      <c r="G30" s="8"/>
      <c r="H30" s="9"/>
      <c r="I30" s="4"/>
    </row>
    <row r="31" spans="4:18" x14ac:dyDescent="0.25">
      <c r="E31" s="8"/>
      <c r="F31" s="9"/>
      <c r="G31" s="8"/>
      <c r="H31" s="9"/>
      <c r="I31" s="4"/>
    </row>
    <row r="32" spans="4:18" x14ac:dyDescent="0.25">
      <c r="D32" s="4"/>
      <c r="I32" s="4"/>
    </row>
    <row r="33" spans="4:17" x14ac:dyDescent="0.25">
      <c r="D33" s="4"/>
      <c r="I33" s="4"/>
    </row>
    <row r="34" spans="4:17" x14ac:dyDescent="0.25">
      <c r="D34" s="4"/>
      <c r="I34" s="4"/>
    </row>
    <row r="35" spans="4:17" x14ac:dyDescent="0.25">
      <c r="D35" s="4"/>
      <c r="I35" s="4"/>
    </row>
    <row r="36" spans="4:17" x14ac:dyDescent="0.25">
      <c r="D36" s="4"/>
      <c r="I36" s="4"/>
    </row>
    <row r="37" spans="4:17" x14ac:dyDescent="0.25">
      <c r="D37" s="4"/>
      <c r="I37" s="4"/>
    </row>
    <row r="38" spans="4:17" x14ac:dyDescent="0.25">
      <c r="D38" s="4"/>
      <c r="I38" s="4"/>
    </row>
    <row r="39" spans="4:17" x14ac:dyDescent="0.25">
      <c r="D39" s="4"/>
      <c r="I39" s="4"/>
    </row>
    <row r="40" spans="4:17" x14ac:dyDescent="0.25">
      <c r="D40" s="4"/>
      <c r="I40" s="4"/>
    </row>
    <row r="41" spans="4:17" x14ac:dyDescent="0.25">
      <c r="D41" s="4"/>
      <c r="I41" s="4"/>
    </row>
    <row r="42" spans="4:17" x14ac:dyDescent="0.25">
      <c r="D42" s="4"/>
      <c r="I42" s="4"/>
    </row>
    <row r="43" spans="4:17" x14ac:dyDescent="0.25">
      <c r="D43" s="4"/>
      <c r="I43" s="4"/>
    </row>
    <row r="44" spans="4:17" x14ac:dyDescent="0.25">
      <c r="D44" s="4"/>
      <c r="I44" s="4"/>
    </row>
    <row r="45" spans="4:17" x14ac:dyDescent="0.25">
      <c r="K45" s="4"/>
      <c r="Q45" s="4"/>
    </row>
    <row r="46" spans="4:17" x14ac:dyDescent="0.25">
      <c r="K46" s="4"/>
      <c r="Q46" s="4"/>
    </row>
    <row r="47" spans="4:17" x14ac:dyDescent="0.25">
      <c r="K47" s="4"/>
      <c r="Q47" s="4"/>
    </row>
    <row r="48" spans="4:17" x14ac:dyDescent="0.25">
      <c r="K48" s="4"/>
      <c r="Q48" s="4"/>
    </row>
    <row r="49" spans="11:17" x14ac:dyDescent="0.25">
      <c r="K49" s="4"/>
      <c r="Q49" s="4"/>
    </row>
    <row r="50" spans="11:17" x14ac:dyDescent="0.25">
      <c r="K50" s="4"/>
      <c r="Q50" s="4"/>
    </row>
    <row r="51" spans="11:17" x14ac:dyDescent="0.25">
      <c r="K51" s="4"/>
      <c r="Q51" s="4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  <row r="56" spans="11:17" x14ac:dyDescent="0.25">
      <c r="K56" s="4"/>
      <c r="Q56" s="4"/>
    </row>
    <row r="57" spans="11:17" x14ac:dyDescent="0.25">
      <c r="K57" s="4"/>
      <c r="Q57" s="4"/>
    </row>
    <row r="58" spans="11:17" x14ac:dyDescent="0.25">
      <c r="K58" s="4"/>
      <c r="Q58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247650</xdr:rowOff>
                  </from>
                  <to>
                    <xdr:col>10</xdr:col>
                    <xdr:colOff>419100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6">
    <pageSetUpPr fitToPage="1"/>
  </sheetPr>
  <dimension ref="A1:R55"/>
  <sheetViews>
    <sheetView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4"/>
      <c r="B1" s="24"/>
      <c r="C1" s="24"/>
      <c r="D1" s="28" t="s">
        <v>16</v>
      </c>
      <c r="E1" s="28"/>
      <c r="F1" s="28"/>
      <c r="G1" s="24"/>
      <c r="H1" s="24"/>
      <c r="I1" s="6"/>
      <c r="J1" s="6"/>
    </row>
    <row r="2" spans="1:18" ht="24.6" customHeight="1" x14ac:dyDescent="0.35">
      <c r="A2" s="29" t="str">
        <f>ChampionshipName</f>
        <v>Meisterschaftsname</v>
      </c>
      <c r="B2" s="29"/>
      <c r="C2" s="29"/>
      <c r="D2" s="29"/>
      <c r="E2" s="29"/>
      <c r="F2" s="29"/>
      <c r="G2" s="29"/>
      <c r="H2" s="29"/>
      <c r="I2" s="7"/>
      <c r="J2" s="7"/>
    </row>
    <row r="3" spans="1:18" ht="40.35" customHeight="1" x14ac:dyDescent="0.25">
      <c r="A3" s="27" t="s">
        <v>85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/>
      <c r="C5" s="11"/>
      <c r="D5" s="11"/>
      <c r="E5" s="11"/>
      <c r="F5" s="11"/>
      <c r="G5" s="11"/>
      <c r="H5" s="11"/>
      <c r="J5" s="1" t="str">
        <f>Judge1</f>
        <v>Wertung 1</v>
      </c>
      <c r="R5" s="4"/>
    </row>
    <row r="6" spans="1:18" ht="15.95" customHeight="1" x14ac:dyDescent="0.25">
      <c r="A6" s="15">
        <v>2</v>
      </c>
      <c r="B6" s="12"/>
      <c r="C6" s="12"/>
      <c r="D6" s="12"/>
      <c r="E6" s="12"/>
      <c r="F6" s="12"/>
      <c r="G6" s="12"/>
      <c r="H6" s="12"/>
      <c r="J6" s="1" t="str">
        <f>Judge2</f>
        <v>Wertung 2</v>
      </c>
      <c r="R6" s="4"/>
    </row>
    <row r="7" spans="1:18" ht="15.95" customHeight="1" x14ac:dyDescent="0.25">
      <c r="A7" s="14">
        <v>3</v>
      </c>
      <c r="B7" s="11"/>
      <c r="C7" s="11"/>
      <c r="D7" s="11"/>
      <c r="E7" s="11"/>
      <c r="F7" s="11"/>
      <c r="G7" s="11"/>
      <c r="H7" s="11"/>
      <c r="J7" s="1" t="str">
        <f>JudgeHead</f>
        <v>Wertung 3 (H)</v>
      </c>
      <c r="R7" s="4"/>
    </row>
    <row r="8" spans="1:18" ht="15.95" customHeight="1" x14ac:dyDescent="0.25">
      <c r="A8" s="18">
        <v>4</v>
      </c>
      <c r="B8" s="19"/>
      <c r="C8" s="19"/>
      <c r="D8" s="19"/>
      <c r="E8" s="19"/>
      <c r="F8" s="19"/>
      <c r="G8" s="19"/>
      <c r="H8" s="19"/>
      <c r="J8" s="1" t="str">
        <f>Judge4</f>
        <v>Wertung 4</v>
      </c>
      <c r="R8" s="4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R9" s="4"/>
    </row>
    <row r="10" spans="1:18" ht="15.95" customHeight="1" x14ac:dyDescent="0.25">
      <c r="J10" s="1" t="str">
        <f>JudgeStandin</f>
        <v>Springer</v>
      </c>
      <c r="R10" s="4"/>
    </row>
    <row r="11" spans="1:18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R11" s="4"/>
    </row>
    <row r="12" spans="1:18" ht="15.95" customHeight="1" x14ac:dyDescent="0.25">
      <c r="E12" s="8"/>
      <c r="F12" s="9"/>
      <c r="G12" s="8"/>
      <c r="H12" s="9"/>
      <c r="J12" s="1" t="s">
        <v>12</v>
      </c>
      <c r="R12" s="4"/>
    </row>
    <row r="13" spans="1:18" ht="15.95" customHeight="1" x14ac:dyDescent="0.25">
      <c r="E13" s="8"/>
      <c r="F13" s="9"/>
      <c r="G13" s="8"/>
      <c r="H13" s="9"/>
      <c r="J13" s="1"/>
      <c r="R13" s="4"/>
    </row>
    <row r="14" spans="1:18" ht="15.95" customHeight="1" x14ac:dyDescent="0.25">
      <c r="J14" s="1"/>
      <c r="R14" s="4"/>
    </row>
    <row r="15" spans="1:18" ht="15.95" customHeight="1" x14ac:dyDescent="0.25">
      <c r="E15" s="8"/>
      <c r="F15" s="9"/>
      <c r="G15" s="8"/>
      <c r="H15" s="9"/>
      <c r="R15" s="4"/>
    </row>
    <row r="16" spans="1:18" x14ac:dyDescent="0.25">
      <c r="E16" s="8"/>
      <c r="F16" s="9"/>
      <c r="G16" s="8"/>
      <c r="H16" s="9"/>
      <c r="R16" s="4"/>
    </row>
    <row r="17" spans="4:10" x14ac:dyDescent="0.25">
      <c r="E17" s="8"/>
      <c r="F17" s="9"/>
      <c r="G17" s="8"/>
      <c r="H17" s="9"/>
    </row>
    <row r="18" spans="4:10" x14ac:dyDescent="0.25">
      <c r="E18" s="8"/>
      <c r="F18" s="9"/>
      <c r="G18" s="8"/>
      <c r="H18" s="9"/>
    </row>
    <row r="19" spans="4:10" x14ac:dyDescent="0.25">
      <c r="E19" s="8"/>
      <c r="F19" s="9"/>
      <c r="G19" s="8"/>
      <c r="H19" s="9"/>
      <c r="I19" s="9"/>
      <c r="J19" s="8"/>
    </row>
    <row r="20" spans="4:10" x14ac:dyDescent="0.25">
      <c r="E20" s="8"/>
      <c r="F20" s="9"/>
      <c r="G20" s="8"/>
      <c r="H20" s="9"/>
      <c r="I20" s="9"/>
      <c r="J20" s="8"/>
    </row>
    <row r="22" spans="4:10" x14ac:dyDescent="0.25">
      <c r="E22" s="8"/>
      <c r="F22" s="9"/>
      <c r="G22" s="8"/>
      <c r="H22" s="9"/>
    </row>
    <row r="24" spans="4:10" x14ac:dyDescent="0.25">
      <c r="E24" s="8"/>
      <c r="F24" s="9"/>
      <c r="G24" s="8"/>
      <c r="H24" s="9"/>
    </row>
    <row r="26" spans="4:10" x14ac:dyDescent="0.25">
      <c r="I26" s="4"/>
    </row>
    <row r="27" spans="4:10" x14ac:dyDescent="0.25">
      <c r="I27" s="4"/>
    </row>
    <row r="28" spans="4:10" x14ac:dyDescent="0.25">
      <c r="I28" s="4"/>
    </row>
    <row r="29" spans="4:10" x14ac:dyDescent="0.25">
      <c r="E29" s="8"/>
      <c r="F29" s="9"/>
      <c r="G29" s="8"/>
      <c r="H29" s="9"/>
      <c r="I29" s="4"/>
    </row>
    <row r="30" spans="4:10" x14ac:dyDescent="0.25">
      <c r="E30" s="8"/>
      <c r="F30" s="9"/>
      <c r="G30" s="8"/>
      <c r="H30" s="9"/>
      <c r="I30" s="4"/>
    </row>
    <row r="31" spans="4:10" x14ac:dyDescent="0.25">
      <c r="E31" s="8"/>
      <c r="F31" s="9"/>
      <c r="G31" s="8"/>
      <c r="H31" s="9"/>
      <c r="I31" s="4"/>
    </row>
    <row r="32" spans="4:10" x14ac:dyDescent="0.25">
      <c r="D32" s="4"/>
      <c r="I32" s="4"/>
    </row>
    <row r="33" spans="4:17" x14ac:dyDescent="0.25">
      <c r="D33" s="4"/>
      <c r="I33" s="4"/>
    </row>
    <row r="42" spans="4:17" x14ac:dyDescent="0.25">
      <c r="K42" s="4"/>
      <c r="Q42" s="4"/>
    </row>
    <row r="43" spans="4:17" x14ac:dyDescent="0.25">
      <c r="K43" s="4"/>
      <c r="Q43" s="4"/>
    </row>
    <row r="44" spans="4:17" x14ac:dyDescent="0.25">
      <c r="K44" s="4"/>
      <c r="Q44" s="4"/>
    </row>
    <row r="45" spans="4:17" x14ac:dyDescent="0.25">
      <c r="K45" s="4"/>
      <c r="Q45" s="4"/>
    </row>
    <row r="46" spans="4:17" x14ac:dyDescent="0.25">
      <c r="K46" s="4"/>
      <c r="Q46" s="4"/>
    </row>
    <row r="47" spans="4:17" x14ac:dyDescent="0.25">
      <c r="K47" s="4"/>
      <c r="Q47" s="4"/>
    </row>
    <row r="48" spans="4:17" x14ac:dyDescent="0.25">
      <c r="K48" s="4"/>
      <c r="Q48" s="4"/>
    </row>
    <row r="49" spans="11:17" x14ac:dyDescent="0.25">
      <c r="K49" s="4"/>
      <c r="Q49" s="4"/>
    </row>
    <row r="50" spans="11:17" x14ac:dyDescent="0.25">
      <c r="K50" s="4"/>
      <c r="Q50" s="4"/>
    </row>
    <row r="51" spans="11:17" x14ac:dyDescent="0.25">
      <c r="K51" s="4"/>
      <c r="Q51" s="4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247650</xdr:rowOff>
                  </from>
                  <to>
                    <xdr:col>10</xdr:col>
                    <xdr:colOff>428625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7">
    <pageSetUpPr fitToPage="1"/>
  </sheetPr>
  <dimension ref="A1:R62"/>
  <sheetViews>
    <sheetView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5"/>
      <c r="B1" s="25"/>
      <c r="C1" s="25"/>
      <c r="D1" s="30" t="s">
        <v>17</v>
      </c>
      <c r="E1" s="30"/>
      <c r="F1" s="30"/>
      <c r="G1" s="25"/>
      <c r="H1" s="25"/>
      <c r="I1" s="6"/>
      <c r="J1" s="6"/>
    </row>
    <row r="2" spans="1:18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ht="40.3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/>
      <c r="C5" s="11"/>
      <c r="D5" s="11"/>
      <c r="E5" s="11"/>
      <c r="F5" s="11"/>
      <c r="G5" s="11"/>
      <c r="H5" s="11"/>
      <c r="J5" s="1" t="str">
        <f>Judge1</f>
        <v>Wertung 1</v>
      </c>
      <c r="K5" s="11"/>
      <c r="L5" s="11"/>
      <c r="M5" s="11"/>
      <c r="R5" s="4"/>
    </row>
    <row r="6" spans="1:18" ht="15.95" customHeight="1" x14ac:dyDescent="0.25">
      <c r="A6" s="15">
        <v>2</v>
      </c>
      <c r="B6" s="12"/>
      <c r="C6" s="12"/>
      <c r="D6" s="12"/>
      <c r="E6" s="12"/>
      <c r="F6" s="12"/>
      <c r="G6" s="12"/>
      <c r="H6" s="12"/>
      <c r="J6" s="1" t="str">
        <f>Judge2</f>
        <v>Wertung 2</v>
      </c>
      <c r="R6" s="4"/>
    </row>
    <row r="7" spans="1:18" ht="15.95" customHeight="1" x14ac:dyDescent="0.25">
      <c r="A7" s="14">
        <v>3</v>
      </c>
      <c r="B7" s="11"/>
      <c r="C7" s="11"/>
      <c r="D7" s="11"/>
      <c r="E7" s="11"/>
      <c r="F7" s="11"/>
      <c r="G7" s="11"/>
      <c r="H7" s="11"/>
      <c r="J7" s="1" t="str">
        <f>JudgeHead</f>
        <v>Wertung 3 (H)</v>
      </c>
      <c r="R7" s="4"/>
    </row>
    <row r="8" spans="1:18" ht="15.95" customHeight="1" x14ac:dyDescent="0.25">
      <c r="A8" s="18">
        <v>4</v>
      </c>
      <c r="B8" s="19"/>
      <c r="C8" s="19"/>
      <c r="D8" s="19"/>
      <c r="E8" s="19"/>
      <c r="F8" s="19"/>
      <c r="G8" s="19"/>
      <c r="H8" s="19"/>
      <c r="J8" s="1" t="str">
        <f>Judge4</f>
        <v>Wertung 4</v>
      </c>
      <c r="R8" s="4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R9" s="4"/>
    </row>
    <row r="10" spans="1:18" ht="15.95" customHeight="1" x14ac:dyDescent="0.25">
      <c r="J10" s="1" t="str">
        <f>JudgeStandin</f>
        <v>Springer</v>
      </c>
      <c r="R10" s="4"/>
    </row>
    <row r="11" spans="1:18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R11" s="4"/>
    </row>
    <row r="12" spans="1:18" ht="15.95" customHeight="1" x14ac:dyDescent="0.25">
      <c r="E12" s="8"/>
      <c r="F12" s="9"/>
      <c r="G12" s="8"/>
      <c r="H12" s="9"/>
      <c r="J12" s="1"/>
      <c r="R12" s="4"/>
    </row>
    <row r="13" spans="1:18" ht="15.95" customHeight="1" x14ac:dyDescent="0.25">
      <c r="E13" s="8"/>
      <c r="F13" s="9"/>
      <c r="G13" s="8"/>
      <c r="H13" s="9"/>
      <c r="I13" s="21"/>
      <c r="J13" s="1"/>
      <c r="R13" s="4"/>
    </row>
    <row r="14" spans="1:18" ht="15.95" customHeight="1" x14ac:dyDescent="0.25">
      <c r="I14" s="21"/>
      <c r="J14" s="1"/>
      <c r="R14" s="4"/>
    </row>
    <row r="15" spans="1:18" x14ac:dyDescent="0.25">
      <c r="E15" s="8"/>
      <c r="F15" s="9"/>
      <c r="G15" s="8"/>
      <c r="H15" s="9"/>
      <c r="I15" s="21"/>
      <c r="R15" s="4"/>
    </row>
    <row r="16" spans="1:18" x14ac:dyDescent="0.25">
      <c r="E16" s="8"/>
      <c r="F16" s="9"/>
      <c r="G16" s="8"/>
      <c r="H16" s="9"/>
      <c r="I16" s="21"/>
      <c r="R16" s="4"/>
    </row>
    <row r="17" spans="5:18" x14ac:dyDescent="0.25">
      <c r="E17" s="8"/>
      <c r="F17" s="9"/>
      <c r="G17" s="8"/>
      <c r="H17" s="9"/>
      <c r="I17" s="21"/>
      <c r="R17" s="4"/>
    </row>
    <row r="18" spans="5:18" x14ac:dyDescent="0.25">
      <c r="E18" s="8"/>
      <c r="F18" s="9"/>
      <c r="G18" s="8"/>
      <c r="H18" s="9"/>
      <c r="I18" s="21"/>
      <c r="R18" s="4"/>
    </row>
    <row r="19" spans="5:18" x14ac:dyDescent="0.25">
      <c r="E19" s="8"/>
      <c r="F19" s="9"/>
      <c r="G19" s="8"/>
      <c r="H19" s="9"/>
      <c r="I19" s="21"/>
    </row>
    <row r="20" spans="5:18" x14ac:dyDescent="0.25">
      <c r="E20" s="8"/>
      <c r="F20" s="9"/>
      <c r="G20" s="8"/>
      <c r="H20" s="9"/>
      <c r="I20" s="21"/>
    </row>
    <row r="21" spans="5:18" x14ac:dyDescent="0.25">
      <c r="I21" s="21"/>
    </row>
    <row r="22" spans="5:18" x14ac:dyDescent="0.25">
      <c r="E22" s="8"/>
      <c r="F22" s="9"/>
      <c r="G22" s="8"/>
      <c r="H22" s="9"/>
      <c r="I22" s="21"/>
    </row>
    <row r="23" spans="5:18" x14ac:dyDescent="0.25">
      <c r="I23" s="21"/>
    </row>
    <row r="24" spans="5:18" x14ac:dyDescent="0.25">
      <c r="E24" s="8"/>
      <c r="F24" s="9"/>
      <c r="G24" s="8"/>
      <c r="H24" s="9"/>
      <c r="I24" s="21"/>
    </row>
    <row r="25" spans="5:18" x14ac:dyDescent="0.25">
      <c r="I25" s="21"/>
    </row>
    <row r="26" spans="5:18" x14ac:dyDescent="0.25">
      <c r="I26" s="21"/>
    </row>
    <row r="29" spans="5:18" x14ac:dyDescent="0.25">
      <c r="E29" s="8"/>
      <c r="F29" s="9"/>
      <c r="G29" s="8"/>
      <c r="H29" s="9"/>
    </row>
    <row r="30" spans="5:18" x14ac:dyDescent="0.25">
      <c r="E30" s="8"/>
      <c r="F30" s="9"/>
      <c r="G30" s="8"/>
      <c r="H30" s="9"/>
    </row>
    <row r="31" spans="5:18" x14ac:dyDescent="0.25">
      <c r="E31" s="8"/>
      <c r="F31" s="9"/>
      <c r="G31" s="8"/>
      <c r="H31" s="9"/>
    </row>
    <row r="33" spans="4:9" x14ac:dyDescent="0.25">
      <c r="D33" s="4"/>
      <c r="I33" s="4"/>
    </row>
    <row r="34" spans="4:9" x14ac:dyDescent="0.25">
      <c r="D34" s="4"/>
      <c r="I34" s="4"/>
    </row>
    <row r="35" spans="4:9" x14ac:dyDescent="0.25">
      <c r="D35" s="4"/>
      <c r="I35" s="4"/>
    </row>
    <row r="36" spans="4:9" x14ac:dyDescent="0.25">
      <c r="D36" s="4"/>
      <c r="I36" s="4"/>
    </row>
    <row r="37" spans="4:9" x14ac:dyDescent="0.25">
      <c r="D37" s="4"/>
      <c r="I37" s="4"/>
    </row>
    <row r="38" spans="4:9" x14ac:dyDescent="0.25">
      <c r="D38" s="4"/>
      <c r="I38" s="4"/>
    </row>
    <row r="39" spans="4:9" x14ac:dyDescent="0.25">
      <c r="D39" s="4"/>
      <c r="I39" s="4"/>
    </row>
    <row r="40" spans="4:9" x14ac:dyDescent="0.25">
      <c r="D40" s="4"/>
      <c r="I40" s="4"/>
    </row>
    <row r="49" spans="11:17" x14ac:dyDescent="0.25">
      <c r="K49" s="4"/>
      <c r="Q49" s="4"/>
    </row>
    <row r="50" spans="11:17" x14ac:dyDescent="0.25">
      <c r="K50" s="4"/>
      <c r="Q50" s="4"/>
    </row>
    <row r="51" spans="11:17" x14ac:dyDescent="0.25">
      <c r="K51" s="4"/>
      <c r="Q51" s="4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  <row r="56" spans="11:17" x14ac:dyDescent="0.25">
      <c r="K56" s="4"/>
      <c r="Q56" s="4"/>
    </row>
    <row r="57" spans="11:17" x14ac:dyDescent="0.25">
      <c r="K57" s="4"/>
      <c r="Q57" s="4"/>
    </row>
    <row r="58" spans="11:17" x14ac:dyDescent="0.25">
      <c r="K58" s="4"/>
      <c r="Q58" s="4"/>
    </row>
    <row r="59" spans="11:17" x14ac:dyDescent="0.25">
      <c r="K59" s="4"/>
      <c r="Q59" s="4"/>
    </row>
    <row r="60" spans="11:17" x14ac:dyDescent="0.25">
      <c r="K60" s="4"/>
      <c r="Q60" s="4"/>
    </row>
    <row r="61" spans="11:17" x14ac:dyDescent="0.25">
      <c r="K61" s="4"/>
      <c r="Q61" s="4"/>
    </row>
    <row r="62" spans="11:17" x14ac:dyDescent="0.25">
      <c r="K62" s="4"/>
      <c r="Q62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266700</xdr:rowOff>
                  </from>
                  <to>
                    <xdr:col>10</xdr:col>
                    <xdr:colOff>428625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8">
    <pageSetUpPr fitToPage="1"/>
  </sheetPr>
  <dimension ref="A1:R49"/>
  <sheetViews>
    <sheetView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4"/>
      <c r="B1" s="24"/>
      <c r="C1" s="24"/>
      <c r="D1" s="28" t="s">
        <v>18</v>
      </c>
      <c r="E1" s="28"/>
      <c r="F1" s="28"/>
      <c r="G1" s="24"/>
      <c r="H1" s="24"/>
      <c r="I1" s="6"/>
      <c r="J1" s="6"/>
    </row>
    <row r="2" spans="1:18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ht="40.35" customHeight="1" x14ac:dyDescent="0.25">
      <c r="A3" s="27" t="s">
        <v>85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/>
      <c r="C5" s="11"/>
      <c r="D5" s="11"/>
      <c r="E5" s="11"/>
      <c r="F5" s="11"/>
      <c r="G5" s="11"/>
      <c r="H5" s="11"/>
      <c r="J5" s="1" t="str">
        <f>Judge1</f>
        <v>Wertung 1</v>
      </c>
      <c r="R5" s="4"/>
    </row>
    <row r="6" spans="1:18" ht="15.95" customHeight="1" x14ac:dyDescent="0.25">
      <c r="A6" s="15">
        <v>2</v>
      </c>
      <c r="B6" s="12"/>
      <c r="C6" s="12"/>
      <c r="D6" s="12"/>
      <c r="E6" s="12"/>
      <c r="F6" s="12"/>
      <c r="G6" s="12"/>
      <c r="H6" s="12"/>
      <c r="J6" s="1" t="str">
        <f>Judge2</f>
        <v>Wertung 2</v>
      </c>
      <c r="R6" s="4"/>
    </row>
    <row r="7" spans="1:18" ht="15.95" customHeight="1" x14ac:dyDescent="0.25">
      <c r="A7" s="14">
        <v>3</v>
      </c>
      <c r="B7" s="11"/>
      <c r="C7" s="11"/>
      <c r="D7" s="11"/>
      <c r="E7" s="11"/>
      <c r="F7" s="11"/>
      <c r="G7" s="11"/>
      <c r="H7" s="11"/>
      <c r="J7" s="1" t="str">
        <f>JudgeHead</f>
        <v>Wertung 3 (H)</v>
      </c>
      <c r="R7" s="4"/>
    </row>
    <row r="8" spans="1:18" ht="15.95" customHeight="1" x14ac:dyDescent="0.25">
      <c r="A8" s="18">
        <v>4</v>
      </c>
      <c r="B8" s="19"/>
      <c r="C8" s="19"/>
      <c r="D8" s="19"/>
      <c r="E8" s="19"/>
      <c r="F8" s="19"/>
      <c r="G8" s="19"/>
      <c r="H8" s="19"/>
      <c r="J8" s="1" t="str">
        <f>Judge4</f>
        <v>Wertung 4</v>
      </c>
      <c r="R8" s="4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R9" s="4"/>
    </row>
    <row r="10" spans="1:18" ht="15.95" customHeight="1" x14ac:dyDescent="0.25">
      <c r="J10" s="1" t="s">
        <v>10</v>
      </c>
      <c r="R10" s="4"/>
    </row>
    <row r="11" spans="1:18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R11" s="4"/>
    </row>
    <row r="12" spans="1:18" ht="15.95" customHeight="1" x14ac:dyDescent="0.25">
      <c r="E12" s="8"/>
      <c r="F12" s="9"/>
      <c r="G12" s="8"/>
      <c r="H12" s="9"/>
      <c r="J12" s="1" t="s">
        <v>78</v>
      </c>
      <c r="R12" s="4"/>
    </row>
    <row r="13" spans="1:18" x14ac:dyDescent="0.25">
      <c r="E13" s="8"/>
      <c r="F13" s="9"/>
      <c r="G13" s="8"/>
      <c r="H13" s="9"/>
      <c r="R13" s="4"/>
    </row>
    <row r="14" spans="1:18" x14ac:dyDescent="0.25">
      <c r="J14" s="1"/>
      <c r="R14" s="4"/>
    </row>
    <row r="15" spans="1:18" x14ac:dyDescent="0.25">
      <c r="E15" s="8"/>
      <c r="F15" s="9"/>
      <c r="G15" s="8"/>
      <c r="H15" s="9"/>
      <c r="R15" s="4"/>
    </row>
    <row r="16" spans="1:18" x14ac:dyDescent="0.25">
      <c r="E16" s="8"/>
      <c r="F16" s="9"/>
      <c r="G16" s="8"/>
      <c r="H16" s="9"/>
    </row>
    <row r="17" spans="5:9" x14ac:dyDescent="0.25">
      <c r="E17" s="8"/>
      <c r="F17" s="9"/>
      <c r="G17" s="8"/>
      <c r="H17" s="9"/>
    </row>
    <row r="18" spans="5:9" x14ac:dyDescent="0.25">
      <c r="E18" s="8"/>
      <c r="F18" s="9"/>
      <c r="G18" s="8"/>
      <c r="H18" s="9"/>
    </row>
    <row r="19" spans="5:9" x14ac:dyDescent="0.25">
      <c r="E19" s="8"/>
      <c r="F19" s="9"/>
      <c r="G19" s="8"/>
      <c r="H19" s="9"/>
    </row>
    <row r="20" spans="5:9" x14ac:dyDescent="0.25">
      <c r="E20" s="8"/>
      <c r="F20" s="9"/>
      <c r="G20" s="8"/>
      <c r="H20" s="9"/>
    </row>
    <row r="21" spans="5:9" x14ac:dyDescent="0.25">
      <c r="I21" s="4"/>
    </row>
    <row r="22" spans="5:9" x14ac:dyDescent="0.25">
      <c r="E22" s="8"/>
      <c r="F22" s="9"/>
      <c r="G22" s="8"/>
      <c r="H22" s="9"/>
      <c r="I22" s="4"/>
    </row>
    <row r="23" spans="5:9" x14ac:dyDescent="0.25">
      <c r="I23" s="4"/>
    </row>
    <row r="24" spans="5:9" x14ac:dyDescent="0.25">
      <c r="E24" s="8"/>
      <c r="F24" s="9"/>
      <c r="G24" s="8"/>
      <c r="H24" s="9"/>
      <c r="I24" s="4"/>
    </row>
    <row r="25" spans="5:9" x14ac:dyDescent="0.25">
      <c r="I25" s="4"/>
    </row>
    <row r="26" spans="5:9" x14ac:dyDescent="0.25">
      <c r="I26" s="4"/>
    </row>
    <row r="27" spans="5:9" x14ac:dyDescent="0.25">
      <c r="I27" s="4"/>
    </row>
    <row r="29" spans="5:9" x14ac:dyDescent="0.25">
      <c r="E29" s="8"/>
      <c r="F29" s="9"/>
      <c r="G29" s="8"/>
      <c r="H29" s="9"/>
    </row>
    <row r="30" spans="5:9" x14ac:dyDescent="0.25">
      <c r="E30" s="8"/>
      <c r="F30" s="9"/>
      <c r="G30" s="8"/>
      <c r="H30" s="9"/>
    </row>
    <row r="31" spans="5:9" x14ac:dyDescent="0.25">
      <c r="E31" s="8"/>
      <c r="F31" s="9"/>
      <c r="G31" s="8"/>
      <c r="H31" s="9"/>
    </row>
    <row r="36" spans="11:17" x14ac:dyDescent="0.25">
      <c r="K36" s="4"/>
      <c r="Q36" s="4"/>
    </row>
    <row r="37" spans="11:17" x14ac:dyDescent="0.25">
      <c r="K37" s="4"/>
      <c r="Q37" s="4"/>
    </row>
    <row r="38" spans="11:17" x14ac:dyDescent="0.25">
      <c r="K38" s="4"/>
      <c r="Q38" s="4"/>
    </row>
    <row r="39" spans="11:17" x14ac:dyDescent="0.25">
      <c r="K39" s="4"/>
      <c r="Q39" s="4"/>
    </row>
    <row r="40" spans="11:17" x14ac:dyDescent="0.25">
      <c r="K40" s="4"/>
      <c r="Q40" s="4"/>
    </row>
    <row r="41" spans="11:17" x14ac:dyDescent="0.25">
      <c r="K41" s="4"/>
      <c r="Q41" s="4"/>
    </row>
    <row r="42" spans="11:17" x14ac:dyDescent="0.25">
      <c r="K42" s="4"/>
      <c r="Q42" s="4"/>
    </row>
    <row r="43" spans="11:17" x14ac:dyDescent="0.25">
      <c r="K43" s="4"/>
      <c r="Q43" s="4"/>
    </row>
    <row r="44" spans="11:17" x14ac:dyDescent="0.25">
      <c r="K44" s="4"/>
      <c r="Q44" s="4"/>
    </row>
    <row r="45" spans="11:17" x14ac:dyDescent="0.25">
      <c r="K45" s="4"/>
      <c r="Q45" s="4"/>
    </row>
    <row r="46" spans="11:17" x14ac:dyDescent="0.25">
      <c r="K46" s="4"/>
      <c r="Q46" s="4"/>
    </row>
    <row r="47" spans="11:17" x14ac:dyDescent="0.25">
      <c r="K47" s="4"/>
      <c r="Q47" s="4"/>
    </row>
    <row r="48" spans="11:17" x14ac:dyDescent="0.25">
      <c r="K48" s="4"/>
      <c r="Q48" s="4"/>
    </row>
    <row r="49" spans="11:17" x14ac:dyDescent="0.25">
      <c r="K49" s="4"/>
      <c r="Q49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19050</xdr:colOff>
                    <xdr:row>2</xdr:row>
                    <xdr:rowOff>257175</xdr:rowOff>
                  </from>
                  <to>
                    <xdr:col>10</xdr:col>
                    <xdr:colOff>447675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3AD5C-470A-48A5-88F0-C89DE5253560}">
  <sheetPr codeName="Tabelle2">
    <pageSetUpPr fitToPage="1"/>
  </sheetPr>
  <dimension ref="A1:R63"/>
  <sheetViews>
    <sheetView zoomScaleNormal="100" zoomScalePageLayoutView="70"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4"/>
      <c r="B1" s="24"/>
      <c r="C1" s="24"/>
      <c r="D1" s="28" t="s">
        <v>111</v>
      </c>
      <c r="E1" s="28"/>
      <c r="F1" s="28"/>
      <c r="G1" s="24"/>
      <c r="H1" s="24"/>
      <c r="I1" s="6"/>
      <c r="J1" s="6"/>
    </row>
    <row r="2" spans="1:18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s="10" customFormat="1" ht="40.1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/>
      <c r="C5" s="11"/>
      <c r="D5" s="11"/>
      <c r="E5" s="11"/>
      <c r="F5" s="11"/>
      <c r="G5" s="11"/>
      <c r="H5" s="11"/>
      <c r="J5" s="1" t="str">
        <f>Judge1</f>
        <v>Wertung 1</v>
      </c>
    </row>
    <row r="6" spans="1:18" ht="15.95" customHeight="1" x14ac:dyDescent="0.25">
      <c r="A6" s="15">
        <v>2</v>
      </c>
      <c r="B6" s="12"/>
      <c r="C6" s="12"/>
      <c r="D6" s="12"/>
      <c r="E6" s="12"/>
      <c r="F6" s="12"/>
      <c r="G6" s="12"/>
      <c r="H6" s="12"/>
      <c r="J6" s="1" t="str">
        <f>Judge2</f>
        <v>Wertung 2</v>
      </c>
    </row>
    <row r="7" spans="1:18" ht="15.95" customHeight="1" x14ac:dyDescent="0.25">
      <c r="A7" s="14">
        <v>3</v>
      </c>
      <c r="B7" s="11"/>
      <c r="C7" s="11"/>
      <c r="D7" s="11"/>
      <c r="E7" s="11"/>
      <c r="F7" s="11"/>
      <c r="G7" s="11"/>
      <c r="H7" s="11"/>
      <c r="J7" s="1" t="str">
        <f>JudgeHead</f>
        <v>Wertung 3 (H)</v>
      </c>
      <c r="R7" s="20"/>
    </row>
    <row r="8" spans="1:18" ht="15.95" customHeight="1" x14ac:dyDescent="0.25">
      <c r="A8" s="18">
        <v>4</v>
      </c>
      <c r="B8" s="19"/>
      <c r="C8" s="19"/>
      <c r="D8" s="19"/>
      <c r="E8" s="19"/>
      <c r="F8" s="19"/>
      <c r="G8" s="19"/>
      <c r="H8" s="19"/>
      <c r="J8" s="1" t="str">
        <f>Judge4</f>
        <v>Wertung 4</v>
      </c>
      <c r="R8" s="20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R9" s="20"/>
    </row>
    <row r="10" spans="1:18" ht="15.95" customHeight="1" x14ac:dyDescent="0.25">
      <c r="J10" s="1" t="str">
        <f>JudgeStandin</f>
        <v>Springer</v>
      </c>
      <c r="R10" s="20"/>
    </row>
    <row r="11" spans="1:18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R11" s="20"/>
    </row>
    <row r="12" spans="1:18" ht="15.95" customHeight="1" x14ac:dyDescent="0.25">
      <c r="E12" s="8"/>
      <c r="F12" s="9"/>
      <c r="G12" s="8"/>
      <c r="H12" s="9"/>
      <c r="J12" s="1" t="s">
        <v>77</v>
      </c>
      <c r="R12" s="20"/>
    </row>
    <row r="13" spans="1:18" ht="15.95" customHeight="1" x14ac:dyDescent="0.25">
      <c r="E13" s="8"/>
      <c r="F13" s="9"/>
      <c r="G13" s="8"/>
      <c r="H13" s="9"/>
      <c r="J13" s="1" t="s">
        <v>78</v>
      </c>
      <c r="K13" s="20"/>
      <c r="L13" s="20"/>
      <c r="M13" s="20"/>
      <c r="R13" s="20"/>
    </row>
    <row r="14" spans="1:18" ht="15.95" customHeight="1" x14ac:dyDescent="0.25">
      <c r="J14" s="1"/>
      <c r="L14" s="20"/>
      <c r="M14" s="20"/>
      <c r="R14" s="20"/>
    </row>
    <row r="15" spans="1:18" ht="15.95" customHeight="1" x14ac:dyDescent="0.25">
      <c r="E15" s="8"/>
      <c r="F15" s="9"/>
      <c r="G15" s="8"/>
      <c r="H15" s="9"/>
      <c r="R15" s="20"/>
    </row>
    <row r="16" spans="1:18" ht="15.95" customHeight="1" x14ac:dyDescent="0.25">
      <c r="E16" s="8"/>
      <c r="F16" s="9"/>
      <c r="G16" s="8"/>
      <c r="H16" s="9"/>
    </row>
    <row r="17" spans="5:10" ht="15.95" customHeight="1" x14ac:dyDescent="0.25">
      <c r="E17" s="8"/>
      <c r="F17" s="9"/>
      <c r="G17" s="8"/>
      <c r="H17" s="9"/>
    </row>
    <row r="18" spans="5:10" x14ac:dyDescent="0.25">
      <c r="E18" s="8"/>
      <c r="F18" s="9"/>
      <c r="G18" s="8"/>
      <c r="H18" s="9"/>
    </row>
    <row r="19" spans="5:10" x14ac:dyDescent="0.25">
      <c r="E19" s="8"/>
      <c r="F19" s="9"/>
      <c r="G19" s="8"/>
      <c r="H19" s="9"/>
    </row>
    <row r="21" spans="5:10" x14ac:dyDescent="0.25">
      <c r="E21" s="8"/>
      <c r="F21" s="9"/>
      <c r="G21" s="8"/>
      <c r="H21" s="9"/>
    </row>
    <row r="22" spans="5:10" x14ac:dyDescent="0.25">
      <c r="I22" s="9"/>
      <c r="J22" s="8"/>
    </row>
    <row r="23" spans="5:10" x14ac:dyDescent="0.25">
      <c r="E23" s="8"/>
      <c r="F23" s="9"/>
      <c r="G23" s="8"/>
      <c r="H23" s="9"/>
      <c r="I23" s="9"/>
      <c r="J23" s="8"/>
    </row>
    <row r="24" spans="5:10" x14ac:dyDescent="0.25">
      <c r="I24" s="9"/>
      <c r="J24" s="8"/>
    </row>
    <row r="25" spans="5:10" x14ac:dyDescent="0.25">
      <c r="I25" s="9"/>
      <c r="J25" s="8"/>
    </row>
    <row r="26" spans="5:10" x14ac:dyDescent="0.25">
      <c r="I26" s="9"/>
      <c r="J26" s="8"/>
    </row>
    <row r="27" spans="5:10" x14ac:dyDescent="0.25">
      <c r="I27" s="9"/>
      <c r="J27" s="8"/>
    </row>
    <row r="28" spans="5:10" x14ac:dyDescent="0.25">
      <c r="E28" s="8"/>
      <c r="F28" s="9"/>
      <c r="G28" s="8"/>
      <c r="H28" s="9"/>
      <c r="I28" s="9"/>
      <c r="J28" s="8"/>
    </row>
    <row r="29" spans="5:10" x14ac:dyDescent="0.25">
      <c r="E29" s="8"/>
      <c r="F29" s="9"/>
      <c r="G29" s="8"/>
      <c r="H29" s="9"/>
      <c r="I29" s="9"/>
      <c r="J29" s="8"/>
    </row>
    <row r="30" spans="5:10" x14ac:dyDescent="0.25">
      <c r="E30" s="8"/>
      <c r="F30" s="9"/>
      <c r="G30" s="8"/>
      <c r="H30" s="9"/>
      <c r="I30" s="9"/>
      <c r="J30" s="8"/>
    </row>
    <row r="31" spans="5:10" x14ac:dyDescent="0.25">
      <c r="E31" s="8"/>
      <c r="F31" s="9"/>
      <c r="G31" s="8"/>
      <c r="H31" s="9"/>
      <c r="I31" s="9"/>
      <c r="J31" s="8"/>
    </row>
    <row r="33" spans="5:10" x14ac:dyDescent="0.25">
      <c r="E33" s="8"/>
      <c r="F33" s="9"/>
      <c r="G33" s="8"/>
      <c r="H33" s="9"/>
      <c r="I33" s="9"/>
      <c r="J33" s="8"/>
    </row>
    <row r="35" spans="5:10" x14ac:dyDescent="0.25">
      <c r="E35" s="8"/>
      <c r="F35" s="9"/>
      <c r="G35" s="8"/>
      <c r="H35" s="9"/>
      <c r="I35" s="9"/>
      <c r="J35" s="8"/>
    </row>
    <row r="50" spans="11:17" x14ac:dyDescent="0.25">
      <c r="K50" s="4"/>
      <c r="Q50" s="4"/>
    </row>
    <row r="51" spans="11:17" x14ac:dyDescent="0.25">
      <c r="K51" s="4"/>
      <c r="Q51" s="4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  <row r="56" spans="11:17" x14ac:dyDescent="0.25">
      <c r="K56" s="4"/>
      <c r="Q56" s="4"/>
    </row>
    <row r="57" spans="11:17" x14ac:dyDescent="0.25">
      <c r="K57" s="4"/>
      <c r="Q57" s="4"/>
    </row>
    <row r="58" spans="11:17" x14ac:dyDescent="0.25">
      <c r="K58" s="4"/>
      <c r="Q58" s="4"/>
    </row>
    <row r="59" spans="11:17" x14ac:dyDescent="0.25">
      <c r="K59" s="4"/>
      <c r="Q59" s="4"/>
    </row>
    <row r="60" spans="11:17" x14ac:dyDescent="0.25">
      <c r="K60" s="4"/>
      <c r="Q60" s="4"/>
    </row>
    <row r="61" spans="11:17" x14ac:dyDescent="0.25">
      <c r="K61" s="4"/>
      <c r="Q61" s="4"/>
    </row>
    <row r="62" spans="11:17" x14ac:dyDescent="0.25">
      <c r="K62" s="4"/>
      <c r="Q62" s="4"/>
    </row>
    <row r="63" spans="11:17" x14ac:dyDescent="0.25">
      <c r="K63" s="4"/>
      <c r="Q63" s="4"/>
    </row>
  </sheetData>
  <dataConsolidate/>
  <mergeCells count="3">
    <mergeCell ref="D1:F1"/>
    <mergeCell ref="A2:H2"/>
    <mergeCell ref="A3:H3"/>
  </mergeCells>
  <pageMargins left="0.7" right="0.7" top="0.78740157499999996" bottom="0.78740157499999996" header="0.3" footer="0.3"/>
  <pageSetup paperSize="9" scale="8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9525</xdr:colOff>
                    <xdr:row>2</xdr:row>
                    <xdr:rowOff>247650</xdr:rowOff>
                  </from>
                  <to>
                    <xdr:col>10</xdr:col>
                    <xdr:colOff>419100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4"/>
  <dimension ref="A1:L203"/>
  <sheetViews>
    <sheetView workbookViewId="0"/>
  </sheetViews>
  <sheetFormatPr baseColWidth="10" defaultColWidth="11.5703125" defaultRowHeight="15" x14ac:dyDescent="0.25"/>
  <cols>
    <col min="1" max="1" width="23.140625" bestFit="1" customWidth="1"/>
    <col min="2" max="2" width="36.140625" style="5" bestFit="1" customWidth="1"/>
  </cols>
  <sheetData>
    <row r="1" spans="1:12" x14ac:dyDescent="0.25">
      <c r="A1" s="1" t="s">
        <v>36</v>
      </c>
      <c r="B1" s="5" t="s">
        <v>79</v>
      </c>
      <c r="L1" t="s">
        <v>23</v>
      </c>
    </row>
    <row r="3" spans="1:12" ht="15.75" x14ac:dyDescent="0.25">
      <c r="A3" t="s">
        <v>38</v>
      </c>
      <c r="B3" s="22" t="s">
        <v>99</v>
      </c>
      <c r="C3">
        <v>1</v>
      </c>
    </row>
    <row r="4" spans="1:12" ht="15.75" x14ac:dyDescent="0.25">
      <c r="A4" s="3" t="s">
        <v>39</v>
      </c>
      <c r="B4" s="22" t="s">
        <v>13</v>
      </c>
      <c r="C4">
        <v>2</v>
      </c>
    </row>
    <row r="5" spans="1:12" x14ac:dyDescent="0.25">
      <c r="A5" t="s">
        <v>66</v>
      </c>
      <c r="B5" s="5" t="s">
        <v>40</v>
      </c>
      <c r="C5" s="3">
        <v>3</v>
      </c>
    </row>
    <row r="6" spans="1:12" ht="15.75" x14ac:dyDescent="0.25">
      <c r="A6" t="s">
        <v>37</v>
      </c>
      <c r="B6" s="23" t="s">
        <v>100</v>
      </c>
      <c r="C6" s="3">
        <v>4</v>
      </c>
    </row>
    <row r="7" spans="1:12" x14ac:dyDescent="0.25">
      <c r="A7" t="s">
        <v>67</v>
      </c>
      <c r="B7" s="5" t="s">
        <v>41</v>
      </c>
      <c r="C7" s="3">
        <v>5</v>
      </c>
      <c r="G7" t="s">
        <v>103</v>
      </c>
    </row>
    <row r="8" spans="1:12" ht="15.75" x14ac:dyDescent="0.25">
      <c r="A8" t="s">
        <v>24</v>
      </c>
      <c r="B8" s="5" t="s">
        <v>5</v>
      </c>
      <c r="C8" s="3">
        <v>6</v>
      </c>
      <c r="G8" t="s">
        <v>104</v>
      </c>
      <c r="H8" s="23" t="s">
        <v>106</v>
      </c>
    </row>
    <row r="9" spans="1:12" x14ac:dyDescent="0.25">
      <c r="A9" t="s">
        <v>25</v>
      </c>
      <c r="B9" s="5" t="s">
        <v>6</v>
      </c>
      <c r="C9" s="3">
        <v>7</v>
      </c>
      <c r="G9" t="s">
        <v>107</v>
      </c>
      <c r="H9" s="3" t="s">
        <v>108</v>
      </c>
      <c r="I9" s="3" t="s">
        <v>108</v>
      </c>
      <c r="J9" s="3" t="s">
        <v>109</v>
      </c>
    </row>
    <row r="10" spans="1:12" x14ac:dyDescent="0.25">
      <c r="A10" t="s">
        <v>27</v>
      </c>
      <c r="B10" s="5" t="s">
        <v>9</v>
      </c>
      <c r="C10" s="3">
        <v>8</v>
      </c>
      <c r="I10" t="s">
        <v>105</v>
      </c>
    </row>
    <row r="11" spans="1:12" x14ac:dyDescent="0.25">
      <c r="A11" t="s">
        <v>26</v>
      </c>
      <c r="B11" s="5" t="s">
        <v>7</v>
      </c>
      <c r="C11" s="3">
        <v>9</v>
      </c>
    </row>
    <row r="12" spans="1:12" x14ac:dyDescent="0.25">
      <c r="A12" t="s">
        <v>28</v>
      </c>
      <c r="B12" s="5" t="s">
        <v>8</v>
      </c>
      <c r="C12" s="3">
        <v>10</v>
      </c>
    </row>
    <row r="13" spans="1:12" x14ac:dyDescent="0.25">
      <c r="A13" t="s">
        <v>29</v>
      </c>
      <c r="B13" s="5" t="s">
        <v>10</v>
      </c>
      <c r="C13" s="3">
        <v>11</v>
      </c>
    </row>
    <row r="14" spans="1:12" x14ac:dyDescent="0.25">
      <c r="A14" t="s">
        <v>30</v>
      </c>
      <c r="B14" s="5" t="s">
        <v>2</v>
      </c>
      <c r="C14" s="3">
        <v>12</v>
      </c>
    </row>
    <row r="15" spans="1:12" x14ac:dyDescent="0.25">
      <c r="A15" t="s">
        <v>31</v>
      </c>
      <c r="B15" s="5" t="s">
        <v>12</v>
      </c>
      <c r="C15" s="3">
        <v>13</v>
      </c>
    </row>
    <row r="16" spans="1:12" x14ac:dyDescent="0.25">
      <c r="A16" t="s">
        <v>32</v>
      </c>
      <c r="B16" s="5" t="s">
        <v>20</v>
      </c>
      <c r="C16" s="3">
        <v>14</v>
      </c>
    </row>
    <row r="17" spans="1:8" x14ac:dyDescent="0.25">
      <c r="A17" s="3" t="s">
        <v>33</v>
      </c>
      <c r="B17" s="5" t="s">
        <v>21</v>
      </c>
      <c r="C17" s="3">
        <v>15</v>
      </c>
    </row>
    <row r="18" spans="1:8" x14ac:dyDescent="0.25">
      <c r="A18" t="s">
        <v>35</v>
      </c>
      <c r="B18" s="5" t="s">
        <v>3</v>
      </c>
      <c r="C18" s="3">
        <v>16</v>
      </c>
    </row>
    <row r="19" spans="1:8" x14ac:dyDescent="0.25">
      <c r="A19" t="s">
        <v>0</v>
      </c>
      <c r="B19" t="s">
        <v>0</v>
      </c>
      <c r="C19" s="3">
        <v>17</v>
      </c>
    </row>
    <row r="20" spans="1:8" x14ac:dyDescent="0.25">
      <c r="A20" s="3" t="s">
        <v>70</v>
      </c>
      <c r="B20" t="s">
        <v>1</v>
      </c>
      <c r="C20" s="3">
        <v>18</v>
      </c>
    </row>
    <row r="21" spans="1:8" x14ac:dyDescent="0.25">
      <c r="A21" s="3" t="s">
        <v>34</v>
      </c>
      <c r="B21" s="5" t="s">
        <v>4</v>
      </c>
      <c r="C21" s="3">
        <v>19</v>
      </c>
    </row>
    <row r="22" spans="1:8" x14ac:dyDescent="0.25">
      <c r="A22" t="s">
        <v>68</v>
      </c>
      <c r="B22" s="5" t="s">
        <v>69</v>
      </c>
      <c r="C22" s="3">
        <v>20</v>
      </c>
    </row>
    <row r="23" spans="1:8" x14ac:dyDescent="0.25">
      <c r="A23" t="s">
        <v>42</v>
      </c>
      <c r="B23" s="5" t="s">
        <v>43</v>
      </c>
      <c r="C23" s="3">
        <v>21</v>
      </c>
    </row>
    <row r="24" spans="1:8" x14ac:dyDescent="0.25">
      <c r="A24" t="s">
        <v>19</v>
      </c>
      <c r="B24" s="5" t="s">
        <v>22</v>
      </c>
      <c r="C24" s="3">
        <v>22</v>
      </c>
    </row>
    <row r="25" spans="1:8" x14ac:dyDescent="0.25">
      <c r="A25" s="16" t="s">
        <v>44</v>
      </c>
      <c r="B25" s="16" t="s">
        <v>45</v>
      </c>
      <c r="C25" s="3">
        <v>23</v>
      </c>
    </row>
    <row r="26" spans="1:8" x14ac:dyDescent="0.25">
      <c r="A26" s="17" t="s">
        <v>71</v>
      </c>
      <c r="B26" s="16" t="s">
        <v>46</v>
      </c>
      <c r="C26" s="3">
        <v>24</v>
      </c>
    </row>
    <row r="27" spans="1:8" x14ac:dyDescent="0.25">
      <c r="A27" s="17" t="s">
        <v>72</v>
      </c>
      <c r="B27" s="16" t="s">
        <v>47</v>
      </c>
      <c r="C27" s="3">
        <v>25</v>
      </c>
    </row>
    <row r="28" spans="1:8" x14ac:dyDescent="0.25">
      <c r="A28" s="17" t="s">
        <v>73</v>
      </c>
      <c r="B28" s="16" t="s">
        <v>48</v>
      </c>
      <c r="C28" s="3">
        <v>26</v>
      </c>
    </row>
    <row r="29" spans="1:8" x14ac:dyDescent="0.25">
      <c r="A29" s="17" t="s">
        <v>74</v>
      </c>
      <c r="B29" s="16" t="s">
        <v>49</v>
      </c>
      <c r="C29" s="3">
        <v>27</v>
      </c>
    </row>
    <row r="30" spans="1:8" x14ac:dyDescent="0.25">
      <c r="A30" s="17" t="s">
        <v>75</v>
      </c>
      <c r="B30" s="16" t="s">
        <v>50</v>
      </c>
      <c r="C30" s="3">
        <v>28</v>
      </c>
      <c r="G30" s="16"/>
      <c r="H30" s="16"/>
    </row>
    <row r="31" spans="1:8" x14ac:dyDescent="0.25">
      <c r="A31" s="17" t="s">
        <v>76</v>
      </c>
      <c r="B31" s="16" t="s">
        <v>51</v>
      </c>
      <c r="C31" s="3">
        <v>29</v>
      </c>
      <c r="G31" s="16"/>
      <c r="H31" s="16"/>
    </row>
    <row r="32" spans="1:8" x14ac:dyDescent="0.25">
      <c r="A32" s="16" t="s">
        <v>52</v>
      </c>
      <c r="B32" s="16" t="s">
        <v>53</v>
      </c>
      <c r="C32" s="3">
        <v>30</v>
      </c>
      <c r="G32" s="16"/>
      <c r="H32" s="16"/>
    </row>
    <row r="33" spans="1:8" x14ac:dyDescent="0.25">
      <c r="A33" s="17" t="s">
        <v>54</v>
      </c>
      <c r="B33" s="5" t="s">
        <v>55</v>
      </c>
      <c r="C33" s="3">
        <v>31</v>
      </c>
      <c r="D33" s="16"/>
      <c r="E33" s="16"/>
      <c r="G33" s="16"/>
      <c r="H33" s="16"/>
    </row>
    <row r="34" spans="1:8" x14ac:dyDescent="0.25">
      <c r="A34" s="16" t="s">
        <v>56</v>
      </c>
      <c r="B34" s="16" t="s">
        <v>57</v>
      </c>
      <c r="C34" s="3">
        <v>32</v>
      </c>
    </row>
    <row r="35" spans="1:8" x14ac:dyDescent="0.25">
      <c r="A35" s="16" t="s">
        <v>58</v>
      </c>
      <c r="B35" s="16" t="s">
        <v>59</v>
      </c>
      <c r="C35" s="3">
        <v>33</v>
      </c>
      <c r="D35" s="16"/>
      <c r="E35" s="16"/>
    </row>
    <row r="36" spans="1:8" x14ac:dyDescent="0.25">
      <c r="A36" s="16" t="s">
        <v>60</v>
      </c>
      <c r="B36" s="16" t="s">
        <v>61</v>
      </c>
      <c r="C36" s="3">
        <v>34</v>
      </c>
    </row>
    <row r="37" spans="1:8" x14ac:dyDescent="0.25">
      <c r="A37" s="16" t="s">
        <v>62</v>
      </c>
      <c r="B37" s="16" t="s">
        <v>63</v>
      </c>
      <c r="C37" s="3">
        <v>35</v>
      </c>
    </row>
    <row r="38" spans="1:8" x14ac:dyDescent="0.25">
      <c r="A38" s="16" t="s">
        <v>64</v>
      </c>
      <c r="B38" s="16" t="s">
        <v>65</v>
      </c>
      <c r="C38" s="3">
        <v>36</v>
      </c>
    </row>
    <row r="39" spans="1:8" x14ac:dyDescent="0.25">
      <c r="A39" s="17" t="s">
        <v>82</v>
      </c>
      <c r="B39" s="5" t="s">
        <v>80</v>
      </c>
      <c r="C39">
        <v>37</v>
      </c>
      <c r="D39" s="16"/>
      <c r="E39" s="16"/>
    </row>
    <row r="40" spans="1:8" x14ac:dyDescent="0.25">
      <c r="A40" s="17" t="s">
        <v>83</v>
      </c>
      <c r="B40" s="5" t="s">
        <v>81</v>
      </c>
      <c r="C40">
        <v>38</v>
      </c>
    </row>
    <row r="41" spans="1:8" x14ac:dyDescent="0.25">
      <c r="A41" s="17" t="s">
        <v>86</v>
      </c>
      <c r="B41" s="5" t="s">
        <v>87</v>
      </c>
      <c r="C41" s="3">
        <v>39</v>
      </c>
    </row>
    <row r="42" spans="1:8" x14ac:dyDescent="0.25">
      <c r="A42" s="17" t="s">
        <v>88</v>
      </c>
      <c r="B42" s="5" t="s">
        <v>89</v>
      </c>
      <c r="C42" s="3">
        <v>40</v>
      </c>
    </row>
    <row r="43" spans="1:8" x14ac:dyDescent="0.25">
      <c r="A43" s="17" t="s">
        <v>90</v>
      </c>
      <c r="B43" s="5" t="s">
        <v>91</v>
      </c>
      <c r="C43" s="3">
        <v>41</v>
      </c>
    </row>
    <row r="44" spans="1:8" x14ac:dyDescent="0.25">
      <c r="A44" s="17" t="s">
        <v>92</v>
      </c>
      <c r="B44" s="5" t="s">
        <v>93</v>
      </c>
      <c r="C44" s="3">
        <v>42</v>
      </c>
    </row>
    <row r="45" spans="1:8" x14ac:dyDescent="0.25">
      <c r="A45" s="17" t="s">
        <v>94</v>
      </c>
      <c r="B45" s="5" t="s">
        <v>95</v>
      </c>
      <c r="C45" s="3">
        <v>43</v>
      </c>
    </row>
    <row r="46" spans="1:8" x14ac:dyDescent="0.25">
      <c r="A46" s="17" t="s">
        <v>96</v>
      </c>
      <c r="B46" s="5" t="s">
        <v>97</v>
      </c>
      <c r="C46" s="3">
        <v>44</v>
      </c>
    </row>
    <row r="47" spans="1:8" x14ac:dyDescent="0.25">
      <c r="A47" s="17" t="s">
        <v>98</v>
      </c>
      <c r="B47" s="5" t="s">
        <v>110</v>
      </c>
      <c r="C47" s="3">
        <v>45</v>
      </c>
    </row>
    <row r="48" spans="1:8" x14ac:dyDescent="0.25">
      <c r="A48" s="17" t="s">
        <v>101</v>
      </c>
      <c r="B48" s="5" t="s">
        <v>102</v>
      </c>
      <c r="C48" s="3">
        <v>46</v>
      </c>
    </row>
    <row r="49" spans="2:3" x14ac:dyDescent="0.25">
      <c r="B49"/>
      <c r="C49" s="3">
        <v>47</v>
      </c>
    </row>
    <row r="50" spans="2:3" x14ac:dyDescent="0.25">
      <c r="B50"/>
      <c r="C50" s="3">
        <v>48</v>
      </c>
    </row>
    <row r="51" spans="2:3" x14ac:dyDescent="0.25">
      <c r="B51"/>
      <c r="C51" s="3">
        <v>49</v>
      </c>
    </row>
    <row r="52" spans="2:3" x14ac:dyDescent="0.25">
      <c r="B52"/>
      <c r="C52" s="3">
        <v>50</v>
      </c>
    </row>
    <row r="53" spans="2:3" x14ac:dyDescent="0.25">
      <c r="B53"/>
      <c r="C53" s="3">
        <v>51</v>
      </c>
    </row>
    <row r="54" spans="2:3" x14ac:dyDescent="0.25">
      <c r="B54"/>
      <c r="C54" s="3">
        <v>52</v>
      </c>
    </row>
    <row r="55" spans="2:3" x14ac:dyDescent="0.25">
      <c r="B55"/>
      <c r="C55" s="3">
        <v>53</v>
      </c>
    </row>
    <row r="56" spans="2:3" x14ac:dyDescent="0.25">
      <c r="B56"/>
      <c r="C56" s="3">
        <v>54</v>
      </c>
    </row>
    <row r="57" spans="2:3" x14ac:dyDescent="0.25">
      <c r="B57"/>
      <c r="C57" s="3">
        <v>55</v>
      </c>
    </row>
    <row r="58" spans="2:3" x14ac:dyDescent="0.25">
      <c r="B58"/>
      <c r="C58" s="3">
        <v>56</v>
      </c>
    </row>
    <row r="59" spans="2:3" x14ac:dyDescent="0.25">
      <c r="B59"/>
      <c r="C59" s="3">
        <v>57</v>
      </c>
    </row>
    <row r="60" spans="2:3" x14ac:dyDescent="0.25">
      <c r="B60"/>
      <c r="C60" s="3">
        <v>58</v>
      </c>
    </row>
    <row r="61" spans="2:3" x14ac:dyDescent="0.25">
      <c r="B61"/>
      <c r="C61" s="3">
        <v>59</v>
      </c>
    </row>
    <row r="62" spans="2:3" x14ac:dyDescent="0.25">
      <c r="B62"/>
      <c r="C62" s="3">
        <v>60</v>
      </c>
    </row>
    <row r="63" spans="2:3" x14ac:dyDescent="0.25">
      <c r="B63"/>
      <c r="C63" s="3">
        <v>61</v>
      </c>
    </row>
    <row r="64" spans="2:3" x14ac:dyDescent="0.25">
      <c r="B64"/>
      <c r="C64" s="3">
        <v>62</v>
      </c>
    </row>
    <row r="65" spans="2:3" x14ac:dyDescent="0.25">
      <c r="B65"/>
      <c r="C65" s="3">
        <v>63</v>
      </c>
    </row>
    <row r="66" spans="2:3" x14ac:dyDescent="0.25">
      <c r="B66"/>
      <c r="C66" s="3">
        <v>64</v>
      </c>
    </row>
    <row r="67" spans="2:3" x14ac:dyDescent="0.25">
      <c r="B67"/>
      <c r="C67" s="3">
        <v>65</v>
      </c>
    </row>
    <row r="68" spans="2:3" x14ac:dyDescent="0.25">
      <c r="B68"/>
      <c r="C68" s="3">
        <v>66</v>
      </c>
    </row>
    <row r="69" spans="2:3" x14ac:dyDescent="0.25">
      <c r="B69"/>
      <c r="C69" s="3">
        <v>67</v>
      </c>
    </row>
    <row r="70" spans="2:3" x14ac:dyDescent="0.25">
      <c r="B70"/>
      <c r="C70" s="3">
        <v>68</v>
      </c>
    </row>
    <row r="71" spans="2:3" x14ac:dyDescent="0.25">
      <c r="B71"/>
      <c r="C71" s="3">
        <v>69</v>
      </c>
    </row>
    <row r="72" spans="2:3" x14ac:dyDescent="0.25">
      <c r="B72"/>
      <c r="C72" s="3">
        <v>70</v>
      </c>
    </row>
    <row r="73" spans="2:3" x14ac:dyDescent="0.25">
      <c r="B73"/>
      <c r="C73" s="3">
        <v>71</v>
      </c>
    </row>
    <row r="74" spans="2:3" x14ac:dyDescent="0.25">
      <c r="B74"/>
      <c r="C74" s="3">
        <v>72</v>
      </c>
    </row>
    <row r="75" spans="2:3" x14ac:dyDescent="0.25">
      <c r="B75"/>
      <c r="C75" s="3">
        <v>73</v>
      </c>
    </row>
    <row r="76" spans="2:3" x14ac:dyDescent="0.25">
      <c r="B76"/>
      <c r="C76" s="3">
        <v>74</v>
      </c>
    </row>
    <row r="77" spans="2:3" x14ac:dyDescent="0.25">
      <c r="B77"/>
      <c r="C77" s="3">
        <v>75</v>
      </c>
    </row>
    <row r="78" spans="2:3" x14ac:dyDescent="0.25">
      <c r="B78"/>
      <c r="C78" s="3">
        <v>76</v>
      </c>
    </row>
    <row r="79" spans="2:3" x14ac:dyDescent="0.25">
      <c r="B79"/>
      <c r="C79" s="3">
        <v>77</v>
      </c>
    </row>
    <row r="80" spans="2:3" x14ac:dyDescent="0.25">
      <c r="B80"/>
      <c r="C80" s="3">
        <v>78</v>
      </c>
    </row>
    <row r="81" spans="2:3" x14ac:dyDescent="0.25">
      <c r="B81"/>
      <c r="C81" s="3">
        <v>79</v>
      </c>
    </row>
    <row r="82" spans="2:3" x14ac:dyDescent="0.25">
      <c r="B82"/>
      <c r="C82" s="3">
        <v>80</v>
      </c>
    </row>
    <row r="83" spans="2:3" x14ac:dyDescent="0.25">
      <c r="B83"/>
      <c r="C83" s="3">
        <v>81</v>
      </c>
    </row>
    <row r="84" spans="2:3" x14ac:dyDescent="0.25">
      <c r="B84"/>
      <c r="C84" s="3">
        <v>82</v>
      </c>
    </row>
    <row r="85" spans="2:3" x14ac:dyDescent="0.25">
      <c r="B85"/>
      <c r="C85" s="3">
        <v>83</v>
      </c>
    </row>
    <row r="86" spans="2:3" x14ac:dyDescent="0.25">
      <c r="B86"/>
      <c r="C86" s="3">
        <v>84</v>
      </c>
    </row>
    <row r="87" spans="2:3" x14ac:dyDescent="0.25">
      <c r="B87"/>
      <c r="C87" s="3">
        <v>85</v>
      </c>
    </row>
    <row r="88" spans="2:3" x14ac:dyDescent="0.25">
      <c r="B88"/>
      <c r="C88" s="3">
        <v>86</v>
      </c>
    </row>
    <row r="89" spans="2:3" x14ac:dyDescent="0.25">
      <c r="B89"/>
      <c r="C89" s="3">
        <v>87</v>
      </c>
    </row>
    <row r="90" spans="2:3" x14ac:dyDescent="0.25">
      <c r="B90"/>
      <c r="C90" s="3">
        <v>88</v>
      </c>
    </row>
    <row r="91" spans="2:3" x14ac:dyDescent="0.25">
      <c r="B91"/>
      <c r="C91" s="3">
        <v>89</v>
      </c>
    </row>
    <row r="92" spans="2:3" x14ac:dyDescent="0.25">
      <c r="B92"/>
      <c r="C92" s="3">
        <v>90</v>
      </c>
    </row>
    <row r="93" spans="2:3" x14ac:dyDescent="0.25">
      <c r="B93"/>
      <c r="C93" s="3">
        <v>91</v>
      </c>
    </row>
    <row r="94" spans="2:3" x14ac:dyDescent="0.25">
      <c r="B94"/>
      <c r="C94" s="3">
        <v>92</v>
      </c>
    </row>
    <row r="95" spans="2:3" x14ac:dyDescent="0.25">
      <c r="B95"/>
      <c r="C95" s="3">
        <v>93</v>
      </c>
    </row>
    <row r="96" spans="2:3" x14ac:dyDescent="0.25">
      <c r="B96"/>
      <c r="C96" s="3">
        <v>94</v>
      </c>
    </row>
    <row r="97" spans="2:3" x14ac:dyDescent="0.25">
      <c r="B97"/>
      <c r="C97" s="3">
        <v>95</v>
      </c>
    </row>
    <row r="98" spans="2:3" x14ac:dyDescent="0.25">
      <c r="B98"/>
      <c r="C98" s="3">
        <v>96</v>
      </c>
    </row>
    <row r="99" spans="2:3" x14ac:dyDescent="0.25">
      <c r="B99"/>
      <c r="C99" s="3">
        <v>97</v>
      </c>
    </row>
    <row r="100" spans="2:3" x14ac:dyDescent="0.25">
      <c r="B100"/>
      <c r="C100" s="3">
        <v>98</v>
      </c>
    </row>
    <row r="101" spans="2:3" x14ac:dyDescent="0.25">
      <c r="B101"/>
      <c r="C101" s="3">
        <v>99</v>
      </c>
    </row>
    <row r="102" spans="2:3" x14ac:dyDescent="0.25">
      <c r="B102"/>
      <c r="C102" s="3">
        <v>100</v>
      </c>
    </row>
    <row r="103" spans="2:3" x14ac:dyDescent="0.25">
      <c r="B103"/>
      <c r="C103" s="3">
        <v>101</v>
      </c>
    </row>
    <row r="104" spans="2:3" x14ac:dyDescent="0.25">
      <c r="B104"/>
      <c r="C104" s="3">
        <v>102</v>
      </c>
    </row>
    <row r="105" spans="2:3" x14ac:dyDescent="0.25">
      <c r="B105"/>
      <c r="C105" s="3">
        <v>103</v>
      </c>
    </row>
    <row r="106" spans="2:3" x14ac:dyDescent="0.25">
      <c r="B106"/>
      <c r="C106" s="3">
        <v>104</v>
      </c>
    </row>
    <row r="107" spans="2:3" x14ac:dyDescent="0.25">
      <c r="B107"/>
      <c r="C107" s="3">
        <v>105</v>
      </c>
    </row>
    <row r="108" spans="2:3" x14ac:dyDescent="0.25">
      <c r="B108"/>
      <c r="C108" s="3">
        <v>106</v>
      </c>
    </row>
    <row r="109" spans="2:3" x14ac:dyDescent="0.25">
      <c r="B109"/>
      <c r="C109" s="3">
        <v>107</v>
      </c>
    </row>
    <row r="110" spans="2:3" x14ac:dyDescent="0.25">
      <c r="B110"/>
      <c r="C110" s="3">
        <v>108</v>
      </c>
    </row>
    <row r="111" spans="2:3" x14ac:dyDescent="0.25">
      <c r="B111"/>
      <c r="C111" s="3">
        <v>109</v>
      </c>
    </row>
    <row r="112" spans="2:3" x14ac:dyDescent="0.25">
      <c r="B112"/>
      <c r="C112" s="3">
        <v>110</v>
      </c>
    </row>
    <row r="113" spans="2:3" x14ac:dyDescent="0.25">
      <c r="B113"/>
      <c r="C113" s="3">
        <v>111</v>
      </c>
    </row>
    <row r="114" spans="2:3" x14ac:dyDescent="0.25">
      <c r="B114"/>
      <c r="C114" s="3">
        <v>112</v>
      </c>
    </row>
    <row r="115" spans="2:3" x14ac:dyDescent="0.25">
      <c r="B115"/>
      <c r="C115" s="3">
        <v>113</v>
      </c>
    </row>
    <row r="116" spans="2:3" x14ac:dyDescent="0.25">
      <c r="B116"/>
      <c r="C116" s="3">
        <v>114</v>
      </c>
    </row>
    <row r="117" spans="2:3" x14ac:dyDescent="0.25">
      <c r="B117"/>
      <c r="C117" s="3">
        <v>115</v>
      </c>
    </row>
    <row r="118" spans="2:3" x14ac:dyDescent="0.25">
      <c r="B118"/>
      <c r="C118" s="3">
        <v>116</v>
      </c>
    </row>
    <row r="119" spans="2:3" x14ac:dyDescent="0.25">
      <c r="B119"/>
      <c r="C119" s="3">
        <v>117</v>
      </c>
    </row>
    <row r="120" spans="2:3" x14ac:dyDescent="0.25">
      <c r="B120"/>
      <c r="C120" s="3">
        <v>118</v>
      </c>
    </row>
    <row r="121" spans="2:3" x14ac:dyDescent="0.25">
      <c r="B121"/>
      <c r="C121" s="3">
        <v>119</v>
      </c>
    </row>
    <row r="122" spans="2:3" x14ac:dyDescent="0.25">
      <c r="B122"/>
      <c r="C122" s="3">
        <v>120</v>
      </c>
    </row>
    <row r="123" spans="2:3" x14ac:dyDescent="0.25">
      <c r="B123"/>
      <c r="C123" s="3">
        <v>121</v>
      </c>
    </row>
    <row r="124" spans="2:3" x14ac:dyDescent="0.25">
      <c r="B124"/>
      <c r="C124" s="3">
        <v>122</v>
      </c>
    </row>
    <row r="125" spans="2:3" x14ac:dyDescent="0.25">
      <c r="B125"/>
      <c r="C125" s="3">
        <v>123</v>
      </c>
    </row>
    <row r="126" spans="2:3" x14ac:dyDescent="0.25">
      <c r="B126"/>
      <c r="C126" s="3">
        <v>124</v>
      </c>
    </row>
    <row r="127" spans="2:3" x14ac:dyDescent="0.25">
      <c r="B127"/>
      <c r="C127" s="3">
        <v>125</v>
      </c>
    </row>
    <row r="128" spans="2:3" x14ac:dyDescent="0.25">
      <c r="B128"/>
      <c r="C128" s="3">
        <v>126</v>
      </c>
    </row>
    <row r="129" spans="2:3" x14ac:dyDescent="0.25">
      <c r="B129"/>
      <c r="C129" s="3">
        <v>127</v>
      </c>
    </row>
    <row r="130" spans="2:3" x14ac:dyDescent="0.25">
      <c r="B130"/>
      <c r="C130" s="3">
        <v>128</v>
      </c>
    </row>
    <row r="131" spans="2:3" x14ac:dyDescent="0.25">
      <c r="B131"/>
      <c r="C131" s="3">
        <v>129</v>
      </c>
    </row>
    <row r="132" spans="2:3" x14ac:dyDescent="0.25">
      <c r="B132"/>
      <c r="C132" s="3">
        <v>130</v>
      </c>
    </row>
    <row r="133" spans="2:3" x14ac:dyDescent="0.25">
      <c r="B133"/>
      <c r="C133" s="3">
        <v>131</v>
      </c>
    </row>
    <row r="134" spans="2:3" x14ac:dyDescent="0.25">
      <c r="B134"/>
      <c r="C134" s="3">
        <v>132</v>
      </c>
    </row>
    <row r="135" spans="2:3" x14ac:dyDescent="0.25">
      <c r="B135"/>
      <c r="C135" s="3">
        <v>133</v>
      </c>
    </row>
    <row r="136" spans="2:3" x14ac:dyDescent="0.25">
      <c r="B136"/>
      <c r="C136" s="3">
        <v>134</v>
      </c>
    </row>
    <row r="137" spans="2:3" x14ac:dyDescent="0.25">
      <c r="B137"/>
      <c r="C137" s="3">
        <v>135</v>
      </c>
    </row>
    <row r="138" spans="2:3" x14ac:dyDescent="0.25">
      <c r="B138"/>
      <c r="C138" s="3">
        <v>136</v>
      </c>
    </row>
    <row r="139" spans="2:3" x14ac:dyDescent="0.25">
      <c r="B139"/>
      <c r="C139" s="3">
        <v>137</v>
      </c>
    </row>
    <row r="140" spans="2:3" x14ac:dyDescent="0.25">
      <c r="B140"/>
      <c r="C140" s="3">
        <v>138</v>
      </c>
    </row>
    <row r="141" spans="2:3" x14ac:dyDescent="0.25">
      <c r="B141"/>
      <c r="C141" s="3">
        <v>139</v>
      </c>
    </row>
    <row r="142" spans="2:3" x14ac:dyDescent="0.25">
      <c r="B142"/>
      <c r="C142" s="3">
        <v>140</v>
      </c>
    </row>
    <row r="143" spans="2:3" x14ac:dyDescent="0.25">
      <c r="B143"/>
      <c r="C143" s="3">
        <v>141</v>
      </c>
    </row>
    <row r="144" spans="2:3" x14ac:dyDescent="0.25">
      <c r="B144"/>
      <c r="C144" s="3">
        <v>142</v>
      </c>
    </row>
    <row r="145" spans="2:3" x14ac:dyDescent="0.25">
      <c r="B145"/>
      <c r="C145" s="3">
        <v>143</v>
      </c>
    </row>
    <row r="146" spans="2:3" x14ac:dyDescent="0.25">
      <c r="B146"/>
      <c r="C146" s="3">
        <v>144</v>
      </c>
    </row>
    <row r="147" spans="2:3" x14ac:dyDescent="0.25">
      <c r="B147"/>
      <c r="C147" s="3">
        <v>145</v>
      </c>
    </row>
    <row r="148" spans="2:3" x14ac:dyDescent="0.25">
      <c r="B148"/>
      <c r="C148" s="3">
        <v>146</v>
      </c>
    </row>
    <row r="149" spans="2:3" x14ac:dyDescent="0.25">
      <c r="B149"/>
      <c r="C149" s="3">
        <v>147</v>
      </c>
    </row>
    <row r="150" spans="2:3" x14ac:dyDescent="0.25">
      <c r="B150"/>
      <c r="C150" s="3">
        <v>148</v>
      </c>
    </row>
    <row r="151" spans="2:3" x14ac:dyDescent="0.25">
      <c r="B151"/>
      <c r="C151" s="3">
        <v>149</v>
      </c>
    </row>
    <row r="152" spans="2:3" x14ac:dyDescent="0.25">
      <c r="B152"/>
      <c r="C152" s="3">
        <v>150</v>
      </c>
    </row>
    <row r="153" spans="2:3" x14ac:dyDescent="0.25">
      <c r="B153"/>
      <c r="C153" s="3">
        <v>151</v>
      </c>
    </row>
    <row r="154" spans="2:3" x14ac:dyDescent="0.25">
      <c r="B154"/>
      <c r="C154" s="3">
        <v>152</v>
      </c>
    </row>
    <row r="155" spans="2:3" x14ac:dyDescent="0.25">
      <c r="B155"/>
      <c r="C155" s="3">
        <v>153</v>
      </c>
    </row>
    <row r="156" spans="2:3" x14ac:dyDescent="0.25">
      <c r="B156"/>
      <c r="C156" s="3">
        <v>154</v>
      </c>
    </row>
    <row r="157" spans="2:3" x14ac:dyDescent="0.25">
      <c r="B157"/>
      <c r="C157" s="3">
        <v>155</v>
      </c>
    </row>
    <row r="158" spans="2:3" x14ac:dyDescent="0.25">
      <c r="B158"/>
      <c r="C158" s="3">
        <v>156</v>
      </c>
    </row>
    <row r="159" spans="2:3" x14ac:dyDescent="0.25">
      <c r="B159"/>
      <c r="C159" s="3">
        <v>157</v>
      </c>
    </row>
    <row r="160" spans="2:3" x14ac:dyDescent="0.25">
      <c r="B160"/>
      <c r="C160" s="3">
        <v>158</v>
      </c>
    </row>
    <row r="161" spans="2:3" x14ac:dyDescent="0.25">
      <c r="B161"/>
      <c r="C161" s="3">
        <v>159</v>
      </c>
    </row>
    <row r="162" spans="2:3" x14ac:dyDescent="0.25">
      <c r="B162"/>
      <c r="C162" s="3">
        <v>160</v>
      </c>
    </row>
    <row r="163" spans="2:3" x14ac:dyDescent="0.25">
      <c r="B163"/>
      <c r="C163" s="3">
        <v>161</v>
      </c>
    </row>
    <row r="164" spans="2:3" x14ac:dyDescent="0.25">
      <c r="B164"/>
      <c r="C164" s="3">
        <v>162</v>
      </c>
    </row>
    <row r="165" spans="2:3" x14ac:dyDescent="0.25">
      <c r="B165"/>
      <c r="C165" s="3">
        <v>163</v>
      </c>
    </row>
    <row r="166" spans="2:3" x14ac:dyDescent="0.25">
      <c r="B166"/>
      <c r="C166" s="3">
        <v>164</v>
      </c>
    </row>
    <row r="167" spans="2:3" x14ac:dyDescent="0.25">
      <c r="B167"/>
      <c r="C167" s="3">
        <v>165</v>
      </c>
    </row>
    <row r="168" spans="2:3" x14ac:dyDescent="0.25">
      <c r="B168"/>
      <c r="C168" s="3">
        <v>166</v>
      </c>
    </row>
    <row r="169" spans="2:3" x14ac:dyDescent="0.25">
      <c r="B169"/>
      <c r="C169" s="3">
        <v>167</v>
      </c>
    </row>
    <row r="170" spans="2:3" x14ac:dyDescent="0.25">
      <c r="B170"/>
      <c r="C170" s="3">
        <v>168</v>
      </c>
    </row>
    <row r="171" spans="2:3" x14ac:dyDescent="0.25">
      <c r="B171"/>
      <c r="C171" s="3">
        <v>169</v>
      </c>
    </row>
    <row r="172" spans="2:3" x14ac:dyDescent="0.25">
      <c r="B172"/>
      <c r="C172" s="3">
        <v>170</v>
      </c>
    </row>
    <row r="173" spans="2:3" x14ac:dyDescent="0.25">
      <c r="B173"/>
      <c r="C173" s="3">
        <v>171</v>
      </c>
    </row>
    <row r="174" spans="2:3" x14ac:dyDescent="0.25">
      <c r="B174"/>
      <c r="C174" s="3">
        <v>172</v>
      </c>
    </row>
    <row r="175" spans="2:3" x14ac:dyDescent="0.25">
      <c r="B175"/>
      <c r="C175" s="3">
        <v>173</v>
      </c>
    </row>
    <row r="176" spans="2:3" x14ac:dyDescent="0.25">
      <c r="B176"/>
      <c r="C176" s="3">
        <v>174</v>
      </c>
    </row>
    <row r="177" spans="2:3" x14ac:dyDescent="0.25">
      <c r="B177"/>
      <c r="C177" s="3">
        <v>175</v>
      </c>
    </row>
    <row r="178" spans="2:3" x14ac:dyDescent="0.25">
      <c r="B178"/>
      <c r="C178" s="3">
        <v>176</v>
      </c>
    </row>
    <row r="179" spans="2:3" x14ac:dyDescent="0.25">
      <c r="B179"/>
      <c r="C179" s="3">
        <v>177</v>
      </c>
    </row>
    <row r="180" spans="2:3" x14ac:dyDescent="0.25">
      <c r="B180"/>
      <c r="C180" s="3">
        <v>178</v>
      </c>
    </row>
    <row r="181" spans="2:3" x14ac:dyDescent="0.25">
      <c r="B181"/>
      <c r="C181" s="3">
        <v>179</v>
      </c>
    </row>
    <row r="182" spans="2:3" x14ac:dyDescent="0.25">
      <c r="B182"/>
      <c r="C182" s="3">
        <v>180</v>
      </c>
    </row>
    <row r="183" spans="2:3" x14ac:dyDescent="0.25">
      <c r="B183"/>
      <c r="C183" s="3">
        <v>181</v>
      </c>
    </row>
    <row r="184" spans="2:3" x14ac:dyDescent="0.25">
      <c r="B184"/>
      <c r="C184" s="3">
        <v>182</v>
      </c>
    </row>
    <row r="185" spans="2:3" x14ac:dyDescent="0.25">
      <c r="B185"/>
      <c r="C185" s="3">
        <v>183</v>
      </c>
    </row>
    <row r="186" spans="2:3" x14ac:dyDescent="0.25">
      <c r="B186"/>
      <c r="C186" s="3">
        <v>184</v>
      </c>
    </row>
    <row r="187" spans="2:3" x14ac:dyDescent="0.25">
      <c r="B187"/>
      <c r="C187" s="3">
        <v>185</v>
      </c>
    </row>
    <row r="188" spans="2:3" x14ac:dyDescent="0.25">
      <c r="B188"/>
      <c r="C188" s="3">
        <v>186</v>
      </c>
    </row>
    <row r="189" spans="2:3" x14ac:dyDescent="0.25">
      <c r="B189"/>
      <c r="C189" s="3">
        <v>187</v>
      </c>
    </row>
    <row r="190" spans="2:3" x14ac:dyDescent="0.25">
      <c r="B190"/>
      <c r="C190" s="3">
        <v>188</v>
      </c>
    </row>
    <row r="191" spans="2:3" x14ac:dyDescent="0.25">
      <c r="B191"/>
      <c r="C191" s="3">
        <v>189</v>
      </c>
    </row>
    <row r="192" spans="2:3" x14ac:dyDescent="0.25">
      <c r="B192"/>
      <c r="C192" s="3">
        <v>190</v>
      </c>
    </row>
    <row r="193" spans="2:3" x14ac:dyDescent="0.25">
      <c r="B193"/>
      <c r="C193" s="3">
        <v>191</v>
      </c>
    </row>
    <row r="194" spans="2:3" x14ac:dyDescent="0.25">
      <c r="B194"/>
      <c r="C194" s="3">
        <v>192</v>
      </c>
    </row>
    <row r="195" spans="2:3" x14ac:dyDescent="0.25">
      <c r="B195"/>
      <c r="C195" s="3">
        <v>193</v>
      </c>
    </row>
    <row r="196" spans="2:3" x14ac:dyDescent="0.25">
      <c r="B196"/>
      <c r="C196" s="3">
        <v>194</v>
      </c>
    </row>
    <row r="197" spans="2:3" x14ac:dyDescent="0.25">
      <c r="B197"/>
      <c r="C197" s="3">
        <v>195</v>
      </c>
    </row>
    <row r="198" spans="2:3" x14ac:dyDescent="0.25">
      <c r="B198"/>
      <c r="C198" s="3">
        <v>196</v>
      </c>
    </row>
    <row r="199" spans="2:3" x14ac:dyDescent="0.25">
      <c r="B199"/>
      <c r="C199" s="3">
        <v>197</v>
      </c>
    </row>
    <row r="200" spans="2:3" x14ac:dyDescent="0.25">
      <c r="B200"/>
      <c r="C200" s="3">
        <v>198</v>
      </c>
    </row>
    <row r="201" spans="2:3" x14ac:dyDescent="0.25">
      <c r="B201"/>
      <c r="C201" s="3">
        <v>199</v>
      </c>
    </row>
    <row r="202" spans="2:3" x14ac:dyDescent="0.25">
      <c r="B202"/>
      <c r="C202" s="3">
        <v>200</v>
      </c>
    </row>
    <row r="203" spans="2:3" x14ac:dyDescent="0.25">
      <c r="B203"/>
      <c r="C203" t="s">
        <v>84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Schaltfläche 3">
              <controlPr defaultSize="0" print="0" autoFill="0" autoPict="0" macro="[0]!generateAllKata">
                <anchor moveWithCells="1" sizeWithCells="1">
                  <from>
                    <xdr:col>3</xdr:col>
                    <xdr:colOff>752475</xdr:colOff>
                    <xdr:row>3</xdr:row>
                    <xdr:rowOff>19050</xdr:rowOff>
                  </from>
                  <to>
                    <xdr:col>5</xdr:col>
                    <xdr:colOff>95250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52</vt:i4>
      </vt:variant>
    </vt:vector>
  </HeadingPairs>
  <TitlesOfParts>
    <vt:vector size="60" baseType="lpstr">
      <vt:lpstr>1 Nage</vt:lpstr>
      <vt:lpstr>2 Katame</vt:lpstr>
      <vt:lpstr>3 Ju</vt:lpstr>
      <vt:lpstr>4 Kime</vt:lpstr>
      <vt:lpstr>5 Goshin</vt:lpstr>
      <vt:lpstr>6 Koshiki</vt:lpstr>
      <vt:lpstr>7 Jugend</vt:lpstr>
      <vt:lpstr>Configuration</vt:lpstr>
      <vt:lpstr>Affiliation</vt:lpstr>
      <vt:lpstr>Average</vt:lpstr>
      <vt:lpstr>BigMistake</vt:lpstr>
      <vt:lpstr>ChampionshipDate</vt:lpstr>
      <vt:lpstr>ChampionshipDateTitle</vt:lpstr>
      <vt:lpstr>ChampionshipName</vt:lpstr>
      <vt:lpstr>ChampionshipType</vt:lpstr>
      <vt:lpstr>Closing</vt:lpstr>
      <vt:lpstr>Club</vt:lpstr>
      <vt:lpstr>'1 Nage'!Druckbereich</vt:lpstr>
      <vt:lpstr>'2 Katame'!Druckbereich</vt:lpstr>
      <vt:lpstr>'3 Ju'!Druckbereich</vt:lpstr>
      <vt:lpstr>'4 Kime'!Druckbereich</vt:lpstr>
      <vt:lpstr>'5 Goshin'!Druckbereich</vt:lpstr>
      <vt:lpstr>'6 Koshiki'!Druckbereich</vt:lpstr>
      <vt:lpstr>'7 Jugend'!Druckbereich</vt:lpstr>
      <vt:lpstr>Configuration!Druckbereich</vt:lpstr>
      <vt:lpstr>GivenNameTitle</vt:lpstr>
      <vt:lpstr>HeadJudge</vt:lpstr>
      <vt:lpstr>Judge1</vt:lpstr>
      <vt:lpstr>Judge2</vt:lpstr>
      <vt:lpstr>Judge4</vt:lpstr>
      <vt:lpstr>Judge5</vt:lpstr>
      <vt:lpstr>JudgeHead</vt:lpstr>
      <vt:lpstr>JudgeOther1</vt:lpstr>
      <vt:lpstr>JudgeOther2</vt:lpstr>
      <vt:lpstr>JudgePos</vt:lpstr>
      <vt:lpstr>JudgeStandin</vt:lpstr>
      <vt:lpstr>JudgeSupervisor</vt:lpstr>
      <vt:lpstr>JudgeTestee</vt:lpstr>
      <vt:lpstr>JudgeTitle</vt:lpstr>
      <vt:lpstr>MediumMistake</vt:lpstr>
      <vt:lpstr>NameTitle</vt:lpstr>
      <vt:lpstr>OmittedTechnique</vt:lpstr>
      <vt:lpstr>Opening</vt:lpstr>
      <vt:lpstr>Other1</vt:lpstr>
      <vt:lpstr>Other2</vt:lpstr>
      <vt:lpstr>PairTitle</vt:lpstr>
      <vt:lpstr>Score</vt:lpstr>
      <vt:lpstr>sds</vt:lpstr>
      <vt:lpstr>SmallMistake</vt:lpstr>
      <vt:lpstr>Span</vt:lpstr>
      <vt:lpstr>StandardDeviation</vt:lpstr>
      <vt:lpstr>StandIn</vt:lpstr>
      <vt:lpstr>StartNo</vt:lpstr>
      <vt:lpstr>StartNoShort</vt:lpstr>
      <vt:lpstr>SumScore</vt:lpstr>
      <vt:lpstr>Supervisor</vt:lpstr>
      <vt:lpstr>SureNameTitle</vt:lpstr>
      <vt:lpstr>Technique</vt:lpstr>
      <vt:lpstr>Testee</vt:lpstr>
      <vt:lpstr>TranscriptChecked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2017-06-12T23:01:32Z</cp:lastPrinted>
  <dcterms:created xsi:type="dcterms:W3CDTF">2016-05-27T22:45:24Z</dcterms:created>
  <dcterms:modified xsi:type="dcterms:W3CDTF">2018-10-27T07:13:30Z</dcterms:modified>
</cp:coreProperties>
</file>