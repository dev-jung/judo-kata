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789BF195-3656-43AC-B3B0-E4F642BAEDB7}" xr6:coauthVersionLast="31" xr6:coauthVersionMax="31" xr10:uidLastSave="{00000000-0000-0000-0000-000000000000}"/>
  <bookViews>
    <workbookView xWindow="120" yWindow="315" windowWidth="21930" windowHeight="9960" activeTab="3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Configuration" sheetId="4" r:id="rId7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>Configuration!#REF!</definedName>
    <definedName name="JudgeHead">Configuration!$B$10</definedName>
    <definedName name="JudgeName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>Configuration!#REF!</definedName>
    <definedName name="ToriGiven">Configuration!#REF!</definedName>
    <definedName name="ToriName">Configuration!#REF!</definedName>
    <definedName name="TranscriptChecked">Configuration!$B$32</definedName>
    <definedName name="UkeClub">Configuration!#REF!</definedName>
    <definedName name="UkeGiven">Configuration!#REF!</definedName>
    <definedName name="UkeName">Configuration!#REF!</definedName>
  </definedNames>
  <calcPr calcId="162913"/>
</workbook>
</file>

<file path=xl/calcChain.xml><?xml version="1.0" encoding="utf-8"?>
<calcChain xmlns="http://schemas.openxmlformats.org/spreadsheetml/2006/main"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<sst xmlns="http://schemas.openxmlformats.org/spreadsheetml/2006/main" count="422" uniqueCount="210">
  <si>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</si>
  <si>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</si>
  <si>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</si>
  <si>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</si>
  <si>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</si>
  <si>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</si>
  <si>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</si>
  <si>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</si>
  <si>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</si>
  <si>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</si>
  <si>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</si>
  <si>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</si>
  <si>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</si>
  <si>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</si>
  <si>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</si>
  <si>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</si>
  <si>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</si>
  <si>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</si>
  <si>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</si>
  <si>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</si>
  <si>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</si>
  <si>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</si>
  <si>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</si>
  <si>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</si>
  <si>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</si>
  <si>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</si>
  <si>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</si>
  <si>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</si>
  <si>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</si>
  <si>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</si>
  <si>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</si>
  <si>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</si>
  <si>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</si>
  <si>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</si>
  <si>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</si>
  <si>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</si>
  <si>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</si>
  <si>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</si>
  <si>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</si>
  <si>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</si>
  <si>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</si>
  <si>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</si>
  <si>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</si>
  <si>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</si>
  <si>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</si>
  <si>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</si>
  <si>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</si>
  <si>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</si>
  <si>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</si>
  <si>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</si>
  <si>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</si>
  <si>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</si>
  <si>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</si>
  <si>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</si>
  <si>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</si>
  <si>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</si>
  <si>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</si>
  <si>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</si>
  <si>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</si>
  <si>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</si>
  <si>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</si>
  <si>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</si>
  <si>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</si>
  <si>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</si>
  <si>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</si>
  <si>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</si>
  <si>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</si>
  <si>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</si>
  <si>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</si>
  <si>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</si>
  <si>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</si>
  <si>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</si>
  <si>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</si>
  <si>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</si>
  <si>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</si>
  <si>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</si>
  <si>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</si>
  <si>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</si>
  <si>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</si>
  <si>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</si>
  <si>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</si>
  <si>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</si>
  <si>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</si>
  <si>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</si>
  <si>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</si>
  <si>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</si>
  <si>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</si>
  <si>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</si>
  <si>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</si>
  <si>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</si>
  <si>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</si>
  <si>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</si>
  <si>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</si>
  <si>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</si>
  <si>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</si>
  <si>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</si>
  <si>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</si>
  <si>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</si>
  <si>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</si>
  <si>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</si>
  <si>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</si>
  <si>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</si>
  <si>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</si>
  <si>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</si>
  <si>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</si>
  <si>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</si>
  <si>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</si>
  <si>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</si>
  <si>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</si>
  <si>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</si>
  <si>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</si>
  <si>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</si>
  <si>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</si>
  <si>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</si>
  <si>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</si>
  <si>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</si>
  <si>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</si>
  <si>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</si>
  <si>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</si>
  <si>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</si>
  <si>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</si>
  <si>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</si>
  <si>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</si>
  <si>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</si>
  <si>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</si>
  <si>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</si>
  <si>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</si>
  <si>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</si>
  <si>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</si>
  <si>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</si>
  <si>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</si>
  <si>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</si>
  <si>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</si>
  <si>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</si>
  <si>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</si>
  <si>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</si>
  <si>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hVN</t>
  </si>
  <si>
    <t>KatameDuck</t>
  </si>
  <si>
    <t>Katameknacker</t>
  </si>
  <si>
    <t>KatameNoSpringer</t>
  </si>
  <si>
    <t>katame2</t>
  </si>
  <si>
    <t>katameHead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</si>
  <si>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</si>
  <si>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</si>
  <si>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</si>
  <si>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</si>
  <si>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</si>
  <si>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</si>
  <si>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</si>
  <si>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</si>
  <si>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ju4</t>
  </si>
  <si>
    <t>juSpringer</t>
  </si>
  <si>
    <t>juSuper</t>
  </si>
  <si>
    <t>KimeDuck</t>
  </si>
  <si>
    <t>Kimeknacker</t>
  </si>
  <si>
    <t>KimeNoSpringer</t>
  </si>
  <si>
    <t>kime2</t>
  </si>
  <si>
    <t>kimeHead</t>
  </si>
  <si>
    <t>kime5</t>
  </si>
  <si>
    <t>kimeSpringer</t>
  </si>
  <si>
    <t>kimeSuper</t>
  </si>
  <si>
    <t>goshin1</t>
  </si>
  <si>
    <t>goshinHead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</si>
  <si>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</si>
  <si>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</si>
  <si>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</si>
  <si>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</si>
  <si>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</si>
  <si>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</si>
  <si>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</si>
  <si>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KoshikiHead</t>
  </si>
  <si>
    <t>Koshiki5</t>
  </si>
  <si>
    <t>KoshikiSuper</t>
  </si>
  <si>
    <t>KoshikiSonst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</si>
  <si>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</si>
  <si>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</si>
  <si>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</si>
  <si>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</si>
  <si>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</si>
  <si>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</si>
  <si>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</si>
  <si>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</si>
  <si>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</si>
  <si>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</si>
  <si>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</si>
  <si>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</si>
  <si>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</si>
  <si>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</si>
  <si>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</si>
  <si>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</si>
  <si>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</si>
  <si>
    <t>CorrectionValue</t>
  </si>
  <si>
    <t>Korrektur</t>
  </si>
  <si>
    <t>nageSpringer</t>
  </si>
  <si>
    <t>SN</t>
  </si>
  <si>
    <t>nageSuper</t>
  </si>
  <si>
    <t>Man</t>
  </si>
  <si>
    <t>KoshikiStandin</t>
  </si>
  <si>
    <t>judge4</t>
  </si>
  <si>
    <t>sharedJudge1</t>
  </si>
  <si>
    <t>sharedJudge2</t>
  </si>
  <si>
    <t>sj</t>
  </si>
  <si>
    <t>T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</si>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</sst>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109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174</v>
      </c>
      <c r="J5" s="1" t="str">
        <f>Judge1</f>
        <v>Wertung 1</v>
      </c>
      <c r="K5" s="3" t="s">
        <v>124</v>
      </c>
      <c r="L5" s="3" t="s">
        <v>125</v>
      </c>
      <c r="M5" s="3" t="s">
        <v>0</v>
      </c>
    </row>
    <row r="6" spans="1:18" ht="15.95" customHeight="1" x14ac:dyDescent="0.25">
      <c r="A6" s="15">
        <v>2</v>
      </c>
      <c r="B6" s="12" t="s">
        <v>114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175</v>
      </c>
      <c r="J6" s="1" t="str">
        <f>Judge2</f>
        <v>Wertung 2</v>
      </c>
      <c r="K6" s="3" t="s">
        <v>126</v>
      </c>
      <c r="L6" s="3" t="s">
        <v>127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120</v>
      </c>
      <c r="C7" s="11" t="s">
        <v>121</v>
      </c>
      <c r="D7" s="11" t="s">
        <v>122</v>
      </c>
      <c r="E7" s="11" t="s">
        <v>123</v>
      </c>
      <c r="F7" s="11" t="s">
        <v>180</v>
      </c>
      <c r="G7" s="11" t="s">
        <v>122</v>
      </c>
      <c r="H7" s="11" t="s">
        <v>2</v>
      </c>
      <c r="J7" s="1" t="str">
        <f>JudgeHead</f>
        <v>Wertung 3 (H)</v>
      </c>
      <c r="K7" s="3" t="s">
        <v>128</v>
      </c>
      <c r="L7" s="3" t="s">
        <v>129</v>
      </c>
      <c r="M7" s="3" t="s">
        <v>113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176</v>
      </c>
      <c r="C8" s="19" t="s">
        <v>177</v>
      </c>
      <c r="D8" s="19" t="s">
        <v>122</v>
      </c>
      <c r="E8" s="19" t="s">
        <v>181</v>
      </c>
      <c r="F8" s="19" t="s">
        <v>179</v>
      </c>
      <c r="G8" s="19" t="s">
        <v>122</v>
      </c>
      <c r="H8" s="19" t="s">
        <v>178</v>
      </c>
      <c r="J8" s="1" t="str">
        <f>Judge4</f>
        <v>Wertung 4</v>
      </c>
      <c r="K8" s="3" t="s">
        <v>130</v>
      </c>
      <c r="L8" s="3" t="s">
        <v>131</v>
      </c>
      <c r="M8" s="3" t="s">
        <v>2</v>
      </c>
      <c r="N8" s="3"/>
      <c r="O8" s="3"/>
      <c r="P8" s="3"/>
      <c r="Q8" s="3"/>
      <c r="R8" s="20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K9" s="3" t="s">
        <v>132</v>
      </c>
      <c r="L9" s="3" t="s">
        <v>133</v>
      </c>
      <c r="M9" s="3" t="s">
        <v>3</v>
      </c>
      <c r="N9" s="3"/>
      <c r="O9" s="3"/>
      <c r="P9" s="3"/>
      <c r="Q9" s="3"/>
      <c r="R9" s="20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K10" s="3" t="s">
        <v>193</v>
      </c>
      <c r="L10" s="3" t="s">
        <v>134</v>
      </c>
      <c r="M10" s="3" t="s">
        <v>194</v>
      </c>
      <c r="N10" s="3"/>
      <c r="O10" s="3"/>
      <c r="P10" s="3"/>
      <c r="Q10" s="3"/>
      <c r="R10" s="20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K11" s="3" t="s">
        <v>195</v>
      </c>
      <c r="L11" s="3" t="s">
        <v>196</v>
      </c>
      <c r="M11" s="3" t="s">
        <v>4</v>
      </c>
      <c r="N11" s="3"/>
      <c r="O11" s="3"/>
      <c r="P11" s="3"/>
      <c r="Q11" s="3"/>
      <c r="R11" s="20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84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85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 t="s">
        <v>137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174</v>
      </c>
      <c r="J5" s="1" t="str">
        <f>Judge1</f>
        <v>Wertung 1</v>
      </c>
      <c r="K5" s="3" t="s">
        <v>199</v>
      </c>
      <c r="L5" s="3" t="s">
        <v>201</v>
      </c>
      <c r="M5" s="3" t="s">
        <v>202</v>
      </c>
    </row>
    <row r="6" spans="1:14" ht="15.95" customHeight="1" x14ac:dyDescent="0.25">
      <c r="A6" s="15">
        <v>2</v>
      </c>
      <c r="B6" s="12" t="s">
        <v>138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175</v>
      </c>
      <c r="J6" s="1" t="str">
        <f>Judge2</f>
        <v>Wertung 2</v>
      </c>
      <c r="K6" s="3" t="s">
        <v>140</v>
      </c>
      <c r="L6" s="3" t="s">
        <v>127</v>
      </c>
      <c r="M6" s="3" t="s">
        <v>1</v>
      </c>
    </row>
    <row r="7" spans="1:14" ht="15.95" customHeight="1" x14ac:dyDescent="0.25">
      <c r="A7" s="14">
        <v>3</v>
      </c>
      <c r="B7" s="11" t="s">
        <v>139</v>
      </c>
      <c r="C7" s="11" t="s">
        <v>121</v>
      </c>
      <c r="D7" s="11" t="s">
        <v>122</v>
      </c>
      <c r="E7" s="11" t="s">
        <v>123</v>
      </c>
      <c r="F7" s="11" t="s">
        <v>180</v>
      </c>
      <c r="G7" s="11" t="s">
        <v>122</v>
      </c>
      <c r="H7" s="11" t="s">
        <v>2</v>
      </c>
      <c r="J7" s="1" t="str">
        <f>JudgeHead</f>
        <v>Wertung 3 (H)</v>
      </c>
      <c r="K7" s="3" t="s">
        <v>141</v>
      </c>
      <c r="L7" s="3" t="s">
        <v>129</v>
      </c>
      <c r="M7" s="3" t="s">
        <v>113</v>
      </c>
    </row>
    <row r="8" spans="1:14" ht="15.95" customHeight="1" x14ac:dyDescent="0.25">
      <c r="A8" s="18">
        <v>4</v>
      </c>
      <c r="B8" s="19" t="s">
        <v>190</v>
      </c>
      <c r="C8" s="19" t="s">
        <v>177</v>
      </c>
      <c r="D8" s="19" t="s">
        <v>122</v>
      </c>
      <c r="E8" s="19" t="s">
        <v>181</v>
      </c>
      <c r="F8" s="19" t="s">
        <v>179</v>
      </c>
      <c r="G8" s="19" t="s">
        <v>122</v>
      </c>
      <c r="H8" s="19" t="s">
        <v>178</v>
      </c>
      <c r="J8" s="1" t="str">
        <f>Judge4</f>
        <v>Wertung 4</v>
      </c>
      <c r="K8" s="3" t="s">
        <v>200</v>
      </c>
      <c r="L8" s="3" t="s">
        <v>201</v>
      </c>
      <c r="M8" s="3" t="s">
        <v>2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142</v>
      </c>
      <c r="L9" s="3" t="s">
        <v>133</v>
      </c>
      <c r="M9" s="3" t="s">
        <v>3</v>
      </c>
    </row>
    <row r="10" spans="1:14" ht="15.95" customHeight="1" x14ac:dyDescent="0.25">
      <c r="J10" s="1" t="str">
        <f>JudgeStandin</f>
        <v>Springer</v>
      </c>
      <c r="K10" s="3" t="s">
        <v>143</v>
      </c>
      <c r="L10" s="3" t="s">
        <v>134</v>
      </c>
      <c r="M10" s="3" t="s">
        <v>19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144</v>
      </c>
      <c r="L11" s="3" t="s">
        <v>135</v>
      </c>
      <c r="M11" s="3" t="s">
        <v>119</v>
      </c>
    </row>
    <row r="12" spans="1:14" ht="15.95" customHeight="1" x14ac:dyDescent="0.25">
      <c r="E12" s="8"/>
      <c r="F12" s="9"/>
      <c r="G12" s="8"/>
      <c r="H12" s="9"/>
      <c r="J12" s="1" t="s">
        <v>84</v>
      </c>
      <c r="K12" s="3" t="s">
        <v>145</v>
      </c>
      <c r="L12" s="3" t="s">
        <v>136</v>
      </c>
      <c r="M12" s="3" t="s">
        <v>4</v>
      </c>
    </row>
    <row r="13" spans="1:14" ht="15.95" customHeight="1" x14ac:dyDescent="0.25">
      <c r="E13" s="8"/>
      <c r="F13" s="9"/>
      <c r="G13" s="8"/>
      <c r="H13" s="9"/>
      <c r="J13" s="1" t="s">
        <v>85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146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174</v>
      </c>
      <c r="J5" s="1" t="str">
        <f>Judge1</f>
        <v>Wertung 1</v>
      </c>
      <c r="K5" s="3" t="s">
        <v>149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147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175</v>
      </c>
      <c r="J6" s="1" t="str">
        <f>Judge2</f>
        <v>Wertung 2</v>
      </c>
      <c r="K6" s="3" t="s">
        <v>199</v>
      </c>
      <c r="L6" s="3" t="s">
        <v>201</v>
      </c>
      <c r="M6" s="3" t="s">
        <v>202</v>
      </c>
      <c r="R6" s="4"/>
    </row>
    <row r="7" spans="1:18" ht="15.95" customHeight="1" x14ac:dyDescent="0.25">
      <c r="A7" s="14">
        <v>3</v>
      </c>
      <c r="B7" s="11" t="s">
        <v>148</v>
      </c>
      <c r="C7" s="11" t="s">
        <v>121</v>
      </c>
      <c r="D7" s="11" t="s">
        <v>122</v>
      </c>
      <c r="E7" s="11" t="s">
        <v>123</v>
      </c>
      <c r="F7" s="11" t="s">
        <v>180</v>
      </c>
      <c r="G7" s="11" t="s">
        <v>122</v>
      </c>
      <c r="H7" s="11" t="s">
        <v>2</v>
      </c>
      <c r="J7" s="1" t="str">
        <f>JudgeHead</f>
        <v>Wertung 3 (H)</v>
      </c>
      <c r="K7" s="3" t="s">
        <v>200</v>
      </c>
      <c r="L7" s="3" t="s">
        <v>201</v>
      </c>
      <c r="M7" s="3" t="s">
        <v>2</v>
      </c>
      <c r="R7" s="4"/>
    </row>
    <row r="8" spans="1:18" ht="15.95" customHeight="1" x14ac:dyDescent="0.25">
      <c r="A8" s="18">
        <v>4</v>
      </c>
      <c r="B8" s="19" t="s">
        <v>189</v>
      </c>
      <c r="C8" s="19" t="s">
        <v>177</v>
      </c>
      <c r="D8" s="19" t="s">
        <v>122</v>
      </c>
      <c r="E8" s="19" t="s">
        <v>181</v>
      </c>
      <c r="F8" s="19" t="s">
        <v>179</v>
      </c>
      <c r="G8" s="19" t="s">
        <v>122</v>
      </c>
      <c r="H8" s="19" t="s">
        <v>178</v>
      </c>
      <c r="J8" s="1" t="str">
        <f>Judge4</f>
        <v>Wertung 4</v>
      </c>
      <c r="K8" s="3" t="s">
        <v>150</v>
      </c>
      <c r="L8" s="3" t="s">
        <v>131</v>
      </c>
      <c r="M8" s="3" t="s">
        <v>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198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151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152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84</v>
      </c>
      <c r="R12" s="4"/>
    </row>
    <row r="13" spans="1:18" ht="15.95" customHeight="1" x14ac:dyDescent="0.25">
      <c r="E13" s="8"/>
      <c r="F13" s="9"/>
      <c r="G13" s="8"/>
      <c r="H13" s="9"/>
      <c r="J13" s="1" t="s">
        <v>85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tabSelected="1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153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174</v>
      </c>
      <c r="J5" s="1" t="str">
        <f>Judge1</f>
        <v>Wertung 1</v>
      </c>
      <c r="K5" s="3" t="s">
        <v>199</v>
      </c>
      <c r="L5" s="3" t="s">
        <v>201</v>
      </c>
      <c r="M5" s="3" t="s">
        <v>202</v>
      </c>
      <c r="R5" s="4"/>
    </row>
    <row r="6" spans="1:18" ht="15.95" customHeight="1" x14ac:dyDescent="0.25">
      <c r="A6" s="15">
        <v>2</v>
      </c>
      <c r="B6" s="12" t="s">
        <v>154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175</v>
      </c>
      <c r="J6" s="1" t="str">
        <f>Judge2</f>
        <v>Wertung 2</v>
      </c>
      <c r="K6" s="3" t="s">
        <v>156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155</v>
      </c>
      <c r="C7" s="11" t="s">
        <v>121</v>
      </c>
      <c r="D7" s="11" t="s">
        <v>122</v>
      </c>
      <c r="E7" s="11" t="s">
        <v>123</v>
      </c>
      <c r="F7" s="11" t="s">
        <v>180</v>
      </c>
      <c r="G7" s="11" t="s">
        <v>122</v>
      </c>
      <c r="H7" s="11" t="s">
        <v>2</v>
      </c>
      <c r="J7" s="1" t="str">
        <f>JudgeHead</f>
        <v>Wertung 3 (H)</v>
      </c>
      <c r="K7" s="3" t="s">
        <v>157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188</v>
      </c>
      <c r="C8" s="19" t="s">
        <v>177</v>
      </c>
      <c r="D8" s="19" t="s">
        <v>122</v>
      </c>
      <c r="E8" s="19" t="s">
        <v>181</v>
      </c>
      <c r="F8" s="19" t="s">
        <v>179</v>
      </c>
      <c r="G8" s="19" t="s">
        <v>122</v>
      </c>
      <c r="H8" s="19" t="s">
        <v>178</v>
      </c>
      <c r="J8" s="1" t="str">
        <f>Judge4</f>
        <v>Wertung 4</v>
      </c>
      <c r="K8" s="3" t="s">
        <v>200</v>
      </c>
      <c r="L8" s="3" t="s">
        <v>201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158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159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160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184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174</v>
      </c>
      <c r="J5" s="1" t="str">
        <f>Judge1</f>
        <v>Wertung 1</v>
      </c>
      <c r="K5" s="3" t="s">
        <v>161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185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175</v>
      </c>
      <c r="J6" s="1" t="str">
        <f>Judge2</f>
        <v>Wertung 2</v>
      </c>
      <c r="K6" s="3" t="s">
        <v>199</v>
      </c>
      <c r="L6" s="3" t="s">
        <v>201</v>
      </c>
      <c r="M6" s="3" t="s">
        <v>202</v>
      </c>
      <c r="R6" s="4"/>
    </row>
    <row r="7" spans="1:18" ht="15.95" customHeight="1" x14ac:dyDescent="0.25">
      <c r="A7" s="14">
        <v>3</v>
      </c>
      <c r="B7" s="11" t="s">
        <v>186</v>
      </c>
      <c r="C7" s="11" t="s">
        <v>121</v>
      </c>
      <c r="D7" s="11" t="s">
        <v>122</v>
      </c>
      <c r="E7" s="11" t="s">
        <v>123</v>
      </c>
      <c r="F7" s="11" t="s">
        <v>180</v>
      </c>
      <c r="G7" s="11" t="s">
        <v>122</v>
      </c>
      <c r="H7" s="11" t="s">
        <v>2</v>
      </c>
      <c r="J7" s="1" t="str">
        <f>JudgeHead</f>
        <v>Wertung 3 (H)</v>
      </c>
      <c r="K7" s="3" t="s">
        <v>162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187</v>
      </c>
      <c r="C8" s="19" t="s">
        <v>177</v>
      </c>
      <c r="D8" s="19" t="s">
        <v>122</v>
      </c>
      <c r="E8" s="19" t="s">
        <v>181</v>
      </c>
      <c r="F8" s="19" t="s">
        <v>179</v>
      </c>
      <c r="G8" s="19" t="s">
        <v>122</v>
      </c>
      <c r="H8" s="19" t="s">
        <v>178</v>
      </c>
      <c r="J8" s="1" t="str">
        <f>Judge4</f>
        <v>Wertung 4</v>
      </c>
      <c r="K8" s="3" t="s">
        <v>200</v>
      </c>
      <c r="L8" s="3" t="s">
        <v>201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163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164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165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166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174</v>
      </c>
      <c r="J5" s="1" t="str">
        <f>Judge1</f>
        <v>Wertung 1</v>
      </c>
      <c r="K5" s="3" t="s">
        <v>169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167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175</v>
      </c>
      <c r="J6" s="1" t="str">
        <f>Judge2</f>
        <v>Wertung 2</v>
      </c>
      <c r="K6" s="3" t="s">
        <v>199</v>
      </c>
      <c r="L6" s="3" t="s">
        <v>201</v>
      </c>
      <c r="M6" s="3" t="s">
        <v>202</v>
      </c>
      <c r="R6" s="4"/>
    </row>
    <row r="7" spans="1:18" ht="15.95" customHeight="1" x14ac:dyDescent="0.25">
      <c r="A7" s="14">
        <v>3</v>
      </c>
      <c r="B7" s="11" t="s">
        <v>168</v>
      </c>
      <c r="C7" s="11" t="s">
        <v>121</v>
      </c>
      <c r="D7" s="11" t="s">
        <v>122</v>
      </c>
      <c r="E7" s="11" t="s">
        <v>123</v>
      </c>
      <c r="F7" s="11" t="s">
        <v>180</v>
      </c>
      <c r="G7" s="11" t="s">
        <v>122</v>
      </c>
      <c r="H7" s="11" t="s">
        <v>2</v>
      </c>
      <c r="J7" s="1" t="str">
        <f>JudgeHead</f>
        <v>Wertung 3 (H)</v>
      </c>
      <c r="K7" s="3" t="s">
        <v>170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183</v>
      </c>
      <c r="C8" s="19" t="s">
        <v>177</v>
      </c>
      <c r="D8" s="19" t="s">
        <v>122</v>
      </c>
      <c r="E8" s="19" t="s">
        <v>181</v>
      </c>
      <c r="F8" s="19" t="s">
        <v>179</v>
      </c>
      <c r="G8" s="19" t="s">
        <v>122</v>
      </c>
      <c r="H8" s="19" t="s">
        <v>178</v>
      </c>
      <c r="J8" s="1" t="str">
        <f>Judge4</f>
        <v>Wertung 4</v>
      </c>
      <c r="K8" s="3" t="s">
        <v>200</v>
      </c>
      <c r="L8" s="3" t="s">
        <v>201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171</v>
      </c>
      <c r="L9" s="3" t="s">
        <v>133</v>
      </c>
      <c r="M9" s="3" t="s">
        <v>3</v>
      </c>
      <c r="R9" s="4"/>
    </row>
    <row r="10" spans="1:18" ht="15.95" customHeight="1" x14ac:dyDescent="0.25">
      <c r="J10" s="1" t="s">
        <v>15</v>
      </c>
      <c r="K10" s="3" t="s">
        <v>197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172</v>
      </c>
      <c r="L11" s="3" t="s">
        <v>134</v>
      </c>
      <c r="M11" s="3" t="s">
        <v>4</v>
      </c>
      <c r="R11" s="4"/>
    </row>
    <row r="12" spans="1:18" ht="15.95" customHeight="1" x14ac:dyDescent="0.25">
      <c r="E12" s="8"/>
      <c r="F12" s="9"/>
      <c r="G12" s="8"/>
      <c r="H12" s="9"/>
      <c r="J12" s="1" t="s">
        <v>85</v>
      </c>
      <c r="K12" s="3" t="s">
        <v>173</v>
      </c>
      <c r="L12" s="3" t="s">
        <v>136</v>
      </c>
      <c r="M12" s="3" t="s">
        <v>4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>
      <selection activeCell="J13" sqref="J13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93</v>
      </c>
    </row>
    <row r="3" spans="1:12" ht="15.75" x14ac:dyDescent="0.25">
      <c r="A3" t="s">
        <v>45</v>
      </c>
      <c r="B3" s="22" t="s">
        <v>108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182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  <c r="G7" t="s">
        <v>203</v>
      </c>
    </row>
    <row r="8" spans="1:12" x14ac:dyDescent="0.25">
      <c r="A8" t="s">
        <v>31</v>
      </c>
      <c r="B8" s="5" t="s">
        <v>10</v>
      </c>
      <c r="C8" s="3">
        <v>6</v>
      </c>
      <c r="G8" t="s">
        <v>204</v>
      </c>
      <c r="H8" t="s">
        <v>206</v>
      </c>
    </row>
    <row r="9" spans="1:12" x14ac:dyDescent="0.25">
      <c r="A9" t="s">
        <v>32</v>
      </c>
      <c r="B9" s="5" t="s">
        <v>11</v>
      </c>
      <c r="C9" s="3">
        <v>7</v>
      </c>
      <c r="G9" t="s">
        <v>207</v>
      </c>
      <c r="H9" s="3" t="s">
        <v>209</v>
      </c>
      <c r="I9" s="3" t="s">
        <v>208</v>
      </c>
      <c r="J9" s="3" t="s">
        <v>209</v>
      </c>
    </row>
    <row r="10" spans="1:12" x14ac:dyDescent="0.25">
      <c r="A10" t="s">
        <v>34</v>
      </c>
      <c r="B10" s="5" t="s">
        <v>14</v>
      </c>
      <c r="C10" s="3">
        <v>8</v>
      </c>
      <c r="I10" t="s">
        <v>205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89</v>
      </c>
      <c r="B39" s="5" t="s">
        <v>87</v>
      </c>
      <c r="C39">
        <v>37</v>
      </c>
      <c r="D39" s="16"/>
      <c r="E39" s="16"/>
    </row>
    <row r="40" spans="1:8" x14ac:dyDescent="0.25">
      <c r="A40" s="17" t="s">
        <v>90</v>
      </c>
      <c r="B40" s="5" t="s">
        <v>88</v>
      </c>
      <c r="C40">
        <v>38</v>
      </c>
    </row>
    <row r="41" spans="1:8" x14ac:dyDescent="0.25">
      <c r="A41" s="17" t="s">
        <v>94</v>
      </c>
      <c r="B41" s="5" t="s">
        <v>95</v>
      </c>
      <c r="C41" s="3">
        <v>39</v>
      </c>
    </row>
    <row r="42" spans="1:8" x14ac:dyDescent="0.25">
      <c r="A42" s="17" t="s">
        <v>96</v>
      </c>
      <c r="B42" s="5" t="s">
        <v>97</v>
      </c>
      <c r="C42" s="3">
        <v>40</v>
      </c>
    </row>
    <row r="43" spans="1:8" x14ac:dyDescent="0.25">
      <c r="A43" s="17" t="s">
        <v>98</v>
      </c>
      <c r="B43" s="5" t="s">
        <v>99</v>
      </c>
      <c r="C43" s="3">
        <v>41</v>
      </c>
    </row>
    <row r="44" spans="1:8" x14ac:dyDescent="0.25">
      <c r="A44" s="17" t="s">
        <v>100</v>
      </c>
      <c r="B44" s="5" t="s">
        <v>101</v>
      </c>
      <c r="C44" s="3">
        <v>42</v>
      </c>
    </row>
    <row r="45" spans="1:8" x14ac:dyDescent="0.25">
      <c r="A45" s="17" t="s">
        <v>102</v>
      </c>
      <c r="B45" s="5" t="s">
        <v>103</v>
      </c>
      <c r="C45" s="3">
        <v>43</v>
      </c>
    </row>
    <row r="46" spans="1:8" x14ac:dyDescent="0.25">
      <c r="A46" s="17" t="s">
        <v>104</v>
      </c>
      <c r="B46" s="5" t="s">
        <v>105</v>
      </c>
      <c r="C46" s="3">
        <v>44</v>
      </c>
    </row>
    <row r="47" spans="1:8" x14ac:dyDescent="0.25">
      <c r="A47" s="17" t="s">
        <v>106</v>
      </c>
      <c r="B47" s="5" t="s">
        <v>107</v>
      </c>
      <c r="C47" s="3">
        <v>45</v>
      </c>
    </row>
    <row r="48" spans="1:8" x14ac:dyDescent="0.25">
      <c r="A48" s="17" t="s">
        <v>191</v>
      </c>
      <c r="B48" s="5" t="s">
        <v>192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51</vt:i4>
      </vt:variant>
    </vt:vector>
  </HeadingPairs>
  <TitlesOfParts>
    <vt:vector size="58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2018-04-21T22:56:35Z</dcterms:modified>
</cp:coreProperties>
</file>