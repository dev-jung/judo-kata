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3_ncr:1_{65CC9399-3CB4-4874-AAF3-E87EEC78EC3F}" xr6:coauthVersionLast="41" xr6:coauthVersionMax="41" xr10:uidLastSave="{00000000-0000-0000-0000-000000000000}"/>
  <bookViews>
    <workbookView xWindow="24492" yWindow="-11376" windowWidth="38508" windowHeight="22200" xr2:uid="{00000000-000D-0000-FFFF-FFFF00000000}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7 Jugend" sheetId="10" r:id="rId7"/>
    <sheet name="Configuration" sheetId="4" r:id="rId8"/>
  </sheets>
  <functionGroups builtInGroupCount="19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'7 Jugend'!$A:$H</definedName>
    <definedName name="_xlnm.Print_Area" localSheetId="7">Configuration!$M:$M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 localSheetId="6">Configuration!#REF!</definedName>
    <definedName name="JudgeGiven">Configuration!#REF!</definedName>
    <definedName name="JudgeHead">Configuration!$B$10</definedName>
    <definedName name="JudgeName" localSheetId="6">Configuration!#REF!</definedName>
    <definedName name="JudgeName">Configuration!#REF!</definedName>
    <definedName name="JudgeNameN" localSheetId="6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 localSheetId="6">Configuration!#REF!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 localSheetId="6">Configuration!#REF!</definedName>
    <definedName name="ToriClub">Configuration!#REF!</definedName>
    <definedName name="ToriGiven" localSheetId="6">Configuration!#REF!</definedName>
    <definedName name="ToriGiven">Configuration!#REF!</definedName>
    <definedName name="ToriName" localSheetId="6">Configuration!#REF!</definedName>
    <definedName name="ToriName">Configuration!#REF!</definedName>
    <definedName name="TranscriptChecked">Configuration!$B$32</definedName>
    <definedName name="UkeClub" localSheetId="6">Configuration!#REF!</definedName>
    <definedName name="UkeClub">Configuration!#REF!</definedName>
    <definedName name="UkeGiven" localSheetId="6">Configuration!#REF!</definedName>
    <definedName name="UkeGiven">Configuration!#REF!</definedName>
    <definedName name="UkeName" localSheetId="6">Configuration!#REF!</definedName>
    <definedName name="UkeName">Configuration!#REF!</definedName>
  </definedNames>
  <calcPr calcId="181029"/>
</workbook>
</file>

<file path=xl/calcChain.xml><?xml version="1.0" encoding="utf-8"?>
<calcChain xmlns="http://schemas.openxmlformats.org/spreadsheetml/2006/main">
  <c r="J11" i="10" l="1"/>
  <c r="J10" i="10"/>
  <c r="J9" i="10"/>
  <c r="H9" i="10"/>
  <c r="J8" i="10"/>
  <c r="J7" i="10"/>
  <c r="J6" i="10"/>
  <c r="J5" i="10"/>
  <c r="M4" i="10"/>
  <c r="L4" i="10"/>
  <c r="K4" i="10"/>
  <c r="J4" i="10"/>
  <c r="H4" i="10"/>
  <c r="G4" i="10"/>
  <c r="F4" i="10"/>
  <c r="E4" i="10"/>
  <c r="D4" i="10"/>
  <c r="C4" i="10"/>
  <c r="B4" i="10"/>
  <c r="A4" i="10"/>
  <c r="A3" i="10"/>
  <c r="A2" i="10"/>
  <c r="J11" i="9" l="1"/>
  <c r="H9" i="9" l="1"/>
  <c r="H9" i="8"/>
  <c r="H9" i="7"/>
  <c r="H9" i="6"/>
  <c r="H9" i="5"/>
  <c r="H9" i="1"/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A3" i="8"/>
  <c r="A2" i="8"/>
  <c r="A2" i="7"/>
  <c r="A3" i="6"/>
  <c r="A2" i="6"/>
  <c r="A2" i="5"/>
  <c r="A3" i="5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H9" authorId="0" shapeId="0" xr:uid="{5AB34C5A-A4AE-4CBA-BE81-7115C19B80B4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I9" authorId="0" shapeId="0" xr:uid="{F88B5C7D-A852-492C-A61A-2A10F617BFF6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J9" authorId="0" shapeId="0" xr:uid="{A6CE855F-8CCF-40C5-BB87-506AFB261965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Test Values</t>
        </r>
      </text>
    </comment>
  </commentList>
</comments>
</file>

<file path=xl/sharedStrings.xml><?xml version="1.0" encoding="utf-8"?>
<sst xmlns="http://schemas.openxmlformats.org/spreadsheetml/2006/main" count="131" uniqueCount="115">
  <si>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</si>
  <si>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</si>
  <si>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</si>
  <si>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</si>
  <si>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</si>
  <si>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</si>
  <si>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</si>
  <si>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</si>
  <si>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</si>
  <si>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</si>
  <si>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</si>
  <si>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</si>
  <si>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</si>
  <si>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</si>
  <si>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</si>
  <si>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</si>
  <si>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</si>
  <si>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</si>
  <si>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</si>
  <si>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</si>
  <si>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</si>
  <si>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</si>
  <si>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</si>
  <si>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</si>
  <si>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</si>
  <si>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</si>
  <si>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</si>
  <si>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</si>
  <si>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</si>
  <si>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</si>
  <si>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</si>
  <si>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</si>
  <si>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</si>
  <si>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</si>
  <si>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</si>
  <si>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</si>
  <si>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</si>
  <si>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</si>
  <si>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</si>
  <si>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</si>
  <si>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</si>
  <si>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</si>
  <si>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</si>
  <si>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</si>
  <si>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</si>
  <si>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</si>
  <si>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</si>
  <si>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</si>
  <si>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</si>
  <si>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</si>
  <si>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</si>
  <si>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</si>
  <si>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</si>
  <si>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</si>
  <si>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</si>
  <si>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</si>
  <si>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</si>
  <si>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</si>
  <si>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</si>
  <si>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</si>
  <si>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</si>
  <si>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</si>
  <si>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</si>
  <si>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</si>
  <si>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</si>
  <si>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</si>
  <si>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</si>
  <si>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</si>
  <si>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</si>
  <si>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</si>
  <si>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</si>
  <si>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</si>
  <si>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</si>
  <si>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</si>
  <si>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</si>
  <si>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</si>
  <si>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</si>
  <si>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t>Hospitant 1</t>
  </si>
  <si>
    <t>Hospitant 2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</si>
  <si>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</si>
  <si>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</si>
  <si>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</si>
  <si>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</si>
  <si>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</si>
  <si>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</si>
  <si>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Hauptrunde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</si>
  <si>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</si>
  <si>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</si>
  <si>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</si>
  <si>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</si>
  <si>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</si>
  <si>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</si>
  <si>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</si>
  <si>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</si>
  <si>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</si>
  <si>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</si>
  <si>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</si>
  <si>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</si>
  <si>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</si>
  <si>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Meisterschaftsname</t>
  </si>
  <si>
    <t>xx.yy.zzzz</t>
  </si>
  <si>
    <t>CorrectionValue</t>
  </si>
  <si>
    <t>Korrektur</t>
  </si>
  <si>
    <t>Generator Parameters</t>
  </si>
  <si>
    <t>print</t>
  </si>
  <si>
    <t>README / ANLEITUNG</t>
  </si>
  <si>
    <t>FALSE</t>
  </si>
  <si>
    <t>blanks file</t>
  </si>
  <si>
    <t>Blank.xlsm</t>
  </si>
  <si>
    <t>Test-Blank.xlsm</t>
  </si>
  <si>
    <t>Übereinstimmung [%]</t>
  </si>
  <si>
    <t>Jugendpokal</t>
  </si>
  <si>
    <t>JudgeRateA (has to be higher than)</t>
  </si>
  <si>
    <t>JudgeRateB (has to be higher than)</t>
  </si>
  <si>
    <t>JudgeRateC (has to be higher than)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</si>
</sst>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mbria"/>
      <family val="1"/>
      <scheme val="maj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</cellStyleXfs>
  <cellXfs count="28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Alignment="1">
      <alignment vertical="center"/>
    </xf>
    <xf numFmtId="0" fontId="9" fillId="0" borderId="0" xfId="0" applyFont="1"/>
    <xf numFmtId="0" fontId="9" fillId="2" borderId="0" xfId="0" applyFont="1" applyFill="1"/>
    <xf numFmtId="0" fontId="8" fillId="0" borderId="1" xfId="0" applyFont="1" applyBorder="1"/>
    <xf numFmtId="0" fontId="8" fillId="0" borderId="0" xfId="0" applyFont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/>
    <xf numFmtId="14" fontId="0" fillId="0" borderId="0" xfId="0" applyNumberFormat="1" applyAlignment="1">
      <alignment horizontal="right"/>
    </xf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9" fontId="0" fillId="0" borderId="0" xfId="0" applyNumberForma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</cellXfs>
  <cellStyles count="5"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Standard" xfId="0" builtinId="0"/>
    <cellStyle name="Standard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522569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54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460127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102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374862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83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330081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05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342383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358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Jugend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19050</xdr:rowOff>
        </xdr:from>
        <xdr:to>
          <xdr:col>5</xdr:col>
          <xdr:colOff>95250</xdr:colOff>
          <xdr:row>5</xdr:row>
          <xdr:rowOff>114300</xdr:rowOff>
        </xdr:to>
        <xdr:sp macro="" textlink="">
          <xdr:nvSpPr>
            <xdr:cNvPr id="1027" name="Schaltfläche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R63"/>
  <sheetViews>
    <sheetView tabSelected="1"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0"/>
      <c r="B1" s="20"/>
      <c r="C1" s="20"/>
      <c r="D1" s="25" t="s">
        <v>11</v>
      </c>
      <c r="E1" s="25"/>
      <c r="F1" s="25"/>
      <c r="G1" s="20"/>
      <c r="H1" s="20"/>
      <c r="I1" s="4"/>
      <c r="J1" s="4"/>
    </row>
    <row r="2" spans="1:18" ht="24.6" customHeight="1" x14ac:dyDescent="0.35">
      <c r="A2" s="23" t="str">
        <f>ChampionshipName</f>
        <v>Meisterschaftsname</v>
      </c>
      <c r="B2" s="23"/>
      <c r="C2" s="23"/>
      <c r="D2" s="23"/>
      <c r="E2" s="23"/>
      <c r="F2" s="23"/>
      <c r="G2" s="23"/>
      <c r="H2" s="23"/>
      <c r="I2" s="5"/>
      <c r="J2" s="5"/>
    </row>
    <row r="3" spans="1:18" s="7" customFormat="1" ht="40.15" customHeight="1" x14ac:dyDescent="0.25">
      <c r="A3" s="24" t="str">
        <f>ChampionshipType</f>
        <v>Vorrunde</v>
      </c>
      <c r="B3" s="24"/>
      <c r="C3" s="24"/>
      <c r="D3" s="24"/>
      <c r="E3" s="24"/>
      <c r="F3" s="24"/>
      <c r="G3" s="24"/>
      <c r="H3" s="24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/>
      <c r="C5" s="8"/>
      <c r="D5" s="8"/>
      <c r="E5" s="8"/>
      <c r="F5" s="8"/>
      <c r="G5" s="8"/>
      <c r="H5" s="8"/>
      <c r="J5" s="1" t="str">
        <f>Judge1</f>
        <v>Wertung 1</v>
      </c>
    </row>
    <row r="6" spans="1:18" ht="15.95" customHeight="1" x14ac:dyDescent="0.25">
      <c r="A6" s="12">
        <v>2</v>
      </c>
      <c r="B6" s="9"/>
      <c r="C6" s="9"/>
      <c r="D6" s="9"/>
      <c r="E6" s="9"/>
      <c r="F6" s="9"/>
      <c r="G6" s="9"/>
      <c r="H6" s="9"/>
      <c r="J6" s="1" t="str">
        <f>Judge2</f>
        <v>Wertung 2</v>
      </c>
    </row>
    <row r="7" spans="1:18" ht="15.95" customHeight="1" x14ac:dyDescent="0.25">
      <c r="A7" s="11">
        <v>3</v>
      </c>
      <c r="B7" s="8"/>
      <c r="C7" s="8"/>
      <c r="D7" s="8"/>
      <c r="E7" s="8"/>
      <c r="F7" s="8"/>
      <c r="G7" s="8"/>
      <c r="H7" s="8"/>
      <c r="J7" s="1" t="str">
        <f>JudgeHead</f>
        <v>Wertung 3 (H)</v>
      </c>
      <c r="R7" s="16"/>
    </row>
    <row r="8" spans="1:18" ht="15.95" customHeight="1" x14ac:dyDescent="0.25">
      <c r="A8" s="14">
        <v>4</v>
      </c>
      <c r="B8" s="15"/>
      <c r="C8" s="15"/>
      <c r="D8" s="15"/>
      <c r="E8" s="15"/>
      <c r="F8" s="15"/>
      <c r="G8" s="15"/>
      <c r="H8" s="15"/>
      <c r="J8" s="1" t="str">
        <f>Judge4</f>
        <v>Wertung 4</v>
      </c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</row>
    <row r="10" spans="1:18" ht="15.95" customHeight="1" x14ac:dyDescent="0.25">
      <c r="J10" s="1" t="str">
        <f>JudgeStandin</f>
        <v>Springer</v>
      </c>
    </row>
    <row r="11" spans="1:18" ht="15.95" customHeight="1" x14ac:dyDescent="0.25">
      <c r="E11" s="6"/>
      <c r="G11" s="6"/>
      <c r="I11" s="2"/>
      <c r="J11" s="1" t="str">
        <f>JudgeSupervisor</f>
        <v>Beobachter</v>
      </c>
    </row>
    <row r="12" spans="1:18" ht="15.95" customHeight="1" x14ac:dyDescent="0.25">
      <c r="E12" s="6"/>
      <c r="G12" s="6"/>
      <c r="J12" s="1" t="s">
        <v>77</v>
      </c>
      <c r="R12" s="16"/>
    </row>
    <row r="13" spans="1:18" ht="15.95" customHeight="1" x14ac:dyDescent="0.25">
      <c r="E13" s="6"/>
      <c r="G13" s="6"/>
      <c r="J13" s="1" t="s">
        <v>78</v>
      </c>
      <c r="K13" s="16"/>
      <c r="L13" s="16"/>
      <c r="M13" s="16"/>
      <c r="R13" s="16"/>
    </row>
    <row r="14" spans="1:18" ht="15.95" customHeight="1" x14ac:dyDescent="0.25">
      <c r="J14" s="1"/>
      <c r="L14" s="16"/>
      <c r="M14" s="16"/>
      <c r="R14" s="16"/>
    </row>
    <row r="15" spans="1:18" ht="15.95" customHeight="1" x14ac:dyDescent="0.25">
      <c r="E15" s="6"/>
      <c r="G15" s="6"/>
      <c r="R15" s="16"/>
    </row>
    <row r="16" spans="1:18" ht="15.95" customHeight="1" x14ac:dyDescent="0.25">
      <c r="E16" s="6"/>
      <c r="G16" s="6"/>
    </row>
    <row r="17" spans="5:10" ht="15.95" customHeight="1" x14ac:dyDescent="0.25">
      <c r="E17" s="6"/>
      <c r="G17" s="6"/>
    </row>
    <row r="18" spans="5:10" x14ac:dyDescent="0.25">
      <c r="E18" s="6"/>
      <c r="G18" s="6"/>
    </row>
    <row r="19" spans="5:10" x14ac:dyDescent="0.25">
      <c r="E19" s="6"/>
      <c r="G19" s="6"/>
    </row>
    <row r="21" spans="5:10" x14ac:dyDescent="0.25">
      <c r="E21" s="6"/>
      <c r="G21" s="6"/>
    </row>
    <row r="22" spans="5:10" x14ac:dyDescent="0.25">
      <c r="J22" s="6"/>
    </row>
    <row r="23" spans="5:10" x14ac:dyDescent="0.25">
      <c r="E23" s="6"/>
      <c r="G23" s="6"/>
      <c r="J23" s="6"/>
    </row>
    <row r="24" spans="5:10" x14ac:dyDescent="0.25">
      <c r="J24" s="6"/>
    </row>
    <row r="25" spans="5:10" x14ac:dyDescent="0.25">
      <c r="J25" s="6"/>
    </row>
    <row r="26" spans="5:10" x14ac:dyDescent="0.25">
      <c r="J26" s="6"/>
    </row>
    <row r="27" spans="5:10" x14ac:dyDescent="0.25">
      <c r="J27" s="6"/>
    </row>
    <row r="28" spans="5:10" x14ac:dyDescent="0.25">
      <c r="E28" s="6"/>
      <c r="G28" s="6"/>
      <c r="J28" s="6"/>
    </row>
    <row r="29" spans="5:10" x14ac:dyDescent="0.25">
      <c r="E29" s="6"/>
      <c r="G29" s="6"/>
      <c r="J29" s="6"/>
    </row>
    <row r="30" spans="5:10" x14ac:dyDescent="0.25">
      <c r="E30" s="6"/>
      <c r="G30" s="6"/>
      <c r="J30" s="6"/>
    </row>
    <row r="31" spans="5:10" x14ac:dyDescent="0.25">
      <c r="E31" s="6"/>
      <c r="G31" s="6"/>
      <c r="J31" s="6"/>
    </row>
    <row r="33" spans="5:10" x14ac:dyDescent="0.25">
      <c r="E33" s="6"/>
      <c r="G33" s="6"/>
      <c r="J33" s="6"/>
    </row>
    <row r="35" spans="5:10" x14ac:dyDescent="0.25">
      <c r="E35" s="6"/>
      <c r="G35" s="6"/>
      <c r="J35" s="6"/>
    </row>
    <row r="50" spans="11:17" x14ac:dyDescent="0.25">
      <c r="K50" s="2"/>
      <c r="Q50" s="2"/>
    </row>
    <row r="51" spans="11:17" x14ac:dyDescent="0.25">
      <c r="K51" s="2"/>
      <c r="Q51" s="2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  <row r="56" spans="11:17" x14ac:dyDescent="0.25">
      <c r="K56" s="2"/>
      <c r="Q56" s="2"/>
    </row>
    <row r="57" spans="11:17" x14ac:dyDescent="0.25">
      <c r="K57" s="2"/>
      <c r="Q57" s="2"/>
    </row>
    <row r="58" spans="11:17" x14ac:dyDescent="0.25">
      <c r="K58" s="2"/>
      <c r="Q58" s="2"/>
    </row>
    <row r="59" spans="11:17" x14ac:dyDescent="0.25">
      <c r="K59" s="2"/>
      <c r="Q59" s="2"/>
    </row>
    <row r="60" spans="11:17" x14ac:dyDescent="0.25">
      <c r="K60" s="2"/>
      <c r="Q60" s="2"/>
    </row>
    <row r="61" spans="11:17" x14ac:dyDescent="0.25">
      <c r="K61" s="2"/>
      <c r="Q61" s="2"/>
    </row>
    <row r="62" spans="11:17" x14ac:dyDescent="0.25">
      <c r="K62" s="2"/>
      <c r="Q62" s="2"/>
    </row>
    <row r="63" spans="11:17" x14ac:dyDescent="0.25">
      <c r="K63" s="2"/>
      <c r="Q63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Q65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4" ht="84.95" customHeight="1" x14ac:dyDescent="0.6">
      <c r="A1" s="20"/>
      <c r="B1" s="20"/>
      <c r="C1" s="20"/>
      <c r="D1" s="25" t="s">
        <v>14</v>
      </c>
      <c r="E1" s="25"/>
      <c r="F1" s="25"/>
      <c r="G1" s="20"/>
      <c r="H1" s="20"/>
      <c r="I1" s="4"/>
      <c r="J1" s="4"/>
    </row>
    <row r="2" spans="1:14" ht="24.6" customHeight="1" x14ac:dyDescent="0.35">
      <c r="A2" s="23" t="str">
        <f>ChampionshipName</f>
        <v>Meisterschaftsname</v>
      </c>
      <c r="B2" s="23"/>
      <c r="C2" s="23"/>
      <c r="D2" s="23"/>
      <c r="E2" s="23"/>
      <c r="F2" s="23"/>
      <c r="G2" s="23"/>
      <c r="H2" s="23"/>
      <c r="I2" s="5"/>
      <c r="J2" s="5"/>
    </row>
    <row r="3" spans="1:14" s="7" customFormat="1" ht="40.15" customHeight="1" x14ac:dyDescent="0.25">
      <c r="A3" s="24" t="str">
        <f>ChampionshipType</f>
        <v>Vorrunde</v>
      </c>
      <c r="B3" s="24"/>
      <c r="C3" s="24"/>
      <c r="D3" s="24"/>
      <c r="E3" s="24"/>
      <c r="F3" s="24"/>
      <c r="G3" s="24"/>
      <c r="H3" s="24"/>
    </row>
    <row r="4" spans="1:14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4" ht="15.95" customHeight="1" x14ac:dyDescent="0.25">
      <c r="A5" s="11">
        <v>1</v>
      </c>
      <c r="B5" s="8"/>
      <c r="C5" s="8"/>
      <c r="D5" s="8"/>
      <c r="E5" s="8"/>
      <c r="F5" s="8"/>
      <c r="G5" s="8"/>
      <c r="H5" s="8"/>
      <c r="J5" s="1" t="str">
        <f>Judge1</f>
        <v>Wertung 1</v>
      </c>
    </row>
    <row r="6" spans="1:14" ht="15.95" customHeight="1" x14ac:dyDescent="0.25">
      <c r="A6" s="12">
        <v>2</v>
      </c>
      <c r="B6" s="9"/>
      <c r="C6" s="9"/>
      <c r="D6" s="9"/>
      <c r="E6" s="9"/>
      <c r="F6" s="9"/>
      <c r="G6" s="9"/>
      <c r="H6" s="9"/>
      <c r="J6" s="1" t="str">
        <f>Judge2</f>
        <v>Wertung 2</v>
      </c>
    </row>
    <row r="7" spans="1:14" ht="15.95" customHeight="1" x14ac:dyDescent="0.25">
      <c r="A7" s="11">
        <v>3</v>
      </c>
      <c r="B7" s="8"/>
      <c r="C7" s="8"/>
      <c r="D7" s="8"/>
      <c r="E7" s="8"/>
      <c r="F7" s="8"/>
      <c r="G7" s="8"/>
      <c r="H7" s="8"/>
      <c r="J7" s="1" t="str">
        <f>JudgeHead</f>
        <v>Wertung 3 (H)</v>
      </c>
    </row>
    <row r="8" spans="1:14" ht="15.95" customHeight="1" x14ac:dyDescent="0.25">
      <c r="A8" s="14">
        <v>4</v>
      </c>
      <c r="B8" s="15"/>
      <c r="C8" s="15"/>
      <c r="D8" s="15"/>
      <c r="E8" s="15"/>
      <c r="F8" s="15"/>
      <c r="G8" s="15"/>
      <c r="H8" s="15"/>
      <c r="J8" s="1" t="str">
        <f>Judge4</f>
        <v>Wertung 4</v>
      </c>
    </row>
    <row r="9" spans="1:14" ht="15.95" customHeight="1" x14ac:dyDescent="0.25">
      <c r="H9" s="17" t="str">
        <f>ChampionshipDate</f>
        <v>xx.yy.zzzz</v>
      </c>
      <c r="J9" s="1" t="str">
        <f>Judge5</f>
        <v>Wertung 5</v>
      </c>
    </row>
    <row r="10" spans="1:14" ht="15.95" customHeight="1" x14ac:dyDescent="0.25">
      <c r="J10" s="1" t="str">
        <f>JudgeStandin</f>
        <v>Springer</v>
      </c>
    </row>
    <row r="11" spans="1:14" ht="15.95" customHeight="1" x14ac:dyDescent="0.25">
      <c r="E11" s="6"/>
      <c r="G11" s="6"/>
      <c r="I11" s="2"/>
      <c r="J11" s="1" t="str">
        <f>JudgeSupervisor</f>
        <v>Beobachter</v>
      </c>
    </row>
    <row r="12" spans="1:14" ht="15.95" customHeight="1" x14ac:dyDescent="0.25">
      <c r="E12" s="6"/>
      <c r="G12" s="6"/>
      <c r="J12" s="1" t="s">
        <v>77</v>
      </c>
    </row>
    <row r="13" spans="1:14" ht="15.95" customHeight="1" x14ac:dyDescent="0.25">
      <c r="E13" s="6"/>
      <c r="G13" s="6"/>
      <c r="J13" s="1" t="s">
        <v>78</v>
      </c>
    </row>
    <row r="14" spans="1:14" ht="15.95" customHeight="1" x14ac:dyDescent="0.25">
      <c r="J14" s="1"/>
    </row>
    <row r="15" spans="1:14" ht="15.95" customHeight="1" x14ac:dyDescent="0.25">
      <c r="E15" s="6"/>
      <c r="G15" s="6"/>
    </row>
    <row r="16" spans="1:14" ht="15.95" customHeight="1" x14ac:dyDescent="0.25">
      <c r="E16" s="6"/>
      <c r="G16" s="6"/>
      <c r="J16" s="1"/>
    </row>
    <row r="17" spans="5:10" ht="15.95" customHeight="1" x14ac:dyDescent="0.25">
      <c r="E17" s="6"/>
      <c r="G17" s="6"/>
      <c r="J17" s="1"/>
    </row>
    <row r="18" spans="5:10" ht="15.95" customHeight="1" x14ac:dyDescent="0.25">
      <c r="E18" s="6"/>
      <c r="G18" s="6"/>
    </row>
    <row r="19" spans="5:10" ht="15.95" customHeight="1" x14ac:dyDescent="0.25">
      <c r="E19" s="6"/>
      <c r="G19" s="6"/>
    </row>
    <row r="20" spans="5:10" ht="15.95" customHeight="1" x14ac:dyDescent="0.25">
      <c r="E20" s="6"/>
      <c r="G20" s="6"/>
    </row>
    <row r="21" spans="5:10" ht="15.95" customHeight="1" x14ac:dyDescent="0.25"/>
    <row r="22" spans="5:10" x14ac:dyDescent="0.25">
      <c r="E22" s="6"/>
      <c r="G22" s="6"/>
    </row>
    <row r="24" spans="5:10" x14ac:dyDescent="0.25">
      <c r="E24" s="6"/>
      <c r="G24" s="6"/>
    </row>
    <row r="29" spans="5:10" x14ac:dyDescent="0.25">
      <c r="E29" s="6"/>
      <c r="G29" s="6"/>
      <c r="J29" s="6"/>
    </row>
    <row r="30" spans="5:10" x14ac:dyDescent="0.25">
      <c r="E30" s="6"/>
      <c r="G30" s="6"/>
      <c r="J30" s="6"/>
    </row>
    <row r="31" spans="5:10" x14ac:dyDescent="0.25">
      <c r="E31" s="6"/>
      <c r="G31" s="6"/>
      <c r="J31" s="6"/>
    </row>
    <row r="32" spans="5:10" x14ac:dyDescent="0.25">
      <c r="E32" s="6"/>
      <c r="G32" s="6"/>
      <c r="J32" s="6"/>
    </row>
    <row r="33" spans="5:10" x14ac:dyDescent="0.25">
      <c r="E33" s="6"/>
      <c r="G33" s="6"/>
      <c r="J33" s="6"/>
    </row>
    <row r="34" spans="5:10" x14ac:dyDescent="0.25">
      <c r="E34" s="6"/>
      <c r="G34" s="6"/>
      <c r="J34" s="6"/>
    </row>
    <row r="35" spans="5:10" x14ac:dyDescent="0.25">
      <c r="E35" s="6"/>
      <c r="G35" s="6"/>
      <c r="J35" s="6"/>
    </row>
    <row r="36" spans="5:10" x14ac:dyDescent="0.25">
      <c r="E36" s="6"/>
      <c r="G36" s="6"/>
      <c r="J36" s="6"/>
    </row>
    <row r="37" spans="5:10" x14ac:dyDescent="0.25">
      <c r="E37" s="6"/>
      <c r="G37" s="6"/>
      <c r="J37" s="6"/>
    </row>
    <row r="38" spans="5:10" x14ac:dyDescent="0.25">
      <c r="E38" s="6"/>
      <c r="G38" s="6"/>
      <c r="J38" s="6"/>
    </row>
    <row r="39" spans="5:10" x14ac:dyDescent="0.25">
      <c r="E39" s="6"/>
      <c r="G39" s="6"/>
      <c r="J39" s="6"/>
    </row>
    <row r="40" spans="5:10" x14ac:dyDescent="0.25">
      <c r="E40" s="6"/>
      <c r="G40" s="6"/>
      <c r="J40" s="6"/>
    </row>
    <row r="41" spans="5:10" x14ac:dyDescent="0.25">
      <c r="E41" s="6"/>
      <c r="G41" s="6"/>
      <c r="J41" s="6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  <row r="56" spans="11:17" x14ac:dyDescent="0.25">
      <c r="K56" s="2"/>
      <c r="Q56" s="2"/>
    </row>
    <row r="57" spans="11:17" x14ac:dyDescent="0.25">
      <c r="K57" s="2"/>
      <c r="Q57" s="2"/>
    </row>
    <row r="58" spans="11:17" x14ac:dyDescent="0.25">
      <c r="K58" s="2"/>
      <c r="Q58" s="2"/>
    </row>
    <row r="59" spans="11:17" x14ac:dyDescent="0.25">
      <c r="K59" s="2"/>
      <c r="Q59" s="2"/>
    </row>
    <row r="60" spans="11:17" x14ac:dyDescent="0.25">
      <c r="K60" s="2"/>
      <c r="Q60" s="2"/>
    </row>
    <row r="61" spans="11:17" x14ac:dyDescent="0.25">
      <c r="K61" s="2"/>
      <c r="Q61" s="2"/>
    </row>
    <row r="62" spans="11:17" x14ac:dyDescent="0.25">
      <c r="K62" s="2"/>
      <c r="Q62" s="2"/>
    </row>
    <row r="63" spans="11:17" x14ac:dyDescent="0.25">
      <c r="K63" s="2"/>
      <c r="Q63" s="2"/>
    </row>
    <row r="64" spans="11:17" x14ac:dyDescent="0.25">
      <c r="K64" s="2"/>
      <c r="Q64" s="2"/>
    </row>
    <row r="65" spans="11:17" x14ac:dyDescent="0.25">
      <c r="K65" s="2"/>
      <c r="Q65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pageSetUpPr fitToPage="1"/>
  </sheetPr>
  <dimension ref="A1:R58"/>
  <sheetViews>
    <sheetView zoomScaleNormal="10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0"/>
      <c r="B1" s="20"/>
      <c r="C1" s="20"/>
      <c r="D1" s="25" t="s">
        <v>15</v>
      </c>
      <c r="E1" s="25"/>
      <c r="F1" s="25"/>
      <c r="G1" s="20"/>
      <c r="H1" s="20"/>
      <c r="I1" s="4"/>
      <c r="J1" s="4"/>
    </row>
    <row r="2" spans="1:18" ht="24.6" customHeight="1" x14ac:dyDescent="0.35">
      <c r="A2" s="23" t="str">
        <f>ChampionshipName</f>
        <v>Meisterschaftsname</v>
      </c>
      <c r="B2" s="23"/>
      <c r="C2" s="23"/>
      <c r="D2" s="23"/>
      <c r="E2" s="23"/>
      <c r="F2" s="23"/>
      <c r="G2" s="23"/>
      <c r="H2" s="23"/>
      <c r="I2" s="5"/>
      <c r="J2" s="5"/>
    </row>
    <row r="3" spans="1:18" ht="40.35" customHeight="1" x14ac:dyDescent="0.25">
      <c r="A3" s="24" t="str">
        <f>ChampionshipType</f>
        <v>Vorrunde</v>
      </c>
      <c r="B3" s="24"/>
      <c r="C3" s="24"/>
      <c r="D3" s="24"/>
      <c r="E3" s="24"/>
      <c r="F3" s="24"/>
      <c r="G3" s="24"/>
      <c r="H3" s="24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/>
      <c r="C5" s="8"/>
      <c r="D5" s="8"/>
      <c r="E5" s="8"/>
      <c r="F5" s="8"/>
      <c r="G5" s="8"/>
      <c r="H5" s="8"/>
      <c r="J5" s="1" t="str">
        <f>Judge1</f>
        <v>Wertung 1</v>
      </c>
      <c r="R5" s="2"/>
    </row>
    <row r="6" spans="1:18" ht="15.95" customHeight="1" x14ac:dyDescent="0.25">
      <c r="A6" s="12">
        <v>2</v>
      </c>
      <c r="B6" s="9"/>
      <c r="C6" s="9"/>
      <c r="D6" s="9"/>
      <c r="E6" s="9"/>
      <c r="F6" s="9"/>
      <c r="G6" s="9"/>
      <c r="H6" s="9"/>
      <c r="J6" s="1" t="str">
        <f>Judge2</f>
        <v>Wertung 2</v>
      </c>
      <c r="R6" s="2"/>
    </row>
    <row r="7" spans="1:18" ht="15.95" customHeight="1" x14ac:dyDescent="0.25">
      <c r="A7" s="11">
        <v>3</v>
      </c>
      <c r="B7" s="8"/>
      <c r="C7" s="8"/>
      <c r="D7" s="8"/>
      <c r="E7" s="8"/>
      <c r="F7" s="8"/>
      <c r="G7" s="8"/>
      <c r="H7" s="8"/>
      <c r="J7" s="1" t="str">
        <f>JudgeHead</f>
        <v>Wertung 3 (H)</v>
      </c>
      <c r="R7" s="2"/>
    </row>
    <row r="8" spans="1:18" ht="15.95" customHeight="1" x14ac:dyDescent="0.25">
      <c r="A8" s="14">
        <v>4</v>
      </c>
      <c r="B8" s="15"/>
      <c r="C8" s="15"/>
      <c r="D8" s="15"/>
      <c r="E8" s="15"/>
      <c r="F8" s="15"/>
      <c r="G8" s="15"/>
      <c r="H8" s="15"/>
      <c r="J8" s="1" t="str">
        <f>Judge4</f>
        <v>Wertung 4</v>
      </c>
      <c r="R8" s="2"/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R9" s="2"/>
    </row>
    <row r="10" spans="1:18" ht="15.95" customHeight="1" x14ac:dyDescent="0.25">
      <c r="J10" s="1" t="str">
        <f>JudgeStandin</f>
        <v>Springer</v>
      </c>
      <c r="R10" s="2"/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R11" s="2"/>
    </row>
    <row r="12" spans="1:18" ht="15.95" customHeight="1" x14ac:dyDescent="0.25">
      <c r="E12" s="6"/>
      <c r="G12" s="6"/>
      <c r="J12" s="1" t="s">
        <v>77</v>
      </c>
      <c r="R12" s="2"/>
    </row>
    <row r="13" spans="1:18" ht="15.95" customHeight="1" x14ac:dyDescent="0.25">
      <c r="E13" s="6"/>
      <c r="G13" s="6"/>
      <c r="J13" s="1" t="s">
        <v>78</v>
      </c>
      <c r="R13" s="2"/>
    </row>
    <row r="14" spans="1:18" ht="15.95" customHeight="1" x14ac:dyDescent="0.25">
      <c r="J14" s="1"/>
      <c r="R14" s="2"/>
    </row>
    <row r="15" spans="1:18" ht="15.95" customHeight="1" x14ac:dyDescent="0.25">
      <c r="E15" s="6"/>
      <c r="G15" s="6"/>
      <c r="L15" s="2"/>
      <c r="R15" s="2"/>
    </row>
    <row r="16" spans="1:18" ht="15.95" customHeight="1" x14ac:dyDescent="0.25">
      <c r="E16" s="6"/>
      <c r="G16" s="6"/>
      <c r="L16" s="2"/>
      <c r="R16" s="2"/>
    </row>
    <row r="17" spans="4:18" ht="15.95" customHeight="1" x14ac:dyDescent="0.25">
      <c r="E17" s="6"/>
      <c r="G17" s="6"/>
      <c r="L17" s="2"/>
      <c r="R17" s="2"/>
    </row>
    <row r="18" spans="4:18" ht="15.95" customHeight="1" x14ac:dyDescent="0.25">
      <c r="E18" s="6"/>
      <c r="G18" s="6"/>
    </row>
    <row r="19" spans="4:18" x14ac:dyDescent="0.25">
      <c r="E19" s="6"/>
      <c r="G19" s="6"/>
    </row>
    <row r="20" spans="4:18" x14ac:dyDescent="0.25">
      <c r="E20" s="6"/>
      <c r="G20" s="6"/>
    </row>
    <row r="22" spans="4:18" x14ac:dyDescent="0.25">
      <c r="E22" s="6"/>
      <c r="G22" s="6"/>
      <c r="J22" s="6"/>
    </row>
    <row r="23" spans="4:18" x14ac:dyDescent="0.25">
      <c r="J23" s="6"/>
    </row>
    <row r="24" spans="4:18" x14ac:dyDescent="0.25">
      <c r="E24" s="6"/>
      <c r="G24" s="6"/>
    </row>
    <row r="26" spans="4:18" x14ac:dyDescent="0.25">
      <c r="I26" s="2"/>
    </row>
    <row r="27" spans="4:18" x14ac:dyDescent="0.25">
      <c r="I27" s="2"/>
    </row>
    <row r="28" spans="4:18" x14ac:dyDescent="0.25">
      <c r="I28" s="2"/>
    </row>
    <row r="29" spans="4:18" x14ac:dyDescent="0.25">
      <c r="E29" s="6"/>
      <c r="G29" s="6"/>
      <c r="I29" s="2"/>
    </row>
    <row r="30" spans="4:18" x14ac:dyDescent="0.25">
      <c r="E30" s="6"/>
      <c r="G30" s="6"/>
      <c r="I30" s="2"/>
    </row>
    <row r="31" spans="4:18" x14ac:dyDescent="0.25">
      <c r="E31" s="6"/>
      <c r="G31" s="6"/>
      <c r="I31" s="2"/>
    </row>
    <row r="32" spans="4:18" x14ac:dyDescent="0.25">
      <c r="D32" s="2"/>
      <c r="I32" s="2"/>
    </row>
    <row r="33" spans="4:17" x14ac:dyDescent="0.25">
      <c r="D33" s="2"/>
      <c r="I33" s="2"/>
    </row>
    <row r="34" spans="4:17" x14ac:dyDescent="0.25">
      <c r="D34" s="2"/>
      <c r="I34" s="2"/>
    </row>
    <row r="35" spans="4:17" x14ac:dyDescent="0.25">
      <c r="D35" s="2"/>
      <c r="I35" s="2"/>
    </row>
    <row r="36" spans="4:17" x14ac:dyDescent="0.25">
      <c r="D36" s="2"/>
      <c r="I36" s="2"/>
    </row>
    <row r="37" spans="4:17" x14ac:dyDescent="0.25">
      <c r="D37" s="2"/>
      <c r="I37" s="2"/>
    </row>
    <row r="38" spans="4:17" x14ac:dyDescent="0.25">
      <c r="D38" s="2"/>
      <c r="I38" s="2"/>
    </row>
    <row r="39" spans="4:17" x14ac:dyDescent="0.25">
      <c r="D39" s="2"/>
      <c r="I39" s="2"/>
    </row>
    <row r="40" spans="4:17" x14ac:dyDescent="0.25">
      <c r="D40" s="2"/>
      <c r="I40" s="2"/>
    </row>
    <row r="41" spans="4:17" x14ac:dyDescent="0.25">
      <c r="D41" s="2"/>
      <c r="I41" s="2"/>
    </row>
    <row r="42" spans="4:17" x14ac:dyDescent="0.25">
      <c r="D42" s="2"/>
      <c r="I42" s="2"/>
    </row>
    <row r="43" spans="4:17" x14ac:dyDescent="0.25">
      <c r="D43" s="2"/>
      <c r="I43" s="2"/>
    </row>
    <row r="44" spans="4:17" x14ac:dyDescent="0.25">
      <c r="D44" s="2"/>
      <c r="I44" s="2"/>
    </row>
    <row r="45" spans="4:17" x14ac:dyDescent="0.25">
      <c r="K45" s="2"/>
      <c r="Q45" s="2"/>
    </row>
    <row r="46" spans="4:17" x14ac:dyDescent="0.25">
      <c r="K46" s="2"/>
      <c r="Q46" s="2"/>
    </row>
    <row r="47" spans="4:17" x14ac:dyDescent="0.25">
      <c r="K47" s="2"/>
      <c r="Q47" s="2"/>
    </row>
    <row r="48" spans="4:17" x14ac:dyDescent="0.25">
      <c r="K48" s="2"/>
      <c r="Q48" s="2"/>
    </row>
    <row r="49" spans="11:17" x14ac:dyDescent="0.25">
      <c r="K49" s="2"/>
      <c r="Q49" s="2"/>
    </row>
    <row r="50" spans="11:17" x14ac:dyDescent="0.25">
      <c r="K50" s="2"/>
      <c r="Q50" s="2"/>
    </row>
    <row r="51" spans="11:17" x14ac:dyDescent="0.25">
      <c r="K51" s="2"/>
      <c r="Q51" s="2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  <row r="56" spans="11:17" x14ac:dyDescent="0.25">
      <c r="K56" s="2"/>
      <c r="Q56" s="2"/>
    </row>
    <row r="57" spans="11:17" x14ac:dyDescent="0.25">
      <c r="K57" s="2"/>
      <c r="Q57" s="2"/>
    </row>
    <row r="58" spans="11:17" x14ac:dyDescent="0.25">
      <c r="K58" s="2"/>
      <c r="Q58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R55"/>
  <sheetViews>
    <sheetView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0"/>
      <c r="B1" s="20"/>
      <c r="C1" s="20"/>
      <c r="D1" s="25" t="s">
        <v>16</v>
      </c>
      <c r="E1" s="25"/>
      <c r="F1" s="25"/>
      <c r="G1" s="20"/>
      <c r="H1" s="20"/>
      <c r="I1" s="4"/>
      <c r="J1" s="4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5"/>
      <c r="J2" s="5"/>
    </row>
    <row r="3" spans="1:18" ht="40.35" customHeight="1" x14ac:dyDescent="0.25">
      <c r="A3" s="24" t="s">
        <v>85</v>
      </c>
      <c r="B3" s="24"/>
      <c r="C3" s="24"/>
      <c r="D3" s="24"/>
      <c r="E3" s="24"/>
      <c r="F3" s="24"/>
      <c r="G3" s="24"/>
      <c r="H3" s="24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/>
      <c r="C5" s="8"/>
      <c r="D5" s="8"/>
      <c r="E5" s="8"/>
      <c r="F5" s="8"/>
      <c r="G5" s="8"/>
      <c r="H5" s="8"/>
      <c r="J5" s="1" t="str">
        <f>Judge1</f>
        <v>Wertung 1</v>
      </c>
      <c r="R5" s="2"/>
    </row>
    <row r="6" spans="1:18" ht="15.95" customHeight="1" x14ac:dyDescent="0.25">
      <c r="A6" s="12">
        <v>2</v>
      </c>
      <c r="B6" s="9"/>
      <c r="C6" s="9"/>
      <c r="D6" s="9"/>
      <c r="E6" s="9"/>
      <c r="F6" s="9"/>
      <c r="G6" s="9"/>
      <c r="H6" s="9"/>
      <c r="J6" s="1" t="str">
        <f>Judge2</f>
        <v>Wertung 2</v>
      </c>
      <c r="R6" s="2"/>
    </row>
    <row r="7" spans="1:18" ht="15.95" customHeight="1" x14ac:dyDescent="0.25">
      <c r="A7" s="11">
        <v>3</v>
      </c>
      <c r="B7" s="8"/>
      <c r="C7" s="8"/>
      <c r="D7" s="8"/>
      <c r="E7" s="8"/>
      <c r="F7" s="8"/>
      <c r="G7" s="8"/>
      <c r="H7" s="8"/>
      <c r="J7" s="1" t="str">
        <f>JudgeHead</f>
        <v>Wertung 3 (H)</v>
      </c>
      <c r="R7" s="2"/>
    </row>
    <row r="8" spans="1:18" ht="15.95" customHeight="1" x14ac:dyDescent="0.25">
      <c r="A8" s="14">
        <v>4</v>
      </c>
      <c r="B8" s="15"/>
      <c r="C8" s="15"/>
      <c r="D8" s="15"/>
      <c r="E8" s="15"/>
      <c r="F8" s="15"/>
      <c r="G8" s="15"/>
      <c r="H8" s="15"/>
      <c r="J8" s="1" t="str">
        <f>Judge4</f>
        <v>Wertung 4</v>
      </c>
      <c r="R8" s="2"/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R9" s="2"/>
    </row>
    <row r="10" spans="1:18" ht="15.95" customHeight="1" x14ac:dyDescent="0.25">
      <c r="J10" s="1" t="str">
        <f>JudgeStandin</f>
        <v>Springer</v>
      </c>
      <c r="R10" s="2"/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R11" s="2"/>
    </row>
    <row r="12" spans="1:18" ht="15.95" customHeight="1" x14ac:dyDescent="0.25">
      <c r="E12" s="6"/>
      <c r="G12" s="6"/>
      <c r="J12" s="1" t="s">
        <v>77</v>
      </c>
      <c r="R12" s="2"/>
    </row>
    <row r="13" spans="1:18" ht="15.95" customHeight="1" x14ac:dyDescent="0.25">
      <c r="E13" s="6"/>
      <c r="G13" s="6"/>
      <c r="J13" s="1" t="s">
        <v>78</v>
      </c>
      <c r="R13" s="2"/>
    </row>
    <row r="14" spans="1:18" ht="15.95" customHeight="1" x14ac:dyDescent="0.25">
      <c r="J14" s="1"/>
      <c r="R14" s="2"/>
    </row>
    <row r="15" spans="1:18" ht="15.95" customHeight="1" x14ac:dyDescent="0.25">
      <c r="E15" s="6"/>
      <c r="G15" s="6"/>
      <c r="R15" s="2"/>
    </row>
    <row r="16" spans="1:18" x14ac:dyDescent="0.25">
      <c r="E16" s="6"/>
      <c r="G16" s="6"/>
      <c r="R16" s="2"/>
    </row>
    <row r="17" spans="4:10" x14ac:dyDescent="0.25">
      <c r="E17" s="6"/>
      <c r="G17" s="6"/>
    </row>
    <row r="18" spans="4:10" x14ac:dyDescent="0.25">
      <c r="E18" s="6"/>
      <c r="G18" s="6"/>
    </row>
    <row r="19" spans="4:10" x14ac:dyDescent="0.25">
      <c r="E19" s="6"/>
      <c r="G19" s="6"/>
      <c r="J19" s="6"/>
    </row>
    <row r="20" spans="4:10" x14ac:dyDescent="0.25">
      <c r="E20" s="6"/>
      <c r="G20" s="6"/>
      <c r="J20" s="6"/>
    </row>
    <row r="22" spans="4:10" x14ac:dyDescent="0.25">
      <c r="E22" s="6"/>
      <c r="G22" s="6"/>
    </row>
    <row r="24" spans="4:10" x14ac:dyDescent="0.25">
      <c r="E24" s="6"/>
      <c r="G24" s="6"/>
    </row>
    <row r="26" spans="4:10" x14ac:dyDescent="0.25">
      <c r="I26" s="2"/>
    </row>
    <row r="27" spans="4:10" x14ac:dyDescent="0.25">
      <c r="I27" s="2"/>
    </row>
    <row r="28" spans="4:10" x14ac:dyDescent="0.25">
      <c r="I28" s="2"/>
    </row>
    <row r="29" spans="4:10" x14ac:dyDescent="0.25">
      <c r="E29" s="6"/>
      <c r="G29" s="6"/>
      <c r="I29" s="2"/>
    </row>
    <row r="30" spans="4:10" x14ac:dyDescent="0.25">
      <c r="E30" s="6"/>
      <c r="G30" s="6"/>
      <c r="I30" s="2"/>
    </row>
    <row r="31" spans="4:10" x14ac:dyDescent="0.25">
      <c r="E31" s="6"/>
      <c r="G31" s="6"/>
      <c r="I31" s="2"/>
    </row>
    <row r="32" spans="4:10" x14ac:dyDescent="0.25">
      <c r="D32" s="2"/>
      <c r="I32" s="2"/>
    </row>
    <row r="33" spans="4:17" x14ac:dyDescent="0.25">
      <c r="D33" s="2"/>
      <c r="I33" s="2"/>
    </row>
    <row r="42" spans="4:17" x14ac:dyDescent="0.25">
      <c r="K42" s="2"/>
      <c r="Q42" s="2"/>
    </row>
    <row r="43" spans="4:17" x14ac:dyDescent="0.25">
      <c r="K43" s="2"/>
      <c r="Q43" s="2"/>
    </row>
    <row r="44" spans="4:17" x14ac:dyDescent="0.25">
      <c r="K44" s="2"/>
      <c r="Q44" s="2"/>
    </row>
    <row r="45" spans="4:17" x14ac:dyDescent="0.25">
      <c r="K45" s="2"/>
      <c r="Q45" s="2"/>
    </row>
    <row r="46" spans="4:17" x14ac:dyDescent="0.25">
      <c r="K46" s="2"/>
      <c r="Q46" s="2"/>
    </row>
    <row r="47" spans="4:17" x14ac:dyDescent="0.25">
      <c r="K47" s="2"/>
      <c r="Q47" s="2"/>
    </row>
    <row r="48" spans="4:17" x14ac:dyDescent="0.25">
      <c r="K48" s="2"/>
      <c r="Q48" s="2"/>
    </row>
    <row r="49" spans="11:17" x14ac:dyDescent="0.25">
      <c r="K49" s="2"/>
      <c r="Q49" s="2"/>
    </row>
    <row r="50" spans="11:17" x14ac:dyDescent="0.25">
      <c r="K50" s="2"/>
      <c r="Q50" s="2"/>
    </row>
    <row r="51" spans="11:17" x14ac:dyDescent="0.25">
      <c r="K51" s="2"/>
      <c r="Q51" s="2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R62"/>
  <sheetViews>
    <sheetView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1"/>
      <c r="B1" s="21"/>
      <c r="C1" s="21"/>
      <c r="D1" s="27" t="s">
        <v>17</v>
      </c>
      <c r="E1" s="27"/>
      <c r="F1" s="27"/>
      <c r="G1" s="21"/>
      <c r="H1" s="21"/>
      <c r="I1" s="4"/>
      <c r="J1" s="4"/>
    </row>
    <row r="2" spans="1:18" ht="24.6" customHeight="1" x14ac:dyDescent="0.35">
      <c r="A2" s="23" t="str">
        <f>ChampionshipName</f>
        <v>Meisterschaftsname</v>
      </c>
      <c r="B2" s="23"/>
      <c r="C2" s="23"/>
      <c r="D2" s="23"/>
      <c r="E2" s="23"/>
      <c r="F2" s="23"/>
      <c r="G2" s="23"/>
      <c r="H2" s="23"/>
      <c r="I2" s="5"/>
      <c r="J2" s="5"/>
    </row>
    <row r="3" spans="1:18" ht="40.35" customHeight="1" x14ac:dyDescent="0.25">
      <c r="A3" s="24" t="str">
        <f>ChampionshipType</f>
        <v>Vorrunde</v>
      </c>
      <c r="B3" s="24"/>
      <c r="C3" s="24"/>
      <c r="D3" s="24"/>
      <c r="E3" s="24"/>
      <c r="F3" s="24"/>
      <c r="G3" s="24"/>
      <c r="H3" s="24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/>
      <c r="C5" s="8"/>
      <c r="D5" s="8"/>
      <c r="E5" s="8"/>
      <c r="F5" s="8"/>
      <c r="G5" s="8"/>
      <c r="H5" s="8"/>
      <c r="J5" s="1" t="str">
        <f>Judge1</f>
        <v>Wertung 1</v>
      </c>
      <c r="K5" s="8"/>
      <c r="L5" s="8"/>
      <c r="M5" s="8"/>
      <c r="R5" s="2"/>
    </row>
    <row r="6" spans="1:18" ht="15.95" customHeight="1" x14ac:dyDescent="0.25">
      <c r="A6" s="12">
        <v>2</v>
      </c>
      <c r="B6" s="9"/>
      <c r="C6" s="9"/>
      <c r="D6" s="9"/>
      <c r="E6" s="9"/>
      <c r="F6" s="9"/>
      <c r="G6" s="9"/>
      <c r="H6" s="9"/>
      <c r="J6" s="1" t="str">
        <f>Judge2</f>
        <v>Wertung 2</v>
      </c>
      <c r="R6" s="2"/>
    </row>
    <row r="7" spans="1:18" ht="15.95" customHeight="1" x14ac:dyDescent="0.25">
      <c r="A7" s="11">
        <v>3</v>
      </c>
      <c r="B7" s="8"/>
      <c r="C7" s="8"/>
      <c r="D7" s="8"/>
      <c r="E7" s="8"/>
      <c r="F7" s="8"/>
      <c r="G7" s="8"/>
      <c r="H7" s="8"/>
      <c r="J7" s="1" t="str">
        <f>JudgeHead</f>
        <v>Wertung 3 (H)</v>
      </c>
      <c r="R7" s="2"/>
    </row>
    <row r="8" spans="1:18" ht="15.95" customHeight="1" x14ac:dyDescent="0.25">
      <c r="A8" s="14">
        <v>4</v>
      </c>
      <c r="B8" s="15"/>
      <c r="C8" s="15"/>
      <c r="D8" s="15"/>
      <c r="E8" s="15"/>
      <c r="F8" s="15"/>
      <c r="G8" s="15"/>
      <c r="H8" s="15"/>
      <c r="J8" s="1" t="str">
        <f>Judge4</f>
        <v>Wertung 4</v>
      </c>
      <c r="R8" s="2"/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R9" s="2"/>
    </row>
    <row r="10" spans="1:18" ht="15.95" customHeight="1" x14ac:dyDescent="0.25">
      <c r="J10" s="1" t="str">
        <f>JudgeStandin</f>
        <v>Springer</v>
      </c>
      <c r="R10" s="2"/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R11" s="2"/>
    </row>
    <row r="12" spans="1:18" ht="15.95" customHeight="1" x14ac:dyDescent="0.25">
      <c r="E12" s="6"/>
      <c r="G12" s="6"/>
      <c r="J12" s="1" t="s">
        <v>77</v>
      </c>
      <c r="R12" s="2"/>
    </row>
    <row r="13" spans="1:18" ht="15.95" customHeight="1" x14ac:dyDescent="0.25">
      <c r="E13" s="6"/>
      <c r="G13" s="6"/>
      <c r="I13" s="17"/>
      <c r="J13" s="1" t="s">
        <v>78</v>
      </c>
      <c r="R13" s="2"/>
    </row>
    <row r="14" spans="1:18" ht="15.95" customHeight="1" x14ac:dyDescent="0.25">
      <c r="I14" s="17"/>
      <c r="J14" s="1"/>
      <c r="R14" s="2"/>
    </row>
    <row r="15" spans="1:18" x14ac:dyDescent="0.25">
      <c r="E15" s="6"/>
      <c r="G15" s="6"/>
      <c r="I15" s="17"/>
      <c r="R15" s="2"/>
    </row>
    <row r="16" spans="1:18" x14ac:dyDescent="0.25">
      <c r="E16" s="6"/>
      <c r="G16" s="6"/>
      <c r="I16" s="17"/>
      <c r="R16" s="2"/>
    </row>
    <row r="17" spans="5:18" x14ac:dyDescent="0.25">
      <c r="E17" s="6"/>
      <c r="G17" s="6"/>
      <c r="I17" s="17"/>
      <c r="R17" s="2"/>
    </row>
    <row r="18" spans="5:18" x14ac:dyDescent="0.25">
      <c r="E18" s="6"/>
      <c r="G18" s="6"/>
      <c r="I18" s="17"/>
      <c r="R18" s="2"/>
    </row>
    <row r="19" spans="5:18" x14ac:dyDescent="0.25">
      <c r="E19" s="6"/>
      <c r="G19" s="6"/>
      <c r="I19" s="17"/>
    </row>
    <row r="20" spans="5:18" x14ac:dyDescent="0.25">
      <c r="E20" s="6"/>
      <c r="G20" s="6"/>
      <c r="I20" s="17"/>
    </row>
    <row r="21" spans="5:18" x14ac:dyDescent="0.25">
      <c r="I21" s="17"/>
    </row>
    <row r="22" spans="5:18" x14ac:dyDescent="0.25">
      <c r="E22" s="6"/>
      <c r="G22" s="6"/>
      <c r="I22" s="17"/>
    </row>
    <row r="23" spans="5:18" x14ac:dyDescent="0.25">
      <c r="I23" s="17"/>
    </row>
    <row r="24" spans="5:18" x14ac:dyDescent="0.25">
      <c r="E24" s="6"/>
      <c r="G24" s="6"/>
      <c r="I24" s="17"/>
    </row>
    <row r="25" spans="5:18" x14ac:dyDescent="0.25">
      <c r="I25" s="17"/>
    </row>
    <row r="26" spans="5:18" x14ac:dyDescent="0.25">
      <c r="I26" s="17"/>
    </row>
    <row r="29" spans="5:18" x14ac:dyDescent="0.25">
      <c r="E29" s="6"/>
      <c r="G29" s="6"/>
    </row>
    <row r="30" spans="5:18" x14ac:dyDescent="0.25">
      <c r="E30" s="6"/>
      <c r="G30" s="6"/>
    </row>
    <row r="31" spans="5:18" x14ac:dyDescent="0.25">
      <c r="E31" s="6"/>
      <c r="G31" s="6"/>
    </row>
    <row r="33" spans="4:9" x14ac:dyDescent="0.25">
      <c r="D33" s="2"/>
      <c r="I33" s="2"/>
    </row>
    <row r="34" spans="4:9" x14ac:dyDescent="0.25">
      <c r="D34" s="2"/>
      <c r="I34" s="2"/>
    </row>
    <row r="35" spans="4:9" x14ac:dyDescent="0.25">
      <c r="D35" s="2"/>
      <c r="I35" s="2"/>
    </row>
    <row r="36" spans="4:9" x14ac:dyDescent="0.25">
      <c r="D36" s="2"/>
      <c r="I36" s="2"/>
    </row>
    <row r="37" spans="4:9" x14ac:dyDescent="0.25">
      <c r="D37" s="2"/>
      <c r="I37" s="2"/>
    </row>
    <row r="38" spans="4:9" x14ac:dyDescent="0.25">
      <c r="D38" s="2"/>
      <c r="I38" s="2"/>
    </row>
    <row r="39" spans="4:9" x14ac:dyDescent="0.25">
      <c r="D39" s="2"/>
      <c r="I39" s="2"/>
    </row>
    <row r="40" spans="4:9" x14ac:dyDescent="0.25">
      <c r="D40" s="2"/>
      <c r="I40" s="2"/>
    </row>
    <row r="49" spans="11:17" x14ac:dyDescent="0.25">
      <c r="K49" s="2"/>
      <c r="Q49" s="2"/>
    </row>
    <row r="50" spans="11:17" x14ac:dyDescent="0.25">
      <c r="K50" s="2"/>
      <c r="Q50" s="2"/>
    </row>
    <row r="51" spans="11:17" x14ac:dyDescent="0.25">
      <c r="K51" s="2"/>
      <c r="Q51" s="2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  <row r="56" spans="11:17" x14ac:dyDescent="0.25">
      <c r="K56" s="2"/>
      <c r="Q56" s="2"/>
    </row>
    <row r="57" spans="11:17" x14ac:dyDescent="0.25">
      <c r="K57" s="2"/>
      <c r="Q57" s="2"/>
    </row>
    <row r="58" spans="11:17" x14ac:dyDescent="0.25">
      <c r="K58" s="2"/>
      <c r="Q58" s="2"/>
    </row>
    <row r="59" spans="11:17" x14ac:dyDescent="0.25">
      <c r="K59" s="2"/>
      <c r="Q59" s="2"/>
    </row>
    <row r="60" spans="11:17" x14ac:dyDescent="0.25">
      <c r="K60" s="2"/>
      <c r="Q60" s="2"/>
    </row>
    <row r="61" spans="11:17" x14ac:dyDescent="0.25">
      <c r="K61" s="2"/>
      <c r="Q61" s="2"/>
    </row>
    <row r="62" spans="11:17" x14ac:dyDescent="0.25">
      <c r="K62" s="2"/>
      <c r="Q62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R49"/>
  <sheetViews>
    <sheetView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0"/>
      <c r="B1" s="20"/>
      <c r="C1" s="20"/>
      <c r="D1" s="25" t="s">
        <v>18</v>
      </c>
      <c r="E1" s="25"/>
      <c r="F1" s="25"/>
      <c r="G1" s="20"/>
      <c r="H1" s="20"/>
      <c r="I1" s="4"/>
      <c r="J1" s="4"/>
    </row>
    <row r="2" spans="1:18" ht="24.6" customHeight="1" x14ac:dyDescent="0.35">
      <c r="A2" s="23" t="str">
        <f>ChampionshipName</f>
        <v>Meisterschaftsname</v>
      </c>
      <c r="B2" s="23"/>
      <c r="C2" s="23"/>
      <c r="D2" s="23"/>
      <c r="E2" s="23"/>
      <c r="F2" s="23"/>
      <c r="G2" s="23"/>
      <c r="H2" s="23"/>
      <c r="I2" s="5"/>
      <c r="J2" s="5"/>
    </row>
    <row r="3" spans="1:18" ht="40.35" customHeight="1" x14ac:dyDescent="0.25">
      <c r="A3" s="24" t="s">
        <v>85</v>
      </c>
      <c r="B3" s="24"/>
      <c r="C3" s="24"/>
      <c r="D3" s="24"/>
      <c r="E3" s="24"/>
      <c r="F3" s="24"/>
      <c r="G3" s="24"/>
      <c r="H3" s="24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/>
      <c r="C5" s="8"/>
      <c r="D5" s="8"/>
      <c r="E5" s="8"/>
      <c r="F5" s="8"/>
      <c r="G5" s="8"/>
      <c r="H5" s="8"/>
      <c r="J5" s="1" t="str">
        <f>Judge1</f>
        <v>Wertung 1</v>
      </c>
      <c r="R5" s="2"/>
    </row>
    <row r="6" spans="1:18" ht="15.95" customHeight="1" x14ac:dyDescent="0.25">
      <c r="A6" s="12">
        <v>2</v>
      </c>
      <c r="B6" s="9"/>
      <c r="C6" s="9"/>
      <c r="D6" s="9"/>
      <c r="E6" s="9"/>
      <c r="F6" s="9"/>
      <c r="G6" s="9"/>
      <c r="H6" s="9"/>
      <c r="J6" s="1" t="str">
        <f>Judge2</f>
        <v>Wertung 2</v>
      </c>
      <c r="R6" s="2"/>
    </row>
    <row r="7" spans="1:18" ht="15.95" customHeight="1" x14ac:dyDescent="0.25">
      <c r="A7" s="11">
        <v>3</v>
      </c>
      <c r="B7" s="8"/>
      <c r="C7" s="8"/>
      <c r="D7" s="8"/>
      <c r="E7" s="8"/>
      <c r="F7" s="8"/>
      <c r="G7" s="8"/>
      <c r="H7" s="8"/>
      <c r="J7" s="1" t="str">
        <f>JudgeHead</f>
        <v>Wertung 3 (H)</v>
      </c>
      <c r="R7" s="2"/>
    </row>
    <row r="8" spans="1:18" ht="15.95" customHeight="1" x14ac:dyDescent="0.25">
      <c r="A8" s="14">
        <v>4</v>
      </c>
      <c r="B8" s="15"/>
      <c r="C8" s="15"/>
      <c r="D8" s="15"/>
      <c r="E8" s="15"/>
      <c r="F8" s="15"/>
      <c r="G8" s="15"/>
      <c r="H8" s="15"/>
      <c r="J8" s="1" t="str">
        <f>Judge4</f>
        <v>Wertung 4</v>
      </c>
      <c r="R8" s="2"/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R9" s="2"/>
    </row>
    <row r="10" spans="1:18" ht="15.95" customHeight="1" x14ac:dyDescent="0.25">
      <c r="J10" s="1" t="s">
        <v>10</v>
      </c>
      <c r="R10" s="2"/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R11" s="2"/>
    </row>
    <row r="12" spans="1:18" ht="15.95" customHeight="1" x14ac:dyDescent="0.25">
      <c r="E12" s="6"/>
      <c r="G12" s="6"/>
      <c r="J12" s="1" t="s">
        <v>77</v>
      </c>
      <c r="R12" s="2"/>
    </row>
    <row r="13" spans="1:18" x14ac:dyDescent="0.25">
      <c r="E13" s="6"/>
      <c r="G13" s="6"/>
      <c r="J13" s="1" t="s">
        <v>78</v>
      </c>
      <c r="R13" s="2"/>
    </row>
    <row r="14" spans="1:18" x14ac:dyDescent="0.25">
      <c r="J14" s="1"/>
      <c r="R14" s="2"/>
    </row>
    <row r="15" spans="1:18" x14ac:dyDescent="0.25">
      <c r="E15" s="6"/>
      <c r="G15" s="6"/>
      <c r="R15" s="2"/>
    </row>
    <row r="16" spans="1:18" x14ac:dyDescent="0.25">
      <c r="E16" s="6"/>
      <c r="G16" s="6"/>
    </row>
    <row r="17" spans="5:9" x14ac:dyDescent="0.25">
      <c r="E17" s="6"/>
      <c r="G17" s="6"/>
    </row>
    <row r="18" spans="5:9" x14ac:dyDescent="0.25">
      <c r="E18" s="6"/>
      <c r="G18" s="6"/>
    </row>
    <row r="19" spans="5:9" x14ac:dyDescent="0.25">
      <c r="E19" s="6"/>
      <c r="G19" s="6"/>
    </row>
    <row r="20" spans="5:9" x14ac:dyDescent="0.25">
      <c r="E20" s="6"/>
      <c r="G20" s="6"/>
    </row>
    <row r="21" spans="5:9" x14ac:dyDescent="0.25">
      <c r="I21" s="2"/>
    </row>
    <row r="22" spans="5:9" x14ac:dyDescent="0.25">
      <c r="E22" s="6"/>
      <c r="G22" s="6"/>
      <c r="I22" s="2"/>
    </row>
    <row r="23" spans="5:9" x14ac:dyDescent="0.25">
      <c r="I23" s="2"/>
    </row>
    <row r="24" spans="5:9" x14ac:dyDescent="0.25">
      <c r="E24" s="6"/>
      <c r="G24" s="6"/>
      <c r="I24" s="2"/>
    </row>
    <row r="25" spans="5:9" x14ac:dyDescent="0.25">
      <c r="I25" s="2"/>
    </row>
    <row r="26" spans="5:9" x14ac:dyDescent="0.25">
      <c r="I26" s="2"/>
    </row>
    <row r="27" spans="5:9" x14ac:dyDescent="0.25">
      <c r="I27" s="2"/>
    </row>
    <row r="29" spans="5:9" x14ac:dyDescent="0.25">
      <c r="E29" s="6"/>
      <c r="G29" s="6"/>
    </row>
    <row r="30" spans="5:9" x14ac:dyDescent="0.25">
      <c r="E30" s="6"/>
      <c r="G30" s="6"/>
    </row>
    <row r="31" spans="5:9" x14ac:dyDescent="0.25">
      <c r="E31" s="6"/>
      <c r="G31" s="6"/>
    </row>
    <row r="36" spans="11:17" x14ac:dyDescent="0.25">
      <c r="K36" s="2"/>
      <c r="Q36" s="2"/>
    </row>
    <row r="37" spans="11:17" x14ac:dyDescent="0.25">
      <c r="K37" s="2"/>
      <c r="Q37" s="2"/>
    </row>
    <row r="38" spans="11:17" x14ac:dyDescent="0.25">
      <c r="K38" s="2"/>
      <c r="Q38" s="2"/>
    </row>
    <row r="39" spans="11:17" x14ac:dyDescent="0.25">
      <c r="K39" s="2"/>
      <c r="Q39" s="2"/>
    </row>
    <row r="40" spans="11:17" x14ac:dyDescent="0.25">
      <c r="K40" s="2"/>
      <c r="Q40" s="2"/>
    </row>
    <row r="41" spans="11:17" x14ac:dyDescent="0.25">
      <c r="K41" s="2"/>
      <c r="Q41" s="2"/>
    </row>
    <row r="42" spans="11:17" x14ac:dyDescent="0.25">
      <c r="K42" s="2"/>
      <c r="Q42" s="2"/>
    </row>
    <row r="43" spans="11:17" x14ac:dyDescent="0.25">
      <c r="K43" s="2"/>
      <c r="Q43" s="2"/>
    </row>
    <row r="44" spans="11:17" x14ac:dyDescent="0.25">
      <c r="K44" s="2"/>
      <c r="Q44" s="2"/>
    </row>
    <row r="45" spans="11:17" x14ac:dyDescent="0.25">
      <c r="K45" s="2"/>
      <c r="Q45" s="2"/>
    </row>
    <row r="46" spans="11:17" x14ac:dyDescent="0.25">
      <c r="K46" s="2"/>
      <c r="Q46" s="2"/>
    </row>
    <row r="47" spans="11:17" x14ac:dyDescent="0.25">
      <c r="K47" s="2"/>
      <c r="Q47" s="2"/>
    </row>
    <row r="48" spans="11:17" x14ac:dyDescent="0.25">
      <c r="K48" s="2"/>
      <c r="Q48" s="2"/>
    </row>
    <row r="49" spans="11:17" x14ac:dyDescent="0.25">
      <c r="K49" s="2"/>
      <c r="Q49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3AD5C-470A-48A5-88F0-C89DE5253560}">
  <sheetPr codeName="Tabelle2">
    <pageSetUpPr fitToPage="1"/>
  </sheetPr>
  <dimension ref="A1:R63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0"/>
      <c r="B1" s="20"/>
      <c r="C1" s="20"/>
      <c r="D1" s="25" t="s">
        <v>111</v>
      </c>
      <c r="E1" s="25"/>
      <c r="F1" s="25"/>
      <c r="G1" s="20"/>
      <c r="H1" s="20"/>
      <c r="I1" s="4"/>
      <c r="J1" s="4"/>
    </row>
    <row r="2" spans="1:18" ht="24.6" customHeight="1" x14ac:dyDescent="0.35">
      <c r="A2" s="23" t="str">
        <f>ChampionshipName</f>
        <v>Meisterschaftsname</v>
      </c>
      <c r="B2" s="23"/>
      <c r="C2" s="23"/>
      <c r="D2" s="23"/>
      <c r="E2" s="23"/>
      <c r="F2" s="23"/>
      <c r="G2" s="23"/>
      <c r="H2" s="23"/>
      <c r="I2" s="5"/>
      <c r="J2" s="5"/>
    </row>
    <row r="3" spans="1:18" s="7" customFormat="1" ht="40.15" customHeight="1" x14ac:dyDescent="0.25">
      <c r="A3" s="24" t="str">
        <f>ChampionshipType</f>
        <v>Vorrunde</v>
      </c>
      <c r="B3" s="24"/>
      <c r="C3" s="24"/>
      <c r="D3" s="24"/>
      <c r="E3" s="24"/>
      <c r="F3" s="24"/>
      <c r="G3" s="24"/>
      <c r="H3" s="24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/>
      <c r="C5" s="8"/>
      <c r="D5" s="8"/>
      <c r="E5" s="8"/>
      <c r="F5" s="8"/>
      <c r="G5" s="8"/>
      <c r="H5" s="8"/>
      <c r="J5" s="1" t="str">
        <f>Judge1</f>
        <v>Wertung 1</v>
      </c>
    </row>
    <row r="6" spans="1:18" ht="15.95" customHeight="1" x14ac:dyDescent="0.25">
      <c r="A6" s="12">
        <v>2</v>
      </c>
      <c r="B6" s="9"/>
      <c r="C6" s="9"/>
      <c r="D6" s="9"/>
      <c r="E6" s="9"/>
      <c r="F6" s="9"/>
      <c r="G6" s="9"/>
      <c r="H6" s="9"/>
      <c r="J6" s="1" t="str">
        <f>Judge2</f>
        <v>Wertung 2</v>
      </c>
    </row>
    <row r="7" spans="1:18" ht="15.95" customHeight="1" x14ac:dyDescent="0.25">
      <c r="A7" s="11">
        <v>3</v>
      </c>
      <c r="B7" s="8"/>
      <c r="C7" s="8"/>
      <c r="D7" s="8"/>
      <c r="E7" s="8"/>
      <c r="F7" s="8"/>
      <c r="G7" s="8"/>
      <c r="H7" s="8"/>
      <c r="J7" s="1" t="str">
        <f>JudgeHead</f>
        <v>Wertung 3 (H)</v>
      </c>
      <c r="R7" s="16"/>
    </row>
    <row r="8" spans="1:18" ht="15.95" customHeight="1" x14ac:dyDescent="0.25">
      <c r="A8" s="14">
        <v>4</v>
      </c>
      <c r="B8" s="15"/>
      <c r="C8" s="15"/>
      <c r="D8" s="15"/>
      <c r="E8" s="15"/>
      <c r="F8" s="15"/>
      <c r="G8" s="15"/>
      <c r="H8" s="15"/>
      <c r="J8" s="1" t="str">
        <f>Judge4</f>
        <v>Wertung 4</v>
      </c>
      <c r="R8" s="16"/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R9" s="16"/>
    </row>
    <row r="10" spans="1:18" ht="15.95" customHeight="1" x14ac:dyDescent="0.25">
      <c r="J10" s="1" t="str">
        <f>JudgeStandin</f>
        <v>Springer</v>
      </c>
      <c r="R10" s="16"/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R11" s="16"/>
    </row>
    <row r="12" spans="1:18" ht="15.95" customHeight="1" x14ac:dyDescent="0.25">
      <c r="E12" s="6"/>
      <c r="G12" s="6"/>
      <c r="J12" s="1" t="s">
        <v>77</v>
      </c>
      <c r="R12" s="16"/>
    </row>
    <row r="13" spans="1:18" ht="15.95" customHeight="1" x14ac:dyDescent="0.25">
      <c r="E13" s="6"/>
      <c r="G13" s="6"/>
      <c r="J13" s="1" t="s">
        <v>78</v>
      </c>
      <c r="K13" s="16"/>
      <c r="L13" s="16"/>
      <c r="M13" s="16"/>
      <c r="R13" s="16"/>
    </row>
    <row r="14" spans="1:18" ht="15.95" customHeight="1" x14ac:dyDescent="0.25">
      <c r="J14" s="1"/>
      <c r="L14" s="16"/>
      <c r="M14" s="16"/>
      <c r="R14" s="16"/>
    </row>
    <row r="15" spans="1:18" ht="15.95" customHeight="1" x14ac:dyDescent="0.25">
      <c r="E15" s="6"/>
      <c r="G15" s="6"/>
      <c r="R15" s="16"/>
    </row>
    <row r="16" spans="1:18" ht="15.95" customHeight="1" x14ac:dyDescent="0.25">
      <c r="E16" s="6"/>
      <c r="G16" s="6"/>
    </row>
    <row r="17" spans="5:10" ht="15.95" customHeight="1" x14ac:dyDescent="0.25">
      <c r="E17" s="6"/>
      <c r="G17" s="6"/>
    </row>
    <row r="18" spans="5:10" x14ac:dyDescent="0.25">
      <c r="E18" s="6"/>
      <c r="G18" s="6"/>
    </row>
    <row r="19" spans="5:10" x14ac:dyDescent="0.25">
      <c r="E19" s="6"/>
      <c r="G19" s="6"/>
    </row>
    <row r="21" spans="5:10" x14ac:dyDescent="0.25">
      <c r="E21" s="6"/>
      <c r="G21" s="6"/>
    </row>
    <row r="22" spans="5:10" x14ac:dyDescent="0.25">
      <c r="J22" s="6"/>
    </row>
    <row r="23" spans="5:10" x14ac:dyDescent="0.25">
      <c r="E23" s="6"/>
      <c r="G23" s="6"/>
      <c r="J23" s="6"/>
    </row>
    <row r="24" spans="5:10" x14ac:dyDescent="0.25">
      <c r="J24" s="6"/>
    </row>
    <row r="25" spans="5:10" x14ac:dyDescent="0.25">
      <c r="J25" s="6"/>
    </row>
    <row r="26" spans="5:10" x14ac:dyDescent="0.25">
      <c r="J26" s="6"/>
    </row>
    <row r="27" spans="5:10" x14ac:dyDescent="0.25">
      <c r="J27" s="6"/>
    </row>
    <row r="28" spans="5:10" x14ac:dyDescent="0.25">
      <c r="E28" s="6"/>
      <c r="G28" s="6"/>
      <c r="J28" s="6"/>
    </row>
    <row r="29" spans="5:10" x14ac:dyDescent="0.25">
      <c r="E29" s="6"/>
      <c r="G29" s="6"/>
      <c r="J29" s="6"/>
    </row>
    <row r="30" spans="5:10" x14ac:dyDescent="0.25">
      <c r="E30" s="6"/>
      <c r="G30" s="6"/>
      <c r="J30" s="6"/>
    </row>
    <row r="31" spans="5:10" x14ac:dyDescent="0.25">
      <c r="E31" s="6"/>
      <c r="G31" s="6"/>
      <c r="J31" s="6"/>
    </row>
    <row r="33" spans="5:10" x14ac:dyDescent="0.25">
      <c r="E33" s="6"/>
      <c r="G33" s="6"/>
      <c r="J33" s="6"/>
    </row>
    <row r="35" spans="5:10" x14ac:dyDescent="0.25">
      <c r="E35" s="6"/>
      <c r="G35" s="6"/>
      <c r="J35" s="6"/>
    </row>
    <row r="50" spans="11:17" x14ac:dyDescent="0.25">
      <c r="K50" s="2"/>
      <c r="Q50" s="2"/>
    </row>
    <row r="51" spans="11:17" x14ac:dyDescent="0.25">
      <c r="K51" s="2"/>
      <c r="Q51" s="2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  <row r="56" spans="11:17" x14ac:dyDescent="0.25">
      <c r="K56" s="2"/>
      <c r="Q56" s="2"/>
    </row>
    <row r="57" spans="11:17" x14ac:dyDescent="0.25">
      <c r="K57" s="2"/>
      <c r="Q57" s="2"/>
    </row>
    <row r="58" spans="11:17" x14ac:dyDescent="0.25">
      <c r="K58" s="2"/>
      <c r="Q58" s="2"/>
    </row>
    <row r="59" spans="11:17" x14ac:dyDescent="0.25">
      <c r="K59" s="2"/>
      <c r="Q59" s="2"/>
    </row>
    <row r="60" spans="11:17" x14ac:dyDescent="0.25">
      <c r="K60" s="2"/>
      <c r="Q60" s="2"/>
    </row>
    <row r="61" spans="11:17" x14ac:dyDescent="0.25">
      <c r="K61" s="2"/>
      <c r="Q61" s="2"/>
    </row>
    <row r="62" spans="11:17" x14ac:dyDescent="0.25">
      <c r="K62" s="2"/>
      <c r="Q62" s="2"/>
    </row>
    <row r="63" spans="11:17" x14ac:dyDescent="0.25">
      <c r="K63" s="2"/>
      <c r="Q63" s="2"/>
    </row>
  </sheetData>
  <dataConsolidate/>
  <mergeCells count="3">
    <mergeCell ref="D1:F1"/>
    <mergeCell ref="A2:H2"/>
    <mergeCell ref="A3:H3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3" bestFit="1" customWidth="1"/>
  </cols>
  <sheetData>
    <row r="1" spans="1:12" x14ac:dyDescent="0.25">
      <c r="A1" s="1" t="s">
        <v>36</v>
      </c>
      <c r="B1" s="3" t="s">
        <v>79</v>
      </c>
      <c r="L1" t="s">
        <v>23</v>
      </c>
    </row>
    <row r="3" spans="1:12" ht="15.75" x14ac:dyDescent="0.25">
      <c r="A3" t="s">
        <v>38</v>
      </c>
      <c r="B3" s="18" t="s">
        <v>99</v>
      </c>
      <c r="C3">
        <v>1</v>
      </c>
    </row>
    <row r="4" spans="1:12" ht="15.75" x14ac:dyDescent="0.25">
      <c r="A4" t="s">
        <v>39</v>
      </c>
      <c r="B4" s="18" t="s">
        <v>13</v>
      </c>
      <c r="C4">
        <v>2</v>
      </c>
    </row>
    <row r="5" spans="1:12" x14ac:dyDescent="0.25">
      <c r="A5" t="s">
        <v>66</v>
      </c>
      <c r="B5" s="3" t="s">
        <v>40</v>
      </c>
      <c r="C5">
        <v>3</v>
      </c>
    </row>
    <row r="6" spans="1:12" ht="15.75" x14ac:dyDescent="0.25">
      <c r="A6" t="s">
        <v>37</v>
      </c>
      <c r="B6" s="19" t="s">
        <v>100</v>
      </c>
      <c r="C6">
        <v>4</v>
      </c>
    </row>
    <row r="7" spans="1:12" x14ac:dyDescent="0.25">
      <c r="A7" t="s">
        <v>67</v>
      </c>
      <c r="B7" s="3" t="s">
        <v>41</v>
      </c>
      <c r="C7">
        <v>5</v>
      </c>
      <c r="G7" t="s">
        <v>103</v>
      </c>
    </row>
    <row r="8" spans="1:12" ht="15.75" x14ac:dyDescent="0.25">
      <c r="A8" t="s">
        <v>24</v>
      </c>
      <c r="B8" s="3" t="s">
        <v>5</v>
      </c>
      <c r="C8">
        <v>6</v>
      </c>
      <c r="G8" t="s">
        <v>104</v>
      </c>
      <c r="H8" s="19" t="s">
        <v>106</v>
      </c>
    </row>
    <row r="9" spans="1:12" x14ac:dyDescent="0.25">
      <c r="A9" t="s">
        <v>25</v>
      </c>
      <c r="B9" s="3" t="s">
        <v>6</v>
      </c>
      <c r="C9">
        <v>7</v>
      </c>
      <c r="G9" t="s">
        <v>107</v>
      </c>
      <c r="H9" t="s">
        <v>108</v>
      </c>
      <c r="I9" t="s">
        <v>108</v>
      </c>
      <c r="J9" t="s">
        <v>109</v>
      </c>
    </row>
    <row r="10" spans="1:12" x14ac:dyDescent="0.25">
      <c r="A10" t="s">
        <v>27</v>
      </c>
      <c r="B10" s="3" t="s">
        <v>9</v>
      </c>
      <c r="C10">
        <v>8</v>
      </c>
      <c r="I10" t="s">
        <v>105</v>
      </c>
    </row>
    <row r="11" spans="1:12" x14ac:dyDescent="0.25">
      <c r="A11" t="s">
        <v>26</v>
      </c>
      <c r="B11" s="3" t="s">
        <v>7</v>
      </c>
      <c r="C11">
        <v>9</v>
      </c>
    </row>
    <row r="12" spans="1:12" x14ac:dyDescent="0.25">
      <c r="A12" t="s">
        <v>28</v>
      </c>
      <c r="B12" s="3" t="s">
        <v>8</v>
      </c>
      <c r="C12">
        <v>10</v>
      </c>
    </row>
    <row r="13" spans="1:12" x14ac:dyDescent="0.25">
      <c r="A13" t="s">
        <v>29</v>
      </c>
      <c r="B13" s="3" t="s">
        <v>10</v>
      </c>
      <c r="C13">
        <v>11</v>
      </c>
    </row>
    <row r="14" spans="1:12" x14ac:dyDescent="0.25">
      <c r="A14" t="s">
        <v>30</v>
      </c>
      <c r="B14" s="3" t="s">
        <v>2</v>
      </c>
      <c r="C14">
        <v>12</v>
      </c>
    </row>
    <row r="15" spans="1:12" x14ac:dyDescent="0.25">
      <c r="A15" t="s">
        <v>31</v>
      </c>
      <c r="B15" s="3" t="s">
        <v>12</v>
      </c>
      <c r="C15">
        <v>13</v>
      </c>
    </row>
    <row r="16" spans="1:12" x14ac:dyDescent="0.25">
      <c r="A16" t="s">
        <v>32</v>
      </c>
      <c r="B16" s="3" t="s">
        <v>20</v>
      </c>
      <c r="C16">
        <v>14</v>
      </c>
    </row>
    <row r="17" spans="1:8" x14ac:dyDescent="0.25">
      <c r="A17" t="s">
        <v>33</v>
      </c>
      <c r="B17" s="3" t="s">
        <v>21</v>
      </c>
      <c r="C17">
        <v>15</v>
      </c>
    </row>
    <row r="18" spans="1:8" x14ac:dyDescent="0.25">
      <c r="A18" t="s">
        <v>35</v>
      </c>
      <c r="B18" s="3" t="s">
        <v>3</v>
      </c>
      <c r="C18">
        <v>16</v>
      </c>
    </row>
    <row r="19" spans="1:8" x14ac:dyDescent="0.25">
      <c r="A19" t="s">
        <v>0</v>
      </c>
      <c r="B19" t="s">
        <v>0</v>
      </c>
      <c r="C19">
        <v>17</v>
      </c>
    </row>
    <row r="20" spans="1:8" x14ac:dyDescent="0.25">
      <c r="A20" t="s">
        <v>70</v>
      </c>
      <c r="B20" t="s">
        <v>1</v>
      </c>
      <c r="C20">
        <v>18</v>
      </c>
    </row>
    <row r="21" spans="1:8" x14ac:dyDescent="0.25">
      <c r="A21" t="s">
        <v>34</v>
      </c>
      <c r="B21" s="3" t="s">
        <v>4</v>
      </c>
      <c r="C21">
        <v>19</v>
      </c>
    </row>
    <row r="22" spans="1:8" x14ac:dyDescent="0.25">
      <c r="A22" t="s">
        <v>68</v>
      </c>
      <c r="B22" s="3" t="s">
        <v>69</v>
      </c>
      <c r="C22">
        <v>20</v>
      </c>
    </row>
    <row r="23" spans="1:8" x14ac:dyDescent="0.25">
      <c r="A23" t="s">
        <v>42</v>
      </c>
      <c r="B23" s="3" t="s">
        <v>43</v>
      </c>
      <c r="C23">
        <v>21</v>
      </c>
    </row>
    <row r="24" spans="1:8" x14ac:dyDescent="0.25">
      <c r="A24" t="s">
        <v>19</v>
      </c>
      <c r="B24" s="3" t="s">
        <v>22</v>
      </c>
      <c r="C24">
        <v>22</v>
      </c>
    </row>
    <row r="25" spans="1:8" x14ac:dyDescent="0.25">
      <c r="A25" s="13" t="s">
        <v>44</v>
      </c>
      <c r="B25" s="13" t="s">
        <v>45</v>
      </c>
      <c r="C25">
        <v>23</v>
      </c>
    </row>
    <row r="26" spans="1:8" x14ac:dyDescent="0.25">
      <c r="A26" t="s">
        <v>71</v>
      </c>
      <c r="B26" s="13" t="s">
        <v>46</v>
      </c>
      <c r="C26">
        <v>24</v>
      </c>
    </row>
    <row r="27" spans="1:8" x14ac:dyDescent="0.25">
      <c r="A27" t="s">
        <v>72</v>
      </c>
      <c r="B27" s="13" t="s">
        <v>47</v>
      </c>
      <c r="C27">
        <v>25</v>
      </c>
    </row>
    <row r="28" spans="1:8" x14ac:dyDescent="0.25">
      <c r="A28" t="s">
        <v>73</v>
      </c>
      <c r="B28" s="13" t="s">
        <v>48</v>
      </c>
      <c r="C28">
        <v>26</v>
      </c>
    </row>
    <row r="29" spans="1:8" x14ac:dyDescent="0.25">
      <c r="A29" t="s">
        <v>74</v>
      </c>
      <c r="B29" s="13" t="s">
        <v>49</v>
      </c>
      <c r="C29">
        <v>27</v>
      </c>
    </row>
    <row r="30" spans="1:8" x14ac:dyDescent="0.25">
      <c r="A30" t="s">
        <v>75</v>
      </c>
      <c r="B30" s="13" t="s">
        <v>50</v>
      </c>
      <c r="C30">
        <v>28</v>
      </c>
      <c r="G30" s="13"/>
      <c r="H30" s="13"/>
    </row>
    <row r="31" spans="1:8" x14ac:dyDescent="0.25">
      <c r="A31" t="s">
        <v>76</v>
      </c>
      <c r="B31" s="13" t="s">
        <v>51</v>
      </c>
      <c r="C31">
        <v>29</v>
      </c>
      <c r="G31" s="13"/>
      <c r="H31" s="13"/>
    </row>
    <row r="32" spans="1:8" x14ac:dyDescent="0.25">
      <c r="A32" s="13" t="s">
        <v>52</v>
      </c>
      <c r="B32" s="13" t="s">
        <v>53</v>
      </c>
      <c r="C32">
        <v>30</v>
      </c>
      <c r="G32" s="13"/>
      <c r="H32" s="13"/>
    </row>
    <row r="33" spans="1:8" x14ac:dyDescent="0.25">
      <c r="A33" t="s">
        <v>54</v>
      </c>
      <c r="B33" s="3" t="s">
        <v>55</v>
      </c>
      <c r="C33">
        <v>31</v>
      </c>
      <c r="D33" s="13"/>
      <c r="E33" s="13"/>
      <c r="G33" s="13"/>
      <c r="H33" s="13"/>
    </row>
    <row r="34" spans="1:8" x14ac:dyDescent="0.25">
      <c r="A34" s="13" t="s">
        <v>56</v>
      </c>
      <c r="B34" s="13" t="s">
        <v>57</v>
      </c>
      <c r="C34">
        <v>32</v>
      </c>
    </row>
    <row r="35" spans="1:8" x14ac:dyDescent="0.25">
      <c r="A35" s="13" t="s">
        <v>58</v>
      </c>
      <c r="B35" s="13" t="s">
        <v>59</v>
      </c>
      <c r="C35">
        <v>33</v>
      </c>
      <c r="D35" s="13"/>
      <c r="E35" s="13"/>
    </row>
    <row r="36" spans="1:8" x14ac:dyDescent="0.25">
      <c r="A36" s="13" t="s">
        <v>60</v>
      </c>
      <c r="B36" s="13" t="s">
        <v>61</v>
      </c>
      <c r="C36">
        <v>34</v>
      </c>
    </row>
    <row r="37" spans="1:8" x14ac:dyDescent="0.25">
      <c r="A37" s="13" t="s">
        <v>62</v>
      </c>
      <c r="B37" s="13" t="s">
        <v>63</v>
      </c>
      <c r="C37">
        <v>35</v>
      </c>
    </row>
    <row r="38" spans="1:8" x14ac:dyDescent="0.25">
      <c r="A38" s="13" t="s">
        <v>64</v>
      </c>
      <c r="B38" s="13" t="s">
        <v>65</v>
      </c>
      <c r="C38">
        <v>36</v>
      </c>
    </row>
    <row r="39" spans="1:8" x14ac:dyDescent="0.25">
      <c r="A39" t="s">
        <v>82</v>
      </c>
      <c r="B39" s="3" t="s">
        <v>80</v>
      </c>
      <c r="C39">
        <v>37</v>
      </c>
      <c r="D39" s="13"/>
      <c r="E39" s="13"/>
    </row>
    <row r="40" spans="1:8" x14ac:dyDescent="0.25">
      <c r="A40" t="s">
        <v>83</v>
      </c>
      <c r="B40" s="3" t="s">
        <v>81</v>
      </c>
      <c r="C40">
        <v>38</v>
      </c>
    </row>
    <row r="41" spans="1:8" x14ac:dyDescent="0.25">
      <c r="A41" t="s">
        <v>86</v>
      </c>
      <c r="B41" s="3" t="s">
        <v>87</v>
      </c>
      <c r="C41">
        <v>39</v>
      </c>
    </row>
    <row r="42" spans="1:8" x14ac:dyDescent="0.25">
      <c r="A42" t="s">
        <v>88</v>
      </c>
      <c r="B42" s="3" t="s">
        <v>89</v>
      </c>
      <c r="C42">
        <v>40</v>
      </c>
    </row>
    <row r="43" spans="1:8" x14ac:dyDescent="0.25">
      <c r="A43" t="s">
        <v>90</v>
      </c>
      <c r="B43" s="3" t="s">
        <v>91</v>
      </c>
      <c r="C43">
        <v>41</v>
      </c>
    </row>
    <row r="44" spans="1:8" x14ac:dyDescent="0.25">
      <c r="A44" t="s">
        <v>92</v>
      </c>
      <c r="B44" s="3" t="s">
        <v>93</v>
      </c>
      <c r="C44">
        <v>42</v>
      </c>
    </row>
    <row r="45" spans="1:8" x14ac:dyDescent="0.25">
      <c r="A45" t="s">
        <v>94</v>
      </c>
      <c r="B45" s="3" t="s">
        <v>95</v>
      </c>
      <c r="C45">
        <v>43</v>
      </c>
    </row>
    <row r="46" spans="1:8" x14ac:dyDescent="0.25">
      <c r="A46" t="s">
        <v>96</v>
      </c>
      <c r="B46" s="3" t="s">
        <v>97</v>
      </c>
      <c r="C46">
        <v>44</v>
      </c>
    </row>
    <row r="47" spans="1:8" x14ac:dyDescent="0.25">
      <c r="A47" t="s">
        <v>98</v>
      </c>
      <c r="B47" s="3" t="s">
        <v>110</v>
      </c>
      <c r="C47">
        <v>45</v>
      </c>
    </row>
    <row r="48" spans="1:8" x14ac:dyDescent="0.25">
      <c r="A48" t="s">
        <v>101</v>
      </c>
      <c r="B48" s="3" t="s">
        <v>102</v>
      </c>
      <c r="C48">
        <v>46</v>
      </c>
    </row>
    <row r="49" spans="1:3" x14ac:dyDescent="0.25">
      <c r="A49" t="s">
        <v>112</v>
      </c>
      <c r="B49" s="22">
        <v>0.7</v>
      </c>
      <c r="C49">
        <v>47</v>
      </c>
    </row>
    <row r="50" spans="1:3" x14ac:dyDescent="0.25">
      <c r="A50" t="s">
        <v>113</v>
      </c>
      <c r="B50" s="22">
        <v>0.55000000000000004</v>
      </c>
      <c r="C50">
        <v>48</v>
      </c>
    </row>
    <row r="51" spans="1:3" x14ac:dyDescent="0.25">
      <c r="A51" t="s">
        <v>114</v>
      </c>
      <c r="B51" s="22">
        <v>0</v>
      </c>
      <c r="C51">
        <v>49</v>
      </c>
    </row>
    <row r="52" spans="1:3" x14ac:dyDescent="0.25">
      <c r="B52"/>
      <c r="C52">
        <v>50</v>
      </c>
    </row>
    <row r="53" spans="1:3" x14ac:dyDescent="0.25">
      <c r="B53"/>
      <c r="C53">
        <v>51</v>
      </c>
    </row>
    <row r="54" spans="1:3" x14ac:dyDescent="0.25">
      <c r="B54"/>
      <c r="C54">
        <v>52</v>
      </c>
    </row>
    <row r="55" spans="1:3" x14ac:dyDescent="0.25">
      <c r="B55"/>
      <c r="C55">
        <v>53</v>
      </c>
    </row>
    <row r="56" spans="1:3" x14ac:dyDescent="0.25">
      <c r="B56"/>
      <c r="C56">
        <v>54</v>
      </c>
    </row>
    <row r="57" spans="1:3" x14ac:dyDescent="0.25">
      <c r="B57"/>
      <c r="C57">
        <v>55</v>
      </c>
    </row>
    <row r="58" spans="1:3" x14ac:dyDescent="0.25">
      <c r="B58"/>
      <c r="C58">
        <v>56</v>
      </c>
    </row>
    <row r="59" spans="1:3" x14ac:dyDescent="0.25">
      <c r="B59"/>
      <c r="C59">
        <v>57</v>
      </c>
    </row>
    <row r="60" spans="1:3" x14ac:dyDescent="0.25">
      <c r="B60"/>
      <c r="C60">
        <v>58</v>
      </c>
    </row>
    <row r="61" spans="1:3" x14ac:dyDescent="0.25">
      <c r="B61"/>
      <c r="C61">
        <v>59</v>
      </c>
    </row>
    <row r="62" spans="1:3" x14ac:dyDescent="0.25">
      <c r="B62"/>
      <c r="C62">
        <v>60</v>
      </c>
    </row>
    <row r="63" spans="1:3" x14ac:dyDescent="0.25">
      <c r="B63"/>
      <c r="C63">
        <v>61</v>
      </c>
    </row>
    <row r="64" spans="1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haltfläche 3">
              <controlPr defaultSize="0" print="0" autoFill="0" autoPict="0" macro="[0]!generateAllKata">
                <anchor moveWithCells="1" sizeWithCells="1">
                  <from>
                    <xdr:col>3</xdr:col>
                    <xdr:colOff>752475</xdr:colOff>
                    <xdr:row>3</xdr:row>
                    <xdr:rowOff>19050</xdr:rowOff>
                  </from>
                  <to>
                    <xdr:col>5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52</vt:i4>
      </vt:variant>
    </vt:vector>
  </HeadingPairs>
  <TitlesOfParts>
    <vt:vector size="60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'7 Jugend'!Druckbereich</vt:lpstr>
      <vt:lpstr>Configuration!Druckbereich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2017-06-12T23:01:32Z</cp:lastPrinted>
  <dcterms:created xsi:type="dcterms:W3CDTF">2016-05-27T22:45:24Z</dcterms:created>
  <dcterms:modified xsi:type="dcterms:W3CDTF">2019-03-31T22:51:38Z</dcterms:modified>
</cp:coreProperties>
</file>