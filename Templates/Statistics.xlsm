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xr:revisionPtr revIDLastSave="0" documentId="13_ncr:1_{43F6958B-BBF9-439F-A46A-F84D76120D56}" xr6:coauthVersionLast="34" xr6:coauthVersionMax="34" xr10:uidLastSave="{00000000-0000-0000-0000-000000000000}"/>
  <bookViews>
    <workbookView xWindow="120" yWindow="255" windowWidth="23250" windowHeight="12990" xr2:uid="{00000000-000D-0000-FFFF-FFFF00000000}"/>
  </bookViews>
  <sheets>
    <sheet name="Values" sheetId="19" r:id="rId1"/>
    <sheet name="Database" sheetId="18" r:id="rId2"/>
    <sheet name="Configuration" sheetId="5" r:id="rId3"/>
  </sheets>
  <functionGroups builtInGroupCount="19"/>
  <definedNames>
    <definedName name="_xlnm._FilterDatabase" localSheetId="1" hidden="1">Database!$A$1:$AN$97</definedName>
    <definedName name="_xlnm.Print_Area" localSheetId="2">Configuration!$M:$M</definedName>
  </definedNames>
  <calcPr calcId="179021"/>
</workbook>
</file>

<file path=xl/calcChain.xml><?xml version="1.0" encoding="utf-8"?>
<calcChain xmlns="http://schemas.openxmlformats.org/spreadsheetml/2006/main">
  <c r="AP273" i="18" l="1"/>
  <c r="AP272" i="18"/>
  <c r="AP271" i="18"/>
  <c r="AP270" i="18"/>
  <c r="AP269" i="18"/>
  <c r="AP268" i="18"/>
  <c r="AP267" i="18"/>
  <c r="AP266" i="18"/>
  <c r="AP265" i="18"/>
  <c r="AP264" i="18"/>
  <c r="AP263" i="18"/>
  <c r="AP262" i="18"/>
  <c r="AP261" i="18"/>
  <c r="AP260" i="18"/>
  <c r="AP259" i="18"/>
  <c r="AP258" i="18"/>
  <c r="AP257" i="18"/>
  <c r="AP256" i="18"/>
  <c r="AP255" i="18"/>
  <c r="AP254" i="18"/>
  <c r="AP253" i="18"/>
  <c r="AP252" i="18"/>
  <c r="AP251" i="18"/>
  <c r="AP250" i="18"/>
  <c r="AP249" i="18"/>
  <c r="AP248" i="18"/>
  <c r="AP247" i="18"/>
  <c r="AP246" i="18"/>
  <c r="AP245" i="18"/>
  <c r="AP244" i="18"/>
  <c r="AP243" i="18"/>
  <c r="AP242" i="18"/>
  <c r="AP241" i="18"/>
  <c r="AP240" i="18"/>
  <c r="AP239" i="18"/>
  <c r="AP238" i="18"/>
  <c r="AP237" i="18"/>
  <c r="AP236" i="18"/>
  <c r="AP235" i="18"/>
  <c r="AP234" i="18"/>
  <c r="AP233" i="18"/>
  <c r="AP232" i="18"/>
  <c r="AP231" i="18"/>
  <c r="AP230" i="18"/>
  <c r="AP229" i="18"/>
  <c r="AP228" i="18"/>
  <c r="AP227" i="18"/>
  <c r="AP226" i="18"/>
  <c r="AP225" i="18"/>
  <c r="AP224" i="18"/>
  <c r="AP223" i="18"/>
  <c r="AP222" i="18"/>
  <c r="AP221" i="18"/>
  <c r="AP220" i="18"/>
  <c r="AP219" i="18"/>
  <c r="AP218" i="18"/>
  <c r="AP217" i="18"/>
  <c r="AP216" i="18"/>
  <c r="AP215" i="18"/>
  <c r="AP214" i="18"/>
  <c r="AP213" i="18"/>
  <c r="AP212" i="18"/>
  <c r="AP211" i="18"/>
  <c r="AP210" i="18"/>
  <c r="AP209" i="18"/>
  <c r="AP208" i="18"/>
  <c r="AP207" i="18"/>
  <c r="AP206" i="18"/>
  <c r="AP205" i="18"/>
  <c r="AP204" i="18"/>
  <c r="AP203" i="18"/>
  <c r="AP202" i="18"/>
  <c r="AP201" i="18"/>
  <c r="AP200" i="18"/>
  <c r="AP199" i="18"/>
  <c r="AP198" i="18"/>
  <c r="AP197" i="18"/>
  <c r="AP196" i="18"/>
  <c r="AP195" i="18"/>
  <c r="AP194" i="18"/>
  <c r="AP193" i="18"/>
  <c r="AP192" i="18"/>
  <c r="AP191" i="18"/>
  <c r="AP190" i="18"/>
  <c r="AP189" i="18"/>
  <c r="AP188" i="18"/>
  <c r="AP187" i="18"/>
  <c r="AP186" i="18"/>
  <c r="AP185" i="18"/>
  <c r="AP184" i="18"/>
  <c r="AP183" i="18"/>
  <c r="AP182" i="18"/>
  <c r="AP181" i="18"/>
  <c r="AP180" i="18"/>
  <c r="AP179" i="18"/>
  <c r="AP178" i="18"/>
  <c r="AP177" i="18"/>
  <c r="AP176" i="18"/>
  <c r="AP175" i="18"/>
  <c r="AP174" i="18"/>
  <c r="AP173" i="18"/>
  <c r="AP172" i="18"/>
  <c r="AP171" i="18"/>
  <c r="AP170" i="18"/>
  <c r="AP169" i="18"/>
  <c r="AP168" i="18"/>
  <c r="AP167" i="18"/>
  <c r="AP166" i="18"/>
  <c r="AP165" i="18"/>
  <c r="AP164" i="18"/>
  <c r="AP163" i="18"/>
  <c r="AP162" i="18"/>
  <c r="AP161" i="18"/>
  <c r="AP160" i="18"/>
  <c r="AP159" i="18"/>
  <c r="AP158" i="18"/>
  <c r="AP157" i="18"/>
  <c r="AP156" i="18"/>
  <c r="AP155" i="18"/>
  <c r="AP154" i="18"/>
  <c r="AP153" i="18"/>
  <c r="AP152" i="18"/>
  <c r="AP151" i="18"/>
  <c r="AP150" i="18"/>
  <c r="AP149" i="18"/>
  <c r="AP148" i="18"/>
  <c r="AP147" i="18"/>
  <c r="AP146" i="18"/>
  <c r="AP145" i="18"/>
  <c r="AP144" i="18"/>
  <c r="AP143" i="18"/>
  <c r="AP142" i="18"/>
  <c r="AP141" i="18"/>
  <c r="AP140" i="18"/>
  <c r="AP139" i="18"/>
  <c r="AP138" i="18"/>
  <c r="AP137" i="18"/>
  <c r="AP136" i="18"/>
  <c r="AP135" i="18"/>
  <c r="AP134" i="18"/>
  <c r="AP133" i="18"/>
  <c r="AP132" i="18"/>
  <c r="AP131" i="18"/>
  <c r="AP130" i="18"/>
  <c r="AP129" i="18"/>
  <c r="AP128" i="18"/>
  <c r="AP127" i="18"/>
  <c r="AP126" i="18"/>
  <c r="AP125" i="18"/>
  <c r="AP124" i="18"/>
  <c r="AP123" i="18"/>
  <c r="AP122" i="18"/>
  <c r="AP121" i="18"/>
  <c r="AP120" i="18"/>
  <c r="AP119" i="18"/>
  <c r="AP118" i="18"/>
  <c r="AP117" i="18"/>
  <c r="AP116" i="18"/>
  <c r="AP115" i="18"/>
  <c r="AP114" i="18"/>
  <c r="AP113" i="18"/>
  <c r="AP112" i="18"/>
  <c r="AP111" i="18"/>
  <c r="AP110" i="18"/>
  <c r="AP109" i="18"/>
  <c r="AP108" i="18"/>
  <c r="AP107" i="18"/>
  <c r="AP106" i="18"/>
  <c r="AP105" i="18"/>
  <c r="AP104" i="18"/>
  <c r="AP103" i="18"/>
  <c r="AP102" i="18"/>
  <c r="AP101" i="18"/>
  <c r="AP100" i="18"/>
  <c r="AP99" i="18"/>
  <c r="AP98" i="18"/>
  <c r="AP97" i="18"/>
  <c r="AP96" i="18"/>
  <c r="AP95" i="18"/>
  <c r="AP94" i="18"/>
  <c r="AP93" i="18"/>
  <c r="AP92" i="18"/>
  <c r="AP91" i="18"/>
  <c r="AP90" i="18"/>
  <c r="AP89" i="18"/>
  <c r="AP88" i="18"/>
  <c r="AP87" i="18"/>
  <c r="AP86" i="18"/>
  <c r="AP85" i="18"/>
  <c r="AP84" i="18"/>
  <c r="AP83" i="18"/>
  <c r="AP82" i="18"/>
  <c r="AP81" i="18"/>
  <c r="AP80" i="18"/>
  <c r="AP79" i="18"/>
  <c r="AP78" i="18"/>
  <c r="AP77" i="18"/>
  <c r="AP76" i="18"/>
  <c r="AP75" i="18"/>
  <c r="AP74" i="18"/>
  <c r="AP73" i="18"/>
  <c r="AP72" i="18"/>
  <c r="AP71" i="18"/>
  <c r="AP70" i="18"/>
  <c r="AP69" i="18"/>
  <c r="AP68" i="18"/>
  <c r="AP67" i="18"/>
  <c r="AP66" i="18"/>
  <c r="AP65" i="18"/>
  <c r="AP64" i="18"/>
  <c r="AP63" i="18"/>
  <c r="AP62" i="18"/>
  <c r="AP61" i="18"/>
  <c r="AP60" i="18"/>
  <c r="AP59" i="18"/>
  <c r="AP58" i="18"/>
  <c r="AP57" i="18"/>
  <c r="AP56" i="18"/>
  <c r="AP55" i="18"/>
  <c r="AP54" i="18"/>
  <c r="AP53" i="18"/>
  <c r="AP52" i="18"/>
  <c r="AP51" i="18"/>
  <c r="AP50" i="18"/>
  <c r="AP49" i="18"/>
  <c r="AP48" i="18"/>
  <c r="AP4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P26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P4" i="18"/>
  <c r="AP3" i="18"/>
  <c r="AP2" i="18"/>
  <c r="AO2" i="18"/>
  <c r="AO362" i="18"/>
  <c r="AO361" i="18"/>
  <c r="AO360" i="18"/>
  <c r="AO359" i="18"/>
  <c r="AO358" i="18"/>
  <c r="AO357" i="18"/>
  <c r="AO356" i="18"/>
  <c r="AO355" i="18"/>
  <c r="AO354" i="18"/>
  <c r="AO353" i="18"/>
  <c r="AO352" i="18"/>
  <c r="AO351" i="18"/>
  <c r="AO350" i="18"/>
  <c r="AO349" i="18"/>
  <c r="AO348" i="18"/>
  <c r="AO347" i="18"/>
  <c r="AO346" i="18"/>
  <c r="AO345" i="18"/>
  <c r="AO344" i="18"/>
  <c r="AO343" i="18"/>
  <c r="AO342" i="18"/>
  <c r="AO341" i="18"/>
  <c r="AO340" i="18"/>
  <c r="AO339" i="18"/>
  <c r="AO338" i="18"/>
  <c r="AO337" i="18"/>
  <c r="AO336" i="18"/>
  <c r="AO335" i="18"/>
  <c r="AO334" i="18"/>
  <c r="AO333" i="18"/>
  <c r="AO332" i="18"/>
  <c r="AO331" i="18"/>
  <c r="AO330" i="18"/>
  <c r="AO329" i="18"/>
  <c r="AO328" i="18"/>
  <c r="AO327" i="18"/>
  <c r="AO326" i="18"/>
  <c r="AO325" i="18"/>
  <c r="AO324" i="18"/>
  <c r="AO323" i="18"/>
  <c r="AO322" i="18"/>
  <c r="AO321" i="18"/>
  <c r="AO320" i="18"/>
  <c r="AO319" i="18"/>
  <c r="AO318" i="18"/>
  <c r="AO317" i="18"/>
  <c r="AO316" i="18"/>
  <c r="AO315" i="18"/>
  <c r="AO314" i="18"/>
  <c r="AO313" i="18"/>
  <c r="AO312" i="18"/>
  <c r="AO311" i="18"/>
  <c r="AO310" i="18"/>
  <c r="AO309" i="18"/>
  <c r="AO308" i="18"/>
  <c r="AO307" i="18"/>
  <c r="AO306" i="18"/>
  <c r="AO305" i="18"/>
  <c r="AO304" i="18"/>
  <c r="AO303" i="18"/>
  <c r="AO302" i="18"/>
  <c r="AO301" i="18"/>
  <c r="AO300" i="18"/>
  <c r="AO299" i="18"/>
  <c r="AO298" i="18"/>
  <c r="AO297" i="18"/>
  <c r="AO296" i="18"/>
  <c r="AO295" i="18"/>
  <c r="AO294" i="18"/>
  <c r="AO293" i="18"/>
  <c r="AO292" i="18"/>
  <c r="AO291" i="18"/>
  <c r="AO290" i="18"/>
  <c r="AO289" i="18"/>
  <c r="AO288" i="18"/>
  <c r="AO287" i="18"/>
  <c r="AO286" i="18"/>
  <c r="AO285" i="18"/>
  <c r="AO284" i="18"/>
  <c r="AO283" i="18"/>
  <c r="AO282" i="18"/>
  <c r="AO281" i="18"/>
  <c r="AO280" i="18"/>
  <c r="AO279" i="18"/>
  <c r="AO278" i="18"/>
  <c r="AO277" i="18"/>
  <c r="AO276" i="18"/>
  <c r="AO275" i="18"/>
  <c r="AO274" i="18"/>
  <c r="AO273" i="18"/>
  <c r="AO272" i="18"/>
  <c r="AO271" i="18"/>
  <c r="AO270" i="18"/>
  <c r="AO269" i="18"/>
  <c r="AO268" i="18"/>
  <c r="AO267" i="18"/>
  <c r="AO266" i="18"/>
  <c r="AO265" i="18"/>
  <c r="AO264" i="18"/>
  <c r="AO263" i="18"/>
  <c r="AO262" i="18"/>
  <c r="AO261" i="18"/>
  <c r="AO260" i="18"/>
  <c r="AO259" i="18"/>
  <c r="AO258" i="18"/>
  <c r="AO257" i="18"/>
  <c r="AO256" i="18"/>
  <c r="AO255" i="18"/>
  <c r="AO254" i="18"/>
  <c r="AO253" i="18"/>
  <c r="AO252" i="18"/>
  <c r="AO251" i="18"/>
  <c r="AO250" i="18"/>
  <c r="AO249" i="18"/>
  <c r="AO248" i="18"/>
  <c r="AO247" i="18"/>
  <c r="AO246" i="18"/>
  <c r="AO245" i="18"/>
  <c r="AO244" i="18"/>
  <c r="AO243" i="18"/>
  <c r="AO242" i="18"/>
  <c r="AO241" i="18"/>
  <c r="AO240" i="18"/>
  <c r="AO239" i="18"/>
  <c r="AO238" i="18"/>
  <c r="AO237" i="18"/>
  <c r="AO236" i="18"/>
  <c r="AO235" i="18"/>
  <c r="AO234" i="18"/>
  <c r="AO233" i="18"/>
  <c r="AO232" i="18"/>
  <c r="AO231" i="18"/>
  <c r="AO230" i="18"/>
  <c r="AO229" i="18"/>
  <c r="AO228" i="18"/>
  <c r="AO227" i="18"/>
  <c r="AO226" i="18"/>
  <c r="AO225" i="18"/>
  <c r="AO224" i="18"/>
  <c r="AO223" i="18"/>
  <c r="AO222" i="18"/>
  <c r="AO221" i="18"/>
  <c r="AO220" i="18"/>
  <c r="AO219" i="18"/>
  <c r="AO218" i="18"/>
  <c r="AO217" i="18"/>
  <c r="AO216" i="18"/>
  <c r="AO215" i="18"/>
  <c r="AO214" i="18"/>
  <c r="AO213" i="18"/>
  <c r="AO212" i="18"/>
  <c r="AO211" i="18"/>
  <c r="AO210" i="18"/>
  <c r="AO209" i="18"/>
  <c r="AO208" i="18"/>
  <c r="AO207" i="18"/>
  <c r="AO206" i="18"/>
  <c r="AO205" i="18"/>
  <c r="AO204" i="18"/>
  <c r="AO203" i="18"/>
  <c r="AO202" i="18"/>
  <c r="AO201" i="18"/>
  <c r="AO200" i="18"/>
  <c r="AO199" i="18"/>
  <c r="AO198" i="18"/>
  <c r="AO197" i="18"/>
  <c r="AO196" i="18"/>
  <c r="AO195" i="18"/>
  <c r="AO183" i="18"/>
  <c r="AO182" i="18"/>
  <c r="AO181" i="18"/>
  <c r="AO180" i="18"/>
  <c r="AO179" i="18"/>
  <c r="AO178" i="18"/>
  <c r="AO177" i="18"/>
  <c r="AO176" i="18"/>
  <c r="AO175" i="18"/>
  <c r="AO174" i="18"/>
  <c r="AO173" i="18"/>
  <c r="AO172" i="18"/>
  <c r="AO171" i="18"/>
  <c r="AO170" i="18"/>
  <c r="AO169" i="18"/>
  <c r="AO168" i="18"/>
  <c r="AO167" i="18"/>
  <c r="AO166" i="18"/>
  <c r="AO165" i="18"/>
  <c r="AO164" i="18"/>
  <c r="AO163" i="18"/>
  <c r="AO162" i="18"/>
  <c r="AO161" i="18"/>
  <c r="AO160" i="18"/>
  <c r="AO159" i="18"/>
  <c r="AO158" i="18"/>
  <c r="AO157" i="18"/>
  <c r="AO156" i="18"/>
  <c r="AO155" i="18"/>
  <c r="AO154" i="18"/>
  <c r="AO153" i="18"/>
  <c r="AO152" i="18"/>
  <c r="AO151" i="18"/>
  <c r="AO150" i="18"/>
  <c r="AO149" i="18"/>
  <c r="AO148" i="18"/>
  <c r="AO147" i="18"/>
  <c r="AO146" i="18"/>
  <c r="AO145" i="18"/>
  <c r="AO144" i="18"/>
  <c r="AO143" i="18"/>
  <c r="AO142" i="18"/>
  <c r="AO141" i="18"/>
  <c r="AO140" i="18"/>
  <c r="AO139" i="18"/>
  <c r="AO138" i="18"/>
  <c r="AO137" i="18"/>
  <c r="AO136" i="18"/>
  <c r="AO135" i="18"/>
  <c r="AO134" i="18"/>
  <c r="AO133" i="18"/>
  <c r="AO132" i="18"/>
  <c r="AO131" i="18"/>
  <c r="AO130" i="18"/>
  <c r="AO129" i="18"/>
  <c r="AO128" i="18"/>
  <c r="AO127" i="18"/>
  <c r="AO126" i="18"/>
  <c r="AO125" i="18"/>
  <c r="AO124" i="18"/>
  <c r="AO123" i="18"/>
  <c r="AO122" i="18"/>
  <c r="AO121" i="18"/>
  <c r="AO120" i="18"/>
  <c r="AO119" i="18"/>
  <c r="AO118" i="18"/>
  <c r="AO117" i="18"/>
  <c r="AO116" i="18"/>
  <c r="AO115" i="18"/>
  <c r="AO114" i="18"/>
  <c r="AO113" i="18"/>
  <c r="AO112" i="18"/>
  <c r="AO111" i="18"/>
  <c r="AO110" i="18"/>
  <c r="AO109" i="18"/>
  <c r="AO108" i="18"/>
  <c r="AO107" i="18"/>
  <c r="AO106" i="18"/>
  <c r="AO105" i="18"/>
  <c r="AO104" i="18"/>
  <c r="AO103" i="18"/>
  <c r="AO102" i="18"/>
  <c r="AO101" i="18"/>
  <c r="AO100" i="18"/>
  <c r="AO99" i="18"/>
  <c r="AO98" i="18"/>
  <c r="AO97" i="18"/>
  <c r="AO96" i="18"/>
  <c r="AO95" i="18"/>
  <c r="AO94" i="18"/>
  <c r="AO93" i="18"/>
  <c r="AO92" i="18"/>
  <c r="AO91" i="18"/>
  <c r="AO90" i="18"/>
  <c r="AO89" i="18"/>
  <c r="AO88" i="18"/>
  <c r="AO87" i="18"/>
  <c r="AO86" i="18"/>
  <c r="AO85" i="18"/>
  <c r="AO84" i="18"/>
  <c r="AO83" i="18"/>
  <c r="AO82" i="18"/>
  <c r="AO81" i="18"/>
  <c r="AO80" i="18"/>
  <c r="AO79" i="18"/>
  <c r="AO78" i="18"/>
  <c r="AO77" i="18"/>
  <c r="AO76" i="18"/>
  <c r="AO75" i="18"/>
  <c r="AO74" i="18"/>
  <c r="AO73" i="18"/>
  <c r="AO72" i="18"/>
  <c r="AO71" i="18"/>
  <c r="AO70" i="18"/>
  <c r="AO69" i="18"/>
  <c r="AO68" i="18"/>
  <c r="AO67" i="18"/>
  <c r="AO66" i="18"/>
  <c r="AO65" i="18"/>
  <c r="AO64" i="18"/>
  <c r="AO63" i="18"/>
  <c r="AO62" i="18"/>
  <c r="AO61" i="18"/>
  <c r="AO60" i="18"/>
  <c r="AO59" i="18"/>
  <c r="AO58" i="18"/>
  <c r="AO57" i="18"/>
  <c r="AO56" i="18"/>
  <c r="AO55" i="18"/>
  <c r="AO54" i="18"/>
  <c r="AO53" i="18"/>
  <c r="AO52" i="18"/>
  <c r="AO51" i="18"/>
  <c r="AO50" i="18"/>
  <c r="AO49" i="18"/>
  <c r="AO48" i="18"/>
  <c r="AO47" i="18"/>
  <c r="AO46" i="18"/>
  <c r="AO45" i="18"/>
  <c r="AO44" i="18"/>
  <c r="AO43" i="18"/>
  <c r="AO42" i="18"/>
  <c r="AO41" i="18"/>
  <c r="AO40" i="18"/>
  <c r="AO39" i="18"/>
  <c r="AO38" i="18"/>
  <c r="AO37" i="18"/>
  <c r="AO36" i="18"/>
  <c r="AO35" i="18"/>
  <c r="AO34" i="18"/>
  <c r="AO33" i="18"/>
  <c r="AO32" i="18"/>
  <c r="AO31" i="18"/>
  <c r="AO30" i="18"/>
  <c r="AO29" i="18"/>
  <c r="AO28" i="18"/>
  <c r="AO27" i="18"/>
  <c r="AO26" i="18"/>
  <c r="AO25" i="18"/>
  <c r="AO24" i="18"/>
  <c r="AO23" i="18"/>
  <c r="AO22" i="18"/>
  <c r="AO21" i="18"/>
  <c r="AO20" i="18"/>
  <c r="AO19" i="18"/>
  <c r="AO18" i="18"/>
  <c r="AO17" i="18"/>
  <c r="AO16" i="18"/>
  <c r="AO15" i="18"/>
  <c r="AO14" i="18"/>
  <c r="AO13" i="18"/>
  <c r="AO12" i="18"/>
  <c r="AO11" i="18"/>
  <c r="AO10" i="18"/>
  <c r="AO9" i="18"/>
  <c r="AO8" i="18"/>
  <c r="AO7" i="18"/>
  <c r="AO6" i="18"/>
  <c r="AO5" i="18"/>
  <c r="AO4" i="18"/>
  <c r="AO3" i="18"/>
  <c r="AO184" i="18"/>
  <c r="AO185" i="18"/>
  <c r="AO186" i="18"/>
  <c r="AO187" i="18"/>
  <c r="AO188" i="18"/>
  <c r="AO189" i="18"/>
  <c r="AO190" i="18"/>
  <c r="AO191" i="18"/>
  <c r="AO192" i="18"/>
  <c r="AO193" i="18"/>
  <c r="AO194" i="18"/>
  <c r="F42" i="19" l="1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1" i="18" l="1"/>
  <c r="G1" i="18"/>
  <c r="D1" i="18" l="1"/>
  <c r="E1" i="18"/>
  <c r="AN1" i="18" l="1"/>
  <c r="R1" i="18"/>
  <c r="Q1" i="18"/>
  <c r="O1" i="18"/>
  <c r="N1" i="18"/>
  <c r="M1" i="18"/>
  <c r="L1" i="18"/>
  <c r="K1" i="18"/>
  <c r="J1" i="18"/>
  <c r="I1" i="18"/>
  <c r="C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A2" authorId="0" shapeId="0" xr:uid="{288B0DAC-8298-49CD-A6A0-AA1E31A1BAAD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Schwierig, weil die Bögen eigentlich korrigiert sein werden</t>
        </r>
      </text>
    </comment>
  </commentList>
</comments>
</file>

<file path=xl/sharedStrings.xml><?xml version="1.0" encoding="utf-8"?>
<sst xmlns="http://schemas.openxmlformats.org/spreadsheetml/2006/main" count="817" uniqueCount="185">
  <si>
    <t>Paarung</t>
  </si>
  <si>
    <t>Angrüßen</t>
  </si>
  <si>
    <t>Abgrüßen</t>
  </si>
  <si>
    <t>Gesamt</t>
  </si>
  <si>
    <t>Wertung 1</t>
  </si>
  <si>
    <t>Wertung 2</t>
  </si>
  <si>
    <t>Wertung 4</t>
  </si>
  <si>
    <t>Wertung 5</t>
  </si>
  <si>
    <t>Kleiner Fehler</t>
  </si>
  <si>
    <t>Großer Fehler</t>
  </si>
  <si>
    <t>I18N / N10 and data</t>
  </si>
  <si>
    <t>M is the "print area" -&gt; do not enter anything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</si>
  <si>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</si>
  <si>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</si>
  <si>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</si>
  <si>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</si>
  <si>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</si>
  <si>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</si>
  <si>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</si>
  <si>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</si>
  <si>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</si>
  <si>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</si>
  <si>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</si>
  <si>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</si>
  <si>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</si>
  <si>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</si>
  <si>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</si>
  <si>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</si>
  <si>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</si>
  <si>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</si>
  <si>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</si>
  <si>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</si>
  <si>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</si>
  <si>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</si>
  <si>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</si>
  <si>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</si>
  <si>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</si>
  <si>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</si>
  <si>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</si>
  <si>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</si>
  <si>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</si>
  <si>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</si>
  <si>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</si>
  <si>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</si>
  <si>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</si>
  <si>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</si>
  <si>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</si>
  <si>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</si>
  <si>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</si>
  <si>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</si>
  <si>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</si>
  <si>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</si>
  <si>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</si>
  <si>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</si>
  <si>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</si>
  <si>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</si>
  <si>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</si>
  <si>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</si>
  <si>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</si>
  <si>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</si>
  <si>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</si>
  <si>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</si>
  <si>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</si>
  <si>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</si>
  <si>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</si>
  <si>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</si>
  <si>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</si>
  <si>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</si>
  <si>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</si>
  <si>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</si>
  <si>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</si>
  <si>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</si>
  <si>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</si>
  <si>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</si>
  <si>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</si>
  <si>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</si>
  <si>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</si>
  <si>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</si>
  <si>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</si>
  <si>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</si>
  <si>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</si>
  <si>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</si>
  <si>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</si>
  <si>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</si>
  <si>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</si>
  <si>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</si>
  <si>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</si>
  <si>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</si>
  <si>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</si>
  <si>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</si>
  <si>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</si>
  <si>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</si>
  <si>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ID</t>
  </si>
  <si>
    <t>Kata</t>
  </si>
  <si>
    <t>Technik 2</t>
  </si>
  <si>
    <t>Technik 3</t>
  </si>
  <si>
    <t>Technik 4</t>
  </si>
  <si>
    <t>Technik 5</t>
  </si>
  <si>
    <t>Technik 6</t>
  </si>
  <si>
    <t>Technik 7</t>
  </si>
  <si>
    <t>Technik 8</t>
  </si>
  <si>
    <t>Technik 9</t>
  </si>
  <si>
    <t>Technik 10</t>
  </si>
  <si>
    <t>Technik 11</t>
  </si>
  <si>
    <t>Technik 12</t>
  </si>
  <si>
    <t>Technik 13</t>
  </si>
  <si>
    <t>Technik 14</t>
  </si>
  <si>
    <t>Technik 15</t>
  </si>
  <si>
    <t>Technik 16</t>
  </si>
  <si>
    <t>Technik 17</t>
  </si>
  <si>
    <t>Technik 18</t>
  </si>
  <si>
    <t>Technik 19</t>
  </si>
  <si>
    <t>Technik 20</t>
  </si>
  <si>
    <t>Technik 21</t>
  </si>
  <si>
    <t>Technik 22</t>
  </si>
  <si>
    <t>Judge Name</t>
  </si>
  <si>
    <t>korrektur</t>
  </si>
  <si>
    <t>CorrectionValue</t>
  </si>
  <si>
    <t>Korrektur</t>
  </si>
  <si>
    <t>P-01</t>
  </si>
  <si>
    <t>A</t>
  </si>
  <si>
    <t>-</t>
  </si>
  <si>
    <t>NS</t>
  </si>
  <si>
    <t>NW</t>
  </si>
  <si>
    <t>BB</t>
  </si>
  <si>
    <t>DT</t>
  </si>
  <si>
    <t>BY</t>
  </si>
  <si>
    <t>BE</t>
  </si>
  <si>
    <t>P-02</t>
  </si>
  <si>
    <t>B</t>
  </si>
  <si>
    <t>P-03</t>
  </si>
  <si>
    <t>P-04</t>
  </si>
  <si>
    <t>D</t>
  </si>
  <si>
    <t>KH</t>
  </si>
  <si>
    <t>sharedJudge1(T)</t>
  </si>
  <si>
    <t>T</t>
  </si>
  <si>
    <t>sharedJudge2(BY)</t>
  </si>
  <si>
    <t>BA</t>
  </si>
  <si>
    <t>KimeDuck-Duesentrieb (A)</t>
  </si>
  <si>
    <t>Kime</t>
  </si>
  <si>
    <t>kimeSuper(KH)</t>
  </si>
  <si>
    <t>kime2(BB)</t>
  </si>
  <si>
    <t>kimeHead(DT)</t>
  </si>
  <si>
    <t>kime5(BE)</t>
  </si>
  <si>
    <t>kimeSpringer(BA)</t>
  </si>
  <si>
    <t>Kimeknacker-Panzerknacker (B)</t>
  </si>
  <si>
    <t>KimeNoSpringer-noSpringer (BY)</t>
  </si>
  <si>
    <t>KimeNoLast-noSpringers (D)</t>
  </si>
  <si>
    <t>KodokanDuck-Duesentrieb (A)</t>
  </si>
  <si>
    <t>Goshin</t>
  </si>
  <si>
    <t>goshinSuper(KH)</t>
  </si>
  <si>
    <t>goshin1(NW)</t>
  </si>
  <si>
    <t>goshinHead(DT)</t>
  </si>
  <si>
    <t>goshin5(BE)</t>
  </si>
  <si>
    <t>goshinSpringer(BA)</t>
  </si>
  <si>
    <t>Kodokanknacker-Panzerknacker (B)</t>
  </si>
  <si>
    <t>KodokanNoSpringer-noSpringer (BY)</t>
  </si>
  <si>
    <t>KodokanNoLast-noSpringers (D)</t>
  </si>
  <si>
    <t>KoshikiDuck-Duesentrieb ()</t>
  </si>
  <si>
    <t>Koshiki</t>
  </si>
  <si>
    <t>KoshikiSuper(NS)</t>
  </si>
  <si>
    <t>Koshiki1(NW)</t>
  </si>
  <si>
    <t>KoshikiHead(DT)</t>
  </si>
  <si>
    <t>Koshiki5(BE)</t>
  </si>
  <si>
    <t>KoshikiStandin(BA)</t>
  </si>
  <si>
    <t>Koshikiknacker-Panzerknacker ()</t>
  </si>
  <si>
    <t>KoshikiNoSpringer-noSpringer ()</t>
  </si>
  <si>
    <t>KoshikiNoLast-noSpringers ()</t>
  </si>
  <si>
    <t>Summe</t>
  </si>
  <si>
    <t>Leistungspunkte</t>
  </si>
  <si>
    <t>Stufe</t>
  </si>
  <si>
    <t>Abweichung</t>
  </si>
  <si>
    <t>Abzug</t>
  </si>
  <si>
    <t>vergessene Technik übersehen</t>
  </si>
  <si>
    <t>schwerer Fehler komplett übersehen</t>
  </si>
  <si>
    <t>schwerer Fehler komplett zuviel</t>
  </si>
  <si>
    <t>schwerer anstelle von mittlerem Fehler</t>
  </si>
  <si>
    <t>mittlerer anstelle von schwerer Fehler</t>
  </si>
  <si>
    <t>C</t>
  </si>
  <si>
    <t>mittlerer Fehler übersehen</t>
  </si>
  <si>
    <t>mittlerer Fehler zuviel</t>
  </si>
  <si>
    <t>Abweichung der Gesamtsumme mehr als +/-20 Punkte</t>
  </si>
  <si>
    <t>Abweichung der Gesamtsumme mehr als +/-15 Punkte</t>
  </si>
  <si>
    <t>Abweichung der Gesamtsumme mehr als +/-10 Punkte</t>
  </si>
  <si>
    <t>Übereinstimmung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</si>
</sst>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 ;\-#,##0.00\ 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0" xfId="0" applyFont="1"/>
    <xf numFmtId="0" fontId="0" fillId="0" borderId="0" xfId="0" applyFont="1"/>
    <xf numFmtId="0" fontId="0" fillId="0" borderId="0" xfId="0" applyAlignment="1">
      <alignment textRotation="45"/>
    </xf>
    <xf numFmtId="1" fontId="0" fillId="0" borderId="0" xfId="0" applyNumberFormat="1"/>
    <xf numFmtId="164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1" fillId="2" borderId="0" xfId="0" applyFont="1" applyFill="1" applyAlignment="1">
      <alignment textRotation="45"/>
    </xf>
    <xf numFmtId="9" fontId="1" fillId="2" borderId="0" xfId="1" applyFont="1" applyFill="1" applyAlignment="1">
      <alignment textRotation="45"/>
    </xf>
    <xf numFmtId="0" fontId="0" fillId="2" borderId="0" xfId="0" applyFill="1"/>
    <xf numFmtId="0" fontId="0" fillId="2" borderId="0" xfId="0" quotePrefix="1" applyFill="1"/>
    <xf numFmtId="9" fontId="0" fillId="2" borderId="0" xfId="1" applyFont="1" applyFill="1"/>
    <xf numFmtId="9" fontId="0" fillId="2" borderId="0" xfId="1" quotePrefix="1" applyFont="1" applyFill="1"/>
    <xf numFmtId="0" fontId="1" fillId="0" borderId="0" xfId="0" applyFont="1" applyFill="1" applyAlignment="1">
      <alignment textRotation="45"/>
    </xf>
    <xf numFmtId="0" fontId="0" fillId="0" borderId="0" xfId="0" applyFill="1"/>
    <xf numFmtId="0" fontId="7" fillId="0" borderId="0" xfId="0" applyFont="1" applyFill="1" applyAlignment="1">
      <alignment textRotation="45" wrapText="1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0</xdr:rowOff>
        </xdr:from>
        <xdr:to>
          <xdr:col>0</xdr:col>
          <xdr:colOff>533400</xdr:colOff>
          <xdr:row>0</xdr:row>
          <xdr:rowOff>171450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180975</xdr:rowOff>
        </xdr:from>
        <xdr:to>
          <xdr:col>0</xdr:col>
          <xdr:colOff>533400</xdr:colOff>
          <xdr:row>0</xdr:row>
          <xdr:rowOff>333375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1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708B2-3C55-49B2-896C-2878A1184455}">
  <sheetPr codeName="Tabelle1"/>
  <dimension ref="A1:H42"/>
  <sheetViews>
    <sheetView tabSelected="1" workbookViewId="0">
      <selection activeCell="K10" sqref="K10"/>
    </sheetView>
  </sheetViews>
  <sheetFormatPr baseColWidth="10" defaultRowHeight="15" x14ac:dyDescent="0.25"/>
  <cols>
    <col min="1" max="1" width="52.42578125" bestFit="1" customWidth="1"/>
    <col min="5" max="5" width="15.5703125" bestFit="1" customWidth="1"/>
    <col min="7" max="7" width="15.5703125" bestFit="1" customWidth="1"/>
  </cols>
  <sheetData>
    <row r="1" spans="1:8" ht="15.75" x14ac:dyDescent="0.25">
      <c r="A1" s="10" t="s">
        <v>171</v>
      </c>
      <c r="B1" s="10" t="s">
        <v>172</v>
      </c>
      <c r="D1" t="s">
        <v>168</v>
      </c>
      <c r="E1" s="8" t="s">
        <v>169</v>
      </c>
      <c r="G1" s="8" t="s">
        <v>169</v>
      </c>
      <c r="H1" t="s">
        <v>170</v>
      </c>
    </row>
    <row r="2" spans="1:8" ht="15.75" x14ac:dyDescent="0.25">
      <c r="A2" s="11" t="s">
        <v>173</v>
      </c>
      <c r="B2" s="10">
        <v>12</v>
      </c>
      <c r="D2" s="9">
        <v>20</v>
      </c>
      <c r="E2" s="8">
        <v>8</v>
      </c>
      <c r="F2" t="str">
        <f>VLOOKUP(E2,$G$2:$H$10,2,FALSE)</f>
        <v>A</v>
      </c>
      <c r="G2">
        <v>8</v>
      </c>
      <c r="H2" t="s">
        <v>120</v>
      </c>
    </row>
    <row r="3" spans="1:8" ht="15.75" x14ac:dyDescent="0.25">
      <c r="A3" s="11" t="s">
        <v>174</v>
      </c>
      <c r="B3" s="10">
        <v>5</v>
      </c>
      <c r="D3" s="9">
        <v>19.5</v>
      </c>
      <c r="E3" s="8">
        <v>8</v>
      </c>
      <c r="F3" t="str">
        <f t="shared" ref="F3:F42" si="0">VLOOKUP(E3,$G$2:$H$10,2,FALSE)</f>
        <v>A</v>
      </c>
      <c r="G3">
        <v>7</v>
      </c>
      <c r="H3" t="s">
        <v>120</v>
      </c>
    </row>
    <row r="4" spans="1:8" ht="15.75" x14ac:dyDescent="0.25">
      <c r="A4" s="11" t="s">
        <v>175</v>
      </c>
      <c r="B4" s="10">
        <v>5</v>
      </c>
      <c r="D4" s="9">
        <v>19</v>
      </c>
      <c r="E4" s="8">
        <v>8</v>
      </c>
      <c r="F4" t="str">
        <f t="shared" si="0"/>
        <v>A</v>
      </c>
      <c r="G4">
        <v>6</v>
      </c>
      <c r="H4" t="s">
        <v>120</v>
      </c>
    </row>
    <row r="5" spans="1:8" ht="15.75" x14ac:dyDescent="0.25">
      <c r="A5" s="11" t="s">
        <v>176</v>
      </c>
      <c r="B5" s="10">
        <v>2</v>
      </c>
      <c r="D5" s="9">
        <v>18.5</v>
      </c>
      <c r="E5" s="8">
        <v>8</v>
      </c>
      <c r="F5" t="str">
        <f t="shared" si="0"/>
        <v>A</v>
      </c>
      <c r="G5">
        <v>5</v>
      </c>
      <c r="H5" t="s">
        <v>129</v>
      </c>
    </row>
    <row r="6" spans="1:8" ht="15.75" x14ac:dyDescent="0.25">
      <c r="A6" s="11" t="s">
        <v>177</v>
      </c>
      <c r="B6" s="10">
        <v>2</v>
      </c>
      <c r="D6" s="9">
        <v>18</v>
      </c>
      <c r="E6" s="8">
        <v>7</v>
      </c>
      <c r="F6" t="str">
        <f t="shared" si="0"/>
        <v>A</v>
      </c>
      <c r="G6">
        <v>4</v>
      </c>
      <c r="H6" t="s">
        <v>129</v>
      </c>
    </row>
    <row r="7" spans="1:8" ht="15.75" x14ac:dyDescent="0.25">
      <c r="A7" s="12" t="s">
        <v>179</v>
      </c>
      <c r="B7" s="13">
        <v>1</v>
      </c>
      <c r="D7" s="9">
        <v>17.5</v>
      </c>
      <c r="E7" s="8">
        <v>7</v>
      </c>
      <c r="F7" t="str">
        <f t="shared" si="0"/>
        <v>A</v>
      </c>
      <c r="G7">
        <v>3</v>
      </c>
      <c r="H7" t="s">
        <v>129</v>
      </c>
    </row>
    <row r="8" spans="1:8" ht="16.5" thickBot="1" x14ac:dyDescent="0.3">
      <c r="A8" s="12" t="s">
        <v>180</v>
      </c>
      <c r="B8" s="13">
        <v>1</v>
      </c>
      <c r="D8" s="9">
        <v>17</v>
      </c>
      <c r="E8" s="8">
        <v>7</v>
      </c>
      <c r="F8" t="str">
        <f t="shared" si="0"/>
        <v>A</v>
      </c>
      <c r="G8">
        <v>2</v>
      </c>
      <c r="H8" t="s">
        <v>178</v>
      </c>
    </row>
    <row r="9" spans="1:8" ht="16.5" thickTop="1" x14ac:dyDescent="0.25">
      <c r="A9" s="14" t="s">
        <v>181</v>
      </c>
      <c r="B9" s="15">
        <v>4</v>
      </c>
      <c r="D9" s="9">
        <v>16.5</v>
      </c>
      <c r="E9" s="8">
        <v>7</v>
      </c>
      <c r="F9" t="str">
        <f t="shared" si="0"/>
        <v>A</v>
      </c>
      <c r="G9">
        <v>1</v>
      </c>
      <c r="H9" t="s">
        <v>178</v>
      </c>
    </row>
    <row r="10" spans="1:8" ht="15.75" x14ac:dyDescent="0.25">
      <c r="A10" s="11" t="s">
        <v>182</v>
      </c>
      <c r="B10" s="10">
        <v>3</v>
      </c>
      <c r="D10" s="9">
        <v>16</v>
      </c>
      <c r="E10" s="8">
        <v>6</v>
      </c>
      <c r="F10" t="str">
        <f t="shared" si="0"/>
        <v>A</v>
      </c>
      <c r="G10">
        <v>0</v>
      </c>
      <c r="H10" t="s">
        <v>178</v>
      </c>
    </row>
    <row r="11" spans="1:8" ht="15.75" x14ac:dyDescent="0.25">
      <c r="A11" s="11" t="s">
        <v>183</v>
      </c>
      <c r="B11" s="10">
        <v>2</v>
      </c>
      <c r="D11" s="9">
        <v>15.5</v>
      </c>
      <c r="E11" s="8">
        <v>6</v>
      </c>
      <c r="F11" t="str">
        <f t="shared" si="0"/>
        <v>A</v>
      </c>
    </row>
    <row r="12" spans="1:8" x14ac:dyDescent="0.25">
      <c r="D12" s="9">
        <v>15</v>
      </c>
      <c r="E12" s="8">
        <v>6</v>
      </c>
      <c r="F12" t="str">
        <f t="shared" si="0"/>
        <v>A</v>
      </c>
    </row>
    <row r="13" spans="1:8" x14ac:dyDescent="0.25">
      <c r="D13" s="9">
        <v>14.5</v>
      </c>
      <c r="E13" s="8">
        <v>6</v>
      </c>
      <c r="F13" t="str">
        <f t="shared" si="0"/>
        <v>A</v>
      </c>
    </row>
    <row r="14" spans="1:8" x14ac:dyDescent="0.25">
      <c r="D14" s="9">
        <v>14</v>
      </c>
      <c r="E14" s="8">
        <v>5</v>
      </c>
      <c r="F14" t="str">
        <f t="shared" si="0"/>
        <v>B</v>
      </c>
    </row>
    <row r="15" spans="1:8" ht="15.75" x14ac:dyDescent="0.25">
      <c r="A15" s="10" t="s">
        <v>171</v>
      </c>
      <c r="B15" s="10" t="s">
        <v>172</v>
      </c>
      <c r="D15" s="9">
        <v>13.5</v>
      </c>
      <c r="E15" s="8">
        <v>5</v>
      </c>
      <c r="F15" t="str">
        <f t="shared" si="0"/>
        <v>B</v>
      </c>
    </row>
    <row r="16" spans="1:8" ht="15.75" x14ac:dyDescent="0.25">
      <c r="A16" s="11" t="s">
        <v>174</v>
      </c>
      <c r="B16" s="25">
        <v>5</v>
      </c>
      <c r="D16" s="9">
        <v>13</v>
      </c>
      <c r="E16" s="8">
        <v>5</v>
      </c>
      <c r="F16" t="str">
        <f t="shared" si="0"/>
        <v>B</v>
      </c>
    </row>
    <row r="17" spans="1:6" ht="15.75" x14ac:dyDescent="0.25">
      <c r="A17" s="11" t="s">
        <v>175</v>
      </c>
      <c r="B17" s="26"/>
      <c r="D17" s="9">
        <v>12.5</v>
      </c>
      <c r="E17" s="8">
        <v>5</v>
      </c>
      <c r="F17" t="str">
        <f t="shared" si="0"/>
        <v>B</v>
      </c>
    </row>
    <row r="18" spans="1:6" ht="15.75" x14ac:dyDescent="0.25">
      <c r="A18" s="12" t="s">
        <v>179</v>
      </c>
      <c r="B18" s="25">
        <v>2</v>
      </c>
      <c r="D18" s="9">
        <v>12</v>
      </c>
      <c r="E18" s="8">
        <v>4</v>
      </c>
      <c r="F18" t="str">
        <f t="shared" si="0"/>
        <v>B</v>
      </c>
    </row>
    <row r="19" spans="1:6" ht="16.5" thickBot="1" x14ac:dyDescent="0.3">
      <c r="A19" s="12" t="s">
        <v>180</v>
      </c>
      <c r="B19" s="27"/>
      <c r="D19" s="9">
        <v>11.5</v>
      </c>
      <c r="E19" s="8">
        <v>4</v>
      </c>
      <c r="F19" t="str">
        <f t="shared" si="0"/>
        <v>B</v>
      </c>
    </row>
    <row r="20" spans="1:6" ht="16.5" thickTop="1" x14ac:dyDescent="0.25">
      <c r="A20" s="14" t="s">
        <v>181</v>
      </c>
      <c r="B20" s="15">
        <v>4</v>
      </c>
      <c r="D20" s="9">
        <v>11</v>
      </c>
      <c r="E20" s="8">
        <v>4</v>
      </c>
      <c r="F20" t="str">
        <f t="shared" si="0"/>
        <v>B</v>
      </c>
    </row>
    <row r="21" spans="1:6" ht="15.75" x14ac:dyDescent="0.25">
      <c r="A21" s="11" t="s">
        <v>182</v>
      </c>
      <c r="B21" s="10">
        <v>3</v>
      </c>
      <c r="D21" s="9">
        <v>10.5</v>
      </c>
      <c r="E21" s="8">
        <v>4</v>
      </c>
      <c r="F21" t="str">
        <f t="shared" si="0"/>
        <v>B</v>
      </c>
    </row>
    <row r="22" spans="1:6" ht="15.75" x14ac:dyDescent="0.25">
      <c r="A22" s="11" t="s">
        <v>183</v>
      </c>
      <c r="B22" s="10">
        <v>2</v>
      </c>
      <c r="D22" s="9">
        <v>10</v>
      </c>
      <c r="E22" s="8">
        <v>3</v>
      </c>
      <c r="F22" t="str">
        <f t="shared" si="0"/>
        <v>B</v>
      </c>
    </row>
    <row r="23" spans="1:6" x14ac:dyDescent="0.25">
      <c r="D23" s="9">
        <v>9.5</v>
      </c>
      <c r="E23" s="8">
        <v>3</v>
      </c>
      <c r="F23" t="str">
        <f t="shared" si="0"/>
        <v>B</v>
      </c>
    </row>
    <row r="24" spans="1:6" x14ac:dyDescent="0.25">
      <c r="D24" s="9">
        <v>9</v>
      </c>
      <c r="E24" s="8">
        <v>3</v>
      </c>
      <c r="F24" t="str">
        <f t="shared" si="0"/>
        <v>B</v>
      </c>
    </row>
    <row r="25" spans="1:6" x14ac:dyDescent="0.25">
      <c r="D25" s="9">
        <v>8.5</v>
      </c>
      <c r="E25" s="8">
        <v>3</v>
      </c>
      <c r="F25" t="str">
        <f t="shared" si="0"/>
        <v>B</v>
      </c>
    </row>
    <row r="26" spans="1:6" x14ac:dyDescent="0.25">
      <c r="D26" s="9">
        <v>8</v>
      </c>
      <c r="E26" s="8">
        <v>2</v>
      </c>
      <c r="F26" t="str">
        <f t="shared" si="0"/>
        <v>C</v>
      </c>
    </row>
    <row r="27" spans="1:6" x14ac:dyDescent="0.25">
      <c r="D27" s="9">
        <v>7.5</v>
      </c>
      <c r="E27" s="8">
        <v>2</v>
      </c>
      <c r="F27" t="str">
        <f t="shared" si="0"/>
        <v>C</v>
      </c>
    </row>
    <row r="28" spans="1:6" x14ac:dyDescent="0.25">
      <c r="D28" s="9">
        <v>7</v>
      </c>
      <c r="E28" s="8">
        <v>2</v>
      </c>
      <c r="F28" t="str">
        <f t="shared" si="0"/>
        <v>C</v>
      </c>
    </row>
    <row r="29" spans="1:6" x14ac:dyDescent="0.25">
      <c r="D29" s="9">
        <v>6.5</v>
      </c>
      <c r="E29" s="8">
        <v>2</v>
      </c>
      <c r="F29" t="str">
        <f t="shared" si="0"/>
        <v>C</v>
      </c>
    </row>
    <row r="30" spans="1:6" x14ac:dyDescent="0.25">
      <c r="D30" s="9">
        <v>6</v>
      </c>
      <c r="E30" s="8">
        <v>2</v>
      </c>
      <c r="F30" t="str">
        <f t="shared" si="0"/>
        <v>C</v>
      </c>
    </row>
    <row r="31" spans="1:6" x14ac:dyDescent="0.25">
      <c r="D31" s="9">
        <v>5.5</v>
      </c>
      <c r="E31" s="8">
        <v>2</v>
      </c>
      <c r="F31" t="str">
        <f t="shared" si="0"/>
        <v>C</v>
      </c>
    </row>
    <row r="32" spans="1:6" x14ac:dyDescent="0.25">
      <c r="D32" s="9">
        <v>5</v>
      </c>
      <c r="E32" s="8">
        <v>1</v>
      </c>
      <c r="F32" t="str">
        <f t="shared" si="0"/>
        <v>C</v>
      </c>
    </row>
    <row r="33" spans="4:6" x14ac:dyDescent="0.25">
      <c r="D33" s="9">
        <v>4.5</v>
      </c>
      <c r="E33" s="8">
        <v>1</v>
      </c>
      <c r="F33" t="str">
        <f t="shared" si="0"/>
        <v>C</v>
      </c>
    </row>
    <row r="34" spans="4:6" x14ac:dyDescent="0.25">
      <c r="D34" s="9">
        <v>4</v>
      </c>
      <c r="E34" s="8">
        <v>1</v>
      </c>
      <c r="F34" t="str">
        <f t="shared" si="0"/>
        <v>C</v>
      </c>
    </row>
    <row r="35" spans="4:6" x14ac:dyDescent="0.25">
      <c r="D35" s="9">
        <v>3.5</v>
      </c>
      <c r="E35" s="8">
        <v>1</v>
      </c>
      <c r="F35" t="str">
        <f t="shared" si="0"/>
        <v>C</v>
      </c>
    </row>
    <row r="36" spans="4:6" x14ac:dyDescent="0.25">
      <c r="D36" s="9">
        <v>3</v>
      </c>
      <c r="E36" s="8">
        <v>1</v>
      </c>
      <c r="F36" t="str">
        <f t="shared" si="0"/>
        <v>C</v>
      </c>
    </row>
    <row r="37" spans="4:6" x14ac:dyDescent="0.25">
      <c r="D37" s="9">
        <v>2.5</v>
      </c>
      <c r="E37" s="8">
        <v>1</v>
      </c>
      <c r="F37" t="str">
        <f t="shared" si="0"/>
        <v>C</v>
      </c>
    </row>
    <row r="38" spans="4:6" x14ac:dyDescent="0.25">
      <c r="D38" s="9">
        <v>2</v>
      </c>
      <c r="E38" s="8">
        <v>0</v>
      </c>
      <c r="F38" t="str">
        <f t="shared" si="0"/>
        <v>C</v>
      </c>
    </row>
    <row r="39" spans="4:6" x14ac:dyDescent="0.25">
      <c r="D39" s="9">
        <v>1.5</v>
      </c>
      <c r="E39" s="8">
        <v>0</v>
      </c>
      <c r="F39" t="str">
        <f t="shared" si="0"/>
        <v>C</v>
      </c>
    </row>
    <row r="40" spans="4:6" x14ac:dyDescent="0.25">
      <c r="D40" s="9">
        <v>1</v>
      </c>
      <c r="E40" s="8">
        <v>0</v>
      </c>
      <c r="F40" t="str">
        <f t="shared" si="0"/>
        <v>C</v>
      </c>
    </row>
    <row r="41" spans="4:6" x14ac:dyDescent="0.25">
      <c r="D41" s="9">
        <v>0.5</v>
      </c>
      <c r="E41" s="8">
        <v>0</v>
      </c>
      <c r="F41" t="str">
        <f t="shared" si="0"/>
        <v>C</v>
      </c>
    </row>
    <row r="42" spans="4:6" x14ac:dyDescent="0.25">
      <c r="D42" s="9">
        <v>0</v>
      </c>
      <c r="E42" s="8">
        <v>0</v>
      </c>
      <c r="F42" t="str">
        <f t="shared" si="0"/>
        <v>C</v>
      </c>
    </row>
  </sheetData>
  <mergeCells count="2">
    <mergeCell ref="B16:B17"/>
    <mergeCell ref="B18:B19"/>
  </mergeCells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D124-3F0F-45E5-BD8D-E42775383334}">
  <sheetPr codeName="Tabelle2"/>
  <dimension ref="A1:AZ362"/>
  <sheetViews>
    <sheetView workbookViewId="0"/>
  </sheetViews>
  <sheetFormatPr baseColWidth="10" defaultRowHeight="15" x14ac:dyDescent="0.25"/>
  <cols>
    <col min="1" max="5" width="11.42578125" style="18"/>
    <col min="6" max="6" width="15.42578125" style="18" bestFit="1" customWidth="1"/>
    <col min="7" max="8" width="11.42578125" style="18"/>
    <col min="9" max="9" width="12.140625" style="18" bestFit="1" customWidth="1"/>
    <col min="10" max="10" width="19.140625" style="18" bestFit="1" customWidth="1"/>
    <col min="11" max="11" width="16.7109375" style="18" bestFit="1" customWidth="1"/>
    <col min="12" max="12" width="16.7109375" style="20" customWidth="1"/>
    <col min="13" max="40" width="11.42578125" style="18"/>
    <col min="41" max="42" width="13.5703125" bestFit="1" customWidth="1"/>
    <col min="43" max="43" width="12.85546875" bestFit="1" customWidth="1"/>
    <col min="44" max="44" width="12.28515625" bestFit="1" customWidth="1"/>
    <col min="48" max="50" width="15.28515625" bestFit="1" customWidth="1"/>
  </cols>
  <sheetData>
    <row r="1" spans="1:52" s="7" customFormat="1" ht="54" customHeight="1" x14ac:dyDescent="0.25">
      <c r="A1" s="16" t="s">
        <v>92</v>
      </c>
      <c r="B1" s="16" t="s">
        <v>93</v>
      </c>
      <c r="C1" s="16" t="str">
        <f>Configuration!B21</f>
        <v>Startnummer</v>
      </c>
      <c r="D1" s="16" t="str">
        <f>Configuration!B33 &amp; " " &amp;Configuration!B24</f>
        <v>Paarung Land</v>
      </c>
      <c r="E1" s="16" t="str">
        <f>Configuration!B41</f>
        <v>Platzierung</v>
      </c>
      <c r="F1" s="16" t="s">
        <v>115</v>
      </c>
      <c r="G1" s="16" t="str">
        <f>Configuration!B7 &amp; " " &amp; Configuration!B24</f>
        <v>Bewerter Land</v>
      </c>
      <c r="H1" s="16" t="str">
        <f>Configuration!B18</f>
        <v>Position</v>
      </c>
      <c r="I1" s="16" t="str">
        <f>Configuration!B14</f>
        <v>Beobachter</v>
      </c>
      <c r="J1" s="16" t="str">
        <f>Configuration!B13</f>
        <v>Springer</v>
      </c>
      <c r="K1" s="16" t="str">
        <f>Configuration!B30</f>
        <v>Gesamt</v>
      </c>
      <c r="L1" s="17" t="str">
        <f>Configuration!B47</f>
        <v>Übereinstimmung [%]</v>
      </c>
      <c r="M1" s="16" t="str">
        <f>Configuration!B26</f>
        <v>Kleiner Fehler</v>
      </c>
      <c r="N1" s="16" t="str">
        <f>Configuration!B27</f>
        <v>Mittlerer Fehler</v>
      </c>
      <c r="O1" s="16" t="str">
        <f>Configuration!B28</f>
        <v>Großer Fehler</v>
      </c>
      <c r="P1" s="16" t="s">
        <v>116</v>
      </c>
      <c r="Q1" s="16" t="str">
        <f>Configuration!B29</f>
        <v>Technik vergessen</v>
      </c>
      <c r="R1" s="16" t="str">
        <f>Configuration!B37</f>
        <v>Angrüßen</v>
      </c>
      <c r="S1" s="16" t="s">
        <v>94</v>
      </c>
      <c r="T1" s="16" t="s">
        <v>95</v>
      </c>
      <c r="U1" s="16" t="s">
        <v>96</v>
      </c>
      <c r="V1" s="16" t="s">
        <v>97</v>
      </c>
      <c r="W1" s="16" t="s">
        <v>98</v>
      </c>
      <c r="X1" s="16" t="s">
        <v>99</v>
      </c>
      <c r="Y1" s="16" t="s">
        <v>100</v>
      </c>
      <c r="Z1" s="16" t="s">
        <v>101</v>
      </c>
      <c r="AA1" s="16" t="s">
        <v>102</v>
      </c>
      <c r="AB1" s="16" t="s">
        <v>103</v>
      </c>
      <c r="AC1" s="16" t="s">
        <v>104</v>
      </c>
      <c r="AD1" s="16" t="s">
        <v>105</v>
      </c>
      <c r="AE1" s="16" t="s">
        <v>106</v>
      </c>
      <c r="AF1" s="16" t="s">
        <v>107</v>
      </c>
      <c r="AG1" s="16" t="s">
        <v>108</v>
      </c>
      <c r="AH1" s="16" t="s">
        <v>109</v>
      </c>
      <c r="AI1" s="16" t="s">
        <v>110</v>
      </c>
      <c r="AJ1" s="16" t="s">
        <v>111</v>
      </c>
      <c r="AK1" s="16" t="s">
        <v>112</v>
      </c>
      <c r="AL1" s="16" t="s">
        <v>113</v>
      </c>
      <c r="AM1" s="16" t="s">
        <v>114</v>
      </c>
      <c r="AN1" s="16" t="str">
        <f>Configuration!B38</f>
        <v>Abgrüßen</v>
      </c>
      <c r="AO1" s="24" t="s">
        <v>173</v>
      </c>
      <c r="AP1" s="24" t="s">
        <v>174</v>
      </c>
      <c r="AQ1" s="24" t="s">
        <v>175</v>
      </c>
      <c r="AR1" s="24" t="s">
        <v>176</v>
      </c>
      <c r="AS1" s="24" t="s">
        <v>177</v>
      </c>
      <c r="AT1" s="24" t="s">
        <v>179</v>
      </c>
      <c r="AU1" s="24" t="s">
        <v>180</v>
      </c>
      <c r="AV1" s="24" t="s">
        <v>181</v>
      </c>
      <c r="AW1" s="24" t="s">
        <v>182</v>
      </c>
      <c r="AX1" s="24" t="s">
        <v>183</v>
      </c>
      <c r="AY1" s="22"/>
      <c r="AZ1" s="22"/>
    </row>
    <row r="2" spans="1:52" x14ac:dyDescent="0.25">
      <c r="G2" s="19"/>
      <c r="H2" s="19"/>
      <c r="I2" s="19"/>
      <c r="J2" s="19"/>
      <c r="L2" s="21"/>
      <c r="AO2" t="str">
        <f>IF(OR(I2&lt;&gt;FALSE, I2=""),"",Q2&lt;&gt;$Q$2/3)</f>
        <v/>
      </c>
      <c r="AP2" t="str">
        <f>IF(OR(I2&lt;&gt;FALSE, I2=""),"",O2&lt;&gt;$O$2/3)</f>
        <v/>
      </c>
      <c r="AQ2" s="23"/>
      <c r="AR2" s="23"/>
      <c r="AS2" s="23"/>
      <c r="AT2" s="23"/>
      <c r="AU2" s="23"/>
      <c r="AV2" s="23"/>
      <c r="AW2" s="23"/>
      <c r="AX2" s="23"/>
      <c r="AY2" s="23"/>
      <c r="AZ2" s="23"/>
    </row>
    <row r="3" spans="1:52" x14ac:dyDescent="0.25">
      <c r="AO3" t="str">
        <f t="shared" ref="AO3:AO65" si="0">IF(OR(I3&lt;&gt;FALSE, I3=""),"",Q3&lt;&gt;$Q$2/3)</f>
        <v/>
      </c>
      <c r="AP3" t="str">
        <f>IF(OR(I3&lt;&gt;FALSE, I3=""),"",O3&lt;&gt;$O$2/3)</f>
        <v/>
      </c>
    </row>
    <row r="4" spans="1:52" x14ac:dyDescent="0.25">
      <c r="AO4" t="str">
        <f t="shared" si="0"/>
        <v/>
      </c>
      <c r="AP4" t="str">
        <f t="shared" ref="AP4:AP67" si="1">IF(OR(I4&lt;&gt;FALSE, I4=""),"",O4&lt;&gt;$O$2/3)</f>
        <v/>
      </c>
    </row>
    <row r="5" spans="1:52" x14ac:dyDescent="0.25">
      <c r="AO5" t="str">
        <f t="shared" si="0"/>
        <v/>
      </c>
      <c r="AP5" t="str">
        <f t="shared" si="1"/>
        <v/>
      </c>
    </row>
    <row r="6" spans="1:52" x14ac:dyDescent="0.25">
      <c r="AO6" t="str">
        <f t="shared" si="0"/>
        <v/>
      </c>
      <c r="AP6" t="str">
        <f t="shared" si="1"/>
        <v/>
      </c>
    </row>
    <row r="7" spans="1:52" x14ac:dyDescent="0.25">
      <c r="AO7" t="str">
        <f t="shared" si="0"/>
        <v/>
      </c>
      <c r="AP7" t="str">
        <f t="shared" si="1"/>
        <v/>
      </c>
    </row>
    <row r="8" spans="1:52" x14ac:dyDescent="0.25">
      <c r="AO8" t="str">
        <f t="shared" si="0"/>
        <v/>
      </c>
      <c r="AP8" t="str">
        <f t="shared" si="1"/>
        <v/>
      </c>
    </row>
    <row r="9" spans="1:52" x14ac:dyDescent="0.25">
      <c r="AO9" t="str">
        <f t="shared" si="0"/>
        <v/>
      </c>
      <c r="AP9" t="str">
        <f t="shared" si="1"/>
        <v/>
      </c>
    </row>
    <row r="10" spans="1:52" x14ac:dyDescent="0.25">
      <c r="G10" s="19"/>
      <c r="H10" s="19"/>
      <c r="I10" s="19"/>
      <c r="J10" s="19"/>
      <c r="L10" s="21"/>
      <c r="AO10" t="str">
        <f t="shared" si="0"/>
        <v/>
      </c>
      <c r="AP10" t="str">
        <f t="shared" si="1"/>
        <v/>
      </c>
    </row>
    <row r="11" spans="1:52" x14ac:dyDescent="0.25">
      <c r="AO11" t="str">
        <f t="shared" si="0"/>
        <v/>
      </c>
      <c r="AP11" t="str">
        <f t="shared" si="1"/>
        <v/>
      </c>
    </row>
    <row r="12" spans="1:52" x14ac:dyDescent="0.25">
      <c r="AO12" t="str">
        <f t="shared" si="0"/>
        <v/>
      </c>
      <c r="AP12" t="str">
        <f t="shared" si="1"/>
        <v/>
      </c>
    </row>
    <row r="13" spans="1:52" x14ac:dyDescent="0.25">
      <c r="AO13" t="str">
        <f t="shared" si="0"/>
        <v/>
      </c>
      <c r="AP13" t="str">
        <f t="shared" si="1"/>
        <v/>
      </c>
    </row>
    <row r="14" spans="1:52" x14ac:dyDescent="0.25">
      <c r="AO14" t="str">
        <f t="shared" si="0"/>
        <v/>
      </c>
      <c r="AP14" t="str">
        <f t="shared" si="1"/>
        <v/>
      </c>
    </row>
    <row r="15" spans="1:52" x14ac:dyDescent="0.25">
      <c r="AO15" t="str">
        <f t="shared" si="0"/>
        <v/>
      </c>
      <c r="AP15" t="str">
        <f t="shared" si="1"/>
        <v/>
      </c>
    </row>
    <row r="16" spans="1:52" x14ac:dyDescent="0.25">
      <c r="AO16" t="str">
        <f t="shared" si="0"/>
        <v/>
      </c>
      <c r="AP16" t="str">
        <f t="shared" si="1"/>
        <v/>
      </c>
    </row>
    <row r="17" spans="7:42" x14ac:dyDescent="0.25">
      <c r="AO17" t="str">
        <f t="shared" si="0"/>
        <v/>
      </c>
      <c r="AP17" t="str">
        <f t="shared" si="1"/>
        <v/>
      </c>
    </row>
    <row r="18" spans="7:42" x14ac:dyDescent="0.25">
      <c r="G18" s="19"/>
      <c r="H18" s="19"/>
      <c r="I18" s="19"/>
      <c r="J18" s="19"/>
      <c r="L18" s="21"/>
      <c r="AO18" t="str">
        <f t="shared" si="0"/>
        <v/>
      </c>
      <c r="AP18" t="str">
        <f t="shared" si="1"/>
        <v/>
      </c>
    </row>
    <row r="19" spans="7:42" x14ac:dyDescent="0.25">
      <c r="AO19" t="str">
        <f t="shared" si="0"/>
        <v/>
      </c>
      <c r="AP19" t="str">
        <f t="shared" si="1"/>
        <v/>
      </c>
    </row>
    <row r="20" spans="7:42" x14ac:dyDescent="0.25">
      <c r="AO20" t="str">
        <f t="shared" si="0"/>
        <v/>
      </c>
      <c r="AP20" t="str">
        <f t="shared" si="1"/>
        <v/>
      </c>
    </row>
    <row r="21" spans="7:42" x14ac:dyDescent="0.25">
      <c r="AO21" t="str">
        <f t="shared" si="0"/>
        <v/>
      </c>
      <c r="AP21" t="str">
        <f t="shared" si="1"/>
        <v/>
      </c>
    </row>
    <row r="22" spans="7:42" x14ac:dyDescent="0.25">
      <c r="AO22" t="str">
        <f t="shared" si="0"/>
        <v/>
      </c>
      <c r="AP22" t="str">
        <f t="shared" si="1"/>
        <v/>
      </c>
    </row>
    <row r="23" spans="7:42" x14ac:dyDescent="0.25">
      <c r="AO23" t="str">
        <f t="shared" si="0"/>
        <v/>
      </c>
      <c r="AP23" t="str">
        <f t="shared" si="1"/>
        <v/>
      </c>
    </row>
    <row r="24" spans="7:42" x14ac:dyDescent="0.25">
      <c r="AO24" t="str">
        <f t="shared" si="0"/>
        <v/>
      </c>
      <c r="AP24" t="str">
        <f t="shared" si="1"/>
        <v/>
      </c>
    </row>
    <row r="25" spans="7:42" x14ac:dyDescent="0.25">
      <c r="AO25" t="str">
        <f t="shared" si="0"/>
        <v/>
      </c>
      <c r="AP25" t="str">
        <f t="shared" si="1"/>
        <v/>
      </c>
    </row>
    <row r="26" spans="7:42" x14ac:dyDescent="0.25">
      <c r="G26" s="19"/>
      <c r="H26" s="19"/>
      <c r="I26" s="19"/>
      <c r="J26" s="19"/>
      <c r="L26" s="21"/>
      <c r="AO26" t="str">
        <f t="shared" si="0"/>
        <v/>
      </c>
      <c r="AP26" t="str">
        <f t="shared" si="1"/>
        <v/>
      </c>
    </row>
    <row r="27" spans="7:42" x14ac:dyDescent="0.25">
      <c r="AO27" t="str">
        <f t="shared" si="0"/>
        <v/>
      </c>
      <c r="AP27" t="str">
        <f t="shared" si="1"/>
        <v/>
      </c>
    </row>
    <row r="28" spans="7:42" x14ac:dyDescent="0.25">
      <c r="AO28" t="str">
        <f t="shared" si="0"/>
        <v/>
      </c>
      <c r="AP28" t="str">
        <f t="shared" si="1"/>
        <v/>
      </c>
    </row>
    <row r="29" spans="7:42" x14ac:dyDescent="0.25">
      <c r="AO29" t="str">
        <f t="shared" si="0"/>
        <v/>
      </c>
      <c r="AP29" t="str">
        <f t="shared" si="1"/>
        <v/>
      </c>
    </row>
    <row r="30" spans="7:42" x14ac:dyDescent="0.25">
      <c r="AO30" t="str">
        <f t="shared" si="0"/>
        <v/>
      </c>
      <c r="AP30" t="str">
        <f t="shared" si="1"/>
        <v/>
      </c>
    </row>
    <row r="31" spans="7:42" x14ac:dyDescent="0.25">
      <c r="AO31" t="str">
        <f t="shared" si="0"/>
        <v/>
      </c>
      <c r="AP31" t="str">
        <f t="shared" si="1"/>
        <v/>
      </c>
    </row>
    <row r="32" spans="7:42" x14ac:dyDescent="0.25">
      <c r="AO32" t="str">
        <f t="shared" si="0"/>
        <v/>
      </c>
      <c r="AP32" t="str">
        <f t="shared" si="1"/>
        <v/>
      </c>
    </row>
    <row r="33" spans="7:42" x14ac:dyDescent="0.25">
      <c r="AO33" t="str">
        <f t="shared" si="0"/>
        <v/>
      </c>
      <c r="AP33" t="str">
        <f t="shared" si="1"/>
        <v/>
      </c>
    </row>
    <row r="34" spans="7:42" x14ac:dyDescent="0.25">
      <c r="G34" s="19"/>
      <c r="H34" s="19"/>
      <c r="I34" s="19"/>
      <c r="J34" s="19"/>
      <c r="L34" s="21"/>
      <c r="AO34" t="str">
        <f t="shared" si="0"/>
        <v/>
      </c>
      <c r="AP34" t="str">
        <f t="shared" si="1"/>
        <v/>
      </c>
    </row>
    <row r="35" spans="7:42" x14ac:dyDescent="0.25">
      <c r="AO35" t="str">
        <f t="shared" si="0"/>
        <v/>
      </c>
      <c r="AP35" t="str">
        <f t="shared" si="1"/>
        <v/>
      </c>
    </row>
    <row r="36" spans="7:42" x14ac:dyDescent="0.25">
      <c r="AO36" t="str">
        <f t="shared" si="0"/>
        <v/>
      </c>
      <c r="AP36" t="str">
        <f t="shared" si="1"/>
        <v/>
      </c>
    </row>
    <row r="37" spans="7:42" x14ac:dyDescent="0.25">
      <c r="AO37" t="str">
        <f t="shared" si="0"/>
        <v/>
      </c>
      <c r="AP37" t="str">
        <f t="shared" si="1"/>
        <v/>
      </c>
    </row>
    <row r="38" spans="7:42" x14ac:dyDescent="0.25">
      <c r="AO38" t="str">
        <f t="shared" si="0"/>
        <v/>
      </c>
      <c r="AP38" t="str">
        <f t="shared" si="1"/>
        <v/>
      </c>
    </row>
    <row r="39" spans="7:42" x14ac:dyDescent="0.25">
      <c r="AO39" t="str">
        <f t="shared" si="0"/>
        <v/>
      </c>
      <c r="AP39" t="str">
        <f t="shared" si="1"/>
        <v/>
      </c>
    </row>
    <row r="40" spans="7:42" x14ac:dyDescent="0.25">
      <c r="AO40" t="str">
        <f t="shared" si="0"/>
        <v/>
      </c>
      <c r="AP40" t="str">
        <f t="shared" si="1"/>
        <v/>
      </c>
    </row>
    <row r="41" spans="7:42" x14ac:dyDescent="0.25">
      <c r="AO41" t="str">
        <f t="shared" si="0"/>
        <v/>
      </c>
      <c r="AP41" t="str">
        <f t="shared" si="1"/>
        <v/>
      </c>
    </row>
    <row r="42" spans="7:42" x14ac:dyDescent="0.25">
      <c r="G42" s="19"/>
      <c r="H42" s="19"/>
      <c r="I42" s="19"/>
      <c r="J42" s="19"/>
      <c r="L42" s="21"/>
      <c r="AO42" t="str">
        <f t="shared" si="0"/>
        <v/>
      </c>
      <c r="AP42" t="str">
        <f t="shared" si="1"/>
        <v/>
      </c>
    </row>
    <row r="43" spans="7:42" x14ac:dyDescent="0.25">
      <c r="AO43" t="str">
        <f t="shared" si="0"/>
        <v/>
      </c>
      <c r="AP43" t="str">
        <f t="shared" si="1"/>
        <v/>
      </c>
    </row>
    <row r="44" spans="7:42" x14ac:dyDescent="0.25">
      <c r="AO44" t="str">
        <f t="shared" si="0"/>
        <v/>
      </c>
      <c r="AP44" t="str">
        <f t="shared" si="1"/>
        <v/>
      </c>
    </row>
    <row r="45" spans="7:42" x14ac:dyDescent="0.25">
      <c r="AO45" t="str">
        <f t="shared" si="0"/>
        <v/>
      </c>
      <c r="AP45" t="str">
        <f t="shared" si="1"/>
        <v/>
      </c>
    </row>
    <row r="46" spans="7:42" x14ac:dyDescent="0.25">
      <c r="AO46" t="str">
        <f t="shared" si="0"/>
        <v/>
      </c>
      <c r="AP46" t="str">
        <f t="shared" si="1"/>
        <v/>
      </c>
    </row>
    <row r="47" spans="7:42" x14ac:dyDescent="0.25">
      <c r="AO47" t="str">
        <f t="shared" si="0"/>
        <v/>
      </c>
      <c r="AP47" t="str">
        <f t="shared" si="1"/>
        <v/>
      </c>
    </row>
    <row r="48" spans="7:42" x14ac:dyDescent="0.25">
      <c r="AO48" t="str">
        <f t="shared" si="0"/>
        <v/>
      </c>
      <c r="AP48" t="str">
        <f t="shared" si="1"/>
        <v/>
      </c>
    </row>
    <row r="49" spans="7:42" x14ac:dyDescent="0.25">
      <c r="AO49" t="str">
        <f t="shared" si="0"/>
        <v/>
      </c>
      <c r="AP49" t="str">
        <f t="shared" si="1"/>
        <v/>
      </c>
    </row>
    <row r="50" spans="7:42" x14ac:dyDescent="0.25">
      <c r="G50" s="19"/>
      <c r="H50" s="19"/>
      <c r="I50" s="19"/>
      <c r="J50" s="19"/>
      <c r="L50" s="21"/>
      <c r="AO50" t="str">
        <f t="shared" si="0"/>
        <v/>
      </c>
      <c r="AP50" t="str">
        <f t="shared" si="1"/>
        <v/>
      </c>
    </row>
    <row r="51" spans="7:42" x14ac:dyDescent="0.25">
      <c r="AO51" t="str">
        <f t="shared" si="0"/>
        <v/>
      </c>
      <c r="AP51" t="str">
        <f t="shared" si="1"/>
        <v/>
      </c>
    </row>
    <row r="52" spans="7:42" x14ac:dyDescent="0.25">
      <c r="AO52" t="str">
        <f t="shared" si="0"/>
        <v/>
      </c>
      <c r="AP52" t="str">
        <f t="shared" si="1"/>
        <v/>
      </c>
    </row>
    <row r="53" spans="7:42" x14ac:dyDescent="0.25">
      <c r="AO53" t="str">
        <f t="shared" si="0"/>
        <v/>
      </c>
      <c r="AP53" t="str">
        <f t="shared" si="1"/>
        <v/>
      </c>
    </row>
    <row r="54" spans="7:42" x14ac:dyDescent="0.25">
      <c r="AO54" t="str">
        <f t="shared" si="0"/>
        <v/>
      </c>
      <c r="AP54" t="str">
        <f t="shared" si="1"/>
        <v/>
      </c>
    </row>
    <row r="55" spans="7:42" x14ac:dyDescent="0.25">
      <c r="AO55" t="str">
        <f t="shared" si="0"/>
        <v/>
      </c>
      <c r="AP55" t="str">
        <f t="shared" si="1"/>
        <v/>
      </c>
    </row>
    <row r="56" spans="7:42" x14ac:dyDescent="0.25">
      <c r="AO56" t="str">
        <f t="shared" si="0"/>
        <v/>
      </c>
      <c r="AP56" t="str">
        <f t="shared" si="1"/>
        <v/>
      </c>
    </row>
    <row r="57" spans="7:42" x14ac:dyDescent="0.25">
      <c r="AO57" t="str">
        <f t="shared" si="0"/>
        <v/>
      </c>
      <c r="AP57" t="str">
        <f t="shared" si="1"/>
        <v/>
      </c>
    </row>
    <row r="58" spans="7:42" x14ac:dyDescent="0.25">
      <c r="G58" s="19"/>
      <c r="H58" s="19"/>
      <c r="I58" s="19"/>
      <c r="J58" s="19"/>
      <c r="L58" s="21"/>
      <c r="AO58" t="str">
        <f t="shared" si="0"/>
        <v/>
      </c>
      <c r="AP58" t="str">
        <f t="shared" si="1"/>
        <v/>
      </c>
    </row>
    <row r="59" spans="7:42" x14ac:dyDescent="0.25">
      <c r="AO59" t="str">
        <f t="shared" si="0"/>
        <v/>
      </c>
      <c r="AP59" t="str">
        <f t="shared" si="1"/>
        <v/>
      </c>
    </row>
    <row r="60" spans="7:42" x14ac:dyDescent="0.25">
      <c r="AO60" t="str">
        <f t="shared" si="0"/>
        <v/>
      </c>
      <c r="AP60" t="str">
        <f t="shared" si="1"/>
        <v/>
      </c>
    </row>
    <row r="61" spans="7:42" x14ac:dyDescent="0.25">
      <c r="AO61" t="str">
        <f t="shared" si="0"/>
        <v/>
      </c>
      <c r="AP61" t="str">
        <f t="shared" si="1"/>
        <v/>
      </c>
    </row>
    <row r="62" spans="7:42" x14ac:dyDescent="0.25">
      <c r="AO62" t="str">
        <f t="shared" si="0"/>
        <v/>
      </c>
      <c r="AP62" t="str">
        <f t="shared" si="1"/>
        <v/>
      </c>
    </row>
    <row r="63" spans="7:42" x14ac:dyDescent="0.25">
      <c r="AO63" t="str">
        <f t="shared" si="0"/>
        <v/>
      </c>
      <c r="AP63" t="str">
        <f t="shared" si="1"/>
        <v/>
      </c>
    </row>
    <row r="64" spans="7:42" x14ac:dyDescent="0.25">
      <c r="AO64" t="str">
        <f t="shared" si="0"/>
        <v/>
      </c>
      <c r="AP64" t="str">
        <f t="shared" si="1"/>
        <v/>
      </c>
    </row>
    <row r="65" spans="7:42" x14ac:dyDescent="0.25">
      <c r="AO65" t="str">
        <f t="shared" si="0"/>
        <v/>
      </c>
      <c r="AP65" t="str">
        <f t="shared" si="1"/>
        <v/>
      </c>
    </row>
    <row r="66" spans="7:42" x14ac:dyDescent="0.25">
      <c r="G66" s="19"/>
      <c r="H66" s="19"/>
      <c r="I66" s="19"/>
      <c r="J66" s="19"/>
      <c r="L66" s="21"/>
      <c r="AO66" t="str">
        <f t="shared" ref="AO66:AO129" si="2">IF(OR(I66&lt;&gt;FALSE, I66=""),"",Q66&lt;&gt;$Q$2/3)</f>
        <v/>
      </c>
      <c r="AP66" t="str">
        <f t="shared" si="1"/>
        <v/>
      </c>
    </row>
    <row r="67" spans="7:42" x14ac:dyDescent="0.25">
      <c r="AO67" t="str">
        <f t="shared" si="2"/>
        <v/>
      </c>
      <c r="AP67" t="str">
        <f t="shared" si="1"/>
        <v/>
      </c>
    </row>
    <row r="68" spans="7:42" x14ac:dyDescent="0.25">
      <c r="AO68" t="str">
        <f t="shared" si="2"/>
        <v/>
      </c>
      <c r="AP68" t="str">
        <f t="shared" ref="AP68:AP131" si="3">IF(OR(I68&lt;&gt;FALSE, I68=""),"",O68&lt;&gt;$O$2/3)</f>
        <v/>
      </c>
    </row>
    <row r="69" spans="7:42" x14ac:dyDescent="0.25">
      <c r="AO69" t="str">
        <f t="shared" si="2"/>
        <v/>
      </c>
      <c r="AP69" t="str">
        <f t="shared" si="3"/>
        <v/>
      </c>
    </row>
    <row r="70" spans="7:42" x14ac:dyDescent="0.25">
      <c r="AO70" t="str">
        <f t="shared" si="2"/>
        <v/>
      </c>
      <c r="AP70" t="str">
        <f t="shared" si="3"/>
        <v/>
      </c>
    </row>
    <row r="71" spans="7:42" x14ac:dyDescent="0.25">
      <c r="AO71" t="str">
        <f t="shared" si="2"/>
        <v/>
      </c>
      <c r="AP71" t="str">
        <f t="shared" si="3"/>
        <v/>
      </c>
    </row>
    <row r="72" spans="7:42" x14ac:dyDescent="0.25">
      <c r="AO72" t="str">
        <f t="shared" si="2"/>
        <v/>
      </c>
      <c r="AP72" t="str">
        <f t="shared" si="3"/>
        <v/>
      </c>
    </row>
    <row r="73" spans="7:42" x14ac:dyDescent="0.25">
      <c r="AO73" t="str">
        <f t="shared" si="2"/>
        <v/>
      </c>
      <c r="AP73" t="str">
        <f t="shared" si="3"/>
        <v/>
      </c>
    </row>
    <row r="74" spans="7:42" x14ac:dyDescent="0.25">
      <c r="G74" s="19"/>
      <c r="H74" s="19"/>
      <c r="I74" s="19"/>
      <c r="J74" s="19"/>
      <c r="L74" s="21"/>
      <c r="AO74" t="str">
        <f t="shared" si="2"/>
        <v/>
      </c>
      <c r="AP74" t="str">
        <f t="shared" si="3"/>
        <v/>
      </c>
    </row>
    <row r="75" spans="7:42" x14ac:dyDescent="0.25">
      <c r="AO75" t="str">
        <f t="shared" si="2"/>
        <v/>
      </c>
      <c r="AP75" t="str">
        <f t="shared" si="3"/>
        <v/>
      </c>
    </row>
    <row r="76" spans="7:42" x14ac:dyDescent="0.25">
      <c r="AO76" t="str">
        <f t="shared" si="2"/>
        <v/>
      </c>
      <c r="AP76" t="str">
        <f t="shared" si="3"/>
        <v/>
      </c>
    </row>
    <row r="77" spans="7:42" x14ac:dyDescent="0.25">
      <c r="AO77" t="str">
        <f t="shared" si="2"/>
        <v/>
      </c>
      <c r="AP77" t="str">
        <f t="shared" si="3"/>
        <v/>
      </c>
    </row>
    <row r="78" spans="7:42" x14ac:dyDescent="0.25">
      <c r="AO78" t="str">
        <f t="shared" si="2"/>
        <v/>
      </c>
      <c r="AP78" t="str">
        <f t="shared" si="3"/>
        <v/>
      </c>
    </row>
    <row r="79" spans="7:42" x14ac:dyDescent="0.25">
      <c r="AO79" t="str">
        <f t="shared" si="2"/>
        <v/>
      </c>
      <c r="AP79" t="str">
        <f t="shared" si="3"/>
        <v/>
      </c>
    </row>
    <row r="80" spans="7:42" x14ac:dyDescent="0.25">
      <c r="AO80" t="str">
        <f t="shared" si="2"/>
        <v/>
      </c>
      <c r="AP80" t="str">
        <f t="shared" si="3"/>
        <v/>
      </c>
    </row>
    <row r="81" spans="7:42" x14ac:dyDescent="0.25">
      <c r="AO81" t="str">
        <f t="shared" si="2"/>
        <v/>
      </c>
      <c r="AP81" t="str">
        <f t="shared" si="3"/>
        <v/>
      </c>
    </row>
    <row r="82" spans="7:42" x14ac:dyDescent="0.25">
      <c r="G82" s="19"/>
      <c r="H82" s="19"/>
      <c r="I82" s="19"/>
      <c r="J82" s="19"/>
      <c r="L82" s="21"/>
      <c r="AO82" t="str">
        <f t="shared" si="2"/>
        <v/>
      </c>
      <c r="AP82" t="str">
        <f t="shared" si="3"/>
        <v/>
      </c>
    </row>
    <row r="83" spans="7:42" x14ac:dyDescent="0.25">
      <c r="AO83" t="str">
        <f t="shared" si="2"/>
        <v/>
      </c>
      <c r="AP83" t="str">
        <f t="shared" si="3"/>
        <v/>
      </c>
    </row>
    <row r="84" spans="7:42" x14ac:dyDescent="0.25">
      <c r="AO84" t="str">
        <f t="shared" si="2"/>
        <v/>
      </c>
      <c r="AP84" t="str">
        <f t="shared" si="3"/>
        <v/>
      </c>
    </row>
    <row r="85" spans="7:42" x14ac:dyDescent="0.25">
      <c r="AO85" t="str">
        <f t="shared" si="2"/>
        <v/>
      </c>
      <c r="AP85" t="str">
        <f t="shared" si="3"/>
        <v/>
      </c>
    </row>
    <row r="86" spans="7:42" x14ac:dyDescent="0.25">
      <c r="AO86" t="str">
        <f t="shared" si="2"/>
        <v/>
      </c>
      <c r="AP86" t="str">
        <f t="shared" si="3"/>
        <v/>
      </c>
    </row>
    <row r="87" spans="7:42" x14ac:dyDescent="0.25">
      <c r="AO87" t="str">
        <f t="shared" si="2"/>
        <v/>
      </c>
      <c r="AP87" t="str">
        <f t="shared" si="3"/>
        <v/>
      </c>
    </row>
    <row r="88" spans="7:42" x14ac:dyDescent="0.25">
      <c r="AO88" t="str">
        <f t="shared" si="2"/>
        <v/>
      </c>
      <c r="AP88" t="str">
        <f t="shared" si="3"/>
        <v/>
      </c>
    </row>
    <row r="89" spans="7:42" x14ac:dyDescent="0.25">
      <c r="AO89" t="str">
        <f t="shared" si="2"/>
        <v/>
      </c>
      <c r="AP89" t="str">
        <f t="shared" si="3"/>
        <v/>
      </c>
    </row>
    <row r="90" spans="7:42" x14ac:dyDescent="0.25">
      <c r="G90" s="19"/>
      <c r="H90" s="19"/>
      <c r="I90" s="19"/>
      <c r="J90" s="19"/>
      <c r="L90" s="21"/>
      <c r="AO90" t="str">
        <f t="shared" si="2"/>
        <v/>
      </c>
      <c r="AP90" t="str">
        <f t="shared" si="3"/>
        <v/>
      </c>
    </row>
    <row r="91" spans="7:42" x14ac:dyDescent="0.25">
      <c r="AO91" t="str">
        <f t="shared" si="2"/>
        <v/>
      </c>
      <c r="AP91" t="str">
        <f t="shared" si="3"/>
        <v/>
      </c>
    </row>
    <row r="92" spans="7:42" x14ac:dyDescent="0.25">
      <c r="AO92" t="str">
        <f t="shared" si="2"/>
        <v/>
      </c>
      <c r="AP92" t="str">
        <f t="shared" si="3"/>
        <v/>
      </c>
    </row>
    <row r="93" spans="7:42" x14ac:dyDescent="0.25">
      <c r="AO93" t="str">
        <f t="shared" si="2"/>
        <v/>
      </c>
      <c r="AP93" t="str">
        <f t="shared" si="3"/>
        <v/>
      </c>
    </row>
    <row r="94" spans="7:42" x14ac:dyDescent="0.25">
      <c r="AO94" t="str">
        <f t="shared" si="2"/>
        <v/>
      </c>
      <c r="AP94" t="str">
        <f t="shared" si="3"/>
        <v/>
      </c>
    </row>
    <row r="95" spans="7:42" x14ac:dyDescent="0.25">
      <c r="AO95" t="str">
        <f t="shared" si="2"/>
        <v/>
      </c>
      <c r="AP95" t="str">
        <f t="shared" si="3"/>
        <v/>
      </c>
    </row>
    <row r="96" spans="7:42" x14ac:dyDescent="0.25">
      <c r="AO96" t="str">
        <f t="shared" si="2"/>
        <v/>
      </c>
      <c r="AP96" t="str">
        <f t="shared" si="3"/>
        <v/>
      </c>
    </row>
    <row r="97" spans="1:42" x14ac:dyDescent="0.25">
      <c r="AO97" t="str">
        <f t="shared" si="2"/>
        <v/>
      </c>
      <c r="AP97" t="str">
        <f t="shared" si="3"/>
        <v/>
      </c>
    </row>
    <row r="98" spans="1:42" x14ac:dyDescent="0.25">
      <c r="G98" s="19"/>
      <c r="H98" s="19"/>
      <c r="I98" s="19"/>
      <c r="J98" s="19"/>
      <c r="L98" s="21"/>
      <c r="AO98" t="str">
        <f t="shared" si="2"/>
        <v/>
      </c>
      <c r="AP98" t="str">
        <f t="shared" si="3"/>
        <v/>
      </c>
    </row>
    <row r="99" spans="1:42" x14ac:dyDescent="0.25">
      <c r="AO99" t="str">
        <f t="shared" si="2"/>
        <v/>
      </c>
      <c r="AP99" t="str">
        <f t="shared" si="3"/>
        <v/>
      </c>
    </row>
    <row r="100" spans="1:42" x14ac:dyDescent="0.25">
      <c r="AO100" t="str">
        <f t="shared" si="2"/>
        <v/>
      </c>
      <c r="AP100" t="str">
        <f t="shared" si="3"/>
        <v/>
      </c>
    </row>
    <row r="101" spans="1:42" x14ac:dyDescent="0.25">
      <c r="A101" s="18" t="s">
        <v>138</v>
      </c>
      <c r="B101" s="18" t="s">
        <v>139</v>
      </c>
      <c r="C101" s="18" t="s">
        <v>119</v>
      </c>
      <c r="D101" s="18" t="s">
        <v>120</v>
      </c>
      <c r="E101" s="18">
        <v>1</v>
      </c>
      <c r="F101" s="18" t="s">
        <v>141</v>
      </c>
      <c r="G101" s="18" t="s">
        <v>124</v>
      </c>
      <c r="H101" s="18" t="s">
        <v>5</v>
      </c>
      <c r="I101" s="18" t="b">
        <v>0</v>
      </c>
      <c r="J101" s="18" t="b">
        <v>0</v>
      </c>
      <c r="K101" s="18">
        <v>167.5</v>
      </c>
      <c r="L101" s="20">
        <v>1</v>
      </c>
      <c r="M101" s="18">
        <v>11</v>
      </c>
      <c r="N101" s="18">
        <v>6</v>
      </c>
      <c r="O101" s="18">
        <v>3</v>
      </c>
      <c r="P101" s="18">
        <v>0.5</v>
      </c>
      <c r="Q101" s="18">
        <v>0</v>
      </c>
      <c r="R101" s="18">
        <v>8</v>
      </c>
      <c r="S101" s="18">
        <v>5.5</v>
      </c>
      <c r="T101" s="18">
        <v>2.5</v>
      </c>
      <c r="U101" s="18">
        <v>9.5</v>
      </c>
      <c r="V101" s="18">
        <v>9</v>
      </c>
      <c r="W101" s="18">
        <v>7</v>
      </c>
      <c r="X101" s="18">
        <v>5</v>
      </c>
      <c r="Y101" s="18">
        <v>7</v>
      </c>
      <c r="Z101" s="18">
        <v>9</v>
      </c>
      <c r="AA101" s="18">
        <v>9</v>
      </c>
      <c r="AB101" s="18">
        <v>9</v>
      </c>
      <c r="AC101" s="18">
        <v>7</v>
      </c>
      <c r="AD101" s="18">
        <v>5</v>
      </c>
      <c r="AE101" s="18">
        <v>7</v>
      </c>
      <c r="AF101" s="18">
        <v>9</v>
      </c>
      <c r="AG101" s="18">
        <v>9</v>
      </c>
      <c r="AH101" s="18">
        <v>9</v>
      </c>
      <c r="AI101" s="18">
        <v>7</v>
      </c>
      <c r="AJ101" s="18">
        <v>9</v>
      </c>
      <c r="AK101" s="18">
        <v>9</v>
      </c>
      <c r="AL101" s="18">
        <v>9</v>
      </c>
      <c r="AN101" s="18">
        <v>9</v>
      </c>
      <c r="AO101" t="b">
        <f t="shared" si="2"/>
        <v>0</v>
      </c>
      <c r="AP101" t="b">
        <f t="shared" si="3"/>
        <v>1</v>
      </c>
    </row>
    <row r="102" spans="1:42" x14ac:dyDescent="0.25">
      <c r="A102" s="18" t="s">
        <v>138</v>
      </c>
      <c r="B102" s="18" t="s">
        <v>139</v>
      </c>
      <c r="C102" s="18" t="s">
        <v>119</v>
      </c>
      <c r="D102" s="18" t="s">
        <v>120</v>
      </c>
      <c r="E102" s="18">
        <v>1</v>
      </c>
      <c r="F102" s="18" t="s">
        <v>142</v>
      </c>
      <c r="G102" s="18" t="s">
        <v>125</v>
      </c>
      <c r="H102" s="18" t="s">
        <v>25</v>
      </c>
      <c r="I102" s="18" t="b">
        <v>0</v>
      </c>
      <c r="J102" s="18" t="b">
        <v>0</v>
      </c>
      <c r="K102" s="18">
        <v>167.5</v>
      </c>
      <c r="L102" s="20">
        <v>1</v>
      </c>
      <c r="M102" s="18">
        <v>11</v>
      </c>
      <c r="N102" s="18">
        <v>6</v>
      </c>
      <c r="O102" s="18">
        <v>3</v>
      </c>
      <c r="P102" s="18">
        <v>0.5</v>
      </c>
      <c r="Q102" s="18">
        <v>0</v>
      </c>
      <c r="R102" s="18">
        <v>8</v>
      </c>
      <c r="S102" s="18">
        <v>5.5</v>
      </c>
      <c r="T102" s="18">
        <v>2.5</v>
      </c>
      <c r="U102" s="18">
        <v>9.5</v>
      </c>
      <c r="V102" s="18">
        <v>9</v>
      </c>
      <c r="W102" s="18">
        <v>7</v>
      </c>
      <c r="X102" s="18">
        <v>5</v>
      </c>
      <c r="Y102" s="18">
        <v>7</v>
      </c>
      <c r="Z102" s="18">
        <v>9</v>
      </c>
      <c r="AA102" s="18">
        <v>9</v>
      </c>
      <c r="AB102" s="18">
        <v>9</v>
      </c>
      <c r="AC102" s="18">
        <v>7</v>
      </c>
      <c r="AD102" s="18">
        <v>5</v>
      </c>
      <c r="AE102" s="18">
        <v>7</v>
      </c>
      <c r="AF102" s="18">
        <v>9</v>
      </c>
      <c r="AG102" s="18">
        <v>9</v>
      </c>
      <c r="AH102" s="18">
        <v>9</v>
      </c>
      <c r="AI102" s="18">
        <v>7</v>
      </c>
      <c r="AJ102" s="18">
        <v>9</v>
      </c>
      <c r="AK102" s="18">
        <v>9</v>
      </c>
      <c r="AL102" s="18">
        <v>9</v>
      </c>
      <c r="AN102" s="18">
        <v>9</v>
      </c>
      <c r="AO102" t="b">
        <f t="shared" si="2"/>
        <v>0</v>
      </c>
      <c r="AP102" t="b">
        <f t="shared" si="3"/>
        <v>1</v>
      </c>
    </row>
    <row r="103" spans="1:42" x14ac:dyDescent="0.25">
      <c r="A103" s="18" t="s">
        <v>138</v>
      </c>
      <c r="B103" s="18" t="s">
        <v>139</v>
      </c>
      <c r="C103" s="18" t="s">
        <v>119</v>
      </c>
      <c r="D103" s="18" t="s">
        <v>120</v>
      </c>
      <c r="E103" s="18">
        <v>1</v>
      </c>
      <c r="F103" s="18" t="s">
        <v>136</v>
      </c>
      <c r="G103" s="18" t="s">
        <v>126</v>
      </c>
      <c r="H103" s="18" t="s">
        <v>6</v>
      </c>
      <c r="I103" s="18" t="b">
        <v>0</v>
      </c>
      <c r="J103" s="18" t="b">
        <v>0</v>
      </c>
      <c r="K103" s="18">
        <v>167.5</v>
      </c>
      <c r="L103" s="20">
        <v>1</v>
      </c>
      <c r="M103" s="18">
        <v>11</v>
      </c>
      <c r="N103" s="18">
        <v>6</v>
      </c>
      <c r="O103" s="18">
        <v>3</v>
      </c>
      <c r="P103" s="18">
        <v>0.5</v>
      </c>
      <c r="Q103" s="18">
        <v>0</v>
      </c>
      <c r="R103" s="18">
        <v>8</v>
      </c>
      <c r="S103" s="18">
        <v>5.5</v>
      </c>
      <c r="T103" s="18">
        <v>2.5</v>
      </c>
      <c r="U103" s="18">
        <v>9.5</v>
      </c>
      <c r="V103" s="18">
        <v>9</v>
      </c>
      <c r="W103" s="18">
        <v>7</v>
      </c>
      <c r="X103" s="18">
        <v>5</v>
      </c>
      <c r="Y103" s="18">
        <v>7</v>
      </c>
      <c r="Z103" s="18">
        <v>9</v>
      </c>
      <c r="AA103" s="18">
        <v>9</v>
      </c>
      <c r="AB103" s="18">
        <v>9</v>
      </c>
      <c r="AC103" s="18">
        <v>7</v>
      </c>
      <c r="AD103" s="18">
        <v>5</v>
      </c>
      <c r="AE103" s="18">
        <v>7</v>
      </c>
      <c r="AF103" s="18">
        <v>9</v>
      </c>
      <c r="AG103" s="18">
        <v>9</v>
      </c>
      <c r="AH103" s="18">
        <v>9</v>
      </c>
      <c r="AI103" s="18">
        <v>7</v>
      </c>
      <c r="AJ103" s="18">
        <v>9</v>
      </c>
      <c r="AK103" s="18">
        <v>9</v>
      </c>
      <c r="AL103" s="18">
        <v>9</v>
      </c>
      <c r="AN103" s="18">
        <v>9</v>
      </c>
      <c r="AO103" t="b">
        <f t="shared" si="2"/>
        <v>0</v>
      </c>
      <c r="AP103" t="b">
        <f t="shared" si="3"/>
        <v>1</v>
      </c>
    </row>
    <row r="104" spans="1:42" x14ac:dyDescent="0.25">
      <c r="A104" s="18" t="s">
        <v>138</v>
      </c>
      <c r="B104" s="18" t="s">
        <v>139</v>
      </c>
      <c r="C104" s="18" t="s">
        <v>119</v>
      </c>
      <c r="D104" s="18" t="s">
        <v>120</v>
      </c>
      <c r="E104" s="18">
        <v>1</v>
      </c>
      <c r="F104" s="18" t="s">
        <v>143</v>
      </c>
      <c r="G104" s="18" t="s">
        <v>127</v>
      </c>
      <c r="H104" s="18" t="s">
        <v>7</v>
      </c>
      <c r="I104" s="18" t="b">
        <v>0</v>
      </c>
      <c r="J104" s="18" t="b">
        <v>0</v>
      </c>
      <c r="K104" s="18">
        <v>167.5</v>
      </c>
      <c r="L104" s="20">
        <v>1</v>
      </c>
      <c r="M104" s="18">
        <v>11</v>
      </c>
      <c r="N104" s="18">
        <v>6</v>
      </c>
      <c r="O104" s="18">
        <v>3</v>
      </c>
      <c r="P104" s="18">
        <v>0.5</v>
      </c>
      <c r="Q104" s="18">
        <v>0</v>
      </c>
      <c r="R104" s="18">
        <v>8</v>
      </c>
      <c r="S104" s="18">
        <v>5.5</v>
      </c>
      <c r="T104" s="18">
        <v>2.5</v>
      </c>
      <c r="U104" s="18">
        <v>9.5</v>
      </c>
      <c r="V104" s="18">
        <v>9</v>
      </c>
      <c r="W104" s="18">
        <v>7</v>
      </c>
      <c r="X104" s="18">
        <v>5</v>
      </c>
      <c r="Y104" s="18">
        <v>7</v>
      </c>
      <c r="Z104" s="18">
        <v>9</v>
      </c>
      <c r="AA104" s="18">
        <v>9</v>
      </c>
      <c r="AB104" s="18">
        <v>9</v>
      </c>
      <c r="AC104" s="18">
        <v>7</v>
      </c>
      <c r="AD104" s="18">
        <v>5</v>
      </c>
      <c r="AE104" s="18">
        <v>7</v>
      </c>
      <c r="AF104" s="18">
        <v>9</v>
      </c>
      <c r="AG104" s="18">
        <v>9</v>
      </c>
      <c r="AH104" s="18">
        <v>9</v>
      </c>
      <c r="AI104" s="18">
        <v>7</v>
      </c>
      <c r="AJ104" s="18">
        <v>9</v>
      </c>
      <c r="AK104" s="18">
        <v>9</v>
      </c>
      <c r="AL104" s="18">
        <v>9</v>
      </c>
      <c r="AN104" s="18">
        <v>9</v>
      </c>
      <c r="AO104" t="b">
        <f t="shared" si="2"/>
        <v>0</v>
      </c>
      <c r="AP104" t="b">
        <f t="shared" si="3"/>
        <v>1</v>
      </c>
    </row>
    <row r="105" spans="1:42" x14ac:dyDescent="0.25">
      <c r="A105" s="18" t="s">
        <v>138</v>
      </c>
      <c r="B105" s="18" t="s">
        <v>139</v>
      </c>
      <c r="C105" s="18" t="s">
        <v>119</v>
      </c>
      <c r="D105" s="18" t="s">
        <v>120</v>
      </c>
      <c r="E105" s="18">
        <v>1</v>
      </c>
      <c r="F105" s="18" t="s">
        <v>144</v>
      </c>
      <c r="G105" s="18" t="s">
        <v>137</v>
      </c>
      <c r="H105" s="18" t="s">
        <v>29</v>
      </c>
      <c r="I105" s="18" t="b">
        <v>0</v>
      </c>
      <c r="J105" s="18" t="b">
        <v>1</v>
      </c>
      <c r="K105" s="18">
        <v>167.5</v>
      </c>
      <c r="L105" s="20">
        <v>1</v>
      </c>
      <c r="M105" s="18">
        <v>11</v>
      </c>
      <c r="N105" s="18">
        <v>6</v>
      </c>
      <c r="O105" s="18">
        <v>3</v>
      </c>
      <c r="P105" s="18">
        <v>0.5</v>
      </c>
      <c r="Q105" s="18">
        <v>0</v>
      </c>
      <c r="R105" s="18">
        <v>8</v>
      </c>
      <c r="S105" s="18">
        <v>5.5</v>
      </c>
      <c r="T105" s="18">
        <v>2.5</v>
      </c>
      <c r="U105" s="18">
        <v>9.5</v>
      </c>
      <c r="V105" s="18">
        <v>9</v>
      </c>
      <c r="W105" s="18">
        <v>7</v>
      </c>
      <c r="X105" s="18">
        <v>5</v>
      </c>
      <c r="Y105" s="18">
        <v>7</v>
      </c>
      <c r="Z105" s="18">
        <v>9</v>
      </c>
      <c r="AA105" s="18">
        <v>9</v>
      </c>
      <c r="AB105" s="18">
        <v>9</v>
      </c>
      <c r="AC105" s="18">
        <v>7</v>
      </c>
      <c r="AD105" s="18">
        <v>5</v>
      </c>
      <c r="AE105" s="18">
        <v>7</v>
      </c>
      <c r="AF105" s="18">
        <v>9</v>
      </c>
      <c r="AG105" s="18">
        <v>9</v>
      </c>
      <c r="AH105" s="18">
        <v>9</v>
      </c>
      <c r="AI105" s="18">
        <v>7</v>
      </c>
      <c r="AJ105" s="18">
        <v>9</v>
      </c>
      <c r="AK105" s="18">
        <v>9</v>
      </c>
      <c r="AL105" s="18">
        <v>9</v>
      </c>
      <c r="AN105" s="18">
        <v>9</v>
      </c>
      <c r="AO105" t="b">
        <f t="shared" si="2"/>
        <v>0</v>
      </c>
      <c r="AP105" t="b">
        <f t="shared" si="3"/>
        <v>1</v>
      </c>
    </row>
    <row r="106" spans="1:42" x14ac:dyDescent="0.25">
      <c r="A106" s="18" t="s">
        <v>145</v>
      </c>
      <c r="B106" s="18" t="s">
        <v>139</v>
      </c>
      <c r="C106" s="18" t="s">
        <v>128</v>
      </c>
      <c r="D106" s="18" t="s">
        <v>129</v>
      </c>
      <c r="E106" s="18">
        <v>2</v>
      </c>
      <c r="F106" s="18" t="s">
        <v>3</v>
      </c>
      <c r="G106" s="19" t="s">
        <v>121</v>
      </c>
      <c r="H106" s="19" t="s">
        <v>121</v>
      </c>
      <c r="I106" s="19" t="s">
        <v>121</v>
      </c>
      <c r="J106" s="19" t="s">
        <v>121</v>
      </c>
      <c r="K106" s="18">
        <v>508.5</v>
      </c>
      <c r="L106" s="21" t="s">
        <v>121</v>
      </c>
      <c r="M106" s="18">
        <v>33</v>
      </c>
      <c r="N106" s="18">
        <v>18</v>
      </c>
      <c r="O106" s="18">
        <v>9</v>
      </c>
      <c r="P106" s="18">
        <v>1.5</v>
      </c>
      <c r="Q106" s="18">
        <v>0</v>
      </c>
      <c r="R106" s="18">
        <v>24</v>
      </c>
      <c r="S106" s="18">
        <v>16.5</v>
      </c>
      <c r="T106" s="18">
        <v>7.5</v>
      </c>
      <c r="U106" s="18">
        <v>28.5</v>
      </c>
      <c r="V106" s="18">
        <v>27</v>
      </c>
      <c r="W106" s="18">
        <v>21</v>
      </c>
      <c r="X106" s="18">
        <v>15</v>
      </c>
      <c r="Y106" s="18">
        <v>21</v>
      </c>
      <c r="Z106" s="18">
        <v>27</v>
      </c>
      <c r="AA106" s="18">
        <v>27</v>
      </c>
      <c r="AB106" s="18">
        <v>27</v>
      </c>
      <c r="AC106" s="18">
        <v>21</v>
      </c>
      <c r="AD106" s="18">
        <v>15</v>
      </c>
      <c r="AE106" s="18">
        <v>21</v>
      </c>
      <c r="AF106" s="18">
        <v>27</v>
      </c>
      <c r="AG106" s="18">
        <v>27</v>
      </c>
      <c r="AH106" s="18">
        <v>27</v>
      </c>
      <c r="AI106" s="18">
        <v>21</v>
      </c>
      <c r="AJ106" s="18">
        <v>27</v>
      </c>
      <c r="AK106" s="18">
        <v>27</v>
      </c>
      <c r="AL106" s="18">
        <v>27</v>
      </c>
      <c r="AN106" s="18">
        <v>27</v>
      </c>
      <c r="AO106" t="str">
        <f t="shared" si="2"/>
        <v/>
      </c>
      <c r="AP106" t="str">
        <f t="shared" si="3"/>
        <v/>
      </c>
    </row>
    <row r="107" spans="1:42" x14ac:dyDescent="0.25">
      <c r="A107" s="18" t="s">
        <v>145</v>
      </c>
      <c r="B107" s="18" t="s">
        <v>139</v>
      </c>
      <c r="C107" s="18" t="s">
        <v>128</v>
      </c>
      <c r="D107" s="18" t="s">
        <v>129</v>
      </c>
      <c r="E107" s="18">
        <v>2</v>
      </c>
      <c r="F107" s="18" t="s">
        <v>140</v>
      </c>
      <c r="G107" s="18" t="s">
        <v>133</v>
      </c>
      <c r="H107" s="18" t="s">
        <v>31</v>
      </c>
      <c r="I107" s="18" t="b">
        <v>1</v>
      </c>
      <c r="J107" s="18" t="b">
        <v>0</v>
      </c>
      <c r="K107" s="18">
        <v>167.5</v>
      </c>
      <c r="M107" s="18">
        <v>11</v>
      </c>
      <c r="N107" s="18">
        <v>6</v>
      </c>
      <c r="O107" s="18">
        <v>3</v>
      </c>
      <c r="P107" s="18">
        <v>0.5</v>
      </c>
      <c r="Q107" s="18">
        <v>0</v>
      </c>
      <c r="R107" s="18">
        <v>8</v>
      </c>
      <c r="S107" s="18">
        <v>5.5</v>
      </c>
      <c r="T107" s="18">
        <v>2.5</v>
      </c>
      <c r="U107" s="18">
        <v>9.5</v>
      </c>
      <c r="V107" s="18">
        <v>9</v>
      </c>
      <c r="W107" s="18">
        <v>7</v>
      </c>
      <c r="X107" s="18">
        <v>5</v>
      </c>
      <c r="Y107" s="18">
        <v>7</v>
      </c>
      <c r="Z107" s="18">
        <v>9</v>
      </c>
      <c r="AA107" s="18">
        <v>9</v>
      </c>
      <c r="AB107" s="18">
        <v>9</v>
      </c>
      <c r="AC107" s="18">
        <v>7</v>
      </c>
      <c r="AD107" s="18">
        <v>5</v>
      </c>
      <c r="AE107" s="18">
        <v>7</v>
      </c>
      <c r="AF107" s="18">
        <v>9</v>
      </c>
      <c r="AG107" s="18">
        <v>9</v>
      </c>
      <c r="AH107" s="18">
        <v>9</v>
      </c>
      <c r="AI107" s="18">
        <v>7</v>
      </c>
      <c r="AJ107" s="18">
        <v>9</v>
      </c>
      <c r="AK107" s="18">
        <v>9</v>
      </c>
      <c r="AL107" s="18">
        <v>9</v>
      </c>
      <c r="AN107" s="18">
        <v>7</v>
      </c>
      <c r="AO107" t="str">
        <f t="shared" si="2"/>
        <v/>
      </c>
      <c r="AP107" t="str">
        <f t="shared" si="3"/>
        <v/>
      </c>
    </row>
    <row r="108" spans="1:42" x14ac:dyDescent="0.25">
      <c r="A108" s="18" t="s">
        <v>145</v>
      </c>
      <c r="B108" s="18" t="s">
        <v>139</v>
      </c>
      <c r="C108" s="18" t="s">
        <v>128</v>
      </c>
      <c r="D108" s="18" t="s">
        <v>129</v>
      </c>
      <c r="E108" s="18">
        <v>2</v>
      </c>
      <c r="F108" s="18" t="s">
        <v>134</v>
      </c>
      <c r="G108" s="18" t="s">
        <v>135</v>
      </c>
      <c r="H108" s="18" t="s">
        <v>4</v>
      </c>
      <c r="I108" s="18" t="b">
        <v>0</v>
      </c>
      <c r="J108" s="18" t="b">
        <v>0</v>
      </c>
      <c r="K108" s="18">
        <v>167.5</v>
      </c>
      <c r="L108" s="20">
        <v>1</v>
      </c>
      <c r="M108" s="18">
        <v>11</v>
      </c>
      <c r="N108" s="18">
        <v>6</v>
      </c>
      <c r="O108" s="18">
        <v>3</v>
      </c>
      <c r="P108" s="18">
        <v>0.5</v>
      </c>
      <c r="Q108" s="18">
        <v>0</v>
      </c>
      <c r="R108" s="18">
        <v>8</v>
      </c>
      <c r="S108" s="18">
        <v>5.5</v>
      </c>
      <c r="T108" s="18">
        <v>2.5</v>
      </c>
      <c r="U108" s="18">
        <v>9.5</v>
      </c>
      <c r="V108" s="18">
        <v>9</v>
      </c>
      <c r="W108" s="18">
        <v>7</v>
      </c>
      <c r="X108" s="18">
        <v>5</v>
      </c>
      <c r="Y108" s="18">
        <v>7</v>
      </c>
      <c r="Z108" s="18">
        <v>9</v>
      </c>
      <c r="AA108" s="18">
        <v>9</v>
      </c>
      <c r="AB108" s="18">
        <v>9</v>
      </c>
      <c r="AC108" s="18">
        <v>7</v>
      </c>
      <c r="AD108" s="18">
        <v>5</v>
      </c>
      <c r="AE108" s="18">
        <v>7</v>
      </c>
      <c r="AF108" s="18">
        <v>9</v>
      </c>
      <c r="AG108" s="18">
        <v>9</v>
      </c>
      <c r="AH108" s="18">
        <v>9</v>
      </c>
      <c r="AI108" s="18">
        <v>7</v>
      </c>
      <c r="AJ108" s="18">
        <v>9</v>
      </c>
      <c r="AK108" s="18">
        <v>9</v>
      </c>
      <c r="AL108" s="18">
        <v>9</v>
      </c>
      <c r="AN108" s="18">
        <v>9</v>
      </c>
      <c r="AO108" t="b">
        <f t="shared" si="2"/>
        <v>0</v>
      </c>
      <c r="AP108" t="b">
        <f t="shared" si="3"/>
        <v>1</v>
      </c>
    </row>
    <row r="109" spans="1:42" x14ac:dyDescent="0.25">
      <c r="A109" s="18" t="s">
        <v>145</v>
      </c>
      <c r="B109" s="18" t="s">
        <v>139</v>
      </c>
      <c r="C109" s="18" t="s">
        <v>128</v>
      </c>
      <c r="D109" s="18" t="s">
        <v>129</v>
      </c>
      <c r="E109" s="18">
        <v>2</v>
      </c>
      <c r="F109" s="18" t="s">
        <v>141</v>
      </c>
      <c r="G109" s="18" t="s">
        <v>124</v>
      </c>
      <c r="H109" s="18" t="s">
        <v>5</v>
      </c>
      <c r="I109" s="18" t="b">
        <v>0</v>
      </c>
      <c r="J109" s="18" t="b">
        <v>0</v>
      </c>
      <c r="K109" s="18">
        <v>167.5</v>
      </c>
      <c r="L109" s="20">
        <v>1</v>
      </c>
      <c r="M109" s="18">
        <v>11</v>
      </c>
      <c r="N109" s="18">
        <v>6</v>
      </c>
      <c r="O109" s="18">
        <v>3</v>
      </c>
      <c r="P109" s="18">
        <v>0.5</v>
      </c>
      <c r="Q109" s="18">
        <v>0</v>
      </c>
      <c r="R109" s="18">
        <v>8</v>
      </c>
      <c r="S109" s="18">
        <v>5.5</v>
      </c>
      <c r="T109" s="18">
        <v>2.5</v>
      </c>
      <c r="U109" s="18">
        <v>9.5</v>
      </c>
      <c r="V109" s="18">
        <v>9</v>
      </c>
      <c r="W109" s="18">
        <v>7</v>
      </c>
      <c r="X109" s="18">
        <v>5</v>
      </c>
      <c r="Y109" s="18">
        <v>7</v>
      </c>
      <c r="Z109" s="18">
        <v>9</v>
      </c>
      <c r="AA109" s="18">
        <v>9</v>
      </c>
      <c r="AB109" s="18">
        <v>9</v>
      </c>
      <c r="AC109" s="18">
        <v>7</v>
      </c>
      <c r="AD109" s="18">
        <v>5</v>
      </c>
      <c r="AE109" s="18">
        <v>7</v>
      </c>
      <c r="AF109" s="18">
        <v>9</v>
      </c>
      <c r="AG109" s="18">
        <v>9</v>
      </c>
      <c r="AH109" s="18">
        <v>9</v>
      </c>
      <c r="AI109" s="18">
        <v>7</v>
      </c>
      <c r="AJ109" s="18">
        <v>9</v>
      </c>
      <c r="AK109" s="18">
        <v>9</v>
      </c>
      <c r="AL109" s="18">
        <v>9</v>
      </c>
      <c r="AN109" s="18">
        <v>9</v>
      </c>
      <c r="AO109" t="b">
        <f t="shared" si="2"/>
        <v>0</v>
      </c>
      <c r="AP109" t="b">
        <f t="shared" si="3"/>
        <v>1</v>
      </c>
    </row>
    <row r="110" spans="1:42" x14ac:dyDescent="0.25">
      <c r="A110" s="18" t="s">
        <v>145</v>
      </c>
      <c r="B110" s="18" t="s">
        <v>139</v>
      </c>
      <c r="C110" s="18" t="s">
        <v>128</v>
      </c>
      <c r="D110" s="18" t="s">
        <v>129</v>
      </c>
      <c r="E110" s="18">
        <v>2</v>
      </c>
      <c r="F110" s="18" t="s">
        <v>142</v>
      </c>
      <c r="G110" s="18" t="s">
        <v>125</v>
      </c>
      <c r="H110" s="18" t="s">
        <v>25</v>
      </c>
      <c r="I110" s="18" t="b">
        <v>0</v>
      </c>
      <c r="J110" s="18" t="b">
        <v>0</v>
      </c>
      <c r="K110" s="18">
        <v>167.5</v>
      </c>
      <c r="L110" s="20">
        <v>1</v>
      </c>
      <c r="M110" s="18">
        <v>11</v>
      </c>
      <c r="N110" s="18">
        <v>6</v>
      </c>
      <c r="O110" s="18">
        <v>3</v>
      </c>
      <c r="P110" s="18">
        <v>0.5</v>
      </c>
      <c r="Q110" s="18">
        <v>0</v>
      </c>
      <c r="R110" s="18">
        <v>8</v>
      </c>
      <c r="S110" s="18">
        <v>5.5</v>
      </c>
      <c r="T110" s="18">
        <v>2.5</v>
      </c>
      <c r="U110" s="18">
        <v>9.5</v>
      </c>
      <c r="V110" s="18">
        <v>9</v>
      </c>
      <c r="W110" s="18">
        <v>7</v>
      </c>
      <c r="X110" s="18">
        <v>5</v>
      </c>
      <c r="Y110" s="18">
        <v>7</v>
      </c>
      <c r="Z110" s="18">
        <v>9</v>
      </c>
      <c r="AA110" s="18">
        <v>9</v>
      </c>
      <c r="AB110" s="18">
        <v>9</v>
      </c>
      <c r="AC110" s="18">
        <v>7</v>
      </c>
      <c r="AD110" s="18">
        <v>5</v>
      </c>
      <c r="AE110" s="18">
        <v>7</v>
      </c>
      <c r="AF110" s="18">
        <v>9</v>
      </c>
      <c r="AG110" s="18">
        <v>9</v>
      </c>
      <c r="AH110" s="18">
        <v>9</v>
      </c>
      <c r="AI110" s="18">
        <v>7</v>
      </c>
      <c r="AJ110" s="18">
        <v>9</v>
      </c>
      <c r="AK110" s="18">
        <v>9</v>
      </c>
      <c r="AL110" s="18">
        <v>9</v>
      </c>
      <c r="AN110" s="18">
        <v>9</v>
      </c>
      <c r="AO110" t="b">
        <f t="shared" si="2"/>
        <v>0</v>
      </c>
      <c r="AP110" t="b">
        <f t="shared" si="3"/>
        <v>1</v>
      </c>
    </row>
    <row r="111" spans="1:42" x14ac:dyDescent="0.25">
      <c r="A111" s="18" t="s">
        <v>145</v>
      </c>
      <c r="B111" s="18" t="s">
        <v>139</v>
      </c>
      <c r="C111" s="18" t="s">
        <v>128</v>
      </c>
      <c r="D111" s="18" t="s">
        <v>129</v>
      </c>
      <c r="E111" s="18">
        <v>2</v>
      </c>
      <c r="F111" s="18" t="s">
        <v>136</v>
      </c>
      <c r="G111" s="18" t="s">
        <v>126</v>
      </c>
      <c r="H111" s="18" t="s">
        <v>6</v>
      </c>
      <c r="I111" s="18" t="b">
        <v>0</v>
      </c>
      <c r="J111" s="18" t="b">
        <v>0</v>
      </c>
      <c r="K111" s="18">
        <v>167.5</v>
      </c>
      <c r="L111" s="20">
        <v>1</v>
      </c>
      <c r="M111" s="18">
        <v>11</v>
      </c>
      <c r="N111" s="18">
        <v>6</v>
      </c>
      <c r="O111" s="18">
        <v>3</v>
      </c>
      <c r="P111" s="18">
        <v>0.5</v>
      </c>
      <c r="Q111" s="18">
        <v>0</v>
      </c>
      <c r="R111" s="18">
        <v>8</v>
      </c>
      <c r="S111" s="18">
        <v>5.5</v>
      </c>
      <c r="T111" s="18">
        <v>2.5</v>
      </c>
      <c r="U111" s="18">
        <v>9.5</v>
      </c>
      <c r="V111" s="18">
        <v>9</v>
      </c>
      <c r="W111" s="18">
        <v>7</v>
      </c>
      <c r="X111" s="18">
        <v>5</v>
      </c>
      <c r="Y111" s="18">
        <v>7</v>
      </c>
      <c r="Z111" s="18">
        <v>9</v>
      </c>
      <c r="AA111" s="18">
        <v>9</v>
      </c>
      <c r="AB111" s="18">
        <v>9</v>
      </c>
      <c r="AC111" s="18">
        <v>7</v>
      </c>
      <c r="AD111" s="18">
        <v>5</v>
      </c>
      <c r="AE111" s="18">
        <v>7</v>
      </c>
      <c r="AF111" s="18">
        <v>9</v>
      </c>
      <c r="AG111" s="18">
        <v>9</v>
      </c>
      <c r="AH111" s="18">
        <v>9</v>
      </c>
      <c r="AI111" s="18">
        <v>7</v>
      </c>
      <c r="AJ111" s="18">
        <v>9</v>
      </c>
      <c r="AK111" s="18">
        <v>9</v>
      </c>
      <c r="AL111" s="18">
        <v>9</v>
      </c>
      <c r="AN111" s="18">
        <v>9</v>
      </c>
      <c r="AO111" t="b">
        <f t="shared" si="2"/>
        <v>0</v>
      </c>
      <c r="AP111" t="b">
        <f t="shared" si="3"/>
        <v>1</v>
      </c>
    </row>
    <row r="112" spans="1:42" x14ac:dyDescent="0.25">
      <c r="A112" s="18" t="s">
        <v>145</v>
      </c>
      <c r="B112" s="18" t="s">
        <v>139</v>
      </c>
      <c r="C112" s="18" t="s">
        <v>128</v>
      </c>
      <c r="D112" s="18" t="s">
        <v>129</v>
      </c>
      <c r="E112" s="18">
        <v>2</v>
      </c>
      <c r="F112" s="18" t="s">
        <v>143</v>
      </c>
      <c r="G112" s="18" t="s">
        <v>127</v>
      </c>
      <c r="H112" s="18" t="s">
        <v>7</v>
      </c>
      <c r="I112" s="18" t="b">
        <v>0</v>
      </c>
      <c r="J112" s="18" t="b">
        <v>0</v>
      </c>
      <c r="K112" s="18">
        <v>167.5</v>
      </c>
      <c r="L112" s="20">
        <v>1</v>
      </c>
      <c r="M112" s="18">
        <v>11</v>
      </c>
      <c r="N112" s="18">
        <v>6</v>
      </c>
      <c r="O112" s="18">
        <v>3</v>
      </c>
      <c r="P112" s="18">
        <v>0.5</v>
      </c>
      <c r="Q112" s="18">
        <v>0</v>
      </c>
      <c r="R112" s="18">
        <v>8</v>
      </c>
      <c r="S112" s="18">
        <v>5.5</v>
      </c>
      <c r="T112" s="18">
        <v>2.5</v>
      </c>
      <c r="U112" s="18">
        <v>9.5</v>
      </c>
      <c r="V112" s="18">
        <v>9</v>
      </c>
      <c r="W112" s="18">
        <v>7</v>
      </c>
      <c r="X112" s="18">
        <v>5</v>
      </c>
      <c r="Y112" s="18">
        <v>7</v>
      </c>
      <c r="Z112" s="18">
        <v>9</v>
      </c>
      <c r="AA112" s="18">
        <v>9</v>
      </c>
      <c r="AB112" s="18">
        <v>9</v>
      </c>
      <c r="AC112" s="18">
        <v>7</v>
      </c>
      <c r="AD112" s="18">
        <v>5</v>
      </c>
      <c r="AE112" s="18">
        <v>7</v>
      </c>
      <c r="AF112" s="18">
        <v>9</v>
      </c>
      <c r="AG112" s="18">
        <v>9</v>
      </c>
      <c r="AH112" s="18">
        <v>9</v>
      </c>
      <c r="AI112" s="18">
        <v>7</v>
      </c>
      <c r="AJ112" s="18">
        <v>9</v>
      </c>
      <c r="AK112" s="18">
        <v>9</v>
      </c>
      <c r="AL112" s="18">
        <v>9</v>
      </c>
      <c r="AN112" s="18">
        <v>9</v>
      </c>
      <c r="AO112" t="b">
        <f t="shared" si="2"/>
        <v>0</v>
      </c>
      <c r="AP112" t="b">
        <f t="shared" si="3"/>
        <v>1</v>
      </c>
    </row>
    <row r="113" spans="1:42" x14ac:dyDescent="0.25">
      <c r="A113" s="18" t="s">
        <v>145</v>
      </c>
      <c r="B113" s="18" t="s">
        <v>139</v>
      </c>
      <c r="C113" s="18" t="s">
        <v>128</v>
      </c>
      <c r="D113" s="18" t="s">
        <v>129</v>
      </c>
      <c r="E113" s="18">
        <v>2</v>
      </c>
      <c r="F113" s="18" t="s">
        <v>144</v>
      </c>
      <c r="G113" s="18" t="s">
        <v>137</v>
      </c>
      <c r="H113" s="18" t="s">
        <v>29</v>
      </c>
      <c r="I113" s="18" t="b">
        <v>0</v>
      </c>
      <c r="J113" s="18" t="b">
        <v>1</v>
      </c>
      <c r="K113" s="18">
        <v>167.5</v>
      </c>
      <c r="L113" s="20">
        <v>1</v>
      </c>
      <c r="M113" s="18">
        <v>11</v>
      </c>
      <c r="N113" s="18">
        <v>6</v>
      </c>
      <c r="O113" s="18">
        <v>3</v>
      </c>
      <c r="P113" s="18">
        <v>0.5</v>
      </c>
      <c r="Q113" s="18">
        <v>0</v>
      </c>
      <c r="R113" s="18">
        <v>8</v>
      </c>
      <c r="S113" s="18">
        <v>5.5</v>
      </c>
      <c r="T113" s="18">
        <v>2.5</v>
      </c>
      <c r="U113" s="18">
        <v>9.5</v>
      </c>
      <c r="V113" s="18">
        <v>9</v>
      </c>
      <c r="W113" s="18">
        <v>7</v>
      </c>
      <c r="X113" s="18">
        <v>5</v>
      </c>
      <c r="Y113" s="18">
        <v>7</v>
      </c>
      <c r="Z113" s="18">
        <v>9</v>
      </c>
      <c r="AA113" s="18">
        <v>9</v>
      </c>
      <c r="AB113" s="18">
        <v>9</v>
      </c>
      <c r="AC113" s="18">
        <v>7</v>
      </c>
      <c r="AD113" s="18">
        <v>5</v>
      </c>
      <c r="AE113" s="18">
        <v>7</v>
      </c>
      <c r="AF113" s="18">
        <v>9</v>
      </c>
      <c r="AG113" s="18">
        <v>9</v>
      </c>
      <c r="AH113" s="18">
        <v>9</v>
      </c>
      <c r="AI113" s="18">
        <v>7</v>
      </c>
      <c r="AJ113" s="18">
        <v>9</v>
      </c>
      <c r="AK113" s="18">
        <v>9</v>
      </c>
      <c r="AL113" s="18">
        <v>9</v>
      </c>
      <c r="AN113" s="18">
        <v>9</v>
      </c>
      <c r="AO113" t="b">
        <f t="shared" si="2"/>
        <v>0</v>
      </c>
      <c r="AP113" t="b">
        <f t="shared" si="3"/>
        <v>1</v>
      </c>
    </row>
    <row r="114" spans="1:42" x14ac:dyDescent="0.25">
      <c r="A114" s="18" t="s">
        <v>146</v>
      </c>
      <c r="B114" s="18" t="s">
        <v>139</v>
      </c>
      <c r="C114" s="18" t="s">
        <v>130</v>
      </c>
      <c r="D114" s="18" t="s">
        <v>126</v>
      </c>
      <c r="E114" s="18">
        <v>3</v>
      </c>
      <c r="F114" s="18" t="s">
        <v>3</v>
      </c>
      <c r="G114" s="19" t="s">
        <v>121</v>
      </c>
      <c r="H114" s="19" t="s">
        <v>121</v>
      </c>
      <c r="I114" s="19" t="s">
        <v>121</v>
      </c>
      <c r="J114" s="19" t="s">
        <v>121</v>
      </c>
      <c r="K114" s="18">
        <v>508.5</v>
      </c>
      <c r="L114" s="21" t="s">
        <v>121</v>
      </c>
      <c r="M114" s="18">
        <v>33</v>
      </c>
      <c r="N114" s="18">
        <v>18</v>
      </c>
      <c r="O114" s="18">
        <v>9</v>
      </c>
      <c r="P114" s="18">
        <v>1.5</v>
      </c>
      <c r="Q114" s="18">
        <v>0</v>
      </c>
      <c r="R114" s="18">
        <v>24</v>
      </c>
      <c r="S114" s="18">
        <v>16.5</v>
      </c>
      <c r="T114" s="18">
        <v>7.5</v>
      </c>
      <c r="U114" s="18">
        <v>28.5</v>
      </c>
      <c r="V114" s="18">
        <v>27</v>
      </c>
      <c r="W114" s="18">
        <v>21</v>
      </c>
      <c r="X114" s="18">
        <v>15</v>
      </c>
      <c r="Y114" s="18">
        <v>21</v>
      </c>
      <c r="Z114" s="18">
        <v>27</v>
      </c>
      <c r="AA114" s="18">
        <v>27</v>
      </c>
      <c r="AB114" s="18">
        <v>27</v>
      </c>
      <c r="AC114" s="18">
        <v>21</v>
      </c>
      <c r="AD114" s="18">
        <v>15</v>
      </c>
      <c r="AE114" s="18">
        <v>21</v>
      </c>
      <c r="AF114" s="18">
        <v>27</v>
      </c>
      <c r="AG114" s="18">
        <v>27</v>
      </c>
      <c r="AH114" s="18">
        <v>27</v>
      </c>
      <c r="AI114" s="18">
        <v>21</v>
      </c>
      <c r="AJ114" s="18">
        <v>27</v>
      </c>
      <c r="AK114" s="18">
        <v>27</v>
      </c>
      <c r="AL114" s="18">
        <v>27</v>
      </c>
      <c r="AN114" s="18">
        <v>27</v>
      </c>
      <c r="AO114" t="str">
        <f t="shared" si="2"/>
        <v/>
      </c>
      <c r="AP114" t="str">
        <f t="shared" si="3"/>
        <v/>
      </c>
    </row>
    <row r="115" spans="1:42" x14ac:dyDescent="0.25">
      <c r="A115" s="18" t="s">
        <v>146</v>
      </c>
      <c r="B115" s="18" t="s">
        <v>139</v>
      </c>
      <c r="C115" s="18" t="s">
        <v>130</v>
      </c>
      <c r="D115" s="18" t="s">
        <v>126</v>
      </c>
      <c r="E115" s="18">
        <v>3</v>
      </c>
      <c r="F115" s="18" t="s">
        <v>140</v>
      </c>
      <c r="G115" s="18" t="s">
        <v>133</v>
      </c>
      <c r="H115" s="18" t="s">
        <v>31</v>
      </c>
      <c r="I115" s="18" t="b">
        <v>1</v>
      </c>
      <c r="J115" s="18" t="b">
        <v>0</v>
      </c>
      <c r="K115" s="18">
        <v>167.5</v>
      </c>
      <c r="M115" s="18">
        <v>11</v>
      </c>
      <c r="N115" s="18">
        <v>6</v>
      </c>
      <c r="O115" s="18">
        <v>3</v>
      </c>
      <c r="P115" s="18">
        <v>0.5</v>
      </c>
      <c r="Q115" s="18">
        <v>0</v>
      </c>
      <c r="R115" s="18">
        <v>8</v>
      </c>
      <c r="S115" s="18">
        <v>5.5</v>
      </c>
      <c r="T115" s="18">
        <v>2.5</v>
      </c>
      <c r="U115" s="18">
        <v>9.5</v>
      </c>
      <c r="V115" s="18">
        <v>9</v>
      </c>
      <c r="W115" s="18">
        <v>7</v>
      </c>
      <c r="X115" s="18">
        <v>5</v>
      </c>
      <c r="Y115" s="18">
        <v>7</v>
      </c>
      <c r="Z115" s="18">
        <v>9</v>
      </c>
      <c r="AA115" s="18">
        <v>9</v>
      </c>
      <c r="AB115" s="18">
        <v>9</v>
      </c>
      <c r="AC115" s="18">
        <v>7</v>
      </c>
      <c r="AD115" s="18">
        <v>5</v>
      </c>
      <c r="AE115" s="18">
        <v>7</v>
      </c>
      <c r="AF115" s="18">
        <v>9</v>
      </c>
      <c r="AG115" s="18">
        <v>9</v>
      </c>
      <c r="AH115" s="18">
        <v>9</v>
      </c>
      <c r="AI115" s="18">
        <v>7</v>
      </c>
      <c r="AJ115" s="18">
        <v>9</v>
      </c>
      <c r="AK115" s="18">
        <v>9</v>
      </c>
      <c r="AL115" s="18">
        <v>9</v>
      </c>
      <c r="AN115" s="18">
        <v>7</v>
      </c>
      <c r="AO115" t="str">
        <f t="shared" si="2"/>
        <v/>
      </c>
      <c r="AP115" t="str">
        <f t="shared" si="3"/>
        <v/>
      </c>
    </row>
    <row r="116" spans="1:42" x14ac:dyDescent="0.25">
      <c r="A116" s="18" t="s">
        <v>146</v>
      </c>
      <c r="B116" s="18" t="s">
        <v>139</v>
      </c>
      <c r="C116" s="18" t="s">
        <v>130</v>
      </c>
      <c r="D116" s="18" t="s">
        <v>126</v>
      </c>
      <c r="E116" s="18">
        <v>3</v>
      </c>
      <c r="F116" s="18" t="s">
        <v>134</v>
      </c>
      <c r="G116" s="18" t="s">
        <v>135</v>
      </c>
      <c r="H116" s="18" t="s">
        <v>4</v>
      </c>
      <c r="I116" s="18" t="b">
        <v>0</v>
      </c>
      <c r="J116" s="18" t="b">
        <v>0</v>
      </c>
      <c r="K116" s="18">
        <v>167.5</v>
      </c>
      <c r="L116" s="20">
        <v>1</v>
      </c>
      <c r="M116" s="18">
        <v>11</v>
      </c>
      <c r="N116" s="18">
        <v>6</v>
      </c>
      <c r="O116" s="18">
        <v>3</v>
      </c>
      <c r="P116" s="18">
        <v>0.5</v>
      </c>
      <c r="Q116" s="18">
        <v>0</v>
      </c>
      <c r="R116" s="18">
        <v>8</v>
      </c>
      <c r="S116" s="18">
        <v>5.5</v>
      </c>
      <c r="T116" s="18">
        <v>2.5</v>
      </c>
      <c r="U116" s="18">
        <v>9.5</v>
      </c>
      <c r="V116" s="18">
        <v>9</v>
      </c>
      <c r="W116" s="18">
        <v>7</v>
      </c>
      <c r="X116" s="18">
        <v>5</v>
      </c>
      <c r="Y116" s="18">
        <v>7</v>
      </c>
      <c r="Z116" s="18">
        <v>9</v>
      </c>
      <c r="AA116" s="18">
        <v>9</v>
      </c>
      <c r="AB116" s="18">
        <v>9</v>
      </c>
      <c r="AC116" s="18">
        <v>7</v>
      </c>
      <c r="AD116" s="18">
        <v>5</v>
      </c>
      <c r="AE116" s="18">
        <v>7</v>
      </c>
      <c r="AF116" s="18">
        <v>9</v>
      </c>
      <c r="AG116" s="18">
        <v>9</v>
      </c>
      <c r="AH116" s="18">
        <v>9</v>
      </c>
      <c r="AI116" s="18">
        <v>7</v>
      </c>
      <c r="AJ116" s="18">
        <v>9</v>
      </c>
      <c r="AK116" s="18">
        <v>9</v>
      </c>
      <c r="AL116" s="18">
        <v>9</v>
      </c>
      <c r="AN116" s="18">
        <v>9</v>
      </c>
      <c r="AO116" t="b">
        <f t="shared" si="2"/>
        <v>0</v>
      </c>
      <c r="AP116" t="b">
        <f t="shared" si="3"/>
        <v>1</v>
      </c>
    </row>
    <row r="117" spans="1:42" x14ac:dyDescent="0.25">
      <c r="A117" s="18" t="s">
        <v>146</v>
      </c>
      <c r="B117" s="18" t="s">
        <v>139</v>
      </c>
      <c r="C117" s="18" t="s">
        <v>130</v>
      </c>
      <c r="D117" s="18" t="s">
        <v>126</v>
      </c>
      <c r="E117" s="18">
        <v>3</v>
      </c>
      <c r="F117" s="18" t="s">
        <v>141</v>
      </c>
      <c r="G117" s="18" t="s">
        <v>124</v>
      </c>
      <c r="H117" s="18" t="s">
        <v>5</v>
      </c>
      <c r="I117" s="18" t="b">
        <v>0</v>
      </c>
      <c r="J117" s="18" t="b">
        <v>0</v>
      </c>
      <c r="K117" s="18">
        <v>167.5</v>
      </c>
      <c r="L117" s="20">
        <v>1</v>
      </c>
      <c r="M117" s="18">
        <v>11</v>
      </c>
      <c r="N117" s="18">
        <v>6</v>
      </c>
      <c r="O117" s="18">
        <v>3</v>
      </c>
      <c r="P117" s="18">
        <v>0.5</v>
      </c>
      <c r="Q117" s="18">
        <v>0</v>
      </c>
      <c r="R117" s="18">
        <v>8</v>
      </c>
      <c r="S117" s="18">
        <v>5.5</v>
      </c>
      <c r="T117" s="18">
        <v>2.5</v>
      </c>
      <c r="U117" s="18">
        <v>9.5</v>
      </c>
      <c r="V117" s="18">
        <v>9</v>
      </c>
      <c r="W117" s="18">
        <v>7</v>
      </c>
      <c r="X117" s="18">
        <v>5</v>
      </c>
      <c r="Y117" s="18">
        <v>7</v>
      </c>
      <c r="Z117" s="18">
        <v>9</v>
      </c>
      <c r="AA117" s="18">
        <v>9</v>
      </c>
      <c r="AB117" s="18">
        <v>9</v>
      </c>
      <c r="AC117" s="18">
        <v>7</v>
      </c>
      <c r="AD117" s="18">
        <v>5</v>
      </c>
      <c r="AE117" s="18">
        <v>7</v>
      </c>
      <c r="AF117" s="18">
        <v>9</v>
      </c>
      <c r="AG117" s="18">
        <v>9</v>
      </c>
      <c r="AH117" s="18">
        <v>9</v>
      </c>
      <c r="AI117" s="18">
        <v>7</v>
      </c>
      <c r="AJ117" s="18">
        <v>9</v>
      </c>
      <c r="AK117" s="18">
        <v>9</v>
      </c>
      <c r="AL117" s="18">
        <v>9</v>
      </c>
      <c r="AN117" s="18">
        <v>9</v>
      </c>
      <c r="AO117" t="b">
        <f t="shared" si="2"/>
        <v>0</v>
      </c>
      <c r="AP117" t="b">
        <f t="shared" si="3"/>
        <v>1</v>
      </c>
    </row>
    <row r="118" spans="1:42" x14ac:dyDescent="0.25">
      <c r="A118" s="18" t="s">
        <v>146</v>
      </c>
      <c r="B118" s="18" t="s">
        <v>139</v>
      </c>
      <c r="C118" s="18" t="s">
        <v>130</v>
      </c>
      <c r="D118" s="18" t="s">
        <v>126</v>
      </c>
      <c r="E118" s="18">
        <v>3</v>
      </c>
      <c r="F118" s="18" t="s">
        <v>142</v>
      </c>
      <c r="G118" s="18" t="s">
        <v>125</v>
      </c>
      <c r="H118" s="18" t="s">
        <v>25</v>
      </c>
      <c r="I118" s="18" t="b">
        <v>0</v>
      </c>
      <c r="J118" s="18" t="b">
        <v>0</v>
      </c>
      <c r="K118" s="18">
        <v>167.5</v>
      </c>
      <c r="L118" s="20">
        <v>1</v>
      </c>
      <c r="M118" s="18">
        <v>11</v>
      </c>
      <c r="N118" s="18">
        <v>6</v>
      </c>
      <c r="O118" s="18">
        <v>3</v>
      </c>
      <c r="P118" s="18">
        <v>0.5</v>
      </c>
      <c r="Q118" s="18">
        <v>0</v>
      </c>
      <c r="R118" s="18">
        <v>8</v>
      </c>
      <c r="S118" s="18">
        <v>5.5</v>
      </c>
      <c r="T118" s="18">
        <v>2.5</v>
      </c>
      <c r="U118" s="18">
        <v>9.5</v>
      </c>
      <c r="V118" s="18">
        <v>9</v>
      </c>
      <c r="W118" s="18">
        <v>7</v>
      </c>
      <c r="X118" s="18">
        <v>5</v>
      </c>
      <c r="Y118" s="18">
        <v>7</v>
      </c>
      <c r="Z118" s="18">
        <v>9</v>
      </c>
      <c r="AA118" s="18">
        <v>9</v>
      </c>
      <c r="AB118" s="18">
        <v>9</v>
      </c>
      <c r="AC118" s="18">
        <v>7</v>
      </c>
      <c r="AD118" s="18">
        <v>5</v>
      </c>
      <c r="AE118" s="18">
        <v>7</v>
      </c>
      <c r="AF118" s="18">
        <v>9</v>
      </c>
      <c r="AG118" s="18">
        <v>9</v>
      </c>
      <c r="AH118" s="18">
        <v>9</v>
      </c>
      <c r="AI118" s="18">
        <v>7</v>
      </c>
      <c r="AJ118" s="18">
        <v>9</v>
      </c>
      <c r="AK118" s="18">
        <v>9</v>
      </c>
      <c r="AL118" s="18">
        <v>9</v>
      </c>
      <c r="AN118" s="18">
        <v>9</v>
      </c>
      <c r="AO118" t="b">
        <f t="shared" si="2"/>
        <v>0</v>
      </c>
      <c r="AP118" t="b">
        <f t="shared" si="3"/>
        <v>1</v>
      </c>
    </row>
    <row r="119" spans="1:42" x14ac:dyDescent="0.25">
      <c r="A119" s="18" t="s">
        <v>146</v>
      </c>
      <c r="B119" s="18" t="s">
        <v>139</v>
      </c>
      <c r="C119" s="18" t="s">
        <v>130</v>
      </c>
      <c r="D119" s="18" t="s">
        <v>126</v>
      </c>
      <c r="E119" s="18">
        <v>3</v>
      </c>
      <c r="F119" s="18" t="s">
        <v>144</v>
      </c>
      <c r="G119" s="18" t="s">
        <v>137</v>
      </c>
      <c r="H119" s="18" t="s">
        <v>29</v>
      </c>
      <c r="I119" s="18" t="b">
        <v>0</v>
      </c>
      <c r="J119" s="18" t="b">
        <v>0</v>
      </c>
      <c r="K119" s="18">
        <v>167.5</v>
      </c>
      <c r="L119" s="20">
        <v>1</v>
      </c>
      <c r="M119" s="18">
        <v>11</v>
      </c>
      <c r="N119" s="18">
        <v>6</v>
      </c>
      <c r="O119" s="18">
        <v>3</v>
      </c>
      <c r="P119" s="18">
        <v>0.5</v>
      </c>
      <c r="Q119" s="18">
        <v>0</v>
      </c>
      <c r="R119" s="18">
        <v>8</v>
      </c>
      <c r="S119" s="18">
        <v>5.5</v>
      </c>
      <c r="T119" s="18">
        <v>2.5</v>
      </c>
      <c r="U119" s="18">
        <v>9.5</v>
      </c>
      <c r="V119" s="18">
        <v>9</v>
      </c>
      <c r="W119" s="18">
        <v>7</v>
      </c>
      <c r="X119" s="18">
        <v>5</v>
      </c>
      <c r="Y119" s="18">
        <v>7</v>
      </c>
      <c r="Z119" s="18">
        <v>9</v>
      </c>
      <c r="AA119" s="18">
        <v>9</v>
      </c>
      <c r="AB119" s="18">
        <v>9</v>
      </c>
      <c r="AC119" s="18">
        <v>7</v>
      </c>
      <c r="AD119" s="18">
        <v>5</v>
      </c>
      <c r="AE119" s="18">
        <v>7</v>
      </c>
      <c r="AF119" s="18">
        <v>9</v>
      </c>
      <c r="AG119" s="18">
        <v>9</v>
      </c>
      <c r="AH119" s="18">
        <v>9</v>
      </c>
      <c r="AI119" s="18">
        <v>7</v>
      </c>
      <c r="AJ119" s="18">
        <v>9</v>
      </c>
      <c r="AK119" s="18">
        <v>9</v>
      </c>
      <c r="AL119" s="18">
        <v>9</v>
      </c>
      <c r="AN119" s="18">
        <v>9</v>
      </c>
      <c r="AO119" t="b">
        <f t="shared" si="2"/>
        <v>0</v>
      </c>
      <c r="AP119" t="b">
        <f t="shared" si="3"/>
        <v>1</v>
      </c>
    </row>
    <row r="120" spans="1:42" x14ac:dyDescent="0.25">
      <c r="A120" s="18" t="s">
        <v>146</v>
      </c>
      <c r="B120" s="18" t="s">
        <v>139</v>
      </c>
      <c r="C120" s="18" t="s">
        <v>130</v>
      </c>
      <c r="D120" s="18" t="s">
        <v>126</v>
      </c>
      <c r="E120" s="18">
        <v>3</v>
      </c>
      <c r="F120" s="18" t="s">
        <v>143</v>
      </c>
      <c r="G120" s="18" t="s">
        <v>127</v>
      </c>
      <c r="H120" s="18" t="s">
        <v>7</v>
      </c>
      <c r="I120" s="18" t="b">
        <v>0</v>
      </c>
      <c r="J120" s="18" t="b">
        <v>0</v>
      </c>
      <c r="K120" s="18">
        <v>167.5</v>
      </c>
      <c r="L120" s="20">
        <v>1</v>
      </c>
      <c r="M120" s="18">
        <v>11</v>
      </c>
      <c r="N120" s="18">
        <v>6</v>
      </c>
      <c r="O120" s="18">
        <v>3</v>
      </c>
      <c r="P120" s="18">
        <v>0.5</v>
      </c>
      <c r="Q120" s="18">
        <v>0</v>
      </c>
      <c r="R120" s="18">
        <v>8</v>
      </c>
      <c r="S120" s="18">
        <v>5.5</v>
      </c>
      <c r="T120" s="18">
        <v>2.5</v>
      </c>
      <c r="U120" s="18">
        <v>9.5</v>
      </c>
      <c r="V120" s="18">
        <v>9</v>
      </c>
      <c r="W120" s="18">
        <v>7</v>
      </c>
      <c r="X120" s="18">
        <v>5</v>
      </c>
      <c r="Y120" s="18">
        <v>7</v>
      </c>
      <c r="Z120" s="18">
        <v>9</v>
      </c>
      <c r="AA120" s="18">
        <v>9</v>
      </c>
      <c r="AB120" s="18">
        <v>9</v>
      </c>
      <c r="AC120" s="18">
        <v>7</v>
      </c>
      <c r="AD120" s="18">
        <v>5</v>
      </c>
      <c r="AE120" s="18">
        <v>7</v>
      </c>
      <c r="AF120" s="18">
        <v>9</v>
      </c>
      <c r="AG120" s="18">
        <v>9</v>
      </c>
      <c r="AH120" s="18">
        <v>9</v>
      </c>
      <c r="AI120" s="18">
        <v>7</v>
      </c>
      <c r="AJ120" s="18">
        <v>9</v>
      </c>
      <c r="AK120" s="18">
        <v>9</v>
      </c>
      <c r="AL120" s="18">
        <v>9</v>
      </c>
      <c r="AN120" s="18">
        <v>9</v>
      </c>
      <c r="AO120" t="b">
        <f t="shared" si="2"/>
        <v>0</v>
      </c>
      <c r="AP120" t="b">
        <f t="shared" si="3"/>
        <v>1</v>
      </c>
    </row>
    <row r="121" spans="1:42" x14ac:dyDescent="0.25">
      <c r="A121" s="18" t="s">
        <v>146</v>
      </c>
      <c r="B121" s="18" t="s">
        <v>139</v>
      </c>
      <c r="C121" s="18" t="s">
        <v>130</v>
      </c>
      <c r="D121" s="18" t="s">
        <v>126</v>
      </c>
      <c r="E121" s="18">
        <v>3</v>
      </c>
      <c r="F121" s="18" t="s">
        <v>136</v>
      </c>
      <c r="G121" s="18" t="s">
        <v>126</v>
      </c>
      <c r="H121" s="18" t="s">
        <v>6</v>
      </c>
      <c r="I121" s="18" t="b">
        <v>0</v>
      </c>
      <c r="J121" s="18" t="b">
        <v>1</v>
      </c>
      <c r="K121" s="18">
        <v>167.5</v>
      </c>
      <c r="L121" s="20">
        <v>1</v>
      </c>
      <c r="M121" s="18">
        <v>11</v>
      </c>
      <c r="N121" s="18">
        <v>6</v>
      </c>
      <c r="O121" s="18">
        <v>3</v>
      </c>
      <c r="P121" s="18">
        <v>0.5</v>
      </c>
      <c r="Q121" s="18">
        <v>0</v>
      </c>
      <c r="R121" s="18">
        <v>8</v>
      </c>
      <c r="S121" s="18">
        <v>5.5</v>
      </c>
      <c r="T121" s="18">
        <v>2.5</v>
      </c>
      <c r="U121" s="18">
        <v>9.5</v>
      </c>
      <c r="V121" s="18">
        <v>9</v>
      </c>
      <c r="W121" s="18">
        <v>7</v>
      </c>
      <c r="X121" s="18">
        <v>5</v>
      </c>
      <c r="Y121" s="18">
        <v>7</v>
      </c>
      <c r="Z121" s="18">
        <v>9</v>
      </c>
      <c r="AA121" s="18">
        <v>9</v>
      </c>
      <c r="AB121" s="18">
        <v>9</v>
      </c>
      <c r="AC121" s="18">
        <v>7</v>
      </c>
      <c r="AD121" s="18">
        <v>5</v>
      </c>
      <c r="AE121" s="18">
        <v>7</v>
      </c>
      <c r="AF121" s="18">
        <v>9</v>
      </c>
      <c r="AG121" s="18">
        <v>9</v>
      </c>
      <c r="AH121" s="18">
        <v>9</v>
      </c>
      <c r="AI121" s="18">
        <v>7</v>
      </c>
      <c r="AJ121" s="18">
        <v>9</v>
      </c>
      <c r="AK121" s="18">
        <v>9</v>
      </c>
      <c r="AL121" s="18">
        <v>9</v>
      </c>
      <c r="AN121" s="18">
        <v>9</v>
      </c>
      <c r="AO121" t="b">
        <f t="shared" si="2"/>
        <v>0</v>
      </c>
      <c r="AP121" t="b">
        <f t="shared" si="3"/>
        <v>1</v>
      </c>
    </row>
    <row r="122" spans="1:42" x14ac:dyDescent="0.25">
      <c r="A122" s="18" t="s">
        <v>147</v>
      </c>
      <c r="B122" s="18" t="s">
        <v>139</v>
      </c>
      <c r="C122" s="18" t="s">
        <v>131</v>
      </c>
      <c r="D122" s="18" t="s">
        <v>132</v>
      </c>
      <c r="E122" s="18">
        <v>4</v>
      </c>
      <c r="F122" s="18" t="s">
        <v>3</v>
      </c>
      <c r="G122" s="19" t="s">
        <v>121</v>
      </c>
      <c r="H122" s="19" t="s">
        <v>121</v>
      </c>
      <c r="I122" s="19" t="s">
        <v>121</v>
      </c>
      <c r="J122" s="19" t="s">
        <v>121</v>
      </c>
      <c r="K122" s="18">
        <v>508.5</v>
      </c>
      <c r="L122" s="21" t="s">
        <v>121</v>
      </c>
      <c r="M122" s="18">
        <v>33</v>
      </c>
      <c r="N122" s="18">
        <v>18</v>
      </c>
      <c r="O122" s="18">
        <v>9</v>
      </c>
      <c r="P122" s="18">
        <v>1.5</v>
      </c>
      <c r="Q122" s="18">
        <v>0</v>
      </c>
      <c r="R122" s="18">
        <v>24</v>
      </c>
      <c r="S122" s="18">
        <v>16.5</v>
      </c>
      <c r="T122" s="18">
        <v>7.5</v>
      </c>
      <c r="U122" s="18">
        <v>28.5</v>
      </c>
      <c r="V122" s="18">
        <v>27</v>
      </c>
      <c r="W122" s="18">
        <v>21</v>
      </c>
      <c r="X122" s="18">
        <v>15</v>
      </c>
      <c r="Y122" s="18">
        <v>21</v>
      </c>
      <c r="Z122" s="18">
        <v>27</v>
      </c>
      <c r="AA122" s="18">
        <v>27</v>
      </c>
      <c r="AB122" s="18">
        <v>27</v>
      </c>
      <c r="AC122" s="18">
        <v>21</v>
      </c>
      <c r="AD122" s="18">
        <v>15</v>
      </c>
      <c r="AE122" s="18">
        <v>21</v>
      </c>
      <c r="AF122" s="18">
        <v>27</v>
      </c>
      <c r="AG122" s="18">
        <v>27</v>
      </c>
      <c r="AH122" s="18">
        <v>27</v>
      </c>
      <c r="AI122" s="18">
        <v>21</v>
      </c>
      <c r="AJ122" s="18">
        <v>27</v>
      </c>
      <c r="AK122" s="18">
        <v>27</v>
      </c>
      <c r="AL122" s="18">
        <v>27</v>
      </c>
      <c r="AN122" s="18">
        <v>27</v>
      </c>
      <c r="AO122" t="str">
        <f t="shared" si="2"/>
        <v/>
      </c>
      <c r="AP122" t="str">
        <f t="shared" si="3"/>
        <v/>
      </c>
    </row>
    <row r="123" spans="1:42" x14ac:dyDescent="0.25">
      <c r="A123" s="18" t="s">
        <v>147</v>
      </c>
      <c r="B123" s="18" t="s">
        <v>139</v>
      </c>
      <c r="C123" s="18" t="s">
        <v>131</v>
      </c>
      <c r="D123" s="18" t="s">
        <v>132</v>
      </c>
      <c r="E123" s="18">
        <v>4</v>
      </c>
      <c r="F123" s="18" t="s">
        <v>140</v>
      </c>
      <c r="G123" s="18" t="s">
        <v>133</v>
      </c>
      <c r="H123" s="18" t="s">
        <v>31</v>
      </c>
      <c r="I123" s="18" t="b">
        <v>1</v>
      </c>
      <c r="J123" s="18" t="b">
        <v>0</v>
      </c>
      <c r="K123" s="18">
        <v>167.5</v>
      </c>
      <c r="M123" s="18">
        <v>11</v>
      </c>
      <c r="N123" s="18">
        <v>6</v>
      </c>
      <c r="O123" s="18">
        <v>3</v>
      </c>
      <c r="P123" s="18">
        <v>0.5</v>
      </c>
      <c r="Q123" s="18">
        <v>0</v>
      </c>
      <c r="R123" s="18">
        <v>8</v>
      </c>
      <c r="S123" s="18">
        <v>5.5</v>
      </c>
      <c r="T123" s="18">
        <v>2.5</v>
      </c>
      <c r="U123" s="18">
        <v>9.5</v>
      </c>
      <c r="V123" s="18">
        <v>9</v>
      </c>
      <c r="W123" s="18">
        <v>7</v>
      </c>
      <c r="X123" s="18">
        <v>5</v>
      </c>
      <c r="Y123" s="18">
        <v>7</v>
      </c>
      <c r="Z123" s="18">
        <v>9</v>
      </c>
      <c r="AA123" s="18">
        <v>9</v>
      </c>
      <c r="AB123" s="18">
        <v>9</v>
      </c>
      <c r="AC123" s="18">
        <v>7</v>
      </c>
      <c r="AD123" s="18">
        <v>5</v>
      </c>
      <c r="AE123" s="18">
        <v>7</v>
      </c>
      <c r="AF123" s="18">
        <v>9</v>
      </c>
      <c r="AG123" s="18">
        <v>9</v>
      </c>
      <c r="AH123" s="18">
        <v>9</v>
      </c>
      <c r="AI123" s="18">
        <v>7</v>
      </c>
      <c r="AJ123" s="18">
        <v>9</v>
      </c>
      <c r="AK123" s="18">
        <v>9</v>
      </c>
      <c r="AL123" s="18">
        <v>9</v>
      </c>
      <c r="AN123" s="18">
        <v>7</v>
      </c>
      <c r="AO123" t="str">
        <f t="shared" si="2"/>
        <v/>
      </c>
      <c r="AP123" t="str">
        <f t="shared" si="3"/>
        <v/>
      </c>
    </row>
    <row r="124" spans="1:42" x14ac:dyDescent="0.25">
      <c r="A124" s="18" t="s">
        <v>147</v>
      </c>
      <c r="B124" s="18" t="s">
        <v>139</v>
      </c>
      <c r="C124" s="18" t="s">
        <v>131</v>
      </c>
      <c r="D124" s="18" t="s">
        <v>132</v>
      </c>
      <c r="E124" s="18">
        <v>4</v>
      </c>
      <c r="F124" s="18" t="s">
        <v>134</v>
      </c>
      <c r="G124" s="18" t="s">
        <v>135</v>
      </c>
      <c r="H124" s="18" t="s">
        <v>4</v>
      </c>
      <c r="I124" s="18" t="b">
        <v>0</v>
      </c>
      <c r="J124" s="18" t="b">
        <v>0</v>
      </c>
      <c r="K124" s="18">
        <v>167.5</v>
      </c>
      <c r="L124" s="20">
        <v>1</v>
      </c>
      <c r="M124" s="18">
        <v>11</v>
      </c>
      <c r="N124" s="18">
        <v>6</v>
      </c>
      <c r="O124" s="18">
        <v>3</v>
      </c>
      <c r="P124" s="18">
        <v>0.5</v>
      </c>
      <c r="Q124" s="18">
        <v>0</v>
      </c>
      <c r="R124" s="18">
        <v>8</v>
      </c>
      <c r="S124" s="18">
        <v>5.5</v>
      </c>
      <c r="T124" s="18">
        <v>2.5</v>
      </c>
      <c r="U124" s="18">
        <v>9.5</v>
      </c>
      <c r="V124" s="18">
        <v>9</v>
      </c>
      <c r="W124" s="18">
        <v>7</v>
      </c>
      <c r="X124" s="18">
        <v>5</v>
      </c>
      <c r="Y124" s="18">
        <v>7</v>
      </c>
      <c r="Z124" s="18">
        <v>9</v>
      </c>
      <c r="AA124" s="18">
        <v>9</v>
      </c>
      <c r="AB124" s="18">
        <v>9</v>
      </c>
      <c r="AC124" s="18">
        <v>7</v>
      </c>
      <c r="AD124" s="18">
        <v>5</v>
      </c>
      <c r="AE124" s="18">
        <v>7</v>
      </c>
      <c r="AF124" s="18">
        <v>9</v>
      </c>
      <c r="AG124" s="18">
        <v>9</v>
      </c>
      <c r="AH124" s="18">
        <v>9</v>
      </c>
      <c r="AI124" s="18">
        <v>7</v>
      </c>
      <c r="AJ124" s="18">
        <v>9</v>
      </c>
      <c r="AK124" s="18">
        <v>9</v>
      </c>
      <c r="AL124" s="18">
        <v>9</v>
      </c>
      <c r="AN124" s="18">
        <v>9</v>
      </c>
      <c r="AO124" t="b">
        <f t="shared" si="2"/>
        <v>0</v>
      </c>
      <c r="AP124" t="b">
        <f t="shared" si="3"/>
        <v>1</v>
      </c>
    </row>
    <row r="125" spans="1:42" x14ac:dyDescent="0.25">
      <c r="A125" s="18" t="s">
        <v>147</v>
      </c>
      <c r="B125" s="18" t="s">
        <v>139</v>
      </c>
      <c r="C125" s="18" t="s">
        <v>131</v>
      </c>
      <c r="D125" s="18" t="s">
        <v>132</v>
      </c>
      <c r="E125" s="18">
        <v>4</v>
      </c>
      <c r="F125" s="18" t="s">
        <v>141</v>
      </c>
      <c r="G125" s="18" t="s">
        <v>124</v>
      </c>
      <c r="H125" s="18" t="s">
        <v>5</v>
      </c>
      <c r="I125" s="18" t="b">
        <v>0</v>
      </c>
      <c r="J125" s="18" t="b">
        <v>0</v>
      </c>
      <c r="K125" s="18">
        <v>167.5</v>
      </c>
      <c r="L125" s="20">
        <v>1</v>
      </c>
      <c r="M125" s="18">
        <v>11</v>
      </c>
      <c r="N125" s="18">
        <v>6</v>
      </c>
      <c r="O125" s="18">
        <v>3</v>
      </c>
      <c r="P125" s="18">
        <v>0.5</v>
      </c>
      <c r="Q125" s="18">
        <v>0</v>
      </c>
      <c r="R125" s="18">
        <v>8</v>
      </c>
      <c r="S125" s="18">
        <v>5.5</v>
      </c>
      <c r="T125" s="18">
        <v>2.5</v>
      </c>
      <c r="U125" s="18">
        <v>9.5</v>
      </c>
      <c r="V125" s="18">
        <v>9</v>
      </c>
      <c r="W125" s="18">
        <v>7</v>
      </c>
      <c r="X125" s="18">
        <v>5</v>
      </c>
      <c r="Y125" s="18">
        <v>7</v>
      </c>
      <c r="Z125" s="18">
        <v>9</v>
      </c>
      <c r="AA125" s="18">
        <v>9</v>
      </c>
      <c r="AB125" s="18">
        <v>9</v>
      </c>
      <c r="AC125" s="18">
        <v>7</v>
      </c>
      <c r="AD125" s="18">
        <v>5</v>
      </c>
      <c r="AE125" s="18">
        <v>7</v>
      </c>
      <c r="AF125" s="18">
        <v>9</v>
      </c>
      <c r="AG125" s="18">
        <v>9</v>
      </c>
      <c r="AH125" s="18">
        <v>9</v>
      </c>
      <c r="AI125" s="18">
        <v>7</v>
      </c>
      <c r="AJ125" s="18">
        <v>9</v>
      </c>
      <c r="AK125" s="18">
        <v>9</v>
      </c>
      <c r="AL125" s="18">
        <v>9</v>
      </c>
      <c r="AN125" s="18">
        <v>9</v>
      </c>
      <c r="AO125" t="b">
        <f t="shared" si="2"/>
        <v>0</v>
      </c>
      <c r="AP125" t="b">
        <f t="shared" si="3"/>
        <v>1</v>
      </c>
    </row>
    <row r="126" spans="1:42" x14ac:dyDescent="0.25">
      <c r="A126" s="18" t="s">
        <v>147</v>
      </c>
      <c r="B126" s="18" t="s">
        <v>139</v>
      </c>
      <c r="C126" s="18" t="s">
        <v>131</v>
      </c>
      <c r="D126" s="18" t="s">
        <v>132</v>
      </c>
      <c r="E126" s="18">
        <v>4</v>
      </c>
      <c r="F126" s="18" t="s">
        <v>142</v>
      </c>
      <c r="G126" s="18" t="s">
        <v>125</v>
      </c>
      <c r="H126" s="18" t="s">
        <v>25</v>
      </c>
      <c r="I126" s="18" t="b">
        <v>0</v>
      </c>
      <c r="J126" s="18" t="b">
        <v>0</v>
      </c>
      <c r="K126" s="18">
        <v>167.5</v>
      </c>
      <c r="L126" s="20">
        <v>1</v>
      </c>
      <c r="M126" s="18">
        <v>11</v>
      </c>
      <c r="N126" s="18">
        <v>6</v>
      </c>
      <c r="O126" s="18">
        <v>3</v>
      </c>
      <c r="P126" s="18">
        <v>0.5</v>
      </c>
      <c r="Q126" s="18">
        <v>0</v>
      </c>
      <c r="R126" s="18">
        <v>8</v>
      </c>
      <c r="S126" s="18">
        <v>5.5</v>
      </c>
      <c r="T126" s="18">
        <v>2.5</v>
      </c>
      <c r="U126" s="18">
        <v>9.5</v>
      </c>
      <c r="V126" s="18">
        <v>9</v>
      </c>
      <c r="W126" s="18">
        <v>7</v>
      </c>
      <c r="X126" s="18">
        <v>5</v>
      </c>
      <c r="Y126" s="18">
        <v>7</v>
      </c>
      <c r="Z126" s="18">
        <v>9</v>
      </c>
      <c r="AA126" s="18">
        <v>9</v>
      </c>
      <c r="AB126" s="18">
        <v>9</v>
      </c>
      <c r="AC126" s="18">
        <v>7</v>
      </c>
      <c r="AD126" s="18">
        <v>5</v>
      </c>
      <c r="AE126" s="18">
        <v>7</v>
      </c>
      <c r="AF126" s="18">
        <v>9</v>
      </c>
      <c r="AG126" s="18">
        <v>9</v>
      </c>
      <c r="AH126" s="18">
        <v>9</v>
      </c>
      <c r="AI126" s="18">
        <v>7</v>
      </c>
      <c r="AJ126" s="18">
        <v>9</v>
      </c>
      <c r="AK126" s="18">
        <v>9</v>
      </c>
      <c r="AL126" s="18">
        <v>9</v>
      </c>
      <c r="AN126" s="18">
        <v>9</v>
      </c>
      <c r="AO126" t="b">
        <f t="shared" si="2"/>
        <v>0</v>
      </c>
      <c r="AP126" t="b">
        <f t="shared" si="3"/>
        <v>1</v>
      </c>
    </row>
    <row r="127" spans="1:42" x14ac:dyDescent="0.25">
      <c r="A127" s="18" t="s">
        <v>147</v>
      </c>
      <c r="B127" s="18" t="s">
        <v>139</v>
      </c>
      <c r="C127" s="18" t="s">
        <v>131</v>
      </c>
      <c r="D127" s="18" t="s">
        <v>132</v>
      </c>
      <c r="E127" s="18">
        <v>4</v>
      </c>
      <c r="F127" s="18" t="s">
        <v>136</v>
      </c>
      <c r="G127" s="18" t="s">
        <v>126</v>
      </c>
      <c r="H127" s="18" t="s">
        <v>6</v>
      </c>
      <c r="I127" s="18" t="b">
        <v>0</v>
      </c>
      <c r="J127" s="18" t="b">
        <v>0</v>
      </c>
      <c r="K127" s="18">
        <v>167.5</v>
      </c>
      <c r="L127" s="20">
        <v>1</v>
      </c>
      <c r="M127" s="18">
        <v>11</v>
      </c>
      <c r="N127" s="18">
        <v>6</v>
      </c>
      <c r="O127" s="18">
        <v>3</v>
      </c>
      <c r="P127" s="18">
        <v>0.5</v>
      </c>
      <c r="Q127" s="18">
        <v>0</v>
      </c>
      <c r="R127" s="18">
        <v>8</v>
      </c>
      <c r="S127" s="18">
        <v>5.5</v>
      </c>
      <c r="T127" s="18">
        <v>2.5</v>
      </c>
      <c r="U127" s="18">
        <v>9.5</v>
      </c>
      <c r="V127" s="18">
        <v>9</v>
      </c>
      <c r="W127" s="18">
        <v>7</v>
      </c>
      <c r="X127" s="18">
        <v>5</v>
      </c>
      <c r="Y127" s="18">
        <v>7</v>
      </c>
      <c r="Z127" s="18">
        <v>9</v>
      </c>
      <c r="AA127" s="18">
        <v>9</v>
      </c>
      <c r="AB127" s="18">
        <v>9</v>
      </c>
      <c r="AC127" s="18">
        <v>7</v>
      </c>
      <c r="AD127" s="18">
        <v>5</v>
      </c>
      <c r="AE127" s="18">
        <v>7</v>
      </c>
      <c r="AF127" s="18">
        <v>9</v>
      </c>
      <c r="AG127" s="18">
        <v>9</v>
      </c>
      <c r="AH127" s="18">
        <v>9</v>
      </c>
      <c r="AI127" s="18">
        <v>7</v>
      </c>
      <c r="AJ127" s="18">
        <v>9</v>
      </c>
      <c r="AK127" s="18">
        <v>9</v>
      </c>
      <c r="AL127" s="18">
        <v>9</v>
      </c>
      <c r="AN127" s="18">
        <v>9</v>
      </c>
      <c r="AO127" t="b">
        <f t="shared" si="2"/>
        <v>0</v>
      </c>
      <c r="AP127" t="b">
        <f t="shared" si="3"/>
        <v>1</v>
      </c>
    </row>
    <row r="128" spans="1:42" x14ac:dyDescent="0.25">
      <c r="A128" s="18" t="s">
        <v>147</v>
      </c>
      <c r="B128" s="18" t="s">
        <v>139</v>
      </c>
      <c r="C128" s="18" t="s">
        <v>131</v>
      </c>
      <c r="D128" s="18" t="s">
        <v>132</v>
      </c>
      <c r="E128" s="18">
        <v>4</v>
      </c>
      <c r="F128" s="18" t="s">
        <v>143</v>
      </c>
      <c r="G128" s="18" t="s">
        <v>127</v>
      </c>
      <c r="H128" s="18" t="s">
        <v>7</v>
      </c>
      <c r="I128" s="18" t="b">
        <v>0</v>
      </c>
      <c r="J128" s="18" t="b">
        <v>0</v>
      </c>
      <c r="K128" s="18">
        <v>167.5</v>
      </c>
      <c r="L128" s="20">
        <v>1</v>
      </c>
      <c r="M128" s="18">
        <v>11</v>
      </c>
      <c r="N128" s="18">
        <v>6</v>
      </c>
      <c r="O128" s="18">
        <v>3</v>
      </c>
      <c r="P128" s="18">
        <v>0.5</v>
      </c>
      <c r="Q128" s="18">
        <v>0</v>
      </c>
      <c r="R128" s="18">
        <v>8</v>
      </c>
      <c r="S128" s="18">
        <v>5.5</v>
      </c>
      <c r="T128" s="18">
        <v>2.5</v>
      </c>
      <c r="U128" s="18">
        <v>9.5</v>
      </c>
      <c r="V128" s="18">
        <v>9</v>
      </c>
      <c r="W128" s="18">
        <v>7</v>
      </c>
      <c r="X128" s="18">
        <v>5</v>
      </c>
      <c r="Y128" s="18">
        <v>7</v>
      </c>
      <c r="Z128" s="18">
        <v>9</v>
      </c>
      <c r="AA128" s="18">
        <v>9</v>
      </c>
      <c r="AB128" s="18">
        <v>9</v>
      </c>
      <c r="AC128" s="18">
        <v>7</v>
      </c>
      <c r="AD128" s="18">
        <v>5</v>
      </c>
      <c r="AE128" s="18">
        <v>7</v>
      </c>
      <c r="AF128" s="18">
        <v>9</v>
      </c>
      <c r="AG128" s="18">
        <v>9</v>
      </c>
      <c r="AH128" s="18">
        <v>9</v>
      </c>
      <c r="AI128" s="18">
        <v>7</v>
      </c>
      <c r="AJ128" s="18">
        <v>9</v>
      </c>
      <c r="AK128" s="18">
        <v>9</v>
      </c>
      <c r="AL128" s="18">
        <v>9</v>
      </c>
      <c r="AN128" s="18">
        <v>9</v>
      </c>
      <c r="AO128" t="b">
        <f t="shared" si="2"/>
        <v>0</v>
      </c>
      <c r="AP128" t="b">
        <f t="shared" si="3"/>
        <v>1</v>
      </c>
    </row>
    <row r="129" spans="1:42" x14ac:dyDescent="0.25">
      <c r="A129" s="18" t="s">
        <v>147</v>
      </c>
      <c r="B129" s="18" t="s">
        <v>139</v>
      </c>
      <c r="C129" s="18" t="s">
        <v>131</v>
      </c>
      <c r="D129" s="18" t="s">
        <v>132</v>
      </c>
      <c r="E129" s="18">
        <v>4</v>
      </c>
      <c r="F129" s="18" t="s">
        <v>144</v>
      </c>
      <c r="G129" s="18" t="s">
        <v>137</v>
      </c>
      <c r="H129" s="18" t="s">
        <v>29</v>
      </c>
      <c r="I129" s="18" t="b">
        <v>0</v>
      </c>
      <c r="J129" s="18" t="b">
        <v>1</v>
      </c>
      <c r="K129" s="18">
        <v>167.5</v>
      </c>
      <c r="L129" s="20">
        <v>1</v>
      </c>
      <c r="M129" s="18">
        <v>11</v>
      </c>
      <c r="N129" s="18">
        <v>6</v>
      </c>
      <c r="O129" s="18">
        <v>3</v>
      </c>
      <c r="P129" s="18">
        <v>0.5</v>
      </c>
      <c r="Q129" s="18">
        <v>0</v>
      </c>
      <c r="R129" s="18">
        <v>8</v>
      </c>
      <c r="S129" s="18">
        <v>5.5</v>
      </c>
      <c r="T129" s="18">
        <v>2.5</v>
      </c>
      <c r="U129" s="18">
        <v>9.5</v>
      </c>
      <c r="V129" s="18">
        <v>9</v>
      </c>
      <c r="W129" s="18">
        <v>7</v>
      </c>
      <c r="X129" s="18">
        <v>5</v>
      </c>
      <c r="Y129" s="18">
        <v>7</v>
      </c>
      <c r="Z129" s="18">
        <v>9</v>
      </c>
      <c r="AA129" s="18">
        <v>9</v>
      </c>
      <c r="AB129" s="18">
        <v>9</v>
      </c>
      <c r="AC129" s="18">
        <v>7</v>
      </c>
      <c r="AD129" s="18">
        <v>5</v>
      </c>
      <c r="AE129" s="18">
        <v>7</v>
      </c>
      <c r="AF129" s="18">
        <v>9</v>
      </c>
      <c r="AG129" s="18">
        <v>9</v>
      </c>
      <c r="AH129" s="18">
        <v>9</v>
      </c>
      <c r="AI129" s="18">
        <v>7</v>
      </c>
      <c r="AJ129" s="18">
        <v>9</v>
      </c>
      <c r="AK129" s="18">
        <v>9</v>
      </c>
      <c r="AL129" s="18">
        <v>9</v>
      </c>
      <c r="AN129" s="18">
        <v>9</v>
      </c>
      <c r="AO129" t="b">
        <f t="shared" si="2"/>
        <v>0</v>
      </c>
      <c r="AP129" t="b">
        <f t="shared" si="3"/>
        <v>1</v>
      </c>
    </row>
    <row r="130" spans="1:42" x14ac:dyDescent="0.25">
      <c r="A130" s="18" t="s">
        <v>148</v>
      </c>
      <c r="B130" s="18" t="s">
        <v>149</v>
      </c>
      <c r="C130" s="18" t="s">
        <v>119</v>
      </c>
      <c r="D130" s="18" t="s">
        <v>120</v>
      </c>
      <c r="E130" s="18">
        <v>1</v>
      </c>
      <c r="F130" s="18" t="s">
        <v>3</v>
      </c>
      <c r="G130" s="19" t="s">
        <v>121</v>
      </c>
      <c r="H130" s="19" t="s">
        <v>121</v>
      </c>
      <c r="I130" s="19" t="s">
        <v>121</v>
      </c>
      <c r="J130" s="19" t="s">
        <v>121</v>
      </c>
      <c r="K130" s="18">
        <v>302.25</v>
      </c>
      <c r="L130" s="21" t="s">
        <v>121</v>
      </c>
      <c r="M130" s="18">
        <v>39</v>
      </c>
      <c r="N130" s="18">
        <v>12</v>
      </c>
      <c r="O130" s="18">
        <v>0</v>
      </c>
      <c r="P130" s="18">
        <v>34.5</v>
      </c>
      <c r="Q130" s="18">
        <v>0</v>
      </c>
      <c r="R130" s="18">
        <v>28.5</v>
      </c>
      <c r="S130" s="18">
        <v>28.5</v>
      </c>
      <c r="T130" s="18">
        <v>22.5</v>
      </c>
      <c r="U130" s="18">
        <v>28.5</v>
      </c>
      <c r="V130" s="18">
        <v>28.5</v>
      </c>
      <c r="W130" s="18">
        <v>28.5</v>
      </c>
      <c r="X130" s="18">
        <v>22.5</v>
      </c>
      <c r="Y130" s="18">
        <v>28.5</v>
      </c>
      <c r="Z130" s="18">
        <v>28.5</v>
      </c>
      <c r="AA130" s="18">
        <v>28.5</v>
      </c>
      <c r="AB130" s="18">
        <v>22.5</v>
      </c>
      <c r="AC130" s="18">
        <v>28.5</v>
      </c>
      <c r="AD130" s="18">
        <v>28.5</v>
      </c>
      <c r="AE130" s="18">
        <v>28.5</v>
      </c>
      <c r="AF130" s="18">
        <v>22.5</v>
      </c>
      <c r="AG130" s="18">
        <v>28.5</v>
      </c>
      <c r="AH130" s="18">
        <v>28.5</v>
      </c>
      <c r="AI130" s="18">
        <v>28.5</v>
      </c>
      <c r="AJ130" s="18">
        <v>22.5</v>
      </c>
      <c r="AK130" s="18">
        <v>28.5</v>
      </c>
      <c r="AL130" s="18">
        <v>28.5</v>
      </c>
      <c r="AM130" s="18">
        <v>28.5</v>
      </c>
      <c r="AN130" s="18">
        <v>7.5</v>
      </c>
      <c r="AO130" t="str">
        <f t="shared" ref="AO130:AO183" si="4">IF(OR(I130&lt;&gt;FALSE, I130=""),"",Q130&lt;&gt;$Q$2/3)</f>
        <v/>
      </c>
      <c r="AP130" t="str">
        <f t="shared" si="3"/>
        <v/>
      </c>
    </row>
    <row r="131" spans="1:42" x14ac:dyDescent="0.25">
      <c r="A131" s="18" t="s">
        <v>148</v>
      </c>
      <c r="B131" s="18" t="s">
        <v>149</v>
      </c>
      <c r="C131" s="18" t="s">
        <v>119</v>
      </c>
      <c r="D131" s="18" t="s">
        <v>120</v>
      </c>
      <c r="E131" s="18">
        <v>1</v>
      </c>
      <c r="F131" s="18" t="s">
        <v>150</v>
      </c>
      <c r="G131" s="18" t="s">
        <v>133</v>
      </c>
      <c r="H131" s="18" t="s">
        <v>31</v>
      </c>
      <c r="I131" s="18" t="b">
        <v>1</v>
      </c>
      <c r="J131" s="18" t="b">
        <v>0</v>
      </c>
      <c r="K131" s="18">
        <v>201.5</v>
      </c>
      <c r="M131" s="18">
        <v>13</v>
      </c>
      <c r="N131" s="18">
        <v>4</v>
      </c>
      <c r="O131" s="18">
        <v>0</v>
      </c>
      <c r="P131" s="18">
        <v>11.5</v>
      </c>
      <c r="Q131" s="18">
        <v>0</v>
      </c>
      <c r="R131" s="18">
        <v>9.5</v>
      </c>
      <c r="S131" s="18">
        <v>9.5</v>
      </c>
      <c r="T131" s="18">
        <v>7.5</v>
      </c>
      <c r="U131" s="18">
        <v>9.5</v>
      </c>
      <c r="V131" s="18">
        <v>9.5</v>
      </c>
      <c r="W131" s="18">
        <v>9.5</v>
      </c>
      <c r="X131" s="18">
        <v>7.5</v>
      </c>
      <c r="Y131" s="18">
        <v>9.5</v>
      </c>
      <c r="Z131" s="18">
        <v>9.5</v>
      </c>
      <c r="AA131" s="18">
        <v>9.5</v>
      </c>
      <c r="AB131" s="18">
        <v>7.5</v>
      </c>
      <c r="AC131" s="18">
        <v>9.5</v>
      </c>
      <c r="AD131" s="18">
        <v>9.5</v>
      </c>
      <c r="AE131" s="18">
        <v>9.5</v>
      </c>
      <c r="AF131" s="18">
        <v>7.5</v>
      </c>
      <c r="AG131" s="18">
        <v>9.5</v>
      </c>
      <c r="AH131" s="18">
        <v>9.5</v>
      </c>
      <c r="AI131" s="18">
        <v>9.5</v>
      </c>
      <c r="AJ131" s="18">
        <v>7.5</v>
      </c>
      <c r="AK131" s="18">
        <v>9.5</v>
      </c>
      <c r="AL131" s="18">
        <v>9.5</v>
      </c>
      <c r="AM131" s="18">
        <v>9.5</v>
      </c>
      <c r="AN131" s="18">
        <v>2.5</v>
      </c>
      <c r="AO131" t="str">
        <f t="shared" si="4"/>
        <v/>
      </c>
      <c r="AP131" t="str">
        <f t="shared" si="3"/>
        <v/>
      </c>
    </row>
    <row r="132" spans="1:42" x14ac:dyDescent="0.25">
      <c r="A132" s="18" t="s">
        <v>148</v>
      </c>
      <c r="B132" s="18" t="s">
        <v>149</v>
      </c>
      <c r="C132" s="18" t="s">
        <v>119</v>
      </c>
      <c r="D132" s="18" t="s">
        <v>120</v>
      </c>
      <c r="E132" s="18">
        <v>1</v>
      </c>
      <c r="F132" s="18" t="s">
        <v>151</v>
      </c>
      <c r="G132" s="18" t="s">
        <v>123</v>
      </c>
      <c r="H132" s="18" t="s">
        <v>4</v>
      </c>
      <c r="I132" s="18" t="b">
        <v>0</v>
      </c>
      <c r="J132" s="18" t="b">
        <v>0</v>
      </c>
      <c r="K132" s="18">
        <v>201.5</v>
      </c>
      <c r="L132" s="20">
        <v>1</v>
      </c>
      <c r="M132" s="18">
        <v>13</v>
      </c>
      <c r="N132" s="18">
        <v>4</v>
      </c>
      <c r="O132" s="18">
        <v>0</v>
      </c>
      <c r="P132" s="18">
        <v>11.5</v>
      </c>
      <c r="Q132" s="18">
        <v>0</v>
      </c>
      <c r="R132" s="18">
        <v>9.5</v>
      </c>
      <c r="S132" s="18">
        <v>9.5</v>
      </c>
      <c r="T132" s="18">
        <v>7.5</v>
      </c>
      <c r="U132" s="18">
        <v>9.5</v>
      </c>
      <c r="V132" s="18">
        <v>9.5</v>
      </c>
      <c r="W132" s="18">
        <v>9.5</v>
      </c>
      <c r="X132" s="18">
        <v>7.5</v>
      </c>
      <c r="Y132" s="18">
        <v>9.5</v>
      </c>
      <c r="Z132" s="18">
        <v>9.5</v>
      </c>
      <c r="AA132" s="18">
        <v>9.5</v>
      </c>
      <c r="AB132" s="18">
        <v>7.5</v>
      </c>
      <c r="AC132" s="18">
        <v>9.5</v>
      </c>
      <c r="AD132" s="18">
        <v>9.5</v>
      </c>
      <c r="AE132" s="18">
        <v>9.5</v>
      </c>
      <c r="AF132" s="18">
        <v>7.5</v>
      </c>
      <c r="AG132" s="18">
        <v>9.5</v>
      </c>
      <c r="AH132" s="18">
        <v>9.5</v>
      </c>
      <c r="AI132" s="18">
        <v>9.5</v>
      </c>
      <c r="AJ132" s="18">
        <v>7.5</v>
      </c>
      <c r="AK132" s="18">
        <v>9.5</v>
      </c>
      <c r="AL132" s="18">
        <v>9.5</v>
      </c>
      <c r="AM132" s="18">
        <v>9.5</v>
      </c>
      <c r="AN132" s="18">
        <v>2.5</v>
      </c>
      <c r="AO132" t="b">
        <f t="shared" si="4"/>
        <v>0</v>
      </c>
      <c r="AP132" t="b">
        <f t="shared" ref="AP132:AP195" si="5">IF(OR(I132&lt;&gt;FALSE, I132=""),"",O132&lt;&gt;$O$2/3)</f>
        <v>0</v>
      </c>
    </row>
    <row r="133" spans="1:42" x14ac:dyDescent="0.25">
      <c r="A133" s="18" t="s">
        <v>148</v>
      </c>
      <c r="B133" s="18" t="s">
        <v>149</v>
      </c>
      <c r="C133" s="18" t="s">
        <v>119</v>
      </c>
      <c r="D133" s="18" t="s">
        <v>120</v>
      </c>
      <c r="E133" s="18">
        <v>1</v>
      </c>
      <c r="F133" s="18" t="s">
        <v>134</v>
      </c>
      <c r="G133" s="18" t="s">
        <v>135</v>
      </c>
      <c r="H133" s="18" t="s">
        <v>5</v>
      </c>
      <c r="I133" s="18" t="b">
        <v>0</v>
      </c>
      <c r="J133" s="18" t="b">
        <v>0</v>
      </c>
      <c r="K133" s="18">
        <v>201.5</v>
      </c>
      <c r="L133" s="20">
        <v>1</v>
      </c>
      <c r="M133" s="18">
        <v>13</v>
      </c>
      <c r="N133" s="18">
        <v>4</v>
      </c>
      <c r="O133" s="18">
        <v>0</v>
      </c>
      <c r="P133" s="18">
        <v>11.5</v>
      </c>
      <c r="Q133" s="18">
        <v>0</v>
      </c>
      <c r="R133" s="18">
        <v>9.5</v>
      </c>
      <c r="S133" s="18">
        <v>9.5</v>
      </c>
      <c r="T133" s="18">
        <v>7.5</v>
      </c>
      <c r="U133" s="18">
        <v>9.5</v>
      </c>
      <c r="V133" s="18">
        <v>9.5</v>
      </c>
      <c r="W133" s="18">
        <v>9.5</v>
      </c>
      <c r="X133" s="18">
        <v>7.5</v>
      </c>
      <c r="Y133" s="18">
        <v>9.5</v>
      </c>
      <c r="Z133" s="18">
        <v>9.5</v>
      </c>
      <c r="AA133" s="18">
        <v>9.5</v>
      </c>
      <c r="AB133" s="18">
        <v>7.5</v>
      </c>
      <c r="AC133" s="18">
        <v>9.5</v>
      </c>
      <c r="AD133" s="18">
        <v>9.5</v>
      </c>
      <c r="AE133" s="18">
        <v>9.5</v>
      </c>
      <c r="AF133" s="18">
        <v>7.5</v>
      </c>
      <c r="AG133" s="18">
        <v>9.5</v>
      </c>
      <c r="AH133" s="18">
        <v>9.5</v>
      </c>
      <c r="AI133" s="18">
        <v>9.5</v>
      </c>
      <c r="AJ133" s="18">
        <v>7.5</v>
      </c>
      <c r="AK133" s="18">
        <v>9.5</v>
      </c>
      <c r="AL133" s="18">
        <v>9.5</v>
      </c>
      <c r="AM133" s="18">
        <v>9.5</v>
      </c>
      <c r="AN133" s="18">
        <v>2.5</v>
      </c>
      <c r="AO133" t="b">
        <f t="shared" si="4"/>
        <v>0</v>
      </c>
      <c r="AP133" t="b">
        <f t="shared" si="5"/>
        <v>0</v>
      </c>
    </row>
    <row r="134" spans="1:42" x14ac:dyDescent="0.25">
      <c r="A134" s="18" t="s">
        <v>148</v>
      </c>
      <c r="B134" s="18" t="s">
        <v>149</v>
      </c>
      <c r="C134" s="18" t="s">
        <v>119</v>
      </c>
      <c r="D134" s="18" t="s">
        <v>120</v>
      </c>
      <c r="E134" s="18">
        <v>1</v>
      </c>
      <c r="F134" s="18" t="s">
        <v>152</v>
      </c>
      <c r="G134" s="18" t="s">
        <v>125</v>
      </c>
      <c r="H134" s="18" t="s">
        <v>25</v>
      </c>
      <c r="I134" s="18" t="b">
        <v>0</v>
      </c>
      <c r="J134" s="18" t="b">
        <v>0</v>
      </c>
      <c r="K134" s="18">
        <v>201.5</v>
      </c>
      <c r="L134" s="20">
        <v>1</v>
      </c>
      <c r="M134" s="18">
        <v>13</v>
      </c>
      <c r="N134" s="18">
        <v>4</v>
      </c>
      <c r="O134" s="18">
        <v>0</v>
      </c>
      <c r="P134" s="18">
        <v>11.5</v>
      </c>
      <c r="Q134" s="18">
        <v>0</v>
      </c>
      <c r="R134" s="18">
        <v>9.5</v>
      </c>
      <c r="S134" s="18">
        <v>9.5</v>
      </c>
      <c r="T134" s="18">
        <v>7.5</v>
      </c>
      <c r="U134" s="18">
        <v>9.5</v>
      </c>
      <c r="V134" s="18">
        <v>9.5</v>
      </c>
      <c r="W134" s="18">
        <v>9.5</v>
      </c>
      <c r="X134" s="18">
        <v>7.5</v>
      </c>
      <c r="Y134" s="18">
        <v>9.5</v>
      </c>
      <c r="Z134" s="18">
        <v>9.5</v>
      </c>
      <c r="AA134" s="18">
        <v>9.5</v>
      </c>
      <c r="AB134" s="18">
        <v>7.5</v>
      </c>
      <c r="AC134" s="18">
        <v>9.5</v>
      </c>
      <c r="AD134" s="18">
        <v>9.5</v>
      </c>
      <c r="AE134" s="18">
        <v>9.5</v>
      </c>
      <c r="AF134" s="18">
        <v>7.5</v>
      </c>
      <c r="AG134" s="18">
        <v>9.5</v>
      </c>
      <c r="AH134" s="18">
        <v>9.5</v>
      </c>
      <c r="AI134" s="18">
        <v>9.5</v>
      </c>
      <c r="AJ134" s="18">
        <v>7.5</v>
      </c>
      <c r="AK134" s="18">
        <v>9.5</v>
      </c>
      <c r="AL134" s="18">
        <v>9.5</v>
      </c>
      <c r="AM134" s="18">
        <v>9.5</v>
      </c>
      <c r="AN134" s="18">
        <v>2.5</v>
      </c>
      <c r="AO134" t="b">
        <f t="shared" si="4"/>
        <v>0</v>
      </c>
      <c r="AP134" t="b">
        <f t="shared" si="5"/>
        <v>0</v>
      </c>
    </row>
    <row r="135" spans="1:42" x14ac:dyDescent="0.25">
      <c r="A135" s="18" t="s">
        <v>148</v>
      </c>
      <c r="B135" s="18" t="s">
        <v>149</v>
      </c>
      <c r="C135" s="18" t="s">
        <v>119</v>
      </c>
      <c r="D135" s="18" t="s">
        <v>120</v>
      </c>
      <c r="E135" s="18">
        <v>1</v>
      </c>
      <c r="F135" s="18" t="s">
        <v>136</v>
      </c>
      <c r="G135" s="18" t="s">
        <v>126</v>
      </c>
      <c r="H135" s="18" t="s">
        <v>6</v>
      </c>
      <c r="I135" s="18" t="b">
        <v>0</v>
      </c>
      <c r="J135" s="18" t="b">
        <v>0</v>
      </c>
      <c r="K135" s="18">
        <v>201.5</v>
      </c>
      <c r="L135" s="20">
        <v>1</v>
      </c>
      <c r="M135" s="18">
        <v>13</v>
      </c>
      <c r="N135" s="18">
        <v>4</v>
      </c>
      <c r="O135" s="18">
        <v>0</v>
      </c>
      <c r="P135" s="18">
        <v>11.5</v>
      </c>
      <c r="Q135" s="18">
        <v>0</v>
      </c>
      <c r="R135" s="18">
        <v>9.5</v>
      </c>
      <c r="S135" s="18">
        <v>9.5</v>
      </c>
      <c r="T135" s="18">
        <v>7.5</v>
      </c>
      <c r="U135" s="18">
        <v>9.5</v>
      </c>
      <c r="V135" s="18">
        <v>9.5</v>
      </c>
      <c r="W135" s="18">
        <v>9.5</v>
      </c>
      <c r="X135" s="18">
        <v>7.5</v>
      </c>
      <c r="Y135" s="18">
        <v>9.5</v>
      </c>
      <c r="Z135" s="18">
        <v>9.5</v>
      </c>
      <c r="AA135" s="18">
        <v>9.5</v>
      </c>
      <c r="AB135" s="18">
        <v>7.5</v>
      </c>
      <c r="AC135" s="18">
        <v>9.5</v>
      </c>
      <c r="AD135" s="18">
        <v>9.5</v>
      </c>
      <c r="AE135" s="18">
        <v>9.5</v>
      </c>
      <c r="AF135" s="18">
        <v>7.5</v>
      </c>
      <c r="AG135" s="18">
        <v>9.5</v>
      </c>
      <c r="AH135" s="18">
        <v>9.5</v>
      </c>
      <c r="AI135" s="18">
        <v>9.5</v>
      </c>
      <c r="AJ135" s="18">
        <v>7.5</v>
      </c>
      <c r="AK135" s="18">
        <v>9.5</v>
      </c>
      <c r="AL135" s="18">
        <v>9.5</v>
      </c>
      <c r="AM135" s="18">
        <v>9.5</v>
      </c>
      <c r="AN135" s="18">
        <v>2.5</v>
      </c>
      <c r="AO135" t="b">
        <f t="shared" si="4"/>
        <v>0</v>
      </c>
      <c r="AP135" t="b">
        <f t="shared" si="5"/>
        <v>0</v>
      </c>
    </row>
    <row r="136" spans="1:42" x14ac:dyDescent="0.25">
      <c r="A136" s="18" t="s">
        <v>148</v>
      </c>
      <c r="B136" s="18" t="s">
        <v>149</v>
      </c>
      <c r="C136" s="18" t="s">
        <v>119</v>
      </c>
      <c r="D136" s="18" t="s">
        <v>120</v>
      </c>
      <c r="E136" s="18">
        <v>1</v>
      </c>
      <c r="F136" s="18" t="s">
        <v>153</v>
      </c>
      <c r="G136" s="18" t="s">
        <v>127</v>
      </c>
      <c r="H136" s="18" t="s">
        <v>7</v>
      </c>
      <c r="I136" s="18" t="b">
        <v>0</v>
      </c>
      <c r="J136" s="18" t="b">
        <v>0</v>
      </c>
      <c r="K136" s="18">
        <v>201.5</v>
      </c>
      <c r="L136" s="20">
        <v>1</v>
      </c>
      <c r="M136" s="18">
        <v>13</v>
      </c>
      <c r="N136" s="18">
        <v>4</v>
      </c>
      <c r="O136" s="18">
        <v>0</v>
      </c>
      <c r="P136" s="18">
        <v>11.5</v>
      </c>
      <c r="Q136" s="18">
        <v>0</v>
      </c>
      <c r="R136" s="18">
        <v>9.5</v>
      </c>
      <c r="S136" s="18">
        <v>9.5</v>
      </c>
      <c r="T136" s="18">
        <v>7.5</v>
      </c>
      <c r="U136" s="18">
        <v>9.5</v>
      </c>
      <c r="V136" s="18">
        <v>9.5</v>
      </c>
      <c r="W136" s="18">
        <v>9.5</v>
      </c>
      <c r="X136" s="18">
        <v>7.5</v>
      </c>
      <c r="Y136" s="18">
        <v>9.5</v>
      </c>
      <c r="Z136" s="18">
        <v>9.5</v>
      </c>
      <c r="AA136" s="18">
        <v>9.5</v>
      </c>
      <c r="AB136" s="18">
        <v>7.5</v>
      </c>
      <c r="AC136" s="18">
        <v>9.5</v>
      </c>
      <c r="AD136" s="18">
        <v>9.5</v>
      </c>
      <c r="AE136" s="18">
        <v>9.5</v>
      </c>
      <c r="AF136" s="18">
        <v>7.5</v>
      </c>
      <c r="AG136" s="18">
        <v>9.5</v>
      </c>
      <c r="AH136" s="18">
        <v>9.5</v>
      </c>
      <c r="AI136" s="18">
        <v>9.5</v>
      </c>
      <c r="AJ136" s="18">
        <v>7.5</v>
      </c>
      <c r="AK136" s="18">
        <v>9.5</v>
      </c>
      <c r="AL136" s="18">
        <v>9.5</v>
      </c>
      <c r="AM136" s="18">
        <v>9.5</v>
      </c>
      <c r="AN136" s="18">
        <v>2.5</v>
      </c>
      <c r="AO136" t="b">
        <f t="shared" si="4"/>
        <v>0</v>
      </c>
      <c r="AP136" t="b">
        <f t="shared" si="5"/>
        <v>0</v>
      </c>
    </row>
    <row r="137" spans="1:42" x14ac:dyDescent="0.25">
      <c r="A137" s="18" t="s">
        <v>148</v>
      </c>
      <c r="B137" s="18" t="s">
        <v>149</v>
      </c>
      <c r="C137" s="18" t="s">
        <v>119</v>
      </c>
      <c r="D137" s="18" t="s">
        <v>120</v>
      </c>
      <c r="E137" s="18">
        <v>1</v>
      </c>
      <c r="F137" s="18" t="s">
        <v>154</v>
      </c>
      <c r="G137" s="18" t="s">
        <v>137</v>
      </c>
      <c r="H137" s="18" t="s">
        <v>29</v>
      </c>
      <c r="I137" s="18" t="b">
        <v>0</v>
      </c>
      <c r="J137" s="18" t="b">
        <v>1</v>
      </c>
      <c r="K137" s="18">
        <v>201.5</v>
      </c>
      <c r="L137" s="20">
        <v>1</v>
      </c>
      <c r="M137" s="18">
        <v>13</v>
      </c>
      <c r="N137" s="18">
        <v>4</v>
      </c>
      <c r="O137" s="18">
        <v>0</v>
      </c>
      <c r="P137" s="18">
        <v>11.5</v>
      </c>
      <c r="Q137" s="18">
        <v>0</v>
      </c>
      <c r="R137" s="18">
        <v>9.5</v>
      </c>
      <c r="S137" s="18">
        <v>9.5</v>
      </c>
      <c r="T137" s="18">
        <v>7.5</v>
      </c>
      <c r="U137" s="18">
        <v>9.5</v>
      </c>
      <c r="V137" s="18">
        <v>9.5</v>
      </c>
      <c r="W137" s="18">
        <v>9.5</v>
      </c>
      <c r="X137" s="18">
        <v>7.5</v>
      </c>
      <c r="Y137" s="18">
        <v>9.5</v>
      </c>
      <c r="Z137" s="18">
        <v>9.5</v>
      </c>
      <c r="AA137" s="18">
        <v>9.5</v>
      </c>
      <c r="AB137" s="18">
        <v>7.5</v>
      </c>
      <c r="AC137" s="18">
        <v>9.5</v>
      </c>
      <c r="AD137" s="18">
        <v>9.5</v>
      </c>
      <c r="AE137" s="18">
        <v>9.5</v>
      </c>
      <c r="AF137" s="18">
        <v>7.5</v>
      </c>
      <c r="AG137" s="18">
        <v>9.5</v>
      </c>
      <c r="AH137" s="18">
        <v>9.5</v>
      </c>
      <c r="AI137" s="18">
        <v>9.5</v>
      </c>
      <c r="AJ137" s="18">
        <v>7.5</v>
      </c>
      <c r="AK137" s="18">
        <v>9.5</v>
      </c>
      <c r="AL137" s="18">
        <v>9.5</v>
      </c>
      <c r="AM137" s="18">
        <v>9.5</v>
      </c>
      <c r="AN137" s="18">
        <v>2.5</v>
      </c>
      <c r="AO137" t="b">
        <f t="shared" si="4"/>
        <v>0</v>
      </c>
      <c r="AP137" t="b">
        <f t="shared" si="5"/>
        <v>0</v>
      </c>
    </row>
    <row r="138" spans="1:42" x14ac:dyDescent="0.25">
      <c r="A138" s="18" t="s">
        <v>155</v>
      </c>
      <c r="B138" s="18" t="s">
        <v>149</v>
      </c>
      <c r="C138" s="18" t="s">
        <v>128</v>
      </c>
      <c r="D138" s="18" t="s">
        <v>129</v>
      </c>
      <c r="E138" s="18">
        <v>2</v>
      </c>
      <c r="F138" s="18" t="s">
        <v>3</v>
      </c>
      <c r="G138" s="19" t="s">
        <v>121</v>
      </c>
      <c r="H138" s="19" t="s">
        <v>121</v>
      </c>
      <c r="I138" s="19" t="s">
        <v>121</v>
      </c>
      <c r="J138" s="19" t="s">
        <v>121</v>
      </c>
      <c r="K138" s="18">
        <v>302.25</v>
      </c>
      <c r="L138" s="21" t="s">
        <v>121</v>
      </c>
      <c r="M138" s="18">
        <v>39</v>
      </c>
      <c r="N138" s="18">
        <v>12</v>
      </c>
      <c r="O138" s="18">
        <v>0</v>
      </c>
      <c r="P138" s="18">
        <v>34.5</v>
      </c>
      <c r="Q138" s="18">
        <v>0</v>
      </c>
      <c r="R138" s="18">
        <v>28.5</v>
      </c>
      <c r="S138" s="18">
        <v>28.5</v>
      </c>
      <c r="T138" s="18">
        <v>22.5</v>
      </c>
      <c r="U138" s="18">
        <v>28.5</v>
      </c>
      <c r="V138" s="18">
        <v>28.5</v>
      </c>
      <c r="W138" s="18">
        <v>28.5</v>
      </c>
      <c r="X138" s="18">
        <v>22.5</v>
      </c>
      <c r="Y138" s="18">
        <v>28.5</v>
      </c>
      <c r="Z138" s="18">
        <v>28.5</v>
      </c>
      <c r="AA138" s="18">
        <v>28.5</v>
      </c>
      <c r="AB138" s="18">
        <v>22.5</v>
      </c>
      <c r="AC138" s="18">
        <v>28.5</v>
      </c>
      <c r="AD138" s="18">
        <v>28.5</v>
      </c>
      <c r="AE138" s="18">
        <v>28.5</v>
      </c>
      <c r="AF138" s="18">
        <v>22.5</v>
      </c>
      <c r="AG138" s="18">
        <v>28.5</v>
      </c>
      <c r="AH138" s="18">
        <v>28.5</v>
      </c>
      <c r="AI138" s="18">
        <v>28.5</v>
      </c>
      <c r="AJ138" s="18">
        <v>22.5</v>
      </c>
      <c r="AK138" s="18">
        <v>28.5</v>
      </c>
      <c r="AL138" s="18">
        <v>28.5</v>
      </c>
      <c r="AM138" s="18">
        <v>28.5</v>
      </c>
      <c r="AN138" s="18">
        <v>7.5</v>
      </c>
      <c r="AO138" t="str">
        <f t="shared" si="4"/>
        <v/>
      </c>
      <c r="AP138" t="str">
        <f t="shared" si="5"/>
        <v/>
      </c>
    </row>
    <row r="139" spans="1:42" x14ac:dyDescent="0.25">
      <c r="A139" s="18" t="s">
        <v>155</v>
      </c>
      <c r="B139" s="18" t="s">
        <v>149</v>
      </c>
      <c r="C139" s="18" t="s">
        <v>128</v>
      </c>
      <c r="D139" s="18" t="s">
        <v>129</v>
      </c>
      <c r="E139" s="18">
        <v>2</v>
      </c>
      <c r="F139" s="18" t="s">
        <v>150</v>
      </c>
      <c r="G139" s="18" t="s">
        <v>133</v>
      </c>
      <c r="H139" s="18" t="s">
        <v>31</v>
      </c>
      <c r="I139" s="18" t="b">
        <v>1</v>
      </c>
      <c r="J139" s="18" t="b">
        <v>0</v>
      </c>
      <c r="K139" s="18">
        <v>201.5</v>
      </c>
      <c r="M139" s="18">
        <v>13</v>
      </c>
      <c r="N139" s="18">
        <v>4</v>
      </c>
      <c r="O139" s="18">
        <v>0</v>
      </c>
      <c r="P139" s="18">
        <v>11.5</v>
      </c>
      <c r="Q139" s="18">
        <v>0</v>
      </c>
      <c r="R139" s="18">
        <v>9.5</v>
      </c>
      <c r="S139" s="18">
        <v>9.5</v>
      </c>
      <c r="T139" s="18">
        <v>7.5</v>
      </c>
      <c r="U139" s="18">
        <v>9.5</v>
      </c>
      <c r="V139" s="18">
        <v>9.5</v>
      </c>
      <c r="W139" s="18">
        <v>9.5</v>
      </c>
      <c r="X139" s="18">
        <v>7.5</v>
      </c>
      <c r="Y139" s="18">
        <v>9.5</v>
      </c>
      <c r="Z139" s="18">
        <v>9.5</v>
      </c>
      <c r="AA139" s="18">
        <v>9.5</v>
      </c>
      <c r="AB139" s="18">
        <v>7.5</v>
      </c>
      <c r="AC139" s="18">
        <v>9.5</v>
      </c>
      <c r="AD139" s="18">
        <v>9.5</v>
      </c>
      <c r="AE139" s="18">
        <v>9.5</v>
      </c>
      <c r="AF139" s="18">
        <v>7.5</v>
      </c>
      <c r="AG139" s="18">
        <v>9.5</v>
      </c>
      <c r="AH139" s="18">
        <v>9.5</v>
      </c>
      <c r="AI139" s="18">
        <v>9.5</v>
      </c>
      <c r="AJ139" s="18">
        <v>7.5</v>
      </c>
      <c r="AK139" s="18">
        <v>9.5</v>
      </c>
      <c r="AL139" s="18">
        <v>9.5</v>
      </c>
      <c r="AM139" s="18">
        <v>9.5</v>
      </c>
      <c r="AN139" s="18">
        <v>2.5</v>
      </c>
      <c r="AO139" t="str">
        <f t="shared" si="4"/>
        <v/>
      </c>
      <c r="AP139" t="str">
        <f t="shared" si="5"/>
        <v/>
      </c>
    </row>
    <row r="140" spans="1:42" x14ac:dyDescent="0.25">
      <c r="A140" s="18" t="s">
        <v>155</v>
      </c>
      <c r="B140" s="18" t="s">
        <v>149</v>
      </c>
      <c r="C140" s="18" t="s">
        <v>128</v>
      </c>
      <c r="D140" s="18" t="s">
        <v>129</v>
      </c>
      <c r="E140" s="18">
        <v>2</v>
      </c>
      <c r="F140" s="18" t="s">
        <v>151</v>
      </c>
      <c r="G140" s="18" t="s">
        <v>123</v>
      </c>
      <c r="H140" s="18" t="s">
        <v>4</v>
      </c>
      <c r="I140" s="18" t="b">
        <v>0</v>
      </c>
      <c r="J140" s="18" t="b">
        <v>0</v>
      </c>
      <c r="K140" s="18">
        <v>201.5</v>
      </c>
      <c r="L140" s="20">
        <v>1</v>
      </c>
      <c r="M140" s="18">
        <v>13</v>
      </c>
      <c r="N140" s="18">
        <v>4</v>
      </c>
      <c r="O140" s="18">
        <v>0</v>
      </c>
      <c r="P140" s="18">
        <v>11.5</v>
      </c>
      <c r="Q140" s="18">
        <v>0</v>
      </c>
      <c r="R140" s="18">
        <v>9.5</v>
      </c>
      <c r="S140" s="18">
        <v>9.5</v>
      </c>
      <c r="T140" s="18">
        <v>7.5</v>
      </c>
      <c r="U140" s="18">
        <v>9.5</v>
      </c>
      <c r="V140" s="18">
        <v>9.5</v>
      </c>
      <c r="W140" s="18">
        <v>9.5</v>
      </c>
      <c r="X140" s="18">
        <v>7.5</v>
      </c>
      <c r="Y140" s="18">
        <v>9.5</v>
      </c>
      <c r="Z140" s="18">
        <v>9.5</v>
      </c>
      <c r="AA140" s="18">
        <v>9.5</v>
      </c>
      <c r="AB140" s="18">
        <v>7.5</v>
      </c>
      <c r="AC140" s="18">
        <v>9.5</v>
      </c>
      <c r="AD140" s="18">
        <v>9.5</v>
      </c>
      <c r="AE140" s="18">
        <v>9.5</v>
      </c>
      <c r="AF140" s="18">
        <v>7.5</v>
      </c>
      <c r="AG140" s="18">
        <v>9.5</v>
      </c>
      <c r="AH140" s="18">
        <v>9.5</v>
      </c>
      <c r="AI140" s="18">
        <v>9.5</v>
      </c>
      <c r="AJ140" s="18">
        <v>7.5</v>
      </c>
      <c r="AK140" s="18">
        <v>9.5</v>
      </c>
      <c r="AL140" s="18">
        <v>9.5</v>
      </c>
      <c r="AM140" s="18">
        <v>9.5</v>
      </c>
      <c r="AN140" s="18">
        <v>2.5</v>
      </c>
      <c r="AO140" t="b">
        <f t="shared" si="4"/>
        <v>0</v>
      </c>
      <c r="AP140" t="b">
        <f t="shared" si="5"/>
        <v>0</v>
      </c>
    </row>
    <row r="141" spans="1:42" x14ac:dyDescent="0.25">
      <c r="A141" s="18" t="s">
        <v>155</v>
      </c>
      <c r="B141" s="18" t="s">
        <v>149</v>
      </c>
      <c r="C141" s="18" t="s">
        <v>128</v>
      </c>
      <c r="D141" s="18" t="s">
        <v>129</v>
      </c>
      <c r="E141" s="18">
        <v>2</v>
      </c>
      <c r="F141" s="18" t="s">
        <v>134</v>
      </c>
      <c r="G141" s="18" t="s">
        <v>135</v>
      </c>
      <c r="H141" s="18" t="s">
        <v>5</v>
      </c>
      <c r="I141" s="18" t="b">
        <v>0</v>
      </c>
      <c r="J141" s="18" t="b">
        <v>0</v>
      </c>
      <c r="K141" s="18">
        <v>201.5</v>
      </c>
      <c r="L141" s="20">
        <v>1</v>
      </c>
      <c r="M141" s="18">
        <v>13</v>
      </c>
      <c r="N141" s="18">
        <v>4</v>
      </c>
      <c r="O141" s="18">
        <v>0</v>
      </c>
      <c r="P141" s="18">
        <v>11.5</v>
      </c>
      <c r="Q141" s="18">
        <v>0</v>
      </c>
      <c r="R141" s="18">
        <v>9.5</v>
      </c>
      <c r="S141" s="18">
        <v>9.5</v>
      </c>
      <c r="T141" s="18">
        <v>7.5</v>
      </c>
      <c r="U141" s="18">
        <v>9.5</v>
      </c>
      <c r="V141" s="18">
        <v>9.5</v>
      </c>
      <c r="W141" s="18">
        <v>9.5</v>
      </c>
      <c r="X141" s="18">
        <v>7.5</v>
      </c>
      <c r="Y141" s="18">
        <v>9.5</v>
      </c>
      <c r="Z141" s="18">
        <v>9.5</v>
      </c>
      <c r="AA141" s="18">
        <v>9.5</v>
      </c>
      <c r="AB141" s="18">
        <v>7.5</v>
      </c>
      <c r="AC141" s="18">
        <v>9.5</v>
      </c>
      <c r="AD141" s="18">
        <v>9.5</v>
      </c>
      <c r="AE141" s="18">
        <v>9.5</v>
      </c>
      <c r="AF141" s="18">
        <v>7.5</v>
      </c>
      <c r="AG141" s="18">
        <v>9.5</v>
      </c>
      <c r="AH141" s="18">
        <v>9.5</v>
      </c>
      <c r="AI141" s="18">
        <v>9.5</v>
      </c>
      <c r="AJ141" s="18">
        <v>7.5</v>
      </c>
      <c r="AK141" s="18">
        <v>9.5</v>
      </c>
      <c r="AL141" s="18">
        <v>9.5</v>
      </c>
      <c r="AM141" s="18">
        <v>9.5</v>
      </c>
      <c r="AN141" s="18">
        <v>2.5</v>
      </c>
      <c r="AO141" t="b">
        <f t="shared" si="4"/>
        <v>0</v>
      </c>
      <c r="AP141" t="b">
        <f t="shared" si="5"/>
        <v>0</v>
      </c>
    </row>
    <row r="142" spans="1:42" x14ac:dyDescent="0.25">
      <c r="A142" s="18" t="s">
        <v>155</v>
      </c>
      <c r="B142" s="18" t="s">
        <v>149</v>
      </c>
      <c r="C142" s="18" t="s">
        <v>128</v>
      </c>
      <c r="D142" s="18" t="s">
        <v>129</v>
      </c>
      <c r="E142" s="18">
        <v>2</v>
      </c>
      <c r="F142" s="18" t="s">
        <v>152</v>
      </c>
      <c r="G142" s="18" t="s">
        <v>125</v>
      </c>
      <c r="H142" s="18" t="s">
        <v>25</v>
      </c>
      <c r="I142" s="18" t="b">
        <v>0</v>
      </c>
      <c r="J142" s="18" t="b">
        <v>0</v>
      </c>
      <c r="K142" s="18">
        <v>201.5</v>
      </c>
      <c r="L142" s="20">
        <v>1</v>
      </c>
      <c r="M142" s="18">
        <v>13</v>
      </c>
      <c r="N142" s="18">
        <v>4</v>
      </c>
      <c r="O142" s="18">
        <v>0</v>
      </c>
      <c r="P142" s="18">
        <v>11.5</v>
      </c>
      <c r="Q142" s="18">
        <v>0</v>
      </c>
      <c r="R142" s="18">
        <v>9.5</v>
      </c>
      <c r="S142" s="18">
        <v>9.5</v>
      </c>
      <c r="T142" s="18">
        <v>7.5</v>
      </c>
      <c r="U142" s="18">
        <v>9.5</v>
      </c>
      <c r="V142" s="18">
        <v>9.5</v>
      </c>
      <c r="W142" s="18">
        <v>9.5</v>
      </c>
      <c r="X142" s="18">
        <v>7.5</v>
      </c>
      <c r="Y142" s="18">
        <v>9.5</v>
      </c>
      <c r="Z142" s="18">
        <v>9.5</v>
      </c>
      <c r="AA142" s="18">
        <v>9.5</v>
      </c>
      <c r="AB142" s="18">
        <v>7.5</v>
      </c>
      <c r="AC142" s="18">
        <v>9.5</v>
      </c>
      <c r="AD142" s="18">
        <v>9.5</v>
      </c>
      <c r="AE142" s="18">
        <v>9.5</v>
      </c>
      <c r="AF142" s="18">
        <v>7.5</v>
      </c>
      <c r="AG142" s="18">
        <v>9.5</v>
      </c>
      <c r="AH142" s="18">
        <v>9.5</v>
      </c>
      <c r="AI142" s="18">
        <v>9.5</v>
      </c>
      <c r="AJ142" s="18">
        <v>7.5</v>
      </c>
      <c r="AK142" s="18">
        <v>9.5</v>
      </c>
      <c r="AL142" s="18">
        <v>9.5</v>
      </c>
      <c r="AM142" s="18">
        <v>9.5</v>
      </c>
      <c r="AN142" s="18">
        <v>2.5</v>
      </c>
      <c r="AO142" t="b">
        <f t="shared" si="4"/>
        <v>0</v>
      </c>
      <c r="AP142" t="b">
        <f t="shared" si="5"/>
        <v>0</v>
      </c>
    </row>
    <row r="143" spans="1:42" x14ac:dyDescent="0.25">
      <c r="A143" s="18" t="s">
        <v>155</v>
      </c>
      <c r="B143" s="18" t="s">
        <v>149</v>
      </c>
      <c r="C143" s="18" t="s">
        <v>128</v>
      </c>
      <c r="D143" s="18" t="s">
        <v>129</v>
      </c>
      <c r="E143" s="18">
        <v>2</v>
      </c>
      <c r="F143" s="18" t="s">
        <v>136</v>
      </c>
      <c r="G143" s="18" t="s">
        <v>126</v>
      </c>
      <c r="H143" s="18" t="s">
        <v>6</v>
      </c>
      <c r="I143" s="18" t="b">
        <v>0</v>
      </c>
      <c r="J143" s="18" t="b">
        <v>0</v>
      </c>
      <c r="K143" s="18">
        <v>201.5</v>
      </c>
      <c r="L143" s="20">
        <v>1</v>
      </c>
      <c r="M143" s="18">
        <v>13</v>
      </c>
      <c r="N143" s="18">
        <v>4</v>
      </c>
      <c r="O143" s="18">
        <v>0</v>
      </c>
      <c r="P143" s="18">
        <v>11.5</v>
      </c>
      <c r="Q143" s="18">
        <v>0</v>
      </c>
      <c r="R143" s="18">
        <v>9.5</v>
      </c>
      <c r="S143" s="18">
        <v>9.5</v>
      </c>
      <c r="T143" s="18">
        <v>7.5</v>
      </c>
      <c r="U143" s="18">
        <v>9.5</v>
      </c>
      <c r="V143" s="18">
        <v>9.5</v>
      </c>
      <c r="W143" s="18">
        <v>9.5</v>
      </c>
      <c r="X143" s="18">
        <v>7.5</v>
      </c>
      <c r="Y143" s="18">
        <v>9.5</v>
      </c>
      <c r="Z143" s="18">
        <v>9.5</v>
      </c>
      <c r="AA143" s="18">
        <v>9.5</v>
      </c>
      <c r="AB143" s="18">
        <v>7.5</v>
      </c>
      <c r="AC143" s="18">
        <v>9.5</v>
      </c>
      <c r="AD143" s="18">
        <v>9.5</v>
      </c>
      <c r="AE143" s="18">
        <v>9.5</v>
      </c>
      <c r="AF143" s="18">
        <v>7.5</v>
      </c>
      <c r="AG143" s="18">
        <v>9.5</v>
      </c>
      <c r="AH143" s="18">
        <v>9.5</v>
      </c>
      <c r="AI143" s="18">
        <v>9.5</v>
      </c>
      <c r="AJ143" s="18">
        <v>7.5</v>
      </c>
      <c r="AK143" s="18">
        <v>9.5</v>
      </c>
      <c r="AL143" s="18">
        <v>9.5</v>
      </c>
      <c r="AM143" s="18">
        <v>9.5</v>
      </c>
      <c r="AN143" s="18">
        <v>2.5</v>
      </c>
      <c r="AO143" t="b">
        <f t="shared" si="4"/>
        <v>0</v>
      </c>
      <c r="AP143" t="b">
        <f t="shared" si="5"/>
        <v>0</v>
      </c>
    </row>
    <row r="144" spans="1:42" x14ac:dyDescent="0.25">
      <c r="A144" s="18" t="s">
        <v>155</v>
      </c>
      <c r="B144" s="18" t="s">
        <v>149</v>
      </c>
      <c r="C144" s="18" t="s">
        <v>128</v>
      </c>
      <c r="D144" s="18" t="s">
        <v>129</v>
      </c>
      <c r="E144" s="18">
        <v>2</v>
      </c>
      <c r="F144" s="18" t="s">
        <v>153</v>
      </c>
      <c r="G144" s="18" t="s">
        <v>127</v>
      </c>
      <c r="H144" s="18" t="s">
        <v>7</v>
      </c>
      <c r="I144" s="18" t="b">
        <v>0</v>
      </c>
      <c r="J144" s="18" t="b">
        <v>0</v>
      </c>
      <c r="K144" s="18">
        <v>201.5</v>
      </c>
      <c r="L144" s="20">
        <v>1</v>
      </c>
      <c r="M144" s="18">
        <v>13</v>
      </c>
      <c r="N144" s="18">
        <v>4</v>
      </c>
      <c r="O144" s="18">
        <v>0</v>
      </c>
      <c r="P144" s="18">
        <v>11.5</v>
      </c>
      <c r="Q144" s="18">
        <v>0</v>
      </c>
      <c r="R144" s="18">
        <v>9.5</v>
      </c>
      <c r="S144" s="18">
        <v>9.5</v>
      </c>
      <c r="T144" s="18">
        <v>7.5</v>
      </c>
      <c r="U144" s="18">
        <v>9.5</v>
      </c>
      <c r="V144" s="18">
        <v>9.5</v>
      </c>
      <c r="W144" s="18">
        <v>9.5</v>
      </c>
      <c r="X144" s="18">
        <v>7.5</v>
      </c>
      <c r="Y144" s="18">
        <v>9.5</v>
      </c>
      <c r="Z144" s="18">
        <v>9.5</v>
      </c>
      <c r="AA144" s="18">
        <v>9.5</v>
      </c>
      <c r="AB144" s="18">
        <v>7.5</v>
      </c>
      <c r="AC144" s="18">
        <v>9.5</v>
      </c>
      <c r="AD144" s="18">
        <v>9.5</v>
      </c>
      <c r="AE144" s="18">
        <v>9.5</v>
      </c>
      <c r="AF144" s="18">
        <v>7.5</v>
      </c>
      <c r="AG144" s="18">
        <v>9.5</v>
      </c>
      <c r="AH144" s="18">
        <v>9.5</v>
      </c>
      <c r="AI144" s="18">
        <v>9.5</v>
      </c>
      <c r="AJ144" s="18">
        <v>7.5</v>
      </c>
      <c r="AK144" s="18">
        <v>9.5</v>
      </c>
      <c r="AL144" s="18">
        <v>9.5</v>
      </c>
      <c r="AM144" s="18">
        <v>9.5</v>
      </c>
      <c r="AN144" s="18">
        <v>2.5</v>
      </c>
      <c r="AO144" t="b">
        <f t="shared" si="4"/>
        <v>0</v>
      </c>
      <c r="AP144" t="b">
        <f t="shared" si="5"/>
        <v>0</v>
      </c>
    </row>
    <row r="145" spans="1:42" x14ac:dyDescent="0.25">
      <c r="A145" s="18" t="s">
        <v>155</v>
      </c>
      <c r="B145" s="18" t="s">
        <v>149</v>
      </c>
      <c r="C145" s="18" t="s">
        <v>128</v>
      </c>
      <c r="D145" s="18" t="s">
        <v>129</v>
      </c>
      <c r="E145" s="18">
        <v>2</v>
      </c>
      <c r="F145" s="18" t="s">
        <v>154</v>
      </c>
      <c r="G145" s="18" t="s">
        <v>137</v>
      </c>
      <c r="H145" s="18" t="s">
        <v>29</v>
      </c>
      <c r="I145" s="18" t="b">
        <v>0</v>
      </c>
      <c r="J145" s="18" t="b">
        <v>1</v>
      </c>
      <c r="K145" s="18">
        <v>201.5</v>
      </c>
      <c r="L145" s="20">
        <v>1</v>
      </c>
      <c r="M145" s="18">
        <v>13</v>
      </c>
      <c r="N145" s="18">
        <v>4</v>
      </c>
      <c r="O145" s="18">
        <v>0</v>
      </c>
      <c r="P145" s="18">
        <v>11.5</v>
      </c>
      <c r="Q145" s="18">
        <v>0</v>
      </c>
      <c r="R145" s="18">
        <v>9.5</v>
      </c>
      <c r="S145" s="18">
        <v>9.5</v>
      </c>
      <c r="T145" s="18">
        <v>7.5</v>
      </c>
      <c r="U145" s="18">
        <v>9.5</v>
      </c>
      <c r="V145" s="18">
        <v>9.5</v>
      </c>
      <c r="W145" s="18">
        <v>9.5</v>
      </c>
      <c r="X145" s="18">
        <v>7.5</v>
      </c>
      <c r="Y145" s="18">
        <v>9.5</v>
      </c>
      <c r="Z145" s="18">
        <v>9.5</v>
      </c>
      <c r="AA145" s="18">
        <v>9.5</v>
      </c>
      <c r="AB145" s="18">
        <v>7.5</v>
      </c>
      <c r="AC145" s="18">
        <v>9.5</v>
      </c>
      <c r="AD145" s="18">
        <v>9.5</v>
      </c>
      <c r="AE145" s="18">
        <v>9.5</v>
      </c>
      <c r="AF145" s="18">
        <v>7.5</v>
      </c>
      <c r="AG145" s="18">
        <v>9.5</v>
      </c>
      <c r="AH145" s="18">
        <v>9.5</v>
      </c>
      <c r="AI145" s="18">
        <v>9.5</v>
      </c>
      <c r="AJ145" s="18">
        <v>7.5</v>
      </c>
      <c r="AK145" s="18">
        <v>9.5</v>
      </c>
      <c r="AL145" s="18">
        <v>9.5</v>
      </c>
      <c r="AM145" s="18">
        <v>9.5</v>
      </c>
      <c r="AN145" s="18">
        <v>2.5</v>
      </c>
      <c r="AO145" t="b">
        <f t="shared" si="4"/>
        <v>0</v>
      </c>
      <c r="AP145" t="b">
        <f t="shared" si="5"/>
        <v>0</v>
      </c>
    </row>
    <row r="146" spans="1:42" x14ac:dyDescent="0.25">
      <c r="A146" s="18" t="s">
        <v>156</v>
      </c>
      <c r="B146" s="18" t="s">
        <v>149</v>
      </c>
      <c r="C146" s="18" t="s">
        <v>130</v>
      </c>
      <c r="D146" s="18" t="s">
        <v>126</v>
      </c>
      <c r="E146" s="18">
        <v>3</v>
      </c>
      <c r="F146" s="18" t="s">
        <v>3</v>
      </c>
      <c r="G146" s="19" t="s">
        <v>121</v>
      </c>
      <c r="H146" s="19" t="s">
        <v>121</v>
      </c>
      <c r="I146" s="19" t="s">
        <v>121</v>
      </c>
      <c r="J146" s="19" t="s">
        <v>121</v>
      </c>
      <c r="K146" s="18">
        <v>302.25</v>
      </c>
      <c r="L146" s="21" t="s">
        <v>121</v>
      </c>
      <c r="M146" s="18">
        <v>39</v>
      </c>
      <c r="N146" s="18">
        <v>12</v>
      </c>
      <c r="O146" s="18">
        <v>0</v>
      </c>
      <c r="P146" s="18">
        <v>34.5</v>
      </c>
      <c r="Q146" s="18">
        <v>0</v>
      </c>
      <c r="R146" s="18">
        <v>28.5</v>
      </c>
      <c r="S146" s="18">
        <v>28.5</v>
      </c>
      <c r="T146" s="18">
        <v>22.5</v>
      </c>
      <c r="U146" s="18">
        <v>28.5</v>
      </c>
      <c r="V146" s="18">
        <v>28.5</v>
      </c>
      <c r="W146" s="18">
        <v>28.5</v>
      </c>
      <c r="X146" s="18">
        <v>22.5</v>
      </c>
      <c r="Y146" s="18">
        <v>28.5</v>
      </c>
      <c r="Z146" s="18">
        <v>28.5</v>
      </c>
      <c r="AA146" s="18">
        <v>28.5</v>
      </c>
      <c r="AB146" s="18">
        <v>22.5</v>
      </c>
      <c r="AC146" s="18">
        <v>28.5</v>
      </c>
      <c r="AD146" s="18">
        <v>28.5</v>
      </c>
      <c r="AE146" s="18">
        <v>28.5</v>
      </c>
      <c r="AF146" s="18">
        <v>22.5</v>
      </c>
      <c r="AG146" s="18">
        <v>28.5</v>
      </c>
      <c r="AH146" s="18">
        <v>28.5</v>
      </c>
      <c r="AI146" s="18">
        <v>28.5</v>
      </c>
      <c r="AJ146" s="18">
        <v>22.5</v>
      </c>
      <c r="AK146" s="18">
        <v>28.5</v>
      </c>
      <c r="AL146" s="18">
        <v>28.5</v>
      </c>
      <c r="AM146" s="18">
        <v>28.5</v>
      </c>
      <c r="AN146" s="18">
        <v>7.5</v>
      </c>
      <c r="AO146" t="str">
        <f t="shared" si="4"/>
        <v/>
      </c>
      <c r="AP146" t="str">
        <f t="shared" si="5"/>
        <v/>
      </c>
    </row>
    <row r="147" spans="1:42" x14ac:dyDescent="0.25">
      <c r="A147" s="18" t="s">
        <v>156</v>
      </c>
      <c r="B147" s="18" t="s">
        <v>149</v>
      </c>
      <c r="C147" s="18" t="s">
        <v>130</v>
      </c>
      <c r="D147" s="18" t="s">
        <v>126</v>
      </c>
      <c r="E147" s="18">
        <v>3</v>
      </c>
      <c r="F147" s="18" t="s">
        <v>150</v>
      </c>
      <c r="G147" s="18" t="s">
        <v>133</v>
      </c>
      <c r="H147" s="18" t="s">
        <v>31</v>
      </c>
      <c r="I147" s="18" t="b">
        <v>1</v>
      </c>
      <c r="J147" s="18" t="b">
        <v>0</v>
      </c>
      <c r="K147" s="18">
        <v>201.5</v>
      </c>
      <c r="M147" s="18">
        <v>13</v>
      </c>
      <c r="N147" s="18">
        <v>4</v>
      </c>
      <c r="O147" s="18">
        <v>0</v>
      </c>
      <c r="P147" s="18">
        <v>11.5</v>
      </c>
      <c r="Q147" s="18">
        <v>0</v>
      </c>
      <c r="R147" s="18">
        <v>9.5</v>
      </c>
      <c r="S147" s="18">
        <v>9.5</v>
      </c>
      <c r="T147" s="18">
        <v>7.5</v>
      </c>
      <c r="U147" s="18">
        <v>9.5</v>
      </c>
      <c r="V147" s="18">
        <v>9.5</v>
      </c>
      <c r="W147" s="18">
        <v>9.5</v>
      </c>
      <c r="X147" s="18">
        <v>7.5</v>
      </c>
      <c r="Y147" s="18">
        <v>9.5</v>
      </c>
      <c r="Z147" s="18">
        <v>9.5</v>
      </c>
      <c r="AA147" s="18">
        <v>9.5</v>
      </c>
      <c r="AB147" s="18">
        <v>7.5</v>
      </c>
      <c r="AC147" s="18">
        <v>9.5</v>
      </c>
      <c r="AD147" s="18">
        <v>9.5</v>
      </c>
      <c r="AE147" s="18">
        <v>9.5</v>
      </c>
      <c r="AF147" s="18">
        <v>7.5</v>
      </c>
      <c r="AG147" s="18">
        <v>9.5</v>
      </c>
      <c r="AH147" s="18">
        <v>9.5</v>
      </c>
      <c r="AI147" s="18">
        <v>9.5</v>
      </c>
      <c r="AJ147" s="18">
        <v>7.5</v>
      </c>
      <c r="AK147" s="18">
        <v>9.5</v>
      </c>
      <c r="AL147" s="18">
        <v>9.5</v>
      </c>
      <c r="AM147" s="18">
        <v>9.5</v>
      </c>
      <c r="AN147" s="18">
        <v>2.5</v>
      </c>
      <c r="AO147" t="str">
        <f t="shared" si="4"/>
        <v/>
      </c>
      <c r="AP147" t="str">
        <f t="shared" si="5"/>
        <v/>
      </c>
    </row>
    <row r="148" spans="1:42" x14ac:dyDescent="0.25">
      <c r="A148" s="18" t="s">
        <v>156</v>
      </c>
      <c r="B148" s="18" t="s">
        <v>149</v>
      </c>
      <c r="C148" s="18" t="s">
        <v>130</v>
      </c>
      <c r="D148" s="18" t="s">
        <v>126</v>
      </c>
      <c r="E148" s="18">
        <v>3</v>
      </c>
      <c r="F148" s="18" t="s">
        <v>151</v>
      </c>
      <c r="G148" s="18" t="s">
        <v>123</v>
      </c>
      <c r="H148" s="18" t="s">
        <v>4</v>
      </c>
      <c r="I148" s="18" t="b">
        <v>0</v>
      </c>
      <c r="J148" s="18" t="b">
        <v>0</v>
      </c>
      <c r="K148" s="18">
        <v>201.5</v>
      </c>
      <c r="L148" s="20">
        <v>1</v>
      </c>
      <c r="M148" s="18">
        <v>13</v>
      </c>
      <c r="N148" s="18">
        <v>4</v>
      </c>
      <c r="O148" s="18">
        <v>0</v>
      </c>
      <c r="P148" s="18">
        <v>11.5</v>
      </c>
      <c r="Q148" s="18">
        <v>0</v>
      </c>
      <c r="R148" s="18">
        <v>9.5</v>
      </c>
      <c r="S148" s="18">
        <v>9.5</v>
      </c>
      <c r="T148" s="18">
        <v>7.5</v>
      </c>
      <c r="U148" s="18">
        <v>9.5</v>
      </c>
      <c r="V148" s="18">
        <v>9.5</v>
      </c>
      <c r="W148" s="18">
        <v>9.5</v>
      </c>
      <c r="X148" s="18">
        <v>7.5</v>
      </c>
      <c r="Y148" s="18">
        <v>9.5</v>
      </c>
      <c r="Z148" s="18">
        <v>9.5</v>
      </c>
      <c r="AA148" s="18">
        <v>9.5</v>
      </c>
      <c r="AB148" s="18">
        <v>7.5</v>
      </c>
      <c r="AC148" s="18">
        <v>9.5</v>
      </c>
      <c r="AD148" s="18">
        <v>9.5</v>
      </c>
      <c r="AE148" s="18">
        <v>9.5</v>
      </c>
      <c r="AF148" s="18">
        <v>7.5</v>
      </c>
      <c r="AG148" s="18">
        <v>9.5</v>
      </c>
      <c r="AH148" s="18">
        <v>9.5</v>
      </c>
      <c r="AI148" s="18">
        <v>9.5</v>
      </c>
      <c r="AJ148" s="18">
        <v>7.5</v>
      </c>
      <c r="AK148" s="18">
        <v>9.5</v>
      </c>
      <c r="AL148" s="18">
        <v>9.5</v>
      </c>
      <c r="AM148" s="18">
        <v>9.5</v>
      </c>
      <c r="AN148" s="18">
        <v>2.5</v>
      </c>
      <c r="AO148" t="b">
        <f t="shared" si="4"/>
        <v>0</v>
      </c>
      <c r="AP148" t="b">
        <f t="shared" si="5"/>
        <v>0</v>
      </c>
    </row>
    <row r="149" spans="1:42" x14ac:dyDescent="0.25">
      <c r="A149" s="18" t="s">
        <v>156</v>
      </c>
      <c r="B149" s="18" t="s">
        <v>149</v>
      </c>
      <c r="C149" s="18" t="s">
        <v>130</v>
      </c>
      <c r="D149" s="18" t="s">
        <v>126</v>
      </c>
      <c r="E149" s="18">
        <v>3</v>
      </c>
      <c r="F149" s="18" t="s">
        <v>134</v>
      </c>
      <c r="G149" s="18" t="s">
        <v>135</v>
      </c>
      <c r="H149" s="18" t="s">
        <v>5</v>
      </c>
      <c r="I149" s="18" t="b">
        <v>0</v>
      </c>
      <c r="J149" s="18" t="b">
        <v>0</v>
      </c>
      <c r="K149" s="18">
        <v>201.5</v>
      </c>
      <c r="L149" s="20">
        <v>1</v>
      </c>
      <c r="M149" s="18">
        <v>13</v>
      </c>
      <c r="N149" s="18">
        <v>4</v>
      </c>
      <c r="O149" s="18">
        <v>0</v>
      </c>
      <c r="P149" s="18">
        <v>11.5</v>
      </c>
      <c r="Q149" s="18">
        <v>0</v>
      </c>
      <c r="R149" s="18">
        <v>9.5</v>
      </c>
      <c r="S149" s="18">
        <v>9.5</v>
      </c>
      <c r="T149" s="18">
        <v>7.5</v>
      </c>
      <c r="U149" s="18">
        <v>9.5</v>
      </c>
      <c r="V149" s="18">
        <v>9.5</v>
      </c>
      <c r="W149" s="18">
        <v>9.5</v>
      </c>
      <c r="X149" s="18">
        <v>7.5</v>
      </c>
      <c r="Y149" s="18">
        <v>9.5</v>
      </c>
      <c r="Z149" s="18">
        <v>9.5</v>
      </c>
      <c r="AA149" s="18">
        <v>9.5</v>
      </c>
      <c r="AB149" s="18">
        <v>7.5</v>
      </c>
      <c r="AC149" s="18">
        <v>9.5</v>
      </c>
      <c r="AD149" s="18">
        <v>9.5</v>
      </c>
      <c r="AE149" s="18">
        <v>9.5</v>
      </c>
      <c r="AF149" s="18">
        <v>7.5</v>
      </c>
      <c r="AG149" s="18">
        <v>9.5</v>
      </c>
      <c r="AH149" s="18">
        <v>9.5</v>
      </c>
      <c r="AI149" s="18">
        <v>9.5</v>
      </c>
      <c r="AJ149" s="18">
        <v>7.5</v>
      </c>
      <c r="AK149" s="18">
        <v>9.5</v>
      </c>
      <c r="AL149" s="18">
        <v>9.5</v>
      </c>
      <c r="AM149" s="18">
        <v>9.5</v>
      </c>
      <c r="AN149" s="18">
        <v>2.5</v>
      </c>
      <c r="AO149" t="b">
        <f t="shared" si="4"/>
        <v>0</v>
      </c>
      <c r="AP149" t="b">
        <f t="shared" si="5"/>
        <v>0</v>
      </c>
    </row>
    <row r="150" spans="1:42" x14ac:dyDescent="0.25">
      <c r="A150" s="18" t="s">
        <v>156</v>
      </c>
      <c r="B150" s="18" t="s">
        <v>149</v>
      </c>
      <c r="C150" s="18" t="s">
        <v>130</v>
      </c>
      <c r="D150" s="18" t="s">
        <v>126</v>
      </c>
      <c r="E150" s="18">
        <v>3</v>
      </c>
      <c r="F150" s="18" t="s">
        <v>152</v>
      </c>
      <c r="G150" s="18" t="s">
        <v>125</v>
      </c>
      <c r="H150" s="18" t="s">
        <v>25</v>
      </c>
      <c r="I150" s="18" t="b">
        <v>0</v>
      </c>
      <c r="J150" s="18" t="b">
        <v>0</v>
      </c>
      <c r="K150" s="18">
        <v>201.5</v>
      </c>
      <c r="L150" s="20">
        <v>1</v>
      </c>
      <c r="M150" s="18">
        <v>13</v>
      </c>
      <c r="N150" s="18">
        <v>4</v>
      </c>
      <c r="O150" s="18">
        <v>0</v>
      </c>
      <c r="P150" s="18">
        <v>11.5</v>
      </c>
      <c r="Q150" s="18">
        <v>0</v>
      </c>
      <c r="R150" s="18">
        <v>9.5</v>
      </c>
      <c r="S150" s="18">
        <v>9.5</v>
      </c>
      <c r="T150" s="18">
        <v>7.5</v>
      </c>
      <c r="U150" s="18">
        <v>9.5</v>
      </c>
      <c r="V150" s="18">
        <v>9.5</v>
      </c>
      <c r="W150" s="18">
        <v>9.5</v>
      </c>
      <c r="X150" s="18">
        <v>7.5</v>
      </c>
      <c r="Y150" s="18">
        <v>9.5</v>
      </c>
      <c r="Z150" s="18">
        <v>9.5</v>
      </c>
      <c r="AA150" s="18">
        <v>9.5</v>
      </c>
      <c r="AB150" s="18">
        <v>7.5</v>
      </c>
      <c r="AC150" s="18">
        <v>9.5</v>
      </c>
      <c r="AD150" s="18">
        <v>9.5</v>
      </c>
      <c r="AE150" s="18">
        <v>9.5</v>
      </c>
      <c r="AF150" s="18">
        <v>7.5</v>
      </c>
      <c r="AG150" s="18">
        <v>9.5</v>
      </c>
      <c r="AH150" s="18">
        <v>9.5</v>
      </c>
      <c r="AI150" s="18">
        <v>9.5</v>
      </c>
      <c r="AJ150" s="18">
        <v>7.5</v>
      </c>
      <c r="AK150" s="18">
        <v>9.5</v>
      </c>
      <c r="AL150" s="18">
        <v>9.5</v>
      </c>
      <c r="AM150" s="18">
        <v>9.5</v>
      </c>
      <c r="AN150" s="18">
        <v>2.5</v>
      </c>
      <c r="AO150" t="b">
        <f t="shared" si="4"/>
        <v>0</v>
      </c>
      <c r="AP150" t="b">
        <f t="shared" si="5"/>
        <v>0</v>
      </c>
    </row>
    <row r="151" spans="1:42" x14ac:dyDescent="0.25">
      <c r="A151" s="18" t="s">
        <v>156</v>
      </c>
      <c r="B151" s="18" t="s">
        <v>149</v>
      </c>
      <c r="C151" s="18" t="s">
        <v>130</v>
      </c>
      <c r="D151" s="18" t="s">
        <v>126</v>
      </c>
      <c r="E151" s="18">
        <v>3</v>
      </c>
      <c r="F151" s="18" t="s">
        <v>154</v>
      </c>
      <c r="G151" s="18" t="s">
        <v>137</v>
      </c>
      <c r="H151" s="18" t="s">
        <v>29</v>
      </c>
      <c r="I151" s="18" t="b">
        <v>0</v>
      </c>
      <c r="J151" s="18" t="b">
        <v>0</v>
      </c>
      <c r="K151" s="18">
        <v>201.5</v>
      </c>
      <c r="L151" s="20">
        <v>1</v>
      </c>
      <c r="M151" s="18">
        <v>13</v>
      </c>
      <c r="N151" s="18">
        <v>4</v>
      </c>
      <c r="O151" s="18">
        <v>0</v>
      </c>
      <c r="P151" s="18">
        <v>11.5</v>
      </c>
      <c r="Q151" s="18">
        <v>0</v>
      </c>
      <c r="R151" s="18">
        <v>9.5</v>
      </c>
      <c r="S151" s="18">
        <v>9.5</v>
      </c>
      <c r="T151" s="18">
        <v>7.5</v>
      </c>
      <c r="U151" s="18">
        <v>9.5</v>
      </c>
      <c r="V151" s="18">
        <v>9.5</v>
      </c>
      <c r="W151" s="18">
        <v>9.5</v>
      </c>
      <c r="X151" s="18">
        <v>7.5</v>
      </c>
      <c r="Y151" s="18">
        <v>9.5</v>
      </c>
      <c r="Z151" s="18">
        <v>9.5</v>
      </c>
      <c r="AA151" s="18">
        <v>9.5</v>
      </c>
      <c r="AB151" s="18">
        <v>7.5</v>
      </c>
      <c r="AC151" s="18">
        <v>9.5</v>
      </c>
      <c r="AD151" s="18">
        <v>9.5</v>
      </c>
      <c r="AE151" s="18">
        <v>9.5</v>
      </c>
      <c r="AF151" s="18">
        <v>7.5</v>
      </c>
      <c r="AG151" s="18">
        <v>9.5</v>
      </c>
      <c r="AH151" s="18">
        <v>9.5</v>
      </c>
      <c r="AI151" s="18">
        <v>9.5</v>
      </c>
      <c r="AJ151" s="18">
        <v>7.5</v>
      </c>
      <c r="AK151" s="18">
        <v>9.5</v>
      </c>
      <c r="AL151" s="18">
        <v>9.5</v>
      </c>
      <c r="AM151" s="18">
        <v>9.5</v>
      </c>
      <c r="AN151" s="18">
        <v>2.5</v>
      </c>
      <c r="AO151" t="b">
        <f t="shared" si="4"/>
        <v>0</v>
      </c>
      <c r="AP151" t="b">
        <f t="shared" si="5"/>
        <v>0</v>
      </c>
    </row>
    <row r="152" spans="1:42" x14ac:dyDescent="0.25">
      <c r="A152" s="18" t="s">
        <v>156</v>
      </c>
      <c r="B152" s="18" t="s">
        <v>149</v>
      </c>
      <c r="C152" s="18" t="s">
        <v>130</v>
      </c>
      <c r="D152" s="18" t="s">
        <v>126</v>
      </c>
      <c r="E152" s="18">
        <v>3</v>
      </c>
      <c r="F152" s="18" t="s">
        <v>153</v>
      </c>
      <c r="G152" s="18" t="s">
        <v>127</v>
      </c>
      <c r="H152" s="18" t="s">
        <v>7</v>
      </c>
      <c r="I152" s="18" t="b">
        <v>0</v>
      </c>
      <c r="J152" s="18" t="b">
        <v>0</v>
      </c>
      <c r="K152" s="18">
        <v>201.5</v>
      </c>
      <c r="L152" s="20">
        <v>1</v>
      </c>
      <c r="M152" s="18">
        <v>13</v>
      </c>
      <c r="N152" s="18">
        <v>4</v>
      </c>
      <c r="O152" s="18">
        <v>0</v>
      </c>
      <c r="P152" s="18">
        <v>11.5</v>
      </c>
      <c r="Q152" s="18">
        <v>0</v>
      </c>
      <c r="R152" s="18">
        <v>9.5</v>
      </c>
      <c r="S152" s="18">
        <v>9.5</v>
      </c>
      <c r="T152" s="18">
        <v>7.5</v>
      </c>
      <c r="U152" s="18">
        <v>9.5</v>
      </c>
      <c r="V152" s="18">
        <v>9.5</v>
      </c>
      <c r="W152" s="18">
        <v>9.5</v>
      </c>
      <c r="X152" s="18">
        <v>7.5</v>
      </c>
      <c r="Y152" s="18">
        <v>9.5</v>
      </c>
      <c r="Z152" s="18">
        <v>9.5</v>
      </c>
      <c r="AA152" s="18">
        <v>9.5</v>
      </c>
      <c r="AB152" s="18">
        <v>7.5</v>
      </c>
      <c r="AC152" s="18">
        <v>9.5</v>
      </c>
      <c r="AD152" s="18">
        <v>9.5</v>
      </c>
      <c r="AE152" s="18">
        <v>9.5</v>
      </c>
      <c r="AF152" s="18">
        <v>7.5</v>
      </c>
      <c r="AG152" s="18">
        <v>9.5</v>
      </c>
      <c r="AH152" s="18">
        <v>9.5</v>
      </c>
      <c r="AI152" s="18">
        <v>9.5</v>
      </c>
      <c r="AJ152" s="18">
        <v>7.5</v>
      </c>
      <c r="AK152" s="18">
        <v>9.5</v>
      </c>
      <c r="AL152" s="18">
        <v>9.5</v>
      </c>
      <c r="AM152" s="18">
        <v>9.5</v>
      </c>
      <c r="AN152" s="18">
        <v>2.5</v>
      </c>
      <c r="AO152" t="b">
        <f t="shared" si="4"/>
        <v>0</v>
      </c>
      <c r="AP152" t="b">
        <f t="shared" si="5"/>
        <v>0</v>
      </c>
    </row>
    <row r="153" spans="1:42" x14ac:dyDescent="0.25">
      <c r="A153" s="18" t="s">
        <v>156</v>
      </c>
      <c r="B153" s="18" t="s">
        <v>149</v>
      </c>
      <c r="C153" s="18" t="s">
        <v>130</v>
      </c>
      <c r="D153" s="18" t="s">
        <v>126</v>
      </c>
      <c r="E153" s="18">
        <v>3</v>
      </c>
      <c r="F153" s="18" t="s">
        <v>136</v>
      </c>
      <c r="G153" s="18" t="s">
        <v>126</v>
      </c>
      <c r="H153" s="18" t="s">
        <v>6</v>
      </c>
      <c r="I153" s="18" t="b">
        <v>0</v>
      </c>
      <c r="J153" s="18" t="b">
        <v>1</v>
      </c>
      <c r="K153" s="18">
        <v>201.5</v>
      </c>
      <c r="L153" s="20">
        <v>1</v>
      </c>
      <c r="M153" s="18">
        <v>13</v>
      </c>
      <c r="N153" s="18">
        <v>4</v>
      </c>
      <c r="O153" s="18">
        <v>0</v>
      </c>
      <c r="P153" s="18">
        <v>11.5</v>
      </c>
      <c r="Q153" s="18">
        <v>0</v>
      </c>
      <c r="R153" s="18">
        <v>9.5</v>
      </c>
      <c r="S153" s="18">
        <v>9.5</v>
      </c>
      <c r="T153" s="18">
        <v>7.5</v>
      </c>
      <c r="U153" s="18">
        <v>9.5</v>
      </c>
      <c r="V153" s="18">
        <v>9.5</v>
      </c>
      <c r="W153" s="18">
        <v>9.5</v>
      </c>
      <c r="X153" s="18">
        <v>7.5</v>
      </c>
      <c r="Y153" s="18">
        <v>9.5</v>
      </c>
      <c r="Z153" s="18">
        <v>9.5</v>
      </c>
      <c r="AA153" s="18">
        <v>9.5</v>
      </c>
      <c r="AB153" s="18">
        <v>7.5</v>
      </c>
      <c r="AC153" s="18">
        <v>9.5</v>
      </c>
      <c r="AD153" s="18">
        <v>9.5</v>
      </c>
      <c r="AE153" s="18">
        <v>9.5</v>
      </c>
      <c r="AF153" s="18">
        <v>7.5</v>
      </c>
      <c r="AG153" s="18">
        <v>9.5</v>
      </c>
      <c r="AH153" s="18">
        <v>9.5</v>
      </c>
      <c r="AI153" s="18">
        <v>9.5</v>
      </c>
      <c r="AJ153" s="18">
        <v>7.5</v>
      </c>
      <c r="AK153" s="18">
        <v>9.5</v>
      </c>
      <c r="AL153" s="18">
        <v>9.5</v>
      </c>
      <c r="AM153" s="18">
        <v>9.5</v>
      </c>
      <c r="AN153" s="18">
        <v>2.5</v>
      </c>
      <c r="AO153" t="b">
        <f t="shared" si="4"/>
        <v>0</v>
      </c>
      <c r="AP153" t="b">
        <f t="shared" si="5"/>
        <v>0</v>
      </c>
    </row>
    <row r="154" spans="1:42" x14ac:dyDescent="0.25">
      <c r="A154" s="18" t="s">
        <v>157</v>
      </c>
      <c r="B154" s="18" t="s">
        <v>149</v>
      </c>
      <c r="C154" s="18" t="s">
        <v>131</v>
      </c>
      <c r="D154" s="18" t="s">
        <v>132</v>
      </c>
      <c r="E154" s="18">
        <v>4</v>
      </c>
      <c r="F154" s="18" t="s">
        <v>3</v>
      </c>
      <c r="G154" s="19" t="s">
        <v>121</v>
      </c>
      <c r="H154" s="19" t="s">
        <v>121</v>
      </c>
      <c r="I154" s="19" t="s">
        <v>121</v>
      </c>
      <c r="J154" s="19" t="s">
        <v>121</v>
      </c>
      <c r="K154" s="18">
        <v>302.25</v>
      </c>
      <c r="L154" s="21" t="s">
        <v>121</v>
      </c>
      <c r="M154" s="18">
        <v>39</v>
      </c>
      <c r="N154" s="18">
        <v>12</v>
      </c>
      <c r="O154" s="18">
        <v>0</v>
      </c>
      <c r="P154" s="18">
        <v>34.5</v>
      </c>
      <c r="Q154" s="18">
        <v>0</v>
      </c>
      <c r="R154" s="18">
        <v>28.5</v>
      </c>
      <c r="S154" s="18">
        <v>28.5</v>
      </c>
      <c r="T154" s="18">
        <v>22.5</v>
      </c>
      <c r="U154" s="18">
        <v>28.5</v>
      </c>
      <c r="V154" s="18">
        <v>28.5</v>
      </c>
      <c r="W154" s="18">
        <v>28.5</v>
      </c>
      <c r="X154" s="18">
        <v>22.5</v>
      </c>
      <c r="Y154" s="18">
        <v>28.5</v>
      </c>
      <c r="Z154" s="18">
        <v>28.5</v>
      </c>
      <c r="AA154" s="18">
        <v>28.5</v>
      </c>
      <c r="AB154" s="18">
        <v>22.5</v>
      </c>
      <c r="AC154" s="18">
        <v>28.5</v>
      </c>
      <c r="AD154" s="18">
        <v>28.5</v>
      </c>
      <c r="AE154" s="18">
        <v>28.5</v>
      </c>
      <c r="AF154" s="18">
        <v>22.5</v>
      </c>
      <c r="AG154" s="18">
        <v>28.5</v>
      </c>
      <c r="AH154" s="18">
        <v>28.5</v>
      </c>
      <c r="AI154" s="18">
        <v>28.5</v>
      </c>
      <c r="AJ154" s="18">
        <v>22.5</v>
      </c>
      <c r="AK154" s="18">
        <v>28.5</v>
      </c>
      <c r="AL154" s="18">
        <v>28.5</v>
      </c>
      <c r="AM154" s="18">
        <v>28.5</v>
      </c>
      <c r="AN154" s="18">
        <v>7.5</v>
      </c>
      <c r="AO154" t="str">
        <f t="shared" si="4"/>
        <v/>
      </c>
      <c r="AP154" t="str">
        <f t="shared" si="5"/>
        <v/>
      </c>
    </row>
    <row r="155" spans="1:42" x14ac:dyDescent="0.25">
      <c r="A155" s="18" t="s">
        <v>157</v>
      </c>
      <c r="B155" s="18" t="s">
        <v>149</v>
      </c>
      <c r="C155" s="18" t="s">
        <v>131</v>
      </c>
      <c r="D155" s="18" t="s">
        <v>132</v>
      </c>
      <c r="E155" s="18">
        <v>4</v>
      </c>
      <c r="F155" s="18" t="s">
        <v>150</v>
      </c>
      <c r="G155" s="18" t="s">
        <v>133</v>
      </c>
      <c r="H155" s="18" t="s">
        <v>31</v>
      </c>
      <c r="I155" s="18" t="b">
        <v>1</v>
      </c>
      <c r="J155" s="18" t="b">
        <v>0</v>
      </c>
      <c r="K155" s="18">
        <v>201.5</v>
      </c>
      <c r="M155" s="18">
        <v>13</v>
      </c>
      <c r="N155" s="18">
        <v>4</v>
      </c>
      <c r="O155" s="18">
        <v>0</v>
      </c>
      <c r="P155" s="18">
        <v>11.5</v>
      </c>
      <c r="Q155" s="18">
        <v>0</v>
      </c>
      <c r="R155" s="18">
        <v>9.5</v>
      </c>
      <c r="S155" s="18">
        <v>9.5</v>
      </c>
      <c r="T155" s="18">
        <v>7.5</v>
      </c>
      <c r="U155" s="18">
        <v>9.5</v>
      </c>
      <c r="V155" s="18">
        <v>9.5</v>
      </c>
      <c r="W155" s="18">
        <v>9.5</v>
      </c>
      <c r="X155" s="18">
        <v>7.5</v>
      </c>
      <c r="Y155" s="18">
        <v>9.5</v>
      </c>
      <c r="Z155" s="18">
        <v>9.5</v>
      </c>
      <c r="AA155" s="18">
        <v>9.5</v>
      </c>
      <c r="AB155" s="18">
        <v>7.5</v>
      </c>
      <c r="AC155" s="18">
        <v>9.5</v>
      </c>
      <c r="AD155" s="18">
        <v>9.5</v>
      </c>
      <c r="AE155" s="18">
        <v>9.5</v>
      </c>
      <c r="AF155" s="18">
        <v>7.5</v>
      </c>
      <c r="AG155" s="18">
        <v>9.5</v>
      </c>
      <c r="AH155" s="18">
        <v>9.5</v>
      </c>
      <c r="AI155" s="18">
        <v>9.5</v>
      </c>
      <c r="AJ155" s="18">
        <v>7.5</v>
      </c>
      <c r="AK155" s="18">
        <v>9.5</v>
      </c>
      <c r="AL155" s="18">
        <v>9.5</v>
      </c>
      <c r="AM155" s="18">
        <v>9.5</v>
      </c>
      <c r="AN155" s="18">
        <v>2.5</v>
      </c>
      <c r="AO155" t="str">
        <f t="shared" si="4"/>
        <v/>
      </c>
      <c r="AP155" t="str">
        <f t="shared" si="5"/>
        <v/>
      </c>
    </row>
    <row r="156" spans="1:42" x14ac:dyDescent="0.25">
      <c r="A156" s="18" t="s">
        <v>157</v>
      </c>
      <c r="B156" s="18" t="s">
        <v>149</v>
      </c>
      <c r="C156" s="18" t="s">
        <v>131</v>
      </c>
      <c r="D156" s="18" t="s">
        <v>132</v>
      </c>
      <c r="E156" s="18">
        <v>4</v>
      </c>
      <c r="F156" s="18" t="s">
        <v>151</v>
      </c>
      <c r="G156" s="18" t="s">
        <v>123</v>
      </c>
      <c r="H156" s="18" t="s">
        <v>4</v>
      </c>
      <c r="I156" s="18" t="b">
        <v>0</v>
      </c>
      <c r="J156" s="18" t="b">
        <v>0</v>
      </c>
      <c r="K156" s="18">
        <v>201.5</v>
      </c>
      <c r="L156" s="20">
        <v>1</v>
      </c>
      <c r="M156" s="18">
        <v>13</v>
      </c>
      <c r="N156" s="18">
        <v>4</v>
      </c>
      <c r="O156" s="18">
        <v>0</v>
      </c>
      <c r="P156" s="18">
        <v>11.5</v>
      </c>
      <c r="Q156" s="18">
        <v>0</v>
      </c>
      <c r="R156" s="18">
        <v>9.5</v>
      </c>
      <c r="S156" s="18">
        <v>9.5</v>
      </c>
      <c r="T156" s="18">
        <v>7.5</v>
      </c>
      <c r="U156" s="18">
        <v>9.5</v>
      </c>
      <c r="V156" s="18">
        <v>9.5</v>
      </c>
      <c r="W156" s="18">
        <v>9.5</v>
      </c>
      <c r="X156" s="18">
        <v>7.5</v>
      </c>
      <c r="Y156" s="18">
        <v>9.5</v>
      </c>
      <c r="Z156" s="18">
        <v>9.5</v>
      </c>
      <c r="AA156" s="18">
        <v>9.5</v>
      </c>
      <c r="AB156" s="18">
        <v>7.5</v>
      </c>
      <c r="AC156" s="18">
        <v>9.5</v>
      </c>
      <c r="AD156" s="18">
        <v>9.5</v>
      </c>
      <c r="AE156" s="18">
        <v>9.5</v>
      </c>
      <c r="AF156" s="18">
        <v>7.5</v>
      </c>
      <c r="AG156" s="18">
        <v>9.5</v>
      </c>
      <c r="AH156" s="18">
        <v>9.5</v>
      </c>
      <c r="AI156" s="18">
        <v>9.5</v>
      </c>
      <c r="AJ156" s="18">
        <v>7.5</v>
      </c>
      <c r="AK156" s="18">
        <v>9.5</v>
      </c>
      <c r="AL156" s="18">
        <v>9.5</v>
      </c>
      <c r="AM156" s="18">
        <v>9.5</v>
      </c>
      <c r="AN156" s="18">
        <v>2.5</v>
      </c>
      <c r="AO156" t="b">
        <f t="shared" si="4"/>
        <v>0</v>
      </c>
      <c r="AP156" t="b">
        <f t="shared" si="5"/>
        <v>0</v>
      </c>
    </row>
    <row r="157" spans="1:42" x14ac:dyDescent="0.25">
      <c r="A157" s="18" t="s">
        <v>157</v>
      </c>
      <c r="B157" s="18" t="s">
        <v>149</v>
      </c>
      <c r="C157" s="18" t="s">
        <v>131</v>
      </c>
      <c r="D157" s="18" t="s">
        <v>132</v>
      </c>
      <c r="E157" s="18">
        <v>4</v>
      </c>
      <c r="F157" s="18" t="s">
        <v>134</v>
      </c>
      <c r="G157" s="18" t="s">
        <v>135</v>
      </c>
      <c r="H157" s="18" t="s">
        <v>5</v>
      </c>
      <c r="I157" s="18" t="b">
        <v>0</v>
      </c>
      <c r="J157" s="18" t="b">
        <v>0</v>
      </c>
      <c r="K157" s="18">
        <v>201.5</v>
      </c>
      <c r="L157" s="20">
        <v>1</v>
      </c>
      <c r="M157" s="18">
        <v>13</v>
      </c>
      <c r="N157" s="18">
        <v>4</v>
      </c>
      <c r="O157" s="18">
        <v>0</v>
      </c>
      <c r="P157" s="18">
        <v>11.5</v>
      </c>
      <c r="Q157" s="18">
        <v>0</v>
      </c>
      <c r="R157" s="18">
        <v>9.5</v>
      </c>
      <c r="S157" s="18">
        <v>9.5</v>
      </c>
      <c r="T157" s="18">
        <v>7.5</v>
      </c>
      <c r="U157" s="18">
        <v>9.5</v>
      </c>
      <c r="V157" s="18">
        <v>9.5</v>
      </c>
      <c r="W157" s="18">
        <v>9.5</v>
      </c>
      <c r="X157" s="18">
        <v>7.5</v>
      </c>
      <c r="Y157" s="18">
        <v>9.5</v>
      </c>
      <c r="Z157" s="18">
        <v>9.5</v>
      </c>
      <c r="AA157" s="18">
        <v>9.5</v>
      </c>
      <c r="AB157" s="18">
        <v>7.5</v>
      </c>
      <c r="AC157" s="18">
        <v>9.5</v>
      </c>
      <c r="AD157" s="18">
        <v>9.5</v>
      </c>
      <c r="AE157" s="18">
        <v>9.5</v>
      </c>
      <c r="AF157" s="18">
        <v>7.5</v>
      </c>
      <c r="AG157" s="18">
        <v>9.5</v>
      </c>
      <c r="AH157" s="18">
        <v>9.5</v>
      </c>
      <c r="AI157" s="18">
        <v>9.5</v>
      </c>
      <c r="AJ157" s="18">
        <v>7.5</v>
      </c>
      <c r="AK157" s="18">
        <v>9.5</v>
      </c>
      <c r="AL157" s="18">
        <v>9.5</v>
      </c>
      <c r="AM157" s="18">
        <v>9.5</v>
      </c>
      <c r="AN157" s="18">
        <v>2.5</v>
      </c>
      <c r="AO157" t="b">
        <f t="shared" si="4"/>
        <v>0</v>
      </c>
      <c r="AP157" t="b">
        <f t="shared" si="5"/>
        <v>0</v>
      </c>
    </row>
    <row r="158" spans="1:42" x14ac:dyDescent="0.25">
      <c r="A158" s="18" t="s">
        <v>157</v>
      </c>
      <c r="B158" s="18" t="s">
        <v>149</v>
      </c>
      <c r="C158" s="18" t="s">
        <v>131</v>
      </c>
      <c r="D158" s="18" t="s">
        <v>132</v>
      </c>
      <c r="E158" s="18">
        <v>4</v>
      </c>
      <c r="F158" s="18" t="s">
        <v>152</v>
      </c>
      <c r="G158" s="18" t="s">
        <v>125</v>
      </c>
      <c r="H158" s="18" t="s">
        <v>25</v>
      </c>
      <c r="I158" s="18" t="b">
        <v>0</v>
      </c>
      <c r="J158" s="18" t="b">
        <v>0</v>
      </c>
      <c r="K158" s="18">
        <v>201.5</v>
      </c>
      <c r="L158" s="20">
        <v>1</v>
      </c>
      <c r="M158" s="18">
        <v>13</v>
      </c>
      <c r="N158" s="18">
        <v>4</v>
      </c>
      <c r="O158" s="18">
        <v>0</v>
      </c>
      <c r="P158" s="18">
        <v>11.5</v>
      </c>
      <c r="Q158" s="18">
        <v>0</v>
      </c>
      <c r="R158" s="18">
        <v>9.5</v>
      </c>
      <c r="S158" s="18">
        <v>9.5</v>
      </c>
      <c r="T158" s="18">
        <v>7.5</v>
      </c>
      <c r="U158" s="18">
        <v>9.5</v>
      </c>
      <c r="V158" s="18">
        <v>9.5</v>
      </c>
      <c r="W158" s="18">
        <v>9.5</v>
      </c>
      <c r="X158" s="18">
        <v>7.5</v>
      </c>
      <c r="Y158" s="18">
        <v>9.5</v>
      </c>
      <c r="Z158" s="18">
        <v>9.5</v>
      </c>
      <c r="AA158" s="18">
        <v>9.5</v>
      </c>
      <c r="AB158" s="18">
        <v>7.5</v>
      </c>
      <c r="AC158" s="18">
        <v>9.5</v>
      </c>
      <c r="AD158" s="18">
        <v>9.5</v>
      </c>
      <c r="AE158" s="18">
        <v>9.5</v>
      </c>
      <c r="AF158" s="18">
        <v>7.5</v>
      </c>
      <c r="AG158" s="18">
        <v>9.5</v>
      </c>
      <c r="AH158" s="18">
        <v>9.5</v>
      </c>
      <c r="AI158" s="18">
        <v>9.5</v>
      </c>
      <c r="AJ158" s="18">
        <v>7.5</v>
      </c>
      <c r="AK158" s="18">
        <v>9.5</v>
      </c>
      <c r="AL158" s="18">
        <v>9.5</v>
      </c>
      <c r="AM158" s="18">
        <v>9.5</v>
      </c>
      <c r="AN158" s="18">
        <v>2.5</v>
      </c>
      <c r="AO158" t="b">
        <f t="shared" si="4"/>
        <v>0</v>
      </c>
      <c r="AP158" t="b">
        <f t="shared" si="5"/>
        <v>0</v>
      </c>
    </row>
    <row r="159" spans="1:42" x14ac:dyDescent="0.25">
      <c r="A159" s="18" t="s">
        <v>157</v>
      </c>
      <c r="B159" s="18" t="s">
        <v>149</v>
      </c>
      <c r="C159" s="18" t="s">
        <v>131</v>
      </c>
      <c r="D159" s="18" t="s">
        <v>132</v>
      </c>
      <c r="E159" s="18">
        <v>4</v>
      </c>
      <c r="F159" s="18" t="s">
        <v>136</v>
      </c>
      <c r="G159" s="18" t="s">
        <v>126</v>
      </c>
      <c r="H159" s="18" t="s">
        <v>6</v>
      </c>
      <c r="I159" s="18" t="b">
        <v>0</v>
      </c>
      <c r="J159" s="18" t="b">
        <v>0</v>
      </c>
      <c r="K159" s="18">
        <v>201.5</v>
      </c>
      <c r="L159" s="20">
        <v>1</v>
      </c>
      <c r="M159" s="18">
        <v>13</v>
      </c>
      <c r="N159" s="18">
        <v>4</v>
      </c>
      <c r="O159" s="18">
        <v>0</v>
      </c>
      <c r="P159" s="18">
        <v>11.5</v>
      </c>
      <c r="Q159" s="18">
        <v>0</v>
      </c>
      <c r="R159" s="18">
        <v>9.5</v>
      </c>
      <c r="S159" s="18">
        <v>9.5</v>
      </c>
      <c r="T159" s="18">
        <v>7.5</v>
      </c>
      <c r="U159" s="18">
        <v>9.5</v>
      </c>
      <c r="V159" s="18">
        <v>9.5</v>
      </c>
      <c r="W159" s="18">
        <v>9.5</v>
      </c>
      <c r="X159" s="18">
        <v>7.5</v>
      </c>
      <c r="Y159" s="18">
        <v>9.5</v>
      </c>
      <c r="Z159" s="18">
        <v>9.5</v>
      </c>
      <c r="AA159" s="18">
        <v>9.5</v>
      </c>
      <c r="AB159" s="18">
        <v>7.5</v>
      </c>
      <c r="AC159" s="18">
        <v>9.5</v>
      </c>
      <c r="AD159" s="18">
        <v>9.5</v>
      </c>
      <c r="AE159" s="18">
        <v>9.5</v>
      </c>
      <c r="AF159" s="18">
        <v>7.5</v>
      </c>
      <c r="AG159" s="18">
        <v>9.5</v>
      </c>
      <c r="AH159" s="18">
        <v>9.5</v>
      </c>
      <c r="AI159" s="18">
        <v>9.5</v>
      </c>
      <c r="AJ159" s="18">
        <v>7.5</v>
      </c>
      <c r="AK159" s="18">
        <v>9.5</v>
      </c>
      <c r="AL159" s="18">
        <v>9.5</v>
      </c>
      <c r="AM159" s="18">
        <v>9.5</v>
      </c>
      <c r="AN159" s="18">
        <v>2.5</v>
      </c>
      <c r="AO159" t="b">
        <f t="shared" si="4"/>
        <v>0</v>
      </c>
      <c r="AP159" t="b">
        <f t="shared" si="5"/>
        <v>0</v>
      </c>
    </row>
    <row r="160" spans="1:42" x14ac:dyDescent="0.25">
      <c r="A160" s="18" t="s">
        <v>157</v>
      </c>
      <c r="B160" s="18" t="s">
        <v>149</v>
      </c>
      <c r="C160" s="18" t="s">
        <v>131</v>
      </c>
      <c r="D160" s="18" t="s">
        <v>132</v>
      </c>
      <c r="E160" s="18">
        <v>4</v>
      </c>
      <c r="F160" s="18" t="s">
        <v>153</v>
      </c>
      <c r="G160" s="18" t="s">
        <v>127</v>
      </c>
      <c r="H160" s="18" t="s">
        <v>7</v>
      </c>
      <c r="I160" s="18" t="b">
        <v>0</v>
      </c>
      <c r="J160" s="18" t="b">
        <v>0</v>
      </c>
      <c r="K160" s="18">
        <v>201.5</v>
      </c>
      <c r="L160" s="20">
        <v>1</v>
      </c>
      <c r="M160" s="18">
        <v>13</v>
      </c>
      <c r="N160" s="18">
        <v>4</v>
      </c>
      <c r="O160" s="18">
        <v>0</v>
      </c>
      <c r="P160" s="18">
        <v>11.5</v>
      </c>
      <c r="Q160" s="18">
        <v>0</v>
      </c>
      <c r="R160" s="18">
        <v>9.5</v>
      </c>
      <c r="S160" s="18">
        <v>9.5</v>
      </c>
      <c r="T160" s="18">
        <v>7.5</v>
      </c>
      <c r="U160" s="18">
        <v>9.5</v>
      </c>
      <c r="V160" s="18">
        <v>9.5</v>
      </c>
      <c r="W160" s="18">
        <v>9.5</v>
      </c>
      <c r="X160" s="18">
        <v>7.5</v>
      </c>
      <c r="Y160" s="18">
        <v>9.5</v>
      </c>
      <c r="Z160" s="18">
        <v>9.5</v>
      </c>
      <c r="AA160" s="18">
        <v>9.5</v>
      </c>
      <c r="AB160" s="18">
        <v>7.5</v>
      </c>
      <c r="AC160" s="18">
        <v>9.5</v>
      </c>
      <c r="AD160" s="18">
        <v>9.5</v>
      </c>
      <c r="AE160" s="18">
        <v>9.5</v>
      </c>
      <c r="AF160" s="18">
        <v>7.5</v>
      </c>
      <c r="AG160" s="18">
        <v>9.5</v>
      </c>
      <c r="AH160" s="18">
        <v>9.5</v>
      </c>
      <c r="AI160" s="18">
        <v>9.5</v>
      </c>
      <c r="AJ160" s="18">
        <v>7.5</v>
      </c>
      <c r="AK160" s="18">
        <v>9.5</v>
      </c>
      <c r="AL160" s="18">
        <v>9.5</v>
      </c>
      <c r="AM160" s="18">
        <v>9.5</v>
      </c>
      <c r="AN160" s="18">
        <v>2.5</v>
      </c>
      <c r="AO160" t="b">
        <f t="shared" si="4"/>
        <v>0</v>
      </c>
      <c r="AP160" t="b">
        <f t="shared" si="5"/>
        <v>0</v>
      </c>
    </row>
    <row r="161" spans="1:42" x14ac:dyDescent="0.25">
      <c r="A161" s="18" t="s">
        <v>157</v>
      </c>
      <c r="B161" s="18" t="s">
        <v>149</v>
      </c>
      <c r="C161" s="18" t="s">
        <v>131</v>
      </c>
      <c r="D161" s="18" t="s">
        <v>132</v>
      </c>
      <c r="E161" s="18">
        <v>4</v>
      </c>
      <c r="F161" s="18" t="s">
        <v>154</v>
      </c>
      <c r="G161" s="18" t="s">
        <v>137</v>
      </c>
      <c r="H161" s="18" t="s">
        <v>29</v>
      </c>
      <c r="I161" s="18" t="b">
        <v>0</v>
      </c>
      <c r="J161" s="18" t="b">
        <v>1</v>
      </c>
      <c r="K161" s="18">
        <v>201.5</v>
      </c>
      <c r="L161" s="20">
        <v>1</v>
      </c>
      <c r="M161" s="18">
        <v>13</v>
      </c>
      <c r="N161" s="18">
        <v>4</v>
      </c>
      <c r="O161" s="18">
        <v>0</v>
      </c>
      <c r="P161" s="18">
        <v>11.5</v>
      </c>
      <c r="Q161" s="18">
        <v>0</v>
      </c>
      <c r="R161" s="18">
        <v>9.5</v>
      </c>
      <c r="S161" s="18">
        <v>9.5</v>
      </c>
      <c r="T161" s="18">
        <v>7.5</v>
      </c>
      <c r="U161" s="18">
        <v>9.5</v>
      </c>
      <c r="V161" s="18">
        <v>9.5</v>
      </c>
      <c r="W161" s="18">
        <v>9.5</v>
      </c>
      <c r="X161" s="18">
        <v>7.5</v>
      </c>
      <c r="Y161" s="18">
        <v>9.5</v>
      </c>
      <c r="Z161" s="18">
        <v>9.5</v>
      </c>
      <c r="AA161" s="18">
        <v>9.5</v>
      </c>
      <c r="AB161" s="18">
        <v>7.5</v>
      </c>
      <c r="AC161" s="18">
        <v>9.5</v>
      </c>
      <c r="AD161" s="18">
        <v>9.5</v>
      </c>
      <c r="AE161" s="18">
        <v>9.5</v>
      </c>
      <c r="AF161" s="18">
        <v>7.5</v>
      </c>
      <c r="AG161" s="18">
        <v>9.5</v>
      </c>
      <c r="AH161" s="18">
        <v>9.5</v>
      </c>
      <c r="AI161" s="18">
        <v>9.5</v>
      </c>
      <c r="AJ161" s="18">
        <v>7.5</v>
      </c>
      <c r="AK161" s="18">
        <v>9.5</v>
      </c>
      <c r="AL161" s="18">
        <v>9.5</v>
      </c>
      <c r="AM161" s="18">
        <v>9.5</v>
      </c>
      <c r="AN161" s="18">
        <v>2.5</v>
      </c>
      <c r="AO161" t="b">
        <f t="shared" si="4"/>
        <v>0</v>
      </c>
      <c r="AP161" t="b">
        <f t="shared" si="5"/>
        <v>0</v>
      </c>
    </row>
    <row r="162" spans="1:42" x14ac:dyDescent="0.25">
      <c r="A162" s="18" t="s">
        <v>158</v>
      </c>
      <c r="B162" s="18" t="s">
        <v>159</v>
      </c>
      <c r="C162" s="18" t="s">
        <v>119</v>
      </c>
      <c r="E162" s="18">
        <v>1</v>
      </c>
      <c r="F162" s="18" t="s">
        <v>3</v>
      </c>
      <c r="G162" s="19" t="s">
        <v>121</v>
      </c>
      <c r="H162" s="19" t="s">
        <v>121</v>
      </c>
      <c r="I162" s="19" t="s">
        <v>121</v>
      </c>
      <c r="J162" s="19" t="s">
        <v>121</v>
      </c>
      <c r="K162" s="18">
        <v>514.5</v>
      </c>
      <c r="L162" s="21" t="s">
        <v>121</v>
      </c>
      <c r="M162" s="18">
        <v>30</v>
      </c>
      <c r="N162" s="18">
        <v>15</v>
      </c>
      <c r="O162" s="18">
        <v>6</v>
      </c>
      <c r="P162" s="18">
        <v>-34.5</v>
      </c>
      <c r="Q162" s="18">
        <v>0</v>
      </c>
      <c r="R162" s="18">
        <v>25.5</v>
      </c>
      <c r="S162" s="18">
        <v>25.5</v>
      </c>
      <c r="T162" s="18">
        <v>19.5</v>
      </c>
      <c r="U162" s="18">
        <v>13.5</v>
      </c>
      <c r="V162" s="18">
        <v>19.5</v>
      </c>
      <c r="W162" s="18">
        <v>25.5</v>
      </c>
      <c r="X162" s="18">
        <v>25.5</v>
      </c>
      <c r="Y162" s="18">
        <v>25.5</v>
      </c>
      <c r="Z162" s="18">
        <v>19.5</v>
      </c>
      <c r="AA162" s="18">
        <v>13.5</v>
      </c>
      <c r="AB162" s="18">
        <v>19.5</v>
      </c>
      <c r="AC162" s="18">
        <v>25.5</v>
      </c>
      <c r="AD162" s="18">
        <v>25.5</v>
      </c>
      <c r="AE162" s="18">
        <v>25.5</v>
      </c>
      <c r="AF162" s="18">
        <v>19.5</v>
      </c>
      <c r="AG162" s="18">
        <v>25.5</v>
      </c>
      <c r="AH162" s="18">
        <v>25.5</v>
      </c>
      <c r="AI162" s="18">
        <v>25.5</v>
      </c>
      <c r="AJ162" s="18">
        <v>19.5</v>
      </c>
      <c r="AK162" s="18">
        <v>25.5</v>
      </c>
      <c r="AL162" s="18">
        <v>25.5</v>
      </c>
      <c r="AM162" s="18">
        <v>25.5</v>
      </c>
      <c r="AN162" s="18">
        <v>13.5</v>
      </c>
      <c r="AO162" t="str">
        <f t="shared" si="4"/>
        <v/>
      </c>
      <c r="AP162" t="str">
        <f t="shared" si="5"/>
        <v/>
      </c>
    </row>
    <row r="163" spans="1:42" x14ac:dyDescent="0.25">
      <c r="A163" s="18" t="s">
        <v>158</v>
      </c>
      <c r="B163" s="18" t="s">
        <v>159</v>
      </c>
      <c r="C163" s="18" t="s">
        <v>119</v>
      </c>
      <c r="E163" s="18">
        <v>1</v>
      </c>
      <c r="F163" s="18" t="s">
        <v>160</v>
      </c>
      <c r="G163" s="18" t="s">
        <v>122</v>
      </c>
      <c r="H163" s="18" t="s">
        <v>31</v>
      </c>
      <c r="I163" s="18" t="b">
        <v>1</v>
      </c>
      <c r="J163" s="18" t="b">
        <v>0</v>
      </c>
      <c r="K163" s="18">
        <v>171.5</v>
      </c>
      <c r="M163" s="18">
        <v>10</v>
      </c>
      <c r="N163" s="18">
        <v>5</v>
      </c>
      <c r="O163" s="18">
        <v>2</v>
      </c>
      <c r="P163" s="18">
        <v>-11.5</v>
      </c>
      <c r="Q163" s="18">
        <v>0</v>
      </c>
      <c r="R163" s="18">
        <v>8.5</v>
      </c>
      <c r="S163" s="18">
        <v>8.5</v>
      </c>
      <c r="T163" s="18">
        <v>6.5</v>
      </c>
      <c r="U163" s="18">
        <v>4.5</v>
      </c>
      <c r="V163" s="18">
        <v>6.5</v>
      </c>
      <c r="W163" s="18">
        <v>8.5</v>
      </c>
      <c r="X163" s="18">
        <v>8.5</v>
      </c>
      <c r="Y163" s="18">
        <v>8.5</v>
      </c>
      <c r="Z163" s="18">
        <v>6.5</v>
      </c>
      <c r="AA163" s="18">
        <v>4.5</v>
      </c>
      <c r="AB163" s="18">
        <v>6.5</v>
      </c>
      <c r="AC163" s="18">
        <v>8.5</v>
      </c>
      <c r="AD163" s="18">
        <v>8.5</v>
      </c>
      <c r="AE163" s="18">
        <v>8.5</v>
      </c>
      <c r="AF163" s="18">
        <v>6.5</v>
      </c>
      <c r="AG163" s="18">
        <v>8.5</v>
      </c>
      <c r="AH163" s="18">
        <v>8.5</v>
      </c>
      <c r="AI163" s="18">
        <v>8.5</v>
      </c>
      <c r="AJ163" s="18">
        <v>6.5</v>
      </c>
      <c r="AK163" s="18">
        <v>8.5</v>
      </c>
      <c r="AL163" s="18">
        <v>8.5</v>
      </c>
      <c r="AM163" s="18">
        <v>8.5</v>
      </c>
      <c r="AN163" s="18">
        <v>4.5</v>
      </c>
      <c r="AO163" t="str">
        <f t="shared" si="4"/>
        <v/>
      </c>
      <c r="AP163" t="str">
        <f t="shared" si="5"/>
        <v/>
      </c>
    </row>
    <row r="164" spans="1:42" x14ac:dyDescent="0.25">
      <c r="A164" s="18" t="s">
        <v>158</v>
      </c>
      <c r="B164" s="18" t="s">
        <v>159</v>
      </c>
      <c r="C164" s="18" t="s">
        <v>119</v>
      </c>
      <c r="E164" s="18">
        <v>1</v>
      </c>
      <c r="F164" s="18" t="s">
        <v>161</v>
      </c>
      <c r="G164" s="18" t="s">
        <v>123</v>
      </c>
      <c r="H164" s="18" t="s">
        <v>4</v>
      </c>
      <c r="I164" s="18" t="b">
        <v>0</v>
      </c>
      <c r="J164" s="18" t="b">
        <v>0</v>
      </c>
      <c r="K164" s="18">
        <v>171.5</v>
      </c>
      <c r="L164" s="20">
        <v>1</v>
      </c>
      <c r="M164" s="18">
        <v>10</v>
      </c>
      <c r="N164" s="18">
        <v>5</v>
      </c>
      <c r="O164" s="18">
        <v>2</v>
      </c>
      <c r="P164" s="18">
        <v>-11.5</v>
      </c>
      <c r="Q164" s="18">
        <v>0</v>
      </c>
      <c r="R164" s="18">
        <v>8.5</v>
      </c>
      <c r="S164" s="18">
        <v>8.5</v>
      </c>
      <c r="T164" s="18">
        <v>6.5</v>
      </c>
      <c r="U164" s="18">
        <v>4.5</v>
      </c>
      <c r="V164" s="18">
        <v>6.5</v>
      </c>
      <c r="W164" s="18">
        <v>8.5</v>
      </c>
      <c r="X164" s="18">
        <v>8.5</v>
      </c>
      <c r="Y164" s="18">
        <v>8.5</v>
      </c>
      <c r="Z164" s="18">
        <v>6.5</v>
      </c>
      <c r="AA164" s="18">
        <v>4.5</v>
      </c>
      <c r="AB164" s="18">
        <v>6.5</v>
      </c>
      <c r="AC164" s="18">
        <v>8.5</v>
      </c>
      <c r="AD164" s="18">
        <v>8.5</v>
      </c>
      <c r="AE164" s="18">
        <v>8.5</v>
      </c>
      <c r="AF164" s="18">
        <v>6.5</v>
      </c>
      <c r="AG164" s="18">
        <v>8.5</v>
      </c>
      <c r="AH164" s="18">
        <v>8.5</v>
      </c>
      <c r="AI164" s="18">
        <v>8.5</v>
      </c>
      <c r="AJ164" s="18">
        <v>6.5</v>
      </c>
      <c r="AK164" s="18">
        <v>8.5</v>
      </c>
      <c r="AL164" s="18">
        <v>8.5</v>
      </c>
      <c r="AM164" s="18">
        <v>8.5</v>
      </c>
      <c r="AN164" s="18">
        <v>4.5</v>
      </c>
      <c r="AO164" t="b">
        <f t="shared" si="4"/>
        <v>0</v>
      </c>
      <c r="AP164" t="b">
        <f t="shared" si="5"/>
        <v>1</v>
      </c>
    </row>
    <row r="165" spans="1:42" x14ac:dyDescent="0.25">
      <c r="A165" s="18" t="s">
        <v>158</v>
      </c>
      <c r="B165" s="18" t="s">
        <v>159</v>
      </c>
      <c r="C165" s="18" t="s">
        <v>119</v>
      </c>
      <c r="E165" s="18">
        <v>1</v>
      </c>
      <c r="F165" s="18" t="s">
        <v>134</v>
      </c>
      <c r="G165" s="18" t="s">
        <v>135</v>
      </c>
      <c r="H165" s="18" t="s">
        <v>5</v>
      </c>
      <c r="I165" s="18" t="b">
        <v>0</v>
      </c>
      <c r="J165" s="18" t="b">
        <v>0</v>
      </c>
      <c r="K165" s="18">
        <v>171.5</v>
      </c>
      <c r="L165" s="20">
        <v>1</v>
      </c>
      <c r="M165" s="18">
        <v>10</v>
      </c>
      <c r="N165" s="18">
        <v>5</v>
      </c>
      <c r="O165" s="18">
        <v>2</v>
      </c>
      <c r="P165" s="18">
        <v>-11.5</v>
      </c>
      <c r="Q165" s="18">
        <v>0</v>
      </c>
      <c r="R165" s="18">
        <v>8.5</v>
      </c>
      <c r="S165" s="18">
        <v>8.5</v>
      </c>
      <c r="T165" s="18">
        <v>6.5</v>
      </c>
      <c r="U165" s="18">
        <v>4.5</v>
      </c>
      <c r="V165" s="18">
        <v>6.5</v>
      </c>
      <c r="W165" s="18">
        <v>8.5</v>
      </c>
      <c r="X165" s="18">
        <v>8.5</v>
      </c>
      <c r="Y165" s="18">
        <v>8.5</v>
      </c>
      <c r="Z165" s="18">
        <v>6.5</v>
      </c>
      <c r="AA165" s="18">
        <v>4.5</v>
      </c>
      <c r="AB165" s="18">
        <v>6.5</v>
      </c>
      <c r="AC165" s="18">
        <v>8.5</v>
      </c>
      <c r="AD165" s="18">
        <v>8.5</v>
      </c>
      <c r="AE165" s="18">
        <v>8.5</v>
      </c>
      <c r="AF165" s="18">
        <v>6.5</v>
      </c>
      <c r="AG165" s="18">
        <v>8.5</v>
      </c>
      <c r="AH165" s="18">
        <v>8.5</v>
      </c>
      <c r="AI165" s="18">
        <v>8.5</v>
      </c>
      <c r="AJ165" s="18">
        <v>6.5</v>
      </c>
      <c r="AK165" s="18">
        <v>8.5</v>
      </c>
      <c r="AL165" s="18">
        <v>8.5</v>
      </c>
      <c r="AM165" s="18">
        <v>8.5</v>
      </c>
      <c r="AN165" s="18">
        <v>4.5</v>
      </c>
      <c r="AO165" t="b">
        <f t="shared" si="4"/>
        <v>0</v>
      </c>
      <c r="AP165" t="b">
        <f t="shared" si="5"/>
        <v>1</v>
      </c>
    </row>
    <row r="166" spans="1:42" x14ac:dyDescent="0.25">
      <c r="A166" s="18" t="s">
        <v>158</v>
      </c>
      <c r="B166" s="18" t="s">
        <v>159</v>
      </c>
      <c r="C166" s="18" t="s">
        <v>119</v>
      </c>
      <c r="E166" s="18">
        <v>1</v>
      </c>
      <c r="F166" s="18" t="s">
        <v>162</v>
      </c>
      <c r="G166" s="18" t="s">
        <v>125</v>
      </c>
      <c r="H166" s="18" t="s">
        <v>25</v>
      </c>
      <c r="I166" s="18" t="b">
        <v>0</v>
      </c>
      <c r="J166" s="18" t="b">
        <v>0</v>
      </c>
      <c r="K166" s="18">
        <v>171.5</v>
      </c>
      <c r="L166" s="20">
        <v>1</v>
      </c>
      <c r="M166" s="18">
        <v>10</v>
      </c>
      <c r="N166" s="18">
        <v>5</v>
      </c>
      <c r="O166" s="18">
        <v>2</v>
      </c>
      <c r="P166" s="18">
        <v>-11.5</v>
      </c>
      <c r="Q166" s="18">
        <v>0</v>
      </c>
      <c r="R166" s="18">
        <v>8.5</v>
      </c>
      <c r="S166" s="18">
        <v>8.5</v>
      </c>
      <c r="T166" s="18">
        <v>6.5</v>
      </c>
      <c r="U166" s="18">
        <v>4.5</v>
      </c>
      <c r="V166" s="18">
        <v>6.5</v>
      </c>
      <c r="W166" s="18">
        <v>8.5</v>
      </c>
      <c r="X166" s="18">
        <v>8.5</v>
      </c>
      <c r="Y166" s="18">
        <v>8.5</v>
      </c>
      <c r="Z166" s="18">
        <v>6.5</v>
      </c>
      <c r="AA166" s="18">
        <v>4.5</v>
      </c>
      <c r="AB166" s="18">
        <v>6.5</v>
      </c>
      <c r="AC166" s="18">
        <v>8.5</v>
      </c>
      <c r="AD166" s="18">
        <v>8.5</v>
      </c>
      <c r="AE166" s="18">
        <v>8.5</v>
      </c>
      <c r="AF166" s="18">
        <v>6.5</v>
      </c>
      <c r="AG166" s="18">
        <v>8.5</v>
      </c>
      <c r="AH166" s="18">
        <v>8.5</v>
      </c>
      <c r="AI166" s="18">
        <v>8.5</v>
      </c>
      <c r="AJ166" s="18">
        <v>6.5</v>
      </c>
      <c r="AK166" s="18">
        <v>8.5</v>
      </c>
      <c r="AL166" s="18">
        <v>8.5</v>
      </c>
      <c r="AM166" s="18">
        <v>8.5</v>
      </c>
      <c r="AN166" s="18">
        <v>4.5</v>
      </c>
      <c r="AO166" t="b">
        <f t="shared" si="4"/>
        <v>0</v>
      </c>
      <c r="AP166" t="b">
        <f t="shared" si="5"/>
        <v>1</v>
      </c>
    </row>
    <row r="167" spans="1:42" x14ac:dyDescent="0.25">
      <c r="A167" s="18" t="s">
        <v>158</v>
      </c>
      <c r="B167" s="18" t="s">
        <v>159</v>
      </c>
      <c r="C167" s="18" t="s">
        <v>119</v>
      </c>
      <c r="E167" s="18">
        <v>1</v>
      </c>
      <c r="F167" s="18" t="s">
        <v>136</v>
      </c>
      <c r="G167" s="18" t="s">
        <v>126</v>
      </c>
      <c r="H167" s="18" t="s">
        <v>6</v>
      </c>
      <c r="I167" s="18" t="b">
        <v>0</v>
      </c>
      <c r="J167" s="18" t="b">
        <v>0</v>
      </c>
      <c r="K167" s="18">
        <v>171.5</v>
      </c>
      <c r="L167" s="20">
        <v>1</v>
      </c>
      <c r="M167" s="18">
        <v>10</v>
      </c>
      <c r="N167" s="18">
        <v>5</v>
      </c>
      <c r="O167" s="18">
        <v>2</v>
      </c>
      <c r="P167" s="18">
        <v>-11.5</v>
      </c>
      <c r="Q167" s="18">
        <v>0</v>
      </c>
      <c r="R167" s="18">
        <v>8.5</v>
      </c>
      <c r="S167" s="18">
        <v>8.5</v>
      </c>
      <c r="T167" s="18">
        <v>6.5</v>
      </c>
      <c r="U167" s="18">
        <v>4.5</v>
      </c>
      <c r="V167" s="18">
        <v>6.5</v>
      </c>
      <c r="W167" s="18">
        <v>8.5</v>
      </c>
      <c r="X167" s="18">
        <v>8.5</v>
      </c>
      <c r="Y167" s="18">
        <v>8.5</v>
      </c>
      <c r="Z167" s="18">
        <v>6.5</v>
      </c>
      <c r="AA167" s="18">
        <v>4.5</v>
      </c>
      <c r="AB167" s="18">
        <v>6.5</v>
      </c>
      <c r="AC167" s="18">
        <v>8.5</v>
      </c>
      <c r="AD167" s="18">
        <v>8.5</v>
      </c>
      <c r="AE167" s="18">
        <v>8.5</v>
      </c>
      <c r="AF167" s="18">
        <v>6.5</v>
      </c>
      <c r="AG167" s="18">
        <v>8.5</v>
      </c>
      <c r="AH167" s="18">
        <v>8.5</v>
      </c>
      <c r="AI167" s="18">
        <v>8.5</v>
      </c>
      <c r="AJ167" s="18">
        <v>6.5</v>
      </c>
      <c r="AK167" s="18">
        <v>8.5</v>
      </c>
      <c r="AL167" s="18">
        <v>8.5</v>
      </c>
      <c r="AM167" s="18">
        <v>8.5</v>
      </c>
      <c r="AN167" s="18">
        <v>4.5</v>
      </c>
      <c r="AO167" t="b">
        <f t="shared" si="4"/>
        <v>0</v>
      </c>
      <c r="AP167" t="b">
        <f t="shared" si="5"/>
        <v>1</v>
      </c>
    </row>
    <row r="168" spans="1:42" x14ac:dyDescent="0.25">
      <c r="A168" s="18" t="s">
        <v>158</v>
      </c>
      <c r="B168" s="18" t="s">
        <v>159</v>
      </c>
      <c r="C168" s="18" t="s">
        <v>119</v>
      </c>
      <c r="E168" s="18">
        <v>1</v>
      </c>
      <c r="F168" s="18" t="s">
        <v>163</v>
      </c>
      <c r="G168" s="18" t="s">
        <v>127</v>
      </c>
      <c r="H168" s="18" t="s">
        <v>7</v>
      </c>
      <c r="I168" s="18" t="b">
        <v>0</v>
      </c>
      <c r="J168" s="18" t="b">
        <v>0</v>
      </c>
      <c r="K168" s="18">
        <v>171.5</v>
      </c>
      <c r="L168" s="20">
        <v>1</v>
      </c>
      <c r="M168" s="18">
        <v>10</v>
      </c>
      <c r="N168" s="18">
        <v>5</v>
      </c>
      <c r="O168" s="18">
        <v>2</v>
      </c>
      <c r="P168" s="18">
        <v>-11.5</v>
      </c>
      <c r="Q168" s="18">
        <v>0</v>
      </c>
      <c r="R168" s="18">
        <v>8.5</v>
      </c>
      <c r="S168" s="18">
        <v>8.5</v>
      </c>
      <c r="T168" s="18">
        <v>6.5</v>
      </c>
      <c r="U168" s="18">
        <v>4.5</v>
      </c>
      <c r="V168" s="18">
        <v>6.5</v>
      </c>
      <c r="W168" s="18">
        <v>8.5</v>
      </c>
      <c r="X168" s="18">
        <v>8.5</v>
      </c>
      <c r="Y168" s="18">
        <v>8.5</v>
      </c>
      <c r="Z168" s="18">
        <v>6.5</v>
      </c>
      <c r="AA168" s="18">
        <v>4.5</v>
      </c>
      <c r="AB168" s="18">
        <v>6.5</v>
      </c>
      <c r="AC168" s="18">
        <v>8.5</v>
      </c>
      <c r="AD168" s="18">
        <v>8.5</v>
      </c>
      <c r="AE168" s="18">
        <v>8.5</v>
      </c>
      <c r="AF168" s="18">
        <v>6.5</v>
      </c>
      <c r="AG168" s="18">
        <v>8.5</v>
      </c>
      <c r="AH168" s="18">
        <v>8.5</v>
      </c>
      <c r="AI168" s="18">
        <v>8.5</v>
      </c>
      <c r="AJ168" s="18">
        <v>6.5</v>
      </c>
      <c r="AK168" s="18">
        <v>8.5</v>
      </c>
      <c r="AL168" s="18">
        <v>8.5</v>
      </c>
      <c r="AM168" s="18">
        <v>8.5</v>
      </c>
      <c r="AN168" s="18">
        <v>4.5</v>
      </c>
      <c r="AO168" t="b">
        <f t="shared" si="4"/>
        <v>0</v>
      </c>
      <c r="AP168" t="b">
        <f t="shared" si="5"/>
        <v>1</v>
      </c>
    </row>
    <row r="169" spans="1:42" x14ac:dyDescent="0.25">
      <c r="A169" s="18" t="s">
        <v>158</v>
      </c>
      <c r="B169" s="18" t="s">
        <v>159</v>
      </c>
      <c r="C169" s="18" t="s">
        <v>119</v>
      </c>
      <c r="E169" s="18">
        <v>1</v>
      </c>
      <c r="F169" s="18" t="s">
        <v>164</v>
      </c>
      <c r="G169" s="18" t="s">
        <v>137</v>
      </c>
      <c r="H169" s="18" t="s">
        <v>29</v>
      </c>
      <c r="I169" s="18" t="b">
        <v>0</v>
      </c>
      <c r="J169" s="18" t="b">
        <v>1</v>
      </c>
      <c r="K169" s="18">
        <v>171.5</v>
      </c>
      <c r="L169" s="20">
        <v>1</v>
      </c>
      <c r="M169" s="18">
        <v>10</v>
      </c>
      <c r="N169" s="18">
        <v>5</v>
      </c>
      <c r="O169" s="18">
        <v>2</v>
      </c>
      <c r="P169" s="18">
        <v>-11.5</v>
      </c>
      <c r="Q169" s="18">
        <v>0</v>
      </c>
      <c r="R169" s="18">
        <v>8.5</v>
      </c>
      <c r="S169" s="18">
        <v>8.5</v>
      </c>
      <c r="T169" s="18">
        <v>6.5</v>
      </c>
      <c r="U169" s="18">
        <v>4.5</v>
      </c>
      <c r="V169" s="18">
        <v>6.5</v>
      </c>
      <c r="W169" s="18">
        <v>8.5</v>
      </c>
      <c r="X169" s="18">
        <v>8.5</v>
      </c>
      <c r="Y169" s="18">
        <v>8.5</v>
      </c>
      <c r="Z169" s="18">
        <v>6.5</v>
      </c>
      <c r="AA169" s="18">
        <v>4.5</v>
      </c>
      <c r="AB169" s="18">
        <v>6.5</v>
      </c>
      <c r="AC169" s="18">
        <v>8.5</v>
      </c>
      <c r="AD169" s="18">
        <v>8.5</v>
      </c>
      <c r="AE169" s="18">
        <v>8.5</v>
      </c>
      <c r="AF169" s="18">
        <v>6.5</v>
      </c>
      <c r="AG169" s="18">
        <v>8.5</v>
      </c>
      <c r="AH169" s="18">
        <v>8.5</v>
      </c>
      <c r="AI169" s="18">
        <v>8.5</v>
      </c>
      <c r="AJ169" s="18">
        <v>6.5</v>
      </c>
      <c r="AK169" s="18">
        <v>8.5</v>
      </c>
      <c r="AL169" s="18">
        <v>8.5</v>
      </c>
      <c r="AM169" s="18">
        <v>8.5</v>
      </c>
      <c r="AN169" s="18">
        <v>4.5</v>
      </c>
      <c r="AO169" t="b">
        <f t="shared" si="4"/>
        <v>0</v>
      </c>
      <c r="AP169" t="b">
        <f t="shared" si="5"/>
        <v>1</v>
      </c>
    </row>
    <row r="170" spans="1:42" x14ac:dyDescent="0.25">
      <c r="A170" s="18" t="s">
        <v>165</v>
      </c>
      <c r="B170" s="18" t="s">
        <v>159</v>
      </c>
      <c r="C170" s="18" t="s">
        <v>128</v>
      </c>
      <c r="E170" s="18">
        <v>2</v>
      </c>
      <c r="F170" s="18" t="s">
        <v>3</v>
      </c>
      <c r="G170" s="19" t="s">
        <v>121</v>
      </c>
      <c r="H170" s="19" t="s">
        <v>121</v>
      </c>
      <c r="I170" s="19" t="s">
        <v>121</v>
      </c>
      <c r="J170" s="19" t="s">
        <v>121</v>
      </c>
      <c r="K170" s="18">
        <v>514.5</v>
      </c>
      <c r="L170" s="21" t="s">
        <v>121</v>
      </c>
      <c r="M170" s="18">
        <v>30</v>
      </c>
      <c r="N170" s="18">
        <v>15</v>
      </c>
      <c r="O170" s="18">
        <v>6</v>
      </c>
      <c r="P170" s="18">
        <v>-34.5</v>
      </c>
      <c r="Q170" s="18">
        <v>0</v>
      </c>
      <c r="R170" s="18">
        <v>25.5</v>
      </c>
      <c r="S170" s="18">
        <v>25.5</v>
      </c>
      <c r="T170" s="18">
        <v>19.5</v>
      </c>
      <c r="U170" s="18">
        <v>13.5</v>
      </c>
      <c r="V170" s="18">
        <v>19.5</v>
      </c>
      <c r="W170" s="18">
        <v>25.5</v>
      </c>
      <c r="X170" s="18">
        <v>25.5</v>
      </c>
      <c r="Y170" s="18">
        <v>25.5</v>
      </c>
      <c r="Z170" s="18">
        <v>19.5</v>
      </c>
      <c r="AA170" s="18">
        <v>13.5</v>
      </c>
      <c r="AB170" s="18">
        <v>19.5</v>
      </c>
      <c r="AC170" s="18">
        <v>25.5</v>
      </c>
      <c r="AD170" s="18">
        <v>25.5</v>
      </c>
      <c r="AE170" s="18">
        <v>25.5</v>
      </c>
      <c r="AF170" s="18">
        <v>19.5</v>
      </c>
      <c r="AG170" s="18">
        <v>25.5</v>
      </c>
      <c r="AH170" s="18">
        <v>25.5</v>
      </c>
      <c r="AI170" s="18">
        <v>25.5</v>
      </c>
      <c r="AJ170" s="18">
        <v>19.5</v>
      </c>
      <c r="AK170" s="18">
        <v>25.5</v>
      </c>
      <c r="AL170" s="18">
        <v>25.5</v>
      </c>
      <c r="AM170" s="18">
        <v>25.5</v>
      </c>
      <c r="AN170" s="18">
        <v>13.5</v>
      </c>
      <c r="AO170" t="str">
        <f t="shared" si="4"/>
        <v/>
      </c>
      <c r="AP170" t="str">
        <f t="shared" si="5"/>
        <v/>
      </c>
    </row>
    <row r="171" spans="1:42" x14ac:dyDescent="0.25">
      <c r="A171" s="18" t="s">
        <v>165</v>
      </c>
      <c r="B171" s="18" t="s">
        <v>159</v>
      </c>
      <c r="C171" s="18" t="s">
        <v>128</v>
      </c>
      <c r="E171" s="18">
        <v>2</v>
      </c>
      <c r="F171" s="18" t="s">
        <v>160</v>
      </c>
      <c r="G171" s="18" t="s">
        <v>122</v>
      </c>
      <c r="H171" s="18" t="s">
        <v>31</v>
      </c>
      <c r="I171" s="18" t="b">
        <v>1</v>
      </c>
      <c r="J171" s="18" t="b">
        <v>0</v>
      </c>
      <c r="K171" s="18">
        <v>171.5</v>
      </c>
      <c r="M171" s="18">
        <v>10</v>
      </c>
      <c r="N171" s="18">
        <v>5</v>
      </c>
      <c r="O171" s="18">
        <v>2</v>
      </c>
      <c r="P171" s="18">
        <v>-11.5</v>
      </c>
      <c r="Q171" s="18">
        <v>0</v>
      </c>
      <c r="R171" s="18">
        <v>8.5</v>
      </c>
      <c r="S171" s="18">
        <v>8.5</v>
      </c>
      <c r="T171" s="18">
        <v>6.5</v>
      </c>
      <c r="U171" s="18">
        <v>4.5</v>
      </c>
      <c r="V171" s="18">
        <v>6.5</v>
      </c>
      <c r="W171" s="18">
        <v>8.5</v>
      </c>
      <c r="X171" s="18">
        <v>8.5</v>
      </c>
      <c r="Y171" s="18">
        <v>8.5</v>
      </c>
      <c r="Z171" s="18">
        <v>6.5</v>
      </c>
      <c r="AA171" s="18">
        <v>4.5</v>
      </c>
      <c r="AB171" s="18">
        <v>6.5</v>
      </c>
      <c r="AC171" s="18">
        <v>8.5</v>
      </c>
      <c r="AD171" s="18">
        <v>8.5</v>
      </c>
      <c r="AE171" s="18">
        <v>8.5</v>
      </c>
      <c r="AF171" s="18">
        <v>6.5</v>
      </c>
      <c r="AG171" s="18">
        <v>8.5</v>
      </c>
      <c r="AH171" s="18">
        <v>8.5</v>
      </c>
      <c r="AI171" s="18">
        <v>8.5</v>
      </c>
      <c r="AJ171" s="18">
        <v>6.5</v>
      </c>
      <c r="AK171" s="18">
        <v>8.5</v>
      </c>
      <c r="AL171" s="18">
        <v>8.5</v>
      </c>
      <c r="AM171" s="18">
        <v>8.5</v>
      </c>
      <c r="AN171" s="18">
        <v>4.5</v>
      </c>
      <c r="AO171" t="str">
        <f t="shared" si="4"/>
        <v/>
      </c>
      <c r="AP171" t="str">
        <f t="shared" si="5"/>
        <v/>
      </c>
    </row>
    <row r="172" spans="1:42" x14ac:dyDescent="0.25">
      <c r="A172" s="18" t="s">
        <v>165</v>
      </c>
      <c r="B172" s="18" t="s">
        <v>159</v>
      </c>
      <c r="C172" s="18" t="s">
        <v>128</v>
      </c>
      <c r="E172" s="18">
        <v>2</v>
      </c>
      <c r="F172" s="18" t="s">
        <v>161</v>
      </c>
      <c r="G172" s="18" t="s">
        <v>123</v>
      </c>
      <c r="H172" s="18" t="s">
        <v>4</v>
      </c>
      <c r="I172" s="18" t="b">
        <v>0</v>
      </c>
      <c r="J172" s="18" t="b">
        <v>0</v>
      </c>
      <c r="K172" s="18">
        <v>171.5</v>
      </c>
      <c r="L172" s="20">
        <v>1</v>
      </c>
      <c r="M172" s="18">
        <v>10</v>
      </c>
      <c r="N172" s="18">
        <v>5</v>
      </c>
      <c r="O172" s="18">
        <v>2</v>
      </c>
      <c r="P172" s="18">
        <v>-11.5</v>
      </c>
      <c r="Q172" s="18">
        <v>0</v>
      </c>
      <c r="R172" s="18">
        <v>8.5</v>
      </c>
      <c r="S172" s="18">
        <v>8.5</v>
      </c>
      <c r="T172" s="18">
        <v>6.5</v>
      </c>
      <c r="U172" s="18">
        <v>4.5</v>
      </c>
      <c r="V172" s="18">
        <v>6.5</v>
      </c>
      <c r="W172" s="18">
        <v>8.5</v>
      </c>
      <c r="X172" s="18">
        <v>8.5</v>
      </c>
      <c r="Y172" s="18">
        <v>8.5</v>
      </c>
      <c r="Z172" s="18">
        <v>6.5</v>
      </c>
      <c r="AA172" s="18">
        <v>4.5</v>
      </c>
      <c r="AB172" s="18">
        <v>6.5</v>
      </c>
      <c r="AC172" s="18">
        <v>8.5</v>
      </c>
      <c r="AD172" s="18">
        <v>8.5</v>
      </c>
      <c r="AE172" s="18">
        <v>8.5</v>
      </c>
      <c r="AF172" s="18">
        <v>6.5</v>
      </c>
      <c r="AG172" s="18">
        <v>8.5</v>
      </c>
      <c r="AH172" s="18">
        <v>8.5</v>
      </c>
      <c r="AI172" s="18">
        <v>8.5</v>
      </c>
      <c r="AJ172" s="18">
        <v>6.5</v>
      </c>
      <c r="AK172" s="18">
        <v>8.5</v>
      </c>
      <c r="AL172" s="18">
        <v>8.5</v>
      </c>
      <c r="AM172" s="18">
        <v>8.5</v>
      </c>
      <c r="AN172" s="18">
        <v>4.5</v>
      </c>
      <c r="AO172" t="b">
        <f t="shared" si="4"/>
        <v>0</v>
      </c>
      <c r="AP172" t="b">
        <f t="shared" si="5"/>
        <v>1</v>
      </c>
    </row>
    <row r="173" spans="1:42" x14ac:dyDescent="0.25">
      <c r="A173" s="18" t="s">
        <v>165</v>
      </c>
      <c r="B173" s="18" t="s">
        <v>159</v>
      </c>
      <c r="C173" s="18" t="s">
        <v>128</v>
      </c>
      <c r="E173" s="18">
        <v>2</v>
      </c>
      <c r="F173" s="18" t="s">
        <v>134</v>
      </c>
      <c r="G173" s="18" t="s">
        <v>135</v>
      </c>
      <c r="H173" s="18" t="s">
        <v>5</v>
      </c>
      <c r="I173" s="18" t="b">
        <v>0</v>
      </c>
      <c r="J173" s="18" t="b">
        <v>0</v>
      </c>
      <c r="K173" s="18">
        <v>171.5</v>
      </c>
      <c r="L173" s="20">
        <v>1</v>
      </c>
      <c r="M173" s="18">
        <v>10</v>
      </c>
      <c r="N173" s="18">
        <v>5</v>
      </c>
      <c r="O173" s="18">
        <v>2</v>
      </c>
      <c r="P173" s="18">
        <v>-11.5</v>
      </c>
      <c r="Q173" s="18">
        <v>0</v>
      </c>
      <c r="R173" s="18">
        <v>8.5</v>
      </c>
      <c r="S173" s="18">
        <v>8.5</v>
      </c>
      <c r="T173" s="18">
        <v>6.5</v>
      </c>
      <c r="U173" s="18">
        <v>4.5</v>
      </c>
      <c r="V173" s="18">
        <v>6.5</v>
      </c>
      <c r="W173" s="18">
        <v>8.5</v>
      </c>
      <c r="X173" s="18">
        <v>8.5</v>
      </c>
      <c r="Y173" s="18">
        <v>8.5</v>
      </c>
      <c r="Z173" s="18">
        <v>6.5</v>
      </c>
      <c r="AA173" s="18">
        <v>4.5</v>
      </c>
      <c r="AB173" s="18">
        <v>6.5</v>
      </c>
      <c r="AC173" s="18">
        <v>8.5</v>
      </c>
      <c r="AD173" s="18">
        <v>8.5</v>
      </c>
      <c r="AE173" s="18">
        <v>8.5</v>
      </c>
      <c r="AF173" s="18">
        <v>6.5</v>
      </c>
      <c r="AG173" s="18">
        <v>8.5</v>
      </c>
      <c r="AH173" s="18">
        <v>8.5</v>
      </c>
      <c r="AI173" s="18">
        <v>8.5</v>
      </c>
      <c r="AJ173" s="18">
        <v>6.5</v>
      </c>
      <c r="AK173" s="18">
        <v>8.5</v>
      </c>
      <c r="AL173" s="18">
        <v>8.5</v>
      </c>
      <c r="AM173" s="18">
        <v>8.5</v>
      </c>
      <c r="AN173" s="18">
        <v>4.5</v>
      </c>
      <c r="AO173" t="b">
        <f t="shared" si="4"/>
        <v>0</v>
      </c>
      <c r="AP173" t="b">
        <f t="shared" si="5"/>
        <v>1</v>
      </c>
    </row>
    <row r="174" spans="1:42" x14ac:dyDescent="0.25">
      <c r="A174" s="18" t="s">
        <v>165</v>
      </c>
      <c r="B174" s="18" t="s">
        <v>159</v>
      </c>
      <c r="C174" s="18" t="s">
        <v>128</v>
      </c>
      <c r="E174" s="18">
        <v>2</v>
      </c>
      <c r="F174" s="18" t="s">
        <v>162</v>
      </c>
      <c r="G174" s="18" t="s">
        <v>125</v>
      </c>
      <c r="H174" s="18" t="s">
        <v>25</v>
      </c>
      <c r="I174" s="18" t="b">
        <v>0</v>
      </c>
      <c r="J174" s="18" t="b">
        <v>0</v>
      </c>
      <c r="K174" s="18">
        <v>171.5</v>
      </c>
      <c r="L174" s="20">
        <v>1</v>
      </c>
      <c r="M174" s="18">
        <v>10</v>
      </c>
      <c r="N174" s="18">
        <v>5</v>
      </c>
      <c r="O174" s="18">
        <v>2</v>
      </c>
      <c r="P174" s="18">
        <v>-11.5</v>
      </c>
      <c r="Q174" s="18">
        <v>0</v>
      </c>
      <c r="R174" s="18">
        <v>8.5</v>
      </c>
      <c r="S174" s="18">
        <v>8.5</v>
      </c>
      <c r="T174" s="18">
        <v>6.5</v>
      </c>
      <c r="U174" s="18">
        <v>4.5</v>
      </c>
      <c r="V174" s="18">
        <v>6.5</v>
      </c>
      <c r="W174" s="18">
        <v>8.5</v>
      </c>
      <c r="X174" s="18">
        <v>8.5</v>
      </c>
      <c r="Y174" s="18">
        <v>8.5</v>
      </c>
      <c r="Z174" s="18">
        <v>6.5</v>
      </c>
      <c r="AA174" s="18">
        <v>4.5</v>
      </c>
      <c r="AB174" s="18">
        <v>6.5</v>
      </c>
      <c r="AC174" s="18">
        <v>8.5</v>
      </c>
      <c r="AD174" s="18">
        <v>8.5</v>
      </c>
      <c r="AE174" s="18">
        <v>8.5</v>
      </c>
      <c r="AF174" s="18">
        <v>6.5</v>
      </c>
      <c r="AG174" s="18">
        <v>8.5</v>
      </c>
      <c r="AH174" s="18">
        <v>8.5</v>
      </c>
      <c r="AI174" s="18">
        <v>8.5</v>
      </c>
      <c r="AJ174" s="18">
        <v>6.5</v>
      </c>
      <c r="AK174" s="18">
        <v>8.5</v>
      </c>
      <c r="AL174" s="18">
        <v>8.5</v>
      </c>
      <c r="AM174" s="18">
        <v>8.5</v>
      </c>
      <c r="AN174" s="18">
        <v>4.5</v>
      </c>
      <c r="AO174" t="b">
        <f t="shared" si="4"/>
        <v>0</v>
      </c>
      <c r="AP174" t="b">
        <f t="shared" si="5"/>
        <v>1</v>
      </c>
    </row>
    <row r="175" spans="1:42" x14ac:dyDescent="0.25">
      <c r="A175" s="18" t="s">
        <v>165</v>
      </c>
      <c r="B175" s="18" t="s">
        <v>159</v>
      </c>
      <c r="C175" s="18" t="s">
        <v>128</v>
      </c>
      <c r="E175" s="18">
        <v>2</v>
      </c>
      <c r="F175" s="18" t="s">
        <v>136</v>
      </c>
      <c r="G175" s="18" t="s">
        <v>126</v>
      </c>
      <c r="H175" s="18" t="s">
        <v>6</v>
      </c>
      <c r="I175" s="18" t="b">
        <v>0</v>
      </c>
      <c r="J175" s="18" t="b">
        <v>0</v>
      </c>
      <c r="K175" s="18">
        <v>171.5</v>
      </c>
      <c r="L175" s="20">
        <v>1</v>
      </c>
      <c r="M175" s="18">
        <v>10</v>
      </c>
      <c r="N175" s="18">
        <v>5</v>
      </c>
      <c r="O175" s="18">
        <v>2</v>
      </c>
      <c r="P175" s="18">
        <v>-11.5</v>
      </c>
      <c r="Q175" s="18">
        <v>0</v>
      </c>
      <c r="R175" s="18">
        <v>8.5</v>
      </c>
      <c r="S175" s="18">
        <v>8.5</v>
      </c>
      <c r="T175" s="18">
        <v>6.5</v>
      </c>
      <c r="U175" s="18">
        <v>4.5</v>
      </c>
      <c r="V175" s="18">
        <v>6.5</v>
      </c>
      <c r="W175" s="18">
        <v>8.5</v>
      </c>
      <c r="X175" s="18">
        <v>8.5</v>
      </c>
      <c r="Y175" s="18">
        <v>8.5</v>
      </c>
      <c r="Z175" s="18">
        <v>6.5</v>
      </c>
      <c r="AA175" s="18">
        <v>4.5</v>
      </c>
      <c r="AB175" s="18">
        <v>6.5</v>
      </c>
      <c r="AC175" s="18">
        <v>8.5</v>
      </c>
      <c r="AD175" s="18">
        <v>8.5</v>
      </c>
      <c r="AE175" s="18">
        <v>8.5</v>
      </c>
      <c r="AF175" s="18">
        <v>6.5</v>
      </c>
      <c r="AG175" s="18">
        <v>8.5</v>
      </c>
      <c r="AH175" s="18">
        <v>8.5</v>
      </c>
      <c r="AI175" s="18">
        <v>8.5</v>
      </c>
      <c r="AJ175" s="18">
        <v>6.5</v>
      </c>
      <c r="AK175" s="18">
        <v>8.5</v>
      </c>
      <c r="AL175" s="18">
        <v>8.5</v>
      </c>
      <c r="AM175" s="18">
        <v>8.5</v>
      </c>
      <c r="AN175" s="18">
        <v>4.5</v>
      </c>
      <c r="AO175" t="b">
        <f t="shared" si="4"/>
        <v>0</v>
      </c>
      <c r="AP175" t="b">
        <f t="shared" si="5"/>
        <v>1</v>
      </c>
    </row>
    <row r="176" spans="1:42" x14ac:dyDescent="0.25">
      <c r="A176" s="18" t="s">
        <v>165</v>
      </c>
      <c r="B176" s="18" t="s">
        <v>159</v>
      </c>
      <c r="C176" s="18" t="s">
        <v>128</v>
      </c>
      <c r="E176" s="18">
        <v>2</v>
      </c>
      <c r="F176" s="18" t="s">
        <v>163</v>
      </c>
      <c r="G176" s="18" t="s">
        <v>127</v>
      </c>
      <c r="H176" s="18" t="s">
        <v>7</v>
      </c>
      <c r="I176" s="18" t="b">
        <v>0</v>
      </c>
      <c r="J176" s="18" t="b">
        <v>0</v>
      </c>
      <c r="K176" s="18">
        <v>171.5</v>
      </c>
      <c r="L176" s="20">
        <v>1</v>
      </c>
      <c r="M176" s="18">
        <v>10</v>
      </c>
      <c r="N176" s="18">
        <v>5</v>
      </c>
      <c r="O176" s="18">
        <v>2</v>
      </c>
      <c r="P176" s="18">
        <v>-11.5</v>
      </c>
      <c r="Q176" s="18">
        <v>0</v>
      </c>
      <c r="R176" s="18">
        <v>8.5</v>
      </c>
      <c r="S176" s="18">
        <v>8.5</v>
      </c>
      <c r="T176" s="18">
        <v>6.5</v>
      </c>
      <c r="U176" s="18">
        <v>4.5</v>
      </c>
      <c r="V176" s="18">
        <v>6.5</v>
      </c>
      <c r="W176" s="18">
        <v>8.5</v>
      </c>
      <c r="X176" s="18">
        <v>8.5</v>
      </c>
      <c r="Y176" s="18">
        <v>8.5</v>
      </c>
      <c r="Z176" s="18">
        <v>6.5</v>
      </c>
      <c r="AA176" s="18">
        <v>4.5</v>
      </c>
      <c r="AB176" s="18">
        <v>6.5</v>
      </c>
      <c r="AC176" s="18">
        <v>8.5</v>
      </c>
      <c r="AD176" s="18">
        <v>8.5</v>
      </c>
      <c r="AE176" s="18">
        <v>8.5</v>
      </c>
      <c r="AF176" s="18">
        <v>6.5</v>
      </c>
      <c r="AG176" s="18">
        <v>8.5</v>
      </c>
      <c r="AH176" s="18">
        <v>8.5</v>
      </c>
      <c r="AI176" s="18">
        <v>8.5</v>
      </c>
      <c r="AJ176" s="18">
        <v>6.5</v>
      </c>
      <c r="AK176" s="18">
        <v>8.5</v>
      </c>
      <c r="AL176" s="18">
        <v>8.5</v>
      </c>
      <c r="AM176" s="18">
        <v>8.5</v>
      </c>
      <c r="AN176" s="18">
        <v>4.5</v>
      </c>
      <c r="AO176" t="b">
        <f t="shared" si="4"/>
        <v>0</v>
      </c>
      <c r="AP176" t="b">
        <f t="shared" si="5"/>
        <v>1</v>
      </c>
    </row>
    <row r="177" spans="1:42" x14ac:dyDescent="0.25">
      <c r="A177" s="18" t="s">
        <v>165</v>
      </c>
      <c r="B177" s="18" t="s">
        <v>159</v>
      </c>
      <c r="C177" s="18" t="s">
        <v>128</v>
      </c>
      <c r="E177" s="18">
        <v>2</v>
      </c>
      <c r="F177" s="18" t="s">
        <v>164</v>
      </c>
      <c r="G177" s="18" t="s">
        <v>137</v>
      </c>
      <c r="H177" s="18" t="s">
        <v>29</v>
      </c>
      <c r="I177" s="18" t="b">
        <v>0</v>
      </c>
      <c r="J177" s="18" t="b">
        <v>1</v>
      </c>
      <c r="K177" s="18">
        <v>171.5</v>
      </c>
      <c r="L177" s="20">
        <v>1</v>
      </c>
      <c r="M177" s="18">
        <v>10</v>
      </c>
      <c r="N177" s="18">
        <v>5</v>
      </c>
      <c r="O177" s="18">
        <v>2</v>
      </c>
      <c r="P177" s="18">
        <v>-11.5</v>
      </c>
      <c r="Q177" s="18">
        <v>0</v>
      </c>
      <c r="R177" s="18">
        <v>8.5</v>
      </c>
      <c r="S177" s="18">
        <v>8.5</v>
      </c>
      <c r="T177" s="18">
        <v>6.5</v>
      </c>
      <c r="U177" s="18">
        <v>4.5</v>
      </c>
      <c r="V177" s="18">
        <v>6.5</v>
      </c>
      <c r="W177" s="18">
        <v>8.5</v>
      </c>
      <c r="X177" s="18">
        <v>8.5</v>
      </c>
      <c r="Y177" s="18">
        <v>8.5</v>
      </c>
      <c r="Z177" s="18">
        <v>6.5</v>
      </c>
      <c r="AA177" s="18">
        <v>4.5</v>
      </c>
      <c r="AB177" s="18">
        <v>6.5</v>
      </c>
      <c r="AC177" s="18">
        <v>8.5</v>
      </c>
      <c r="AD177" s="18">
        <v>8.5</v>
      </c>
      <c r="AE177" s="18">
        <v>8.5</v>
      </c>
      <c r="AF177" s="18">
        <v>6.5</v>
      </c>
      <c r="AG177" s="18">
        <v>8.5</v>
      </c>
      <c r="AH177" s="18">
        <v>8.5</v>
      </c>
      <c r="AI177" s="18">
        <v>8.5</v>
      </c>
      <c r="AJ177" s="18">
        <v>6.5</v>
      </c>
      <c r="AK177" s="18">
        <v>8.5</v>
      </c>
      <c r="AL177" s="18">
        <v>8.5</v>
      </c>
      <c r="AM177" s="18">
        <v>8.5</v>
      </c>
      <c r="AN177" s="18">
        <v>4.5</v>
      </c>
      <c r="AO177" t="b">
        <f t="shared" si="4"/>
        <v>0</v>
      </c>
      <c r="AP177" t="b">
        <f t="shared" si="5"/>
        <v>1</v>
      </c>
    </row>
    <row r="178" spans="1:42" x14ac:dyDescent="0.25">
      <c r="A178" s="18" t="s">
        <v>166</v>
      </c>
      <c r="B178" s="18" t="s">
        <v>159</v>
      </c>
      <c r="C178" s="18" t="s">
        <v>130</v>
      </c>
      <c r="E178" s="18">
        <v>3</v>
      </c>
      <c r="F178" s="18" t="s">
        <v>3</v>
      </c>
      <c r="G178" s="19" t="s">
        <v>121</v>
      </c>
      <c r="H178" s="19" t="s">
        <v>121</v>
      </c>
      <c r="I178" s="19" t="s">
        <v>121</v>
      </c>
      <c r="J178" s="19" t="s">
        <v>121</v>
      </c>
      <c r="K178" s="18">
        <v>514.5</v>
      </c>
      <c r="L178" s="21" t="s">
        <v>121</v>
      </c>
      <c r="M178" s="18">
        <v>30</v>
      </c>
      <c r="N178" s="18">
        <v>15</v>
      </c>
      <c r="O178" s="18">
        <v>6</v>
      </c>
      <c r="P178" s="18">
        <v>-34.5</v>
      </c>
      <c r="Q178" s="18">
        <v>0</v>
      </c>
      <c r="R178" s="18">
        <v>25.5</v>
      </c>
      <c r="S178" s="18">
        <v>25.5</v>
      </c>
      <c r="T178" s="18">
        <v>19.5</v>
      </c>
      <c r="U178" s="18">
        <v>13.5</v>
      </c>
      <c r="V178" s="18">
        <v>19.5</v>
      </c>
      <c r="W178" s="18">
        <v>25.5</v>
      </c>
      <c r="X178" s="18">
        <v>25.5</v>
      </c>
      <c r="Y178" s="18">
        <v>25.5</v>
      </c>
      <c r="Z178" s="18">
        <v>19.5</v>
      </c>
      <c r="AA178" s="18">
        <v>13.5</v>
      </c>
      <c r="AB178" s="18">
        <v>19.5</v>
      </c>
      <c r="AC178" s="18">
        <v>25.5</v>
      </c>
      <c r="AD178" s="18">
        <v>25.5</v>
      </c>
      <c r="AE178" s="18">
        <v>25.5</v>
      </c>
      <c r="AF178" s="18">
        <v>19.5</v>
      </c>
      <c r="AG178" s="18">
        <v>25.5</v>
      </c>
      <c r="AH178" s="18">
        <v>25.5</v>
      </c>
      <c r="AI178" s="18">
        <v>25.5</v>
      </c>
      <c r="AJ178" s="18">
        <v>19.5</v>
      </c>
      <c r="AK178" s="18">
        <v>25.5</v>
      </c>
      <c r="AL178" s="18">
        <v>25.5</v>
      </c>
      <c r="AM178" s="18">
        <v>25.5</v>
      </c>
      <c r="AN178" s="18">
        <v>13.5</v>
      </c>
      <c r="AO178" t="str">
        <f t="shared" si="4"/>
        <v/>
      </c>
      <c r="AP178" t="str">
        <f t="shared" si="5"/>
        <v/>
      </c>
    </row>
    <row r="179" spans="1:42" x14ac:dyDescent="0.25">
      <c r="A179" s="18" t="s">
        <v>166</v>
      </c>
      <c r="B179" s="18" t="s">
        <v>159</v>
      </c>
      <c r="C179" s="18" t="s">
        <v>130</v>
      </c>
      <c r="E179" s="18">
        <v>3</v>
      </c>
      <c r="F179" s="18" t="s">
        <v>160</v>
      </c>
      <c r="G179" s="18" t="s">
        <v>122</v>
      </c>
      <c r="H179" s="18" t="s">
        <v>31</v>
      </c>
      <c r="I179" s="18" t="b">
        <v>1</v>
      </c>
      <c r="J179" s="18" t="b">
        <v>0</v>
      </c>
      <c r="K179" s="18">
        <v>171.5</v>
      </c>
      <c r="M179" s="18">
        <v>10</v>
      </c>
      <c r="N179" s="18">
        <v>5</v>
      </c>
      <c r="O179" s="18">
        <v>2</v>
      </c>
      <c r="P179" s="18">
        <v>-11.5</v>
      </c>
      <c r="Q179" s="18">
        <v>0</v>
      </c>
      <c r="R179" s="18">
        <v>8.5</v>
      </c>
      <c r="S179" s="18">
        <v>8.5</v>
      </c>
      <c r="T179" s="18">
        <v>6.5</v>
      </c>
      <c r="U179" s="18">
        <v>4.5</v>
      </c>
      <c r="V179" s="18">
        <v>6.5</v>
      </c>
      <c r="W179" s="18">
        <v>8.5</v>
      </c>
      <c r="X179" s="18">
        <v>8.5</v>
      </c>
      <c r="Y179" s="18">
        <v>8.5</v>
      </c>
      <c r="Z179" s="18">
        <v>6.5</v>
      </c>
      <c r="AA179" s="18">
        <v>4.5</v>
      </c>
      <c r="AB179" s="18">
        <v>6.5</v>
      </c>
      <c r="AC179" s="18">
        <v>8.5</v>
      </c>
      <c r="AD179" s="18">
        <v>8.5</v>
      </c>
      <c r="AE179" s="18">
        <v>8.5</v>
      </c>
      <c r="AF179" s="18">
        <v>6.5</v>
      </c>
      <c r="AG179" s="18">
        <v>8.5</v>
      </c>
      <c r="AH179" s="18">
        <v>8.5</v>
      </c>
      <c r="AI179" s="18">
        <v>8.5</v>
      </c>
      <c r="AJ179" s="18">
        <v>6.5</v>
      </c>
      <c r="AK179" s="18">
        <v>8.5</v>
      </c>
      <c r="AL179" s="18">
        <v>8.5</v>
      </c>
      <c r="AM179" s="18">
        <v>8.5</v>
      </c>
      <c r="AN179" s="18">
        <v>4.5</v>
      </c>
      <c r="AO179" t="str">
        <f t="shared" si="4"/>
        <v/>
      </c>
      <c r="AP179" t="str">
        <f t="shared" si="5"/>
        <v/>
      </c>
    </row>
    <row r="180" spans="1:42" x14ac:dyDescent="0.25">
      <c r="A180" s="18" t="s">
        <v>166</v>
      </c>
      <c r="B180" s="18" t="s">
        <v>159</v>
      </c>
      <c r="C180" s="18" t="s">
        <v>130</v>
      </c>
      <c r="E180" s="18">
        <v>3</v>
      </c>
      <c r="F180" s="18" t="s">
        <v>161</v>
      </c>
      <c r="G180" s="18" t="s">
        <v>123</v>
      </c>
      <c r="H180" s="18" t="s">
        <v>4</v>
      </c>
      <c r="I180" s="18" t="b">
        <v>0</v>
      </c>
      <c r="J180" s="18" t="b">
        <v>0</v>
      </c>
      <c r="K180" s="18">
        <v>171.5</v>
      </c>
      <c r="L180" s="20">
        <v>1</v>
      </c>
      <c r="M180" s="18">
        <v>10</v>
      </c>
      <c r="N180" s="18">
        <v>5</v>
      </c>
      <c r="O180" s="18">
        <v>2</v>
      </c>
      <c r="P180" s="18">
        <v>-11.5</v>
      </c>
      <c r="Q180" s="18">
        <v>0</v>
      </c>
      <c r="R180" s="18">
        <v>8.5</v>
      </c>
      <c r="S180" s="18">
        <v>8.5</v>
      </c>
      <c r="T180" s="18">
        <v>6.5</v>
      </c>
      <c r="U180" s="18">
        <v>4.5</v>
      </c>
      <c r="V180" s="18">
        <v>6.5</v>
      </c>
      <c r="W180" s="18">
        <v>8.5</v>
      </c>
      <c r="X180" s="18">
        <v>8.5</v>
      </c>
      <c r="Y180" s="18">
        <v>8.5</v>
      </c>
      <c r="Z180" s="18">
        <v>6.5</v>
      </c>
      <c r="AA180" s="18">
        <v>4.5</v>
      </c>
      <c r="AB180" s="18">
        <v>6.5</v>
      </c>
      <c r="AC180" s="18">
        <v>8.5</v>
      </c>
      <c r="AD180" s="18">
        <v>8.5</v>
      </c>
      <c r="AE180" s="18">
        <v>8.5</v>
      </c>
      <c r="AF180" s="18">
        <v>6.5</v>
      </c>
      <c r="AG180" s="18">
        <v>8.5</v>
      </c>
      <c r="AH180" s="18">
        <v>8.5</v>
      </c>
      <c r="AI180" s="18">
        <v>8.5</v>
      </c>
      <c r="AJ180" s="18">
        <v>6.5</v>
      </c>
      <c r="AK180" s="18">
        <v>8.5</v>
      </c>
      <c r="AL180" s="18">
        <v>8.5</v>
      </c>
      <c r="AM180" s="18">
        <v>8.5</v>
      </c>
      <c r="AN180" s="18">
        <v>4.5</v>
      </c>
      <c r="AO180" t="b">
        <f t="shared" si="4"/>
        <v>0</v>
      </c>
      <c r="AP180" t="b">
        <f t="shared" si="5"/>
        <v>1</v>
      </c>
    </row>
    <row r="181" spans="1:42" x14ac:dyDescent="0.25">
      <c r="A181" s="18" t="s">
        <v>166</v>
      </c>
      <c r="B181" s="18" t="s">
        <v>159</v>
      </c>
      <c r="C181" s="18" t="s">
        <v>130</v>
      </c>
      <c r="E181" s="18">
        <v>3</v>
      </c>
      <c r="F181" s="18" t="s">
        <v>134</v>
      </c>
      <c r="G181" s="18" t="s">
        <v>135</v>
      </c>
      <c r="H181" s="18" t="s">
        <v>5</v>
      </c>
      <c r="I181" s="18" t="b">
        <v>0</v>
      </c>
      <c r="J181" s="18" t="b">
        <v>0</v>
      </c>
      <c r="K181" s="18">
        <v>171.5</v>
      </c>
      <c r="L181" s="20">
        <v>1</v>
      </c>
      <c r="M181" s="18">
        <v>10</v>
      </c>
      <c r="N181" s="18">
        <v>5</v>
      </c>
      <c r="O181" s="18">
        <v>2</v>
      </c>
      <c r="P181" s="18">
        <v>-11.5</v>
      </c>
      <c r="Q181" s="18">
        <v>0</v>
      </c>
      <c r="R181" s="18">
        <v>8.5</v>
      </c>
      <c r="S181" s="18">
        <v>8.5</v>
      </c>
      <c r="T181" s="18">
        <v>6.5</v>
      </c>
      <c r="U181" s="18">
        <v>4.5</v>
      </c>
      <c r="V181" s="18">
        <v>6.5</v>
      </c>
      <c r="W181" s="18">
        <v>8.5</v>
      </c>
      <c r="X181" s="18">
        <v>8.5</v>
      </c>
      <c r="Y181" s="18">
        <v>8.5</v>
      </c>
      <c r="Z181" s="18">
        <v>6.5</v>
      </c>
      <c r="AA181" s="18">
        <v>4.5</v>
      </c>
      <c r="AB181" s="18">
        <v>6.5</v>
      </c>
      <c r="AC181" s="18">
        <v>8.5</v>
      </c>
      <c r="AD181" s="18">
        <v>8.5</v>
      </c>
      <c r="AE181" s="18">
        <v>8.5</v>
      </c>
      <c r="AF181" s="18">
        <v>6.5</v>
      </c>
      <c r="AG181" s="18">
        <v>8.5</v>
      </c>
      <c r="AH181" s="18">
        <v>8.5</v>
      </c>
      <c r="AI181" s="18">
        <v>8.5</v>
      </c>
      <c r="AJ181" s="18">
        <v>6.5</v>
      </c>
      <c r="AK181" s="18">
        <v>8.5</v>
      </c>
      <c r="AL181" s="18">
        <v>8.5</v>
      </c>
      <c r="AM181" s="18">
        <v>8.5</v>
      </c>
      <c r="AN181" s="18">
        <v>4.5</v>
      </c>
      <c r="AO181" t="b">
        <f t="shared" si="4"/>
        <v>0</v>
      </c>
      <c r="AP181" t="b">
        <f t="shared" si="5"/>
        <v>1</v>
      </c>
    </row>
    <row r="182" spans="1:42" x14ac:dyDescent="0.25">
      <c r="A182" s="18" t="s">
        <v>166</v>
      </c>
      <c r="B182" s="18" t="s">
        <v>159</v>
      </c>
      <c r="C182" s="18" t="s">
        <v>130</v>
      </c>
      <c r="E182" s="18">
        <v>3</v>
      </c>
      <c r="F182" s="18" t="s">
        <v>162</v>
      </c>
      <c r="G182" s="18" t="s">
        <v>125</v>
      </c>
      <c r="H182" s="18" t="s">
        <v>25</v>
      </c>
      <c r="I182" s="18" t="b">
        <v>0</v>
      </c>
      <c r="J182" s="18" t="b">
        <v>0</v>
      </c>
      <c r="K182" s="18">
        <v>171.5</v>
      </c>
      <c r="L182" s="20">
        <v>1</v>
      </c>
      <c r="M182" s="18">
        <v>10</v>
      </c>
      <c r="N182" s="18">
        <v>5</v>
      </c>
      <c r="O182" s="18">
        <v>2</v>
      </c>
      <c r="P182" s="18">
        <v>-11.5</v>
      </c>
      <c r="Q182" s="18">
        <v>0</v>
      </c>
      <c r="R182" s="18">
        <v>8.5</v>
      </c>
      <c r="S182" s="18">
        <v>8.5</v>
      </c>
      <c r="T182" s="18">
        <v>6.5</v>
      </c>
      <c r="U182" s="18">
        <v>4.5</v>
      </c>
      <c r="V182" s="18">
        <v>6.5</v>
      </c>
      <c r="W182" s="18">
        <v>8.5</v>
      </c>
      <c r="X182" s="18">
        <v>8.5</v>
      </c>
      <c r="Y182" s="18">
        <v>8.5</v>
      </c>
      <c r="Z182" s="18">
        <v>6.5</v>
      </c>
      <c r="AA182" s="18">
        <v>4.5</v>
      </c>
      <c r="AB182" s="18">
        <v>6.5</v>
      </c>
      <c r="AC182" s="18">
        <v>8.5</v>
      </c>
      <c r="AD182" s="18">
        <v>8.5</v>
      </c>
      <c r="AE182" s="18">
        <v>8.5</v>
      </c>
      <c r="AF182" s="18">
        <v>6.5</v>
      </c>
      <c r="AG182" s="18">
        <v>8.5</v>
      </c>
      <c r="AH182" s="18">
        <v>8.5</v>
      </c>
      <c r="AI182" s="18">
        <v>8.5</v>
      </c>
      <c r="AJ182" s="18">
        <v>6.5</v>
      </c>
      <c r="AK182" s="18">
        <v>8.5</v>
      </c>
      <c r="AL182" s="18">
        <v>8.5</v>
      </c>
      <c r="AM182" s="18">
        <v>8.5</v>
      </c>
      <c r="AN182" s="18">
        <v>4.5</v>
      </c>
      <c r="AO182" t="b">
        <f t="shared" si="4"/>
        <v>0</v>
      </c>
      <c r="AP182" t="b">
        <f t="shared" si="5"/>
        <v>1</v>
      </c>
    </row>
    <row r="183" spans="1:42" x14ac:dyDescent="0.25">
      <c r="A183" s="18" t="s">
        <v>166</v>
      </c>
      <c r="B183" s="18" t="s">
        <v>159</v>
      </c>
      <c r="C183" s="18" t="s">
        <v>130</v>
      </c>
      <c r="E183" s="18">
        <v>3</v>
      </c>
      <c r="F183" s="18" t="s">
        <v>136</v>
      </c>
      <c r="G183" s="18" t="s">
        <v>126</v>
      </c>
      <c r="H183" s="18" t="s">
        <v>6</v>
      </c>
      <c r="I183" s="18" t="b">
        <v>0</v>
      </c>
      <c r="J183" s="18" t="b">
        <v>0</v>
      </c>
      <c r="K183" s="18">
        <v>171.5</v>
      </c>
      <c r="L183" s="20">
        <v>1</v>
      </c>
      <c r="M183" s="18">
        <v>10</v>
      </c>
      <c r="N183" s="18">
        <v>5</v>
      </c>
      <c r="O183" s="18">
        <v>2</v>
      </c>
      <c r="P183" s="18">
        <v>-11.5</v>
      </c>
      <c r="Q183" s="18">
        <v>0</v>
      </c>
      <c r="R183" s="18">
        <v>8.5</v>
      </c>
      <c r="S183" s="18">
        <v>8.5</v>
      </c>
      <c r="T183" s="18">
        <v>6.5</v>
      </c>
      <c r="U183" s="18">
        <v>4.5</v>
      </c>
      <c r="V183" s="18">
        <v>6.5</v>
      </c>
      <c r="W183" s="18">
        <v>8.5</v>
      </c>
      <c r="X183" s="18">
        <v>8.5</v>
      </c>
      <c r="Y183" s="18">
        <v>8.5</v>
      </c>
      <c r="Z183" s="18">
        <v>6.5</v>
      </c>
      <c r="AA183" s="18">
        <v>4.5</v>
      </c>
      <c r="AB183" s="18">
        <v>6.5</v>
      </c>
      <c r="AC183" s="18">
        <v>8.5</v>
      </c>
      <c r="AD183" s="18">
        <v>8.5</v>
      </c>
      <c r="AE183" s="18">
        <v>8.5</v>
      </c>
      <c r="AF183" s="18">
        <v>6.5</v>
      </c>
      <c r="AG183" s="18">
        <v>8.5</v>
      </c>
      <c r="AH183" s="18">
        <v>8.5</v>
      </c>
      <c r="AI183" s="18">
        <v>8.5</v>
      </c>
      <c r="AJ183" s="18">
        <v>6.5</v>
      </c>
      <c r="AK183" s="18">
        <v>8.5</v>
      </c>
      <c r="AL183" s="18">
        <v>8.5</v>
      </c>
      <c r="AM183" s="18">
        <v>8.5</v>
      </c>
      <c r="AN183" s="18">
        <v>4.5</v>
      </c>
      <c r="AO183" t="b">
        <f t="shared" si="4"/>
        <v>0</v>
      </c>
      <c r="AP183" t="b">
        <f t="shared" si="5"/>
        <v>1</v>
      </c>
    </row>
    <row r="184" spans="1:42" x14ac:dyDescent="0.25">
      <c r="A184" s="18" t="s">
        <v>166</v>
      </c>
      <c r="B184" s="18" t="s">
        <v>159</v>
      </c>
      <c r="C184" s="18" t="s">
        <v>130</v>
      </c>
      <c r="E184" s="18">
        <v>3</v>
      </c>
      <c r="F184" s="18" t="s">
        <v>163</v>
      </c>
      <c r="G184" s="18" t="s">
        <v>127</v>
      </c>
      <c r="H184" s="18" t="s">
        <v>7</v>
      </c>
      <c r="I184" s="18" t="b">
        <v>0</v>
      </c>
      <c r="J184" s="18" t="b">
        <v>0</v>
      </c>
      <c r="K184" s="18">
        <v>171.5</v>
      </c>
      <c r="L184" s="20">
        <v>1</v>
      </c>
      <c r="M184" s="18">
        <v>10</v>
      </c>
      <c r="N184" s="18">
        <v>5</v>
      </c>
      <c r="O184" s="18">
        <v>2</v>
      </c>
      <c r="P184" s="18">
        <v>-11.5</v>
      </c>
      <c r="Q184" s="18">
        <v>0</v>
      </c>
      <c r="R184" s="18">
        <v>8.5</v>
      </c>
      <c r="S184" s="18">
        <v>8.5</v>
      </c>
      <c r="T184" s="18">
        <v>6.5</v>
      </c>
      <c r="U184" s="18">
        <v>4.5</v>
      </c>
      <c r="V184" s="18">
        <v>6.5</v>
      </c>
      <c r="W184" s="18">
        <v>8.5</v>
      </c>
      <c r="X184" s="18">
        <v>8.5</v>
      </c>
      <c r="Y184" s="18">
        <v>8.5</v>
      </c>
      <c r="Z184" s="18">
        <v>6.5</v>
      </c>
      <c r="AA184" s="18">
        <v>4.5</v>
      </c>
      <c r="AB184" s="18">
        <v>6.5</v>
      </c>
      <c r="AC184" s="18">
        <v>8.5</v>
      </c>
      <c r="AD184" s="18">
        <v>8.5</v>
      </c>
      <c r="AE184" s="18">
        <v>8.5</v>
      </c>
      <c r="AF184" s="18">
        <v>6.5</v>
      </c>
      <c r="AG184" s="18">
        <v>8.5</v>
      </c>
      <c r="AH184" s="18">
        <v>8.5</v>
      </c>
      <c r="AI184" s="18">
        <v>8.5</v>
      </c>
      <c r="AJ184" s="18">
        <v>6.5</v>
      </c>
      <c r="AK184" s="18">
        <v>8.5</v>
      </c>
      <c r="AL184" s="18">
        <v>8.5</v>
      </c>
      <c r="AM184" s="18">
        <v>8.5</v>
      </c>
      <c r="AN184" s="18">
        <v>4.5</v>
      </c>
      <c r="AO184" t="b">
        <f t="shared" ref="AO184:AO194" si="6">IF(OR(I184&lt;&gt;FALSE, I184=""),"",Q184&lt;&gt;$Q$2/3)</f>
        <v>0</v>
      </c>
      <c r="AP184" t="b">
        <f t="shared" si="5"/>
        <v>1</v>
      </c>
    </row>
    <row r="185" spans="1:42" x14ac:dyDescent="0.25">
      <c r="A185" s="18" t="s">
        <v>166</v>
      </c>
      <c r="B185" s="18" t="s">
        <v>159</v>
      </c>
      <c r="C185" s="18" t="s">
        <v>130</v>
      </c>
      <c r="E185" s="18">
        <v>3</v>
      </c>
      <c r="F185" s="18" t="s">
        <v>164</v>
      </c>
      <c r="G185" s="18" t="s">
        <v>137</v>
      </c>
      <c r="H185" s="18" t="s">
        <v>29</v>
      </c>
      <c r="I185" s="18" t="b">
        <v>0</v>
      </c>
      <c r="J185" s="18" t="b">
        <v>1</v>
      </c>
      <c r="K185" s="18">
        <v>171.5</v>
      </c>
      <c r="L185" s="20">
        <v>1</v>
      </c>
      <c r="M185" s="18">
        <v>10</v>
      </c>
      <c r="N185" s="18">
        <v>5</v>
      </c>
      <c r="O185" s="18">
        <v>2</v>
      </c>
      <c r="P185" s="18">
        <v>-11.5</v>
      </c>
      <c r="Q185" s="18">
        <v>0</v>
      </c>
      <c r="R185" s="18">
        <v>8.5</v>
      </c>
      <c r="S185" s="18">
        <v>8.5</v>
      </c>
      <c r="T185" s="18">
        <v>6.5</v>
      </c>
      <c r="U185" s="18">
        <v>4.5</v>
      </c>
      <c r="V185" s="18">
        <v>6.5</v>
      </c>
      <c r="W185" s="18">
        <v>8.5</v>
      </c>
      <c r="X185" s="18">
        <v>8.5</v>
      </c>
      <c r="Y185" s="18">
        <v>8.5</v>
      </c>
      <c r="Z185" s="18">
        <v>6.5</v>
      </c>
      <c r="AA185" s="18">
        <v>4.5</v>
      </c>
      <c r="AB185" s="18">
        <v>6.5</v>
      </c>
      <c r="AC185" s="18">
        <v>8.5</v>
      </c>
      <c r="AD185" s="18">
        <v>8.5</v>
      </c>
      <c r="AE185" s="18">
        <v>8.5</v>
      </c>
      <c r="AF185" s="18">
        <v>6.5</v>
      </c>
      <c r="AG185" s="18">
        <v>8.5</v>
      </c>
      <c r="AH185" s="18">
        <v>8.5</v>
      </c>
      <c r="AI185" s="18">
        <v>8.5</v>
      </c>
      <c r="AJ185" s="18">
        <v>6.5</v>
      </c>
      <c r="AK185" s="18">
        <v>8.5</v>
      </c>
      <c r="AL185" s="18">
        <v>8.5</v>
      </c>
      <c r="AM185" s="18">
        <v>8.5</v>
      </c>
      <c r="AN185" s="18">
        <v>4.5</v>
      </c>
      <c r="AO185" t="b">
        <f t="shared" si="6"/>
        <v>0</v>
      </c>
      <c r="AP185" t="b">
        <f t="shared" si="5"/>
        <v>1</v>
      </c>
    </row>
    <row r="186" spans="1:42" x14ac:dyDescent="0.25">
      <c r="A186" s="18" t="s">
        <v>167</v>
      </c>
      <c r="B186" s="18" t="s">
        <v>159</v>
      </c>
      <c r="C186" s="18" t="s">
        <v>131</v>
      </c>
      <c r="E186" s="18">
        <v>4</v>
      </c>
      <c r="F186" s="18" t="s">
        <v>3</v>
      </c>
      <c r="G186" s="19" t="s">
        <v>121</v>
      </c>
      <c r="H186" s="19" t="s">
        <v>121</v>
      </c>
      <c r="I186" s="19" t="s">
        <v>121</v>
      </c>
      <c r="J186" s="19" t="s">
        <v>121</v>
      </c>
      <c r="K186" s="18">
        <v>514.5</v>
      </c>
      <c r="L186" s="21" t="s">
        <v>121</v>
      </c>
      <c r="M186" s="18">
        <v>30</v>
      </c>
      <c r="N186" s="18">
        <v>15</v>
      </c>
      <c r="O186" s="18">
        <v>6</v>
      </c>
      <c r="P186" s="18">
        <v>-34.5</v>
      </c>
      <c r="Q186" s="18">
        <v>0</v>
      </c>
      <c r="R186" s="18">
        <v>25.5</v>
      </c>
      <c r="S186" s="18">
        <v>25.5</v>
      </c>
      <c r="T186" s="18">
        <v>19.5</v>
      </c>
      <c r="U186" s="18">
        <v>13.5</v>
      </c>
      <c r="V186" s="18">
        <v>19.5</v>
      </c>
      <c r="W186" s="18">
        <v>25.5</v>
      </c>
      <c r="X186" s="18">
        <v>25.5</v>
      </c>
      <c r="Y186" s="18">
        <v>25.5</v>
      </c>
      <c r="Z186" s="18">
        <v>19.5</v>
      </c>
      <c r="AA186" s="18">
        <v>13.5</v>
      </c>
      <c r="AB186" s="18">
        <v>19.5</v>
      </c>
      <c r="AC186" s="18">
        <v>25.5</v>
      </c>
      <c r="AD186" s="18">
        <v>25.5</v>
      </c>
      <c r="AE186" s="18">
        <v>25.5</v>
      </c>
      <c r="AF186" s="18">
        <v>19.5</v>
      </c>
      <c r="AG186" s="18">
        <v>25.5</v>
      </c>
      <c r="AH186" s="18">
        <v>25.5</v>
      </c>
      <c r="AI186" s="18">
        <v>25.5</v>
      </c>
      <c r="AJ186" s="18">
        <v>19.5</v>
      </c>
      <c r="AK186" s="18">
        <v>25.5</v>
      </c>
      <c r="AL186" s="18">
        <v>25.5</v>
      </c>
      <c r="AM186" s="18">
        <v>25.5</v>
      </c>
      <c r="AN186" s="18">
        <v>13.5</v>
      </c>
      <c r="AO186" t="str">
        <f t="shared" si="6"/>
        <v/>
      </c>
      <c r="AP186" t="str">
        <f t="shared" si="5"/>
        <v/>
      </c>
    </row>
    <row r="187" spans="1:42" x14ac:dyDescent="0.25">
      <c r="A187" s="18" t="s">
        <v>167</v>
      </c>
      <c r="B187" s="18" t="s">
        <v>159</v>
      </c>
      <c r="C187" s="18" t="s">
        <v>131</v>
      </c>
      <c r="E187" s="18">
        <v>4</v>
      </c>
      <c r="F187" s="18" t="s">
        <v>160</v>
      </c>
      <c r="G187" s="18" t="s">
        <v>122</v>
      </c>
      <c r="H187" s="18" t="s">
        <v>31</v>
      </c>
      <c r="I187" s="18" t="b">
        <v>1</v>
      </c>
      <c r="J187" s="18" t="b">
        <v>0</v>
      </c>
      <c r="K187" s="18">
        <v>171.5</v>
      </c>
      <c r="M187" s="18">
        <v>10</v>
      </c>
      <c r="N187" s="18">
        <v>5</v>
      </c>
      <c r="O187" s="18">
        <v>2</v>
      </c>
      <c r="P187" s="18">
        <v>-11.5</v>
      </c>
      <c r="Q187" s="18">
        <v>0</v>
      </c>
      <c r="R187" s="18">
        <v>8.5</v>
      </c>
      <c r="S187" s="18">
        <v>8.5</v>
      </c>
      <c r="T187" s="18">
        <v>6.5</v>
      </c>
      <c r="U187" s="18">
        <v>4.5</v>
      </c>
      <c r="V187" s="18">
        <v>6.5</v>
      </c>
      <c r="W187" s="18">
        <v>8.5</v>
      </c>
      <c r="X187" s="18">
        <v>8.5</v>
      </c>
      <c r="Y187" s="18">
        <v>8.5</v>
      </c>
      <c r="Z187" s="18">
        <v>6.5</v>
      </c>
      <c r="AA187" s="18">
        <v>4.5</v>
      </c>
      <c r="AB187" s="18">
        <v>6.5</v>
      </c>
      <c r="AC187" s="18">
        <v>8.5</v>
      </c>
      <c r="AD187" s="18">
        <v>8.5</v>
      </c>
      <c r="AE187" s="18">
        <v>8.5</v>
      </c>
      <c r="AF187" s="18">
        <v>6.5</v>
      </c>
      <c r="AG187" s="18">
        <v>8.5</v>
      </c>
      <c r="AH187" s="18">
        <v>8.5</v>
      </c>
      <c r="AI187" s="18">
        <v>8.5</v>
      </c>
      <c r="AJ187" s="18">
        <v>6.5</v>
      </c>
      <c r="AK187" s="18">
        <v>8.5</v>
      </c>
      <c r="AL187" s="18">
        <v>8.5</v>
      </c>
      <c r="AM187" s="18">
        <v>8.5</v>
      </c>
      <c r="AN187" s="18">
        <v>4.5</v>
      </c>
      <c r="AO187" t="str">
        <f t="shared" si="6"/>
        <v/>
      </c>
      <c r="AP187" t="str">
        <f t="shared" si="5"/>
        <v/>
      </c>
    </row>
    <row r="188" spans="1:42" x14ac:dyDescent="0.25">
      <c r="A188" s="18" t="s">
        <v>167</v>
      </c>
      <c r="B188" s="18" t="s">
        <v>159</v>
      </c>
      <c r="C188" s="18" t="s">
        <v>131</v>
      </c>
      <c r="E188" s="18">
        <v>4</v>
      </c>
      <c r="F188" s="18" t="s">
        <v>161</v>
      </c>
      <c r="G188" s="18" t="s">
        <v>123</v>
      </c>
      <c r="H188" s="18" t="s">
        <v>4</v>
      </c>
      <c r="I188" s="18" t="b">
        <v>0</v>
      </c>
      <c r="J188" s="18" t="b">
        <v>0</v>
      </c>
      <c r="K188" s="18">
        <v>171.5</v>
      </c>
      <c r="L188" s="20">
        <v>1</v>
      </c>
      <c r="M188" s="18">
        <v>10</v>
      </c>
      <c r="N188" s="18">
        <v>5</v>
      </c>
      <c r="O188" s="18">
        <v>2</v>
      </c>
      <c r="P188" s="18">
        <v>-11.5</v>
      </c>
      <c r="Q188" s="18">
        <v>0</v>
      </c>
      <c r="R188" s="18">
        <v>8.5</v>
      </c>
      <c r="S188" s="18">
        <v>8.5</v>
      </c>
      <c r="T188" s="18">
        <v>6.5</v>
      </c>
      <c r="U188" s="18">
        <v>4.5</v>
      </c>
      <c r="V188" s="18">
        <v>6.5</v>
      </c>
      <c r="W188" s="18">
        <v>8.5</v>
      </c>
      <c r="X188" s="18">
        <v>8.5</v>
      </c>
      <c r="Y188" s="18">
        <v>8.5</v>
      </c>
      <c r="Z188" s="18">
        <v>6.5</v>
      </c>
      <c r="AA188" s="18">
        <v>4.5</v>
      </c>
      <c r="AB188" s="18">
        <v>6.5</v>
      </c>
      <c r="AC188" s="18">
        <v>8.5</v>
      </c>
      <c r="AD188" s="18">
        <v>8.5</v>
      </c>
      <c r="AE188" s="18">
        <v>8.5</v>
      </c>
      <c r="AF188" s="18">
        <v>6.5</v>
      </c>
      <c r="AG188" s="18">
        <v>8.5</v>
      </c>
      <c r="AH188" s="18">
        <v>8.5</v>
      </c>
      <c r="AI188" s="18">
        <v>8.5</v>
      </c>
      <c r="AJ188" s="18">
        <v>6.5</v>
      </c>
      <c r="AK188" s="18">
        <v>8.5</v>
      </c>
      <c r="AL188" s="18">
        <v>8.5</v>
      </c>
      <c r="AM188" s="18">
        <v>8.5</v>
      </c>
      <c r="AN188" s="18">
        <v>4.5</v>
      </c>
      <c r="AO188" t="b">
        <f t="shared" si="6"/>
        <v>0</v>
      </c>
      <c r="AP188" t="b">
        <f t="shared" si="5"/>
        <v>1</v>
      </c>
    </row>
    <row r="189" spans="1:42" x14ac:dyDescent="0.25">
      <c r="A189" s="18" t="s">
        <v>167</v>
      </c>
      <c r="B189" s="18" t="s">
        <v>159</v>
      </c>
      <c r="C189" s="18" t="s">
        <v>131</v>
      </c>
      <c r="E189" s="18">
        <v>4</v>
      </c>
      <c r="F189" s="18" t="s">
        <v>134</v>
      </c>
      <c r="G189" s="18" t="s">
        <v>135</v>
      </c>
      <c r="H189" s="18" t="s">
        <v>5</v>
      </c>
      <c r="I189" s="18" t="b">
        <v>0</v>
      </c>
      <c r="J189" s="18" t="b">
        <v>0</v>
      </c>
      <c r="K189" s="18">
        <v>171.5</v>
      </c>
      <c r="L189" s="20">
        <v>1</v>
      </c>
      <c r="M189" s="18">
        <v>10</v>
      </c>
      <c r="N189" s="18">
        <v>5</v>
      </c>
      <c r="O189" s="18">
        <v>2</v>
      </c>
      <c r="P189" s="18">
        <v>-11.5</v>
      </c>
      <c r="Q189" s="18">
        <v>0</v>
      </c>
      <c r="R189" s="18">
        <v>8.5</v>
      </c>
      <c r="S189" s="18">
        <v>8.5</v>
      </c>
      <c r="T189" s="18">
        <v>6.5</v>
      </c>
      <c r="U189" s="18">
        <v>4.5</v>
      </c>
      <c r="V189" s="18">
        <v>6.5</v>
      </c>
      <c r="W189" s="18">
        <v>8.5</v>
      </c>
      <c r="X189" s="18">
        <v>8.5</v>
      </c>
      <c r="Y189" s="18">
        <v>8.5</v>
      </c>
      <c r="Z189" s="18">
        <v>6.5</v>
      </c>
      <c r="AA189" s="18">
        <v>4.5</v>
      </c>
      <c r="AB189" s="18">
        <v>6.5</v>
      </c>
      <c r="AC189" s="18">
        <v>8.5</v>
      </c>
      <c r="AD189" s="18">
        <v>8.5</v>
      </c>
      <c r="AE189" s="18">
        <v>8.5</v>
      </c>
      <c r="AF189" s="18">
        <v>6.5</v>
      </c>
      <c r="AG189" s="18">
        <v>8.5</v>
      </c>
      <c r="AH189" s="18">
        <v>8.5</v>
      </c>
      <c r="AI189" s="18">
        <v>8.5</v>
      </c>
      <c r="AJ189" s="18">
        <v>6.5</v>
      </c>
      <c r="AK189" s="18">
        <v>8.5</v>
      </c>
      <c r="AL189" s="18">
        <v>8.5</v>
      </c>
      <c r="AM189" s="18">
        <v>8.5</v>
      </c>
      <c r="AN189" s="18">
        <v>4.5</v>
      </c>
      <c r="AO189" t="b">
        <f t="shared" si="6"/>
        <v>0</v>
      </c>
      <c r="AP189" t="b">
        <f t="shared" si="5"/>
        <v>1</v>
      </c>
    </row>
    <row r="190" spans="1:42" x14ac:dyDescent="0.25">
      <c r="A190" s="18" t="s">
        <v>167</v>
      </c>
      <c r="B190" s="18" t="s">
        <v>159</v>
      </c>
      <c r="C190" s="18" t="s">
        <v>131</v>
      </c>
      <c r="E190" s="18">
        <v>4</v>
      </c>
      <c r="F190" s="18" t="s">
        <v>162</v>
      </c>
      <c r="G190" s="18" t="s">
        <v>125</v>
      </c>
      <c r="H190" s="18" t="s">
        <v>25</v>
      </c>
      <c r="I190" s="18" t="b">
        <v>0</v>
      </c>
      <c r="J190" s="18" t="b">
        <v>0</v>
      </c>
      <c r="K190" s="18">
        <v>171.5</v>
      </c>
      <c r="L190" s="20">
        <v>1</v>
      </c>
      <c r="M190" s="18">
        <v>10</v>
      </c>
      <c r="N190" s="18">
        <v>5</v>
      </c>
      <c r="O190" s="18">
        <v>2</v>
      </c>
      <c r="P190" s="18">
        <v>-11.5</v>
      </c>
      <c r="Q190" s="18">
        <v>0</v>
      </c>
      <c r="R190" s="18">
        <v>8.5</v>
      </c>
      <c r="S190" s="18">
        <v>8.5</v>
      </c>
      <c r="T190" s="18">
        <v>6.5</v>
      </c>
      <c r="U190" s="18">
        <v>4.5</v>
      </c>
      <c r="V190" s="18">
        <v>6.5</v>
      </c>
      <c r="W190" s="18">
        <v>8.5</v>
      </c>
      <c r="X190" s="18">
        <v>8.5</v>
      </c>
      <c r="Y190" s="18">
        <v>8.5</v>
      </c>
      <c r="Z190" s="18">
        <v>6.5</v>
      </c>
      <c r="AA190" s="18">
        <v>4.5</v>
      </c>
      <c r="AB190" s="18">
        <v>6.5</v>
      </c>
      <c r="AC190" s="18">
        <v>8.5</v>
      </c>
      <c r="AD190" s="18">
        <v>8.5</v>
      </c>
      <c r="AE190" s="18">
        <v>8.5</v>
      </c>
      <c r="AF190" s="18">
        <v>6.5</v>
      </c>
      <c r="AG190" s="18">
        <v>8.5</v>
      </c>
      <c r="AH190" s="18">
        <v>8.5</v>
      </c>
      <c r="AI190" s="18">
        <v>8.5</v>
      </c>
      <c r="AJ190" s="18">
        <v>6.5</v>
      </c>
      <c r="AK190" s="18">
        <v>8.5</v>
      </c>
      <c r="AL190" s="18">
        <v>8.5</v>
      </c>
      <c r="AM190" s="18">
        <v>8.5</v>
      </c>
      <c r="AN190" s="18">
        <v>4.5</v>
      </c>
      <c r="AO190" t="b">
        <f t="shared" si="6"/>
        <v>0</v>
      </c>
      <c r="AP190" t="b">
        <f t="shared" si="5"/>
        <v>1</v>
      </c>
    </row>
    <row r="191" spans="1:42" x14ac:dyDescent="0.25">
      <c r="A191" s="18" t="s">
        <v>167</v>
      </c>
      <c r="B191" s="18" t="s">
        <v>159</v>
      </c>
      <c r="C191" s="18" t="s">
        <v>131</v>
      </c>
      <c r="E191" s="18">
        <v>4</v>
      </c>
      <c r="F191" s="18" t="s">
        <v>136</v>
      </c>
      <c r="G191" s="18" t="s">
        <v>126</v>
      </c>
      <c r="H191" s="18" t="s">
        <v>6</v>
      </c>
      <c r="I191" s="18" t="b">
        <v>0</v>
      </c>
      <c r="J191" s="18" t="b">
        <v>0</v>
      </c>
      <c r="K191" s="18">
        <v>171.5</v>
      </c>
      <c r="L191" s="20">
        <v>1</v>
      </c>
      <c r="M191" s="18">
        <v>10</v>
      </c>
      <c r="N191" s="18">
        <v>5</v>
      </c>
      <c r="O191" s="18">
        <v>2</v>
      </c>
      <c r="P191" s="18">
        <v>-11.5</v>
      </c>
      <c r="Q191" s="18">
        <v>0</v>
      </c>
      <c r="R191" s="18">
        <v>8.5</v>
      </c>
      <c r="S191" s="18">
        <v>8.5</v>
      </c>
      <c r="T191" s="18">
        <v>6.5</v>
      </c>
      <c r="U191" s="18">
        <v>4.5</v>
      </c>
      <c r="V191" s="18">
        <v>6.5</v>
      </c>
      <c r="W191" s="18">
        <v>8.5</v>
      </c>
      <c r="X191" s="18">
        <v>8.5</v>
      </c>
      <c r="Y191" s="18">
        <v>8.5</v>
      </c>
      <c r="Z191" s="18">
        <v>6.5</v>
      </c>
      <c r="AA191" s="18">
        <v>4.5</v>
      </c>
      <c r="AB191" s="18">
        <v>6.5</v>
      </c>
      <c r="AC191" s="18">
        <v>8.5</v>
      </c>
      <c r="AD191" s="18">
        <v>8.5</v>
      </c>
      <c r="AE191" s="18">
        <v>8.5</v>
      </c>
      <c r="AF191" s="18">
        <v>6.5</v>
      </c>
      <c r="AG191" s="18">
        <v>8.5</v>
      </c>
      <c r="AH191" s="18">
        <v>8.5</v>
      </c>
      <c r="AI191" s="18">
        <v>8.5</v>
      </c>
      <c r="AJ191" s="18">
        <v>6.5</v>
      </c>
      <c r="AK191" s="18">
        <v>8.5</v>
      </c>
      <c r="AL191" s="18">
        <v>8.5</v>
      </c>
      <c r="AM191" s="18">
        <v>8.5</v>
      </c>
      <c r="AN191" s="18">
        <v>4.5</v>
      </c>
      <c r="AO191" t="b">
        <f t="shared" si="6"/>
        <v>0</v>
      </c>
      <c r="AP191" t="b">
        <f t="shared" si="5"/>
        <v>1</v>
      </c>
    </row>
    <row r="192" spans="1:42" x14ac:dyDescent="0.25">
      <c r="A192" s="18" t="s">
        <v>167</v>
      </c>
      <c r="B192" s="18" t="s">
        <v>159</v>
      </c>
      <c r="C192" s="18" t="s">
        <v>131</v>
      </c>
      <c r="E192" s="18">
        <v>4</v>
      </c>
      <c r="F192" s="18" t="s">
        <v>163</v>
      </c>
      <c r="G192" s="18" t="s">
        <v>127</v>
      </c>
      <c r="H192" s="18" t="s">
        <v>7</v>
      </c>
      <c r="I192" s="18" t="b">
        <v>0</v>
      </c>
      <c r="J192" s="18" t="b">
        <v>0</v>
      </c>
      <c r="K192" s="18">
        <v>171.5</v>
      </c>
      <c r="L192" s="20">
        <v>1</v>
      </c>
      <c r="M192" s="18">
        <v>10</v>
      </c>
      <c r="N192" s="18">
        <v>5</v>
      </c>
      <c r="O192" s="18">
        <v>2</v>
      </c>
      <c r="P192" s="18">
        <v>-11.5</v>
      </c>
      <c r="Q192" s="18">
        <v>0</v>
      </c>
      <c r="R192" s="18">
        <v>8.5</v>
      </c>
      <c r="S192" s="18">
        <v>8.5</v>
      </c>
      <c r="T192" s="18">
        <v>6.5</v>
      </c>
      <c r="U192" s="18">
        <v>4.5</v>
      </c>
      <c r="V192" s="18">
        <v>6.5</v>
      </c>
      <c r="W192" s="18">
        <v>8.5</v>
      </c>
      <c r="X192" s="18">
        <v>8.5</v>
      </c>
      <c r="Y192" s="18">
        <v>8.5</v>
      </c>
      <c r="Z192" s="18">
        <v>6.5</v>
      </c>
      <c r="AA192" s="18">
        <v>4.5</v>
      </c>
      <c r="AB192" s="18">
        <v>6.5</v>
      </c>
      <c r="AC192" s="18">
        <v>8.5</v>
      </c>
      <c r="AD192" s="18">
        <v>8.5</v>
      </c>
      <c r="AE192" s="18">
        <v>8.5</v>
      </c>
      <c r="AF192" s="18">
        <v>6.5</v>
      </c>
      <c r="AG192" s="18">
        <v>8.5</v>
      </c>
      <c r="AH192" s="18">
        <v>8.5</v>
      </c>
      <c r="AI192" s="18">
        <v>8.5</v>
      </c>
      <c r="AJ192" s="18">
        <v>6.5</v>
      </c>
      <c r="AK192" s="18">
        <v>8.5</v>
      </c>
      <c r="AL192" s="18">
        <v>8.5</v>
      </c>
      <c r="AM192" s="18">
        <v>8.5</v>
      </c>
      <c r="AN192" s="18">
        <v>4.5</v>
      </c>
      <c r="AO192" t="b">
        <f t="shared" si="6"/>
        <v>0</v>
      </c>
      <c r="AP192" t="b">
        <f t="shared" si="5"/>
        <v>1</v>
      </c>
    </row>
    <row r="193" spans="1:42" x14ac:dyDescent="0.25">
      <c r="A193" s="18" t="s">
        <v>167</v>
      </c>
      <c r="B193" s="18" t="s">
        <v>159</v>
      </c>
      <c r="C193" s="18" t="s">
        <v>131</v>
      </c>
      <c r="E193" s="18">
        <v>4</v>
      </c>
      <c r="F193" s="18" t="s">
        <v>164</v>
      </c>
      <c r="G193" s="18" t="s">
        <v>137</v>
      </c>
      <c r="H193" s="18" t="s">
        <v>29</v>
      </c>
      <c r="I193" s="18" t="b">
        <v>0</v>
      </c>
      <c r="J193" s="18" t="b">
        <v>1</v>
      </c>
      <c r="K193" s="18">
        <v>171.5</v>
      </c>
      <c r="L193" s="20">
        <v>1</v>
      </c>
      <c r="M193" s="18">
        <v>10</v>
      </c>
      <c r="N193" s="18">
        <v>5</v>
      </c>
      <c r="O193" s="18">
        <v>2</v>
      </c>
      <c r="P193" s="18">
        <v>-11.5</v>
      </c>
      <c r="Q193" s="18">
        <v>0</v>
      </c>
      <c r="R193" s="18">
        <v>8.5</v>
      </c>
      <c r="S193" s="18">
        <v>8.5</v>
      </c>
      <c r="T193" s="18">
        <v>6.5</v>
      </c>
      <c r="U193" s="18">
        <v>4.5</v>
      </c>
      <c r="V193" s="18">
        <v>6.5</v>
      </c>
      <c r="W193" s="18">
        <v>8.5</v>
      </c>
      <c r="X193" s="18">
        <v>8.5</v>
      </c>
      <c r="Y193" s="18">
        <v>8.5</v>
      </c>
      <c r="Z193" s="18">
        <v>6.5</v>
      </c>
      <c r="AA193" s="18">
        <v>4.5</v>
      </c>
      <c r="AB193" s="18">
        <v>6.5</v>
      </c>
      <c r="AC193" s="18">
        <v>8.5</v>
      </c>
      <c r="AD193" s="18">
        <v>8.5</v>
      </c>
      <c r="AE193" s="18">
        <v>8.5</v>
      </c>
      <c r="AF193" s="18">
        <v>6.5</v>
      </c>
      <c r="AG193" s="18">
        <v>8.5</v>
      </c>
      <c r="AH193" s="18">
        <v>8.5</v>
      </c>
      <c r="AI193" s="18">
        <v>8.5</v>
      </c>
      <c r="AJ193" s="18">
        <v>6.5</v>
      </c>
      <c r="AK193" s="18">
        <v>8.5</v>
      </c>
      <c r="AL193" s="18">
        <v>8.5</v>
      </c>
      <c r="AM193" s="18">
        <v>8.5</v>
      </c>
      <c r="AN193" s="18">
        <v>4.5</v>
      </c>
      <c r="AO193" t="b">
        <f t="shared" si="6"/>
        <v>0</v>
      </c>
      <c r="AP193" t="b">
        <f t="shared" si="5"/>
        <v>1</v>
      </c>
    </row>
    <row r="194" spans="1:42" x14ac:dyDescent="0.25">
      <c r="AO194" t="str">
        <f t="shared" si="6"/>
        <v/>
      </c>
      <c r="AP194" t="str">
        <f t="shared" si="5"/>
        <v/>
      </c>
    </row>
    <row r="195" spans="1:42" x14ac:dyDescent="0.25">
      <c r="AO195" t="str">
        <f t="shared" ref="AO195:AO258" si="7">IF(OR(I195&lt;&gt;FALSE, I195=""),"",Q195&lt;&gt;$Q$2/3)</f>
        <v/>
      </c>
      <c r="AP195" t="str">
        <f t="shared" si="5"/>
        <v/>
      </c>
    </row>
    <row r="196" spans="1:42" x14ac:dyDescent="0.25">
      <c r="AO196" t="str">
        <f t="shared" si="7"/>
        <v/>
      </c>
      <c r="AP196" t="str">
        <f t="shared" ref="AP196:AP259" si="8">IF(OR(I196&lt;&gt;FALSE, I196=""),"",O196&lt;&gt;$O$2/3)</f>
        <v/>
      </c>
    </row>
    <row r="197" spans="1:42" x14ac:dyDescent="0.25">
      <c r="AO197" t="str">
        <f t="shared" si="7"/>
        <v/>
      </c>
      <c r="AP197" t="str">
        <f t="shared" si="8"/>
        <v/>
      </c>
    </row>
    <row r="198" spans="1:42" x14ac:dyDescent="0.25">
      <c r="AO198" t="str">
        <f t="shared" si="7"/>
        <v/>
      </c>
      <c r="AP198" t="str">
        <f t="shared" si="8"/>
        <v/>
      </c>
    </row>
    <row r="199" spans="1:42" x14ac:dyDescent="0.25">
      <c r="AO199" t="str">
        <f t="shared" si="7"/>
        <v/>
      </c>
      <c r="AP199" t="str">
        <f t="shared" si="8"/>
        <v/>
      </c>
    </row>
    <row r="200" spans="1:42" x14ac:dyDescent="0.25">
      <c r="AO200" t="str">
        <f t="shared" si="7"/>
        <v/>
      </c>
      <c r="AP200" t="str">
        <f t="shared" si="8"/>
        <v/>
      </c>
    </row>
    <row r="201" spans="1:42" x14ac:dyDescent="0.25">
      <c r="AO201" t="str">
        <f t="shared" si="7"/>
        <v/>
      </c>
      <c r="AP201" t="str">
        <f t="shared" si="8"/>
        <v/>
      </c>
    </row>
    <row r="202" spans="1:42" x14ac:dyDescent="0.25">
      <c r="AO202" t="str">
        <f t="shared" si="7"/>
        <v/>
      </c>
      <c r="AP202" t="str">
        <f t="shared" si="8"/>
        <v/>
      </c>
    </row>
    <row r="203" spans="1:42" x14ac:dyDescent="0.25">
      <c r="AO203" t="str">
        <f t="shared" si="7"/>
        <v/>
      </c>
      <c r="AP203" t="str">
        <f t="shared" si="8"/>
        <v/>
      </c>
    </row>
    <row r="204" spans="1:42" x14ac:dyDescent="0.25">
      <c r="AO204" t="str">
        <f t="shared" si="7"/>
        <v/>
      </c>
      <c r="AP204" t="str">
        <f t="shared" si="8"/>
        <v/>
      </c>
    </row>
    <row r="205" spans="1:42" x14ac:dyDescent="0.25">
      <c r="AO205" t="str">
        <f t="shared" si="7"/>
        <v/>
      </c>
      <c r="AP205" t="str">
        <f t="shared" si="8"/>
        <v/>
      </c>
    </row>
    <row r="206" spans="1:42" x14ac:dyDescent="0.25">
      <c r="AO206" t="str">
        <f t="shared" si="7"/>
        <v/>
      </c>
      <c r="AP206" t="str">
        <f t="shared" si="8"/>
        <v/>
      </c>
    </row>
    <row r="207" spans="1:42" x14ac:dyDescent="0.25">
      <c r="AO207" t="str">
        <f t="shared" si="7"/>
        <v/>
      </c>
      <c r="AP207" t="str">
        <f t="shared" si="8"/>
        <v/>
      </c>
    </row>
    <row r="208" spans="1:42" x14ac:dyDescent="0.25">
      <c r="AO208" t="str">
        <f t="shared" si="7"/>
        <v/>
      </c>
      <c r="AP208" t="str">
        <f t="shared" si="8"/>
        <v/>
      </c>
    </row>
    <row r="209" spans="41:42" x14ac:dyDescent="0.25">
      <c r="AO209" t="str">
        <f t="shared" si="7"/>
        <v/>
      </c>
      <c r="AP209" t="str">
        <f t="shared" si="8"/>
        <v/>
      </c>
    </row>
    <row r="210" spans="41:42" x14ac:dyDescent="0.25">
      <c r="AO210" t="str">
        <f t="shared" si="7"/>
        <v/>
      </c>
      <c r="AP210" t="str">
        <f t="shared" si="8"/>
        <v/>
      </c>
    </row>
    <row r="211" spans="41:42" x14ac:dyDescent="0.25">
      <c r="AO211" t="str">
        <f t="shared" si="7"/>
        <v/>
      </c>
      <c r="AP211" t="str">
        <f t="shared" si="8"/>
        <v/>
      </c>
    </row>
    <row r="212" spans="41:42" x14ac:dyDescent="0.25">
      <c r="AO212" t="str">
        <f t="shared" si="7"/>
        <v/>
      </c>
      <c r="AP212" t="str">
        <f t="shared" si="8"/>
        <v/>
      </c>
    </row>
    <row r="213" spans="41:42" x14ac:dyDescent="0.25">
      <c r="AO213" t="str">
        <f t="shared" si="7"/>
        <v/>
      </c>
      <c r="AP213" t="str">
        <f t="shared" si="8"/>
        <v/>
      </c>
    </row>
    <row r="214" spans="41:42" x14ac:dyDescent="0.25">
      <c r="AO214" t="str">
        <f t="shared" si="7"/>
        <v/>
      </c>
      <c r="AP214" t="str">
        <f t="shared" si="8"/>
        <v/>
      </c>
    </row>
    <row r="215" spans="41:42" x14ac:dyDescent="0.25">
      <c r="AO215" t="str">
        <f t="shared" si="7"/>
        <v/>
      </c>
      <c r="AP215" t="str">
        <f t="shared" si="8"/>
        <v/>
      </c>
    </row>
    <row r="216" spans="41:42" x14ac:dyDescent="0.25">
      <c r="AO216" t="str">
        <f t="shared" si="7"/>
        <v/>
      </c>
      <c r="AP216" t="str">
        <f t="shared" si="8"/>
        <v/>
      </c>
    </row>
    <row r="217" spans="41:42" x14ac:dyDescent="0.25">
      <c r="AO217" t="str">
        <f t="shared" si="7"/>
        <v/>
      </c>
      <c r="AP217" t="str">
        <f t="shared" si="8"/>
        <v/>
      </c>
    </row>
    <row r="218" spans="41:42" x14ac:dyDescent="0.25">
      <c r="AO218" t="str">
        <f t="shared" si="7"/>
        <v/>
      </c>
      <c r="AP218" t="str">
        <f t="shared" si="8"/>
        <v/>
      </c>
    </row>
    <row r="219" spans="41:42" x14ac:dyDescent="0.25">
      <c r="AO219" t="str">
        <f t="shared" si="7"/>
        <v/>
      </c>
      <c r="AP219" t="str">
        <f t="shared" si="8"/>
        <v/>
      </c>
    </row>
    <row r="220" spans="41:42" x14ac:dyDescent="0.25">
      <c r="AO220" t="str">
        <f t="shared" si="7"/>
        <v/>
      </c>
      <c r="AP220" t="str">
        <f t="shared" si="8"/>
        <v/>
      </c>
    </row>
    <row r="221" spans="41:42" x14ac:dyDescent="0.25">
      <c r="AO221" t="str">
        <f t="shared" si="7"/>
        <v/>
      </c>
      <c r="AP221" t="str">
        <f t="shared" si="8"/>
        <v/>
      </c>
    </row>
    <row r="222" spans="41:42" x14ac:dyDescent="0.25">
      <c r="AO222" t="str">
        <f t="shared" si="7"/>
        <v/>
      </c>
      <c r="AP222" t="str">
        <f t="shared" si="8"/>
        <v/>
      </c>
    </row>
    <row r="223" spans="41:42" x14ac:dyDescent="0.25">
      <c r="AO223" t="str">
        <f t="shared" si="7"/>
        <v/>
      </c>
      <c r="AP223" t="str">
        <f t="shared" si="8"/>
        <v/>
      </c>
    </row>
    <row r="224" spans="41:42" x14ac:dyDescent="0.25">
      <c r="AO224" t="str">
        <f t="shared" si="7"/>
        <v/>
      </c>
      <c r="AP224" t="str">
        <f t="shared" si="8"/>
        <v/>
      </c>
    </row>
    <row r="225" spans="41:42" x14ac:dyDescent="0.25">
      <c r="AO225" t="str">
        <f t="shared" si="7"/>
        <v/>
      </c>
      <c r="AP225" t="str">
        <f t="shared" si="8"/>
        <v/>
      </c>
    </row>
    <row r="226" spans="41:42" x14ac:dyDescent="0.25">
      <c r="AO226" t="str">
        <f t="shared" si="7"/>
        <v/>
      </c>
      <c r="AP226" t="str">
        <f t="shared" si="8"/>
        <v/>
      </c>
    </row>
    <row r="227" spans="41:42" x14ac:dyDescent="0.25">
      <c r="AO227" t="str">
        <f t="shared" si="7"/>
        <v/>
      </c>
      <c r="AP227" t="str">
        <f t="shared" si="8"/>
        <v/>
      </c>
    </row>
    <row r="228" spans="41:42" x14ac:dyDescent="0.25">
      <c r="AO228" t="str">
        <f t="shared" si="7"/>
        <v/>
      </c>
      <c r="AP228" t="str">
        <f t="shared" si="8"/>
        <v/>
      </c>
    </row>
    <row r="229" spans="41:42" x14ac:dyDescent="0.25">
      <c r="AO229" t="str">
        <f t="shared" si="7"/>
        <v/>
      </c>
      <c r="AP229" t="str">
        <f t="shared" si="8"/>
        <v/>
      </c>
    </row>
    <row r="230" spans="41:42" x14ac:dyDescent="0.25">
      <c r="AO230" t="str">
        <f t="shared" si="7"/>
        <v/>
      </c>
      <c r="AP230" t="str">
        <f t="shared" si="8"/>
        <v/>
      </c>
    </row>
    <row r="231" spans="41:42" x14ac:dyDescent="0.25">
      <c r="AO231" t="str">
        <f t="shared" si="7"/>
        <v/>
      </c>
      <c r="AP231" t="str">
        <f t="shared" si="8"/>
        <v/>
      </c>
    </row>
    <row r="232" spans="41:42" x14ac:dyDescent="0.25">
      <c r="AO232" t="str">
        <f t="shared" si="7"/>
        <v/>
      </c>
      <c r="AP232" t="str">
        <f t="shared" si="8"/>
        <v/>
      </c>
    </row>
    <row r="233" spans="41:42" x14ac:dyDescent="0.25">
      <c r="AO233" t="str">
        <f t="shared" si="7"/>
        <v/>
      </c>
      <c r="AP233" t="str">
        <f t="shared" si="8"/>
        <v/>
      </c>
    </row>
    <row r="234" spans="41:42" x14ac:dyDescent="0.25">
      <c r="AO234" t="str">
        <f t="shared" si="7"/>
        <v/>
      </c>
      <c r="AP234" t="str">
        <f t="shared" si="8"/>
        <v/>
      </c>
    </row>
    <row r="235" spans="41:42" x14ac:dyDescent="0.25">
      <c r="AO235" t="str">
        <f t="shared" si="7"/>
        <v/>
      </c>
      <c r="AP235" t="str">
        <f t="shared" si="8"/>
        <v/>
      </c>
    </row>
    <row r="236" spans="41:42" x14ac:dyDescent="0.25">
      <c r="AO236" t="str">
        <f t="shared" si="7"/>
        <v/>
      </c>
      <c r="AP236" t="str">
        <f t="shared" si="8"/>
        <v/>
      </c>
    </row>
    <row r="237" spans="41:42" x14ac:dyDescent="0.25">
      <c r="AO237" t="str">
        <f t="shared" si="7"/>
        <v/>
      </c>
      <c r="AP237" t="str">
        <f t="shared" si="8"/>
        <v/>
      </c>
    </row>
    <row r="238" spans="41:42" x14ac:dyDescent="0.25">
      <c r="AO238" t="str">
        <f t="shared" si="7"/>
        <v/>
      </c>
      <c r="AP238" t="str">
        <f t="shared" si="8"/>
        <v/>
      </c>
    </row>
    <row r="239" spans="41:42" x14ac:dyDescent="0.25">
      <c r="AO239" t="str">
        <f t="shared" si="7"/>
        <v/>
      </c>
      <c r="AP239" t="str">
        <f t="shared" si="8"/>
        <v/>
      </c>
    </row>
    <row r="240" spans="41:42" x14ac:dyDescent="0.25">
      <c r="AO240" t="str">
        <f t="shared" si="7"/>
        <v/>
      </c>
      <c r="AP240" t="str">
        <f t="shared" si="8"/>
        <v/>
      </c>
    </row>
    <row r="241" spans="41:42" x14ac:dyDescent="0.25">
      <c r="AO241" t="str">
        <f t="shared" si="7"/>
        <v/>
      </c>
      <c r="AP241" t="str">
        <f t="shared" si="8"/>
        <v/>
      </c>
    </row>
    <row r="242" spans="41:42" x14ac:dyDescent="0.25">
      <c r="AO242" t="str">
        <f t="shared" si="7"/>
        <v/>
      </c>
      <c r="AP242" t="str">
        <f t="shared" si="8"/>
        <v/>
      </c>
    </row>
    <row r="243" spans="41:42" x14ac:dyDescent="0.25">
      <c r="AO243" t="str">
        <f t="shared" si="7"/>
        <v/>
      </c>
      <c r="AP243" t="str">
        <f t="shared" si="8"/>
        <v/>
      </c>
    </row>
    <row r="244" spans="41:42" x14ac:dyDescent="0.25">
      <c r="AO244" t="str">
        <f t="shared" si="7"/>
        <v/>
      </c>
      <c r="AP244" t="str">
        <f t="shared" si="8"/>
        <v/>
      </c>
    </row>
    <row r="245" spans="41:42" x14ac:dyDescent="0.25">
      <c r="AO245" t="str">
        <f t="shared" si="7"/>
        <v/>
      </c>
      <c r="AP245" t="str">
        <f t="shared" si="8"/>
        <v/>
      </c>
    </row>
    <row r="246" spans="41:42" x14ac:dyDescent="0.25">
      <c r="AO246" t="str">
        <f t="shared" si="7"/>
        <v/>
      </c>
      <c r="AP246" t="str">
        <f t="shared" si="8"/>
        <v/>
      </c>
    </row>
    <row r="247" spans="41:42" x14ac:dyDescent="0.25">
      <c r="AO247" t="str">
        <f t="shared" si="7"/>
        <v/>
      </c>
      <c r="AP247" t="str">
        <f t="shared" si="8"/>
        <v/>
      </c>
    </row>
    <row r="248" spans="41:42" x14ac:dyDescent="0.25">
      <c r="AO248" t="str">
        <f t="shared" si="7"/>
        <v/>
      </c>
      <c r="AP248" t="str">
        <f t="shared" si="8"/>
        <v/>
      </c>
    </row>
    <row r="249" spans="41:42" x14ac:dyDescent="0.25">
      <c r="AO249" t="str">
        <f t="shared" si="7"/>
        <v/>
      </c>
      <c r="AP249" t="str">
        <f t="shared" si="8"/>
        <v/>
      </c>
    </row>
    <row r="250" spans="41:42" x14ac:dyDescent="0.25">
      <c r="AO250" t="str">
        <f t="shared" si="7"/>
        <v/>
      </c>
      <c r="AP250" t="str">
        <f t="shared" si="8"/>
        <v/>
      </c>
    </row>
    <row r="251" spans="41:42" x14ac:dyDescent="0.25">
      <c r="AO251" t="str">
        <f t="shared" si="7"/>
        <v/>
      </c>
      <c r="AP251" t="str">
        <f t="shared" si="8"/>
        <v/>
      </c>
    </row>
    <row r="252" spans="41:42" x14ac:dyDescent="0.25">
      <c r="AO252" t="str">
        <f t="shared" si="7"/>
        <v/>
      </c>
      <c r="AP252" t="str">
        <f t="shared" si="8"/>
        <v/>
      </c>
    </row>
    <row r="253" spans="41:42" x14ac:dyDescent="0.25">
      <c r="AO253" t="str">
        <f t="shared" si="7"/>
        <v/>
      </c>
      <c r="AP253" t="str">
        <f t="shared" si="8"/>
        <v/>
      </c>
    </row>
    <row r="254" spans="41:42" x14ac:dyDescent="0.25">
      <c r="AO254" t="str">
        <f t="shared" si="7"/>
        <v/>
      </c>
      <c r="AP254" t="str">
        <f t="shared" si="8"/>
        <v/>
      </c>
    </row>
    <row r="255" spans="41:42" x14ac:dyDescent="0.25">
      <c r="AO255" t="str">
        <f t="shared" si="7"/>
        <v/>
      </c>
      <c r="AP255" t="str">
        <f t="shared" si="8"/>
        <v/>
      </c>
    </row>
    <row r="256" spans="41:42" x14ac:dyDescent="0.25">
      <c r="AO256" t="str">
        <f t="shared" si="7"/>
        <v/>
      </c>
      <c r="AP256" t="str">
        <f t="shared" si="8"/>
        <v/>
      </c>
    </row>
    <row r="257" spans="41:42" x14ac:dyDescent="0.25">
      <c r="AO257" t="str">
        <f t="shared" si="7"/>
        <v/>
      </c>
      <c r="AP257" t="str">
        <f t="shared" si="8"/>
        <v/>
      </c>
    </row>
    <row r="258" spans="41:42" x14ac:dyDescent="0.25">
      <c r="AO258" t="str">
        <f t="shared" si="7"/>
        <v/>
      </c>
      <c r="AP258" t="str">
        <f t="shared" si="8"/>
        <v/>
      </c>
    </row>
    <row r="259" spans="41:42" x14ac:dyDescent="0.25">
      <c r="AO259" t="str">
        <f t="shared" ref="AO259:AO322" si="9">IF(OR(I259&lt;&gt;FALSE, I259=""),"",Q259&lt;&gt;$Q$2/3)</f>
        <v/>
      </c>
      <c r="AP259" t="str">
        <f t="shared" si="8"/>
        <v/>
      </c>
    </row>
    <row r="260" spans="41:42" x14ac:dyDescent="0.25">
      <c r="AO260" t="str">
        <f t="shared" si="9"/>
        <v/>
      </c>
      <c r="AP260" t="str">
        <f t="shared" ref="AP260:AP273" si="10">IF(OR(I260&lt;&gt;FALSE, I260=""),"",O260&lt;&gt;$O$2/3)</f>
        <v/>
      </c>
    </row>
    <row r="261" spans="41:42" x14ac:dyDescent="0.25">
      <c r="AO261" t="str">
        <f t="shared" si="9"/>
        <v/>
      </c>
      <c r="AP261" t="str">
        <f t="shared" si="10"/>
        <v/>
      </c>
    </row>
    <row r="262" spans="41:42" x14ac:dyDescent="0.25">
      <c r="AO262" t="str">
        <f t="shared" si="9"/>
        <v/>
      </c>
      <c r="AP262" t="str">
        <f t="shared" si="10"/>
        <v/>
      </c>
    </row>
    <row r="263" spans="41:42" x14ac:dyDescent="0.25">
      <c r="AO263" t="str">
        <f t="shared" si="9"/>
        <v/>
      </c>
      <c r="AP263" t="str">
        <f t="shared" si="10"/>
        <v/>
      </c>
    </row>
    <row r="264" spans="41:42" x14ac:dyDescent="0.25">
      <c r="AO264" t="str">
        <f t="shared" si="9"/>
        <v/>
      </c>
      <c r="AP264" t="str">
        <f t="shared" si="10"/>
        <v/>
      </c>
    </row>
    <row r="265" spans="41:42" x14ac:dyDescent="0.25">
      <c r="AO265" t="str">
        <f t="shared" si="9"/>
        <v/>
      </c>
      <c r="AP265" t="str">
        <f t="shared" si="10"/>
        <v/>
      </c>
    </row>
    <row r="266" spans="41:42" x14ac:dyDescent="0.25">
      <c r="AO266" t="str">
        <f t="shared" si="9"/>
        <v/>
      </c>
      <c r="AP266" t="str">
        <f t="shared" si="10"/>
        <v/>
      </c>
    </row>
    <row r="267" spans="41:42" x14ac:dyDescent="0.25">
      <c r="AO267" t="str">
        <f t="shared" si="9"/>
        <v/>
      </c>
      <c r="AP267" t="str">
        <f t="shared" si="10"/>
        <v/>
      </c>
    </row>
    <row r="268" spans="41:42" x14ac:dyDescent="0.25">
      <c r="AO268" t="str">
        <f t="shared" si="9"/>
        <v/>
      </c>
      <c r="AP268" t="str">
        <f t="shared" si="10"/>
        <v/>
      </c>
    </row>
    <row r="269" spans="41:42" x14ac:dyDescent="0.25">
      <c r="AO269" t="str">
        <f t="shared" si="9"/>
        <v/>
      </c>
      <c r="AP269" t="str">
        <f t="shared" si="10"/>
        <v/>
      </c>
    </row>
    <row r="270" spans="41:42" x14ac:dyDescent="0.25">
      <c r="AO270" t="str">
        <f t="shared" si="9"/>
        <v/>
      </c>
      <c r="AP270" t="str">
        <f t="shared" si="10"/>
        <v/>
      </c>
    </row>
    <row r="271" spans="41:42" x14ac:dyDescent="0.25">
      <c r="AO271" t="str">
        <f t="shared" si="9"/>
        <v/>
      </c>
      <c r="AP271" t="str">
        <f t="shared" si="10"/>
        <v/>
      </c>
    </row>
    <row r="272" spans="41:42" x14ac:dyDescent="0.25">
      <c r="AO272" t="str">
        <f t="shared" si="9"/>
        <v/>
      </c>
      <c r="AP272" t="str">
        <f t="shared" si="10"/>
        <v/>
      </c>
    </row>
    <row r="273" spans="41:42" x14ac:dyDescent="0.25">
      <c r="AO273" t="str">
        <f t="shared" si="9"/>
        <v/>
      </c>
      <c r="AP273" t="str">
        <f t="shared" si="10"/>
        <v/>
      </c>
    </row>
    <row r="274" spans="41:42" x14ac:dyDescent="0.25">
      <c r="AO274" t="str">
        <f t="shared" si="9"/>
        <v/>
      </c>
    </row>
    <row r="275" spans="41:42" x14ac:dyDescent="0.25">
      <c r="AO275" t="str">
        <f t="shared" si="9"/>
        <v/>
      </c>
    </row>
    <row r="276" spans="41:42" x14ac:dyDescent="0.25">
      <c r="AO276" t="str">
        <f t="shared" si="9"/>
        <v/>
      </c>
    </row>
    <row r="277" spans="41:42" x14ac:dyDescent="0.25">
      <c r="AO277" t="str">
        <f t="shared" si="9"/>
        <v/>
      </c>
    </row>
    <row r="278" spans="41:42" x14ac:dyDescent="0.25">
      <c r="AO278" t="str">
        <f t="shared" si="9"/>
        <v/>
      </c>
    </row>
    <row r="279" spans="41:42" x14ac:dyDescent="0.25">
      <c r="AO279" t="str">
        <f t="shared" si="9"/>
        <v/>
      </c>
    </row>
    <row r="280" spans="41:42" x14ac:dyDescent="0.25">
      <c r="AO280" t="str">
        <f t="shared" si="9"/>
        <v/>
      </c>
    </row>
    <row r="281" spans="41:42" x14ac:dyDescent="0.25">
      <c r="AO281" t="str">
        <f t="shared" si="9"/>
        <v/>
      </c>
    </row>
    <row r="282" spans="41:42" x14ac:dyDescent="0.25">
      <c r="AO282" t="str">
        <f t="shared" si="9"/>
        <v/>
      </c>
    </row>
    <row r="283" spans="41:42" x14ac:dyDescent="0.25">
      <c r="AO283" t="str">
        <f t="shared" si="9"/>
        <v/>
      </c>
    </row>
    <row r="284" spans="41:42" x14ac:dyDescent="0.25">
      <c r="AO284" t="str">
        <f t="shared" si="9"/>
        <v/>
      </c>
    </row>
    <row r="285" spans="41:42" x14ac:dyDescent="0.25">
      <c r="AO285" t="str">
        <f t="shared" si="9"/>
        <v/>
      </c>
    </row>
    <row r="286" spans="41:42" x14ac:dyDescent="0.25">
      <c r="AO286" t="str">
        <f t="shared" si="9"/>
        <v/>
      </c>
    </row>
    <row r="287" spans="41:42" x14ac:dyDescent="0.25">
      <c r="AO287" t="str">
        <f t="shared" si="9"/>
        <v/>
      </c>
    </row>
    <row r="288" spans="41:42" x14ac:dyDescent="0.25">
      <c r="AO288" t="str">
        <f t="shared" si="9"/>
        <v/>
      </c>
    </row>
    <row r="289" spans="41:41" x14ac:dyDescent="0.25">
      <c r="AO289" t="str">
        <f t="shared" si="9"/>
        <v/>
      </c>
    </row>
    <row r="290" spans="41:41" x14ac:dyDescent="0.25">
      <c r="AO290" t="str">
        <f t="shared" si="9"/>
        <v/>
      </c>
    </row>
    <row r="291" spans="41:41" x14ac:dyDescent="0.25">
      <c r="AO291" t="str">
        <f t="shared" si="9"/>
        <v/>
      </c>
    </row>
    <row r="292" spans="41:41" x14ac:dyDescent="0.25">
      <c r="AO292" t="str">
        <f t="shared" si="9"/>
        <v/>
      </c>
    </row>
    <row r="293" spans="41:41" x14ac:dyDescent="0.25">
      <c r="AO293" t="str">
        <f t="shared" si="9"/>
        <v/>
      </c>
    </row>
    <row r="294" spans="41:41" x14ac:dyDescent="0.25">
      <c r="AO294" t="str">
        <f t="shared" si="9"/>
        <v/>
      </c>
    </row>
    <row r="295" spans="41:41" x14ac:dyDescent="0.25">
      <c r="AO295" t="str">
        <f t="shared" si="9"/>
        <v/>
      </c>
    </row>
    <row r="296" spans="41:41" x14ac:dyDescent="0.25">
      <c r="AO296" t="str">
        <f t="shared" si="9"/>
        <v/>
      </c>
    </row>
    <row r="297" spans="41:41" x14ac:dyDescent="0.25">
      <c r="AO297" t="str">
        <f t="shared" si="9"/>
        <v/>
      </c>
    </row>
    <row r="298" spans="41:41" x14ac:dyDescent="0.25">
      <c r="AO298" t="str">
        <f t="shared" si="9"/>
        <v/>
      </c>
    </row>
    <row r="299" spans="41:41" x14ac:dyDescent="0.25">
      <c r="AO299" t="str">
        <f t="shared" si="9"/>
        <v/>
      </c>
    </row>
    <row r="300" spans="41:41" x14ac:dyDescent="0.25">
      <c r="AO300" t="str">
        <f t="shared" si="9"/>
        <v/>
      </c>
    </row>
    <row r="301" spans="41:41" x14ac:dyDescent="0.25">
      <c r="AO301" t="str">
        <f t="shared" si="9"/>
        <v/>
      </c>
    </row>
    <row r="302" spans="41:41" x14ac:dyDescent="0.25">
      <c r="AO302" t="str">
        <f t="shared" si="9"/>
        <v/>
      </c>
    </row>
    <row r="303" spans="41:41" x14ac:dyDescent="0.25">
      <c r="AO303" t="str">
        <f t="shared" si="9"/>
        <v/>
      </c>
    </row>
    <row r="304" spans="41:41" x14ac:dyDescent="0.25">
      <c r="AO304" t="str">
        <f t="shared" si="9"/>
        <v/>
      </c>
    </row>
    <row r="305" spans="41:41" x14ac:dyDescent="0.25">
      <c r="AO305" t="str">
        <f t="shared" si="9"/>
        <v/>
      </c>
    </row>
    <row r="306" spans="41:41" x14ac:dyDescent="0.25">
      <c r="AO306" t="str">
        <f t="shared" si="9"/>
        <v/>
      </c>
    </row>
    <row r="307" spans="41:41" x14ac:dyDescent="0.25">
      <c r="AO307" t="str">
        <f t="shared" si="9"/>
        <v/>
      </c>
    </row>
    <row r="308" spans="41:41" x14ac:dyDescent="0.25">
      <c r="AO308" t="str">
        <f t="shared" si="9"/>
        <v/>
      </c>
    </row>
    <row r="309" spans="41:41" x14ac:dyDescent="0.25">
      <c r="AO309" t="str">
        <f t="shared" si="9"/>
        <v/>
      </c>
    </row>
    <row r="310" spans="41:41" x14ac:dyDescent="0.25">
      <c r="AO310" t="str">
        <f t="shared" si="9"/>
        <v/>
      </c>
    </row>
    <row r="311" spans="41:41" x14ac:dyDescent="0.25">
      <c r="AO311" t="str">
        <f t="shared" si="9"/>
        <v/>
      </c>
    </row>
    <row r="312" spans="41:41" x14ac:dyDescent="0.25">
      <c r="AO312" t="str">
        <f t="shared" si="9"/>
        <v/>
      </c>
    </row>
    <row r="313" spans="41:41" x14ac:dyDescent="0.25">
      <c r="AO313" t="str">
        <f t="shared" si="9"/>
        <v/>
      </c>
    </row>
    <row r="314" spans="41:41" x14ac:dyDescent="0.25">
      <c r="AO314" t="str">
        <f t="shared" si="9"/>
        <v/>
      </c>
    </row>
    <row r="315" spans="41:41" x14ac:dyDescent="0.25">
      <c r="AO315" t="str">
        <f t="shared" si="9"/>
        <v/>
      </c>
    </row>
    <row r="316" spans="41:41" x14ac:dyDescent="0.25">
      <c r="AO316" t="str">
        <f t="shared" si="9"/>
        <v/>
      </c>
    </row>
    <row r="317" spans="41:41" x14ac:dyDescent="0.25">
      <c r="AO317" t="str">
        <f t="shared" si="9"/>
        <v/>
      </c>
    </row>
    <row r="318" spans="41:41" x14ac:dyDescent="0.25">
      <c r="AO318" t="str">
        <f t="shared" si="9"/>
        <v/>
      </c>
    </row>
    <row r="319" spans="41:41" x14ac:dyDescent="0.25">
      <c r="AO319" t="str">
        <f t="shared" si="9"/>
        <v/>
      </c>
    </row>
    <row r="320" spans="41:41" x14ac:dyDescent="0.25">
      <c r="AO320" t="str">
        <f t="shared" si="9"/>
        <v/>
      </c>
    </row>
    <row r="321" spans="41:41" x14ac:dyDescent="0.25">
      <c r="AO321" t="str">
        <f t="shared" si="9"/>
        <v/>
      </c>
    </row>
    <row r="322" spans="41:41" x14ac:dyDescent="0.25">
      <c r="AO322" t="str">
        <f t="shared" si="9"/>
        <v/>
      </c>
    </row>
    <row r="323" spans="41:41" x14ac:dyDescent="0.25">
      <c r="AO323" t="str">
        <f t="shared" ref="AO323:AO362" si="11">IF(OR(I323&lt;&gt;FALSE, I323=""),"",Q323&lt;&gt;$Q$2/3)</f>
        <v/>
      </c>
    </row>
    <row r="324" spans="41:41" x14ac:dyDescent="0.25">
      <c r="AO324" t="str">
        <f t="shared" si="11"/>
        <v/>
      </c>
    </row>
    <row r="325" spans="41:41" x14ac:dyDescent="0.25">
      <c r="AO325" t="str">
        <f t="shared" si="11"/>
        <v/>
      </c>
    </row>
    <row r="326" spans="41:41" x14ac:dyDescent="0.25">
      <c r="AO326" t="str">
        <f t="shared" si="11"/>
        <v/>
      </c>
    </row>
    <row r="327" spans="41:41" x14ac:dyDescent="0.25">
      <c r="AO327" t="str">
        <f t="shared" si="11"/>
        <v/>
      </c>
    </row>
    <row r="328" spans="41:41" x14ac:dyDescent="0.25">
      <c r="AO328" t="str">
        <f t="shared" si="11"/>
        <v/>
      </c>
    </row>
    <row r="329" spans="41:41" x14ac:dyDescent="0.25">
      <c r="AO329" t="str">
        <f t="shared" si="11"/>
        <v/>
      </c>
    </row>
    <row r="330" spans="41:41" x14ac:dyDescent="0.25">
      <c r="AO330" t="str">
        <f t="shared" si="11"/>
        <v/>
      </c>
    </row>
    <row r="331" spans="41:41" x14ac:dyDescent="0.25">
      <c r="AO331" t="str">
        <f t="shared" si="11"/>
        <v/>
      </c>
    </row>
    <row r="332" spans="41:41" x14ac:dyDescent="0.25">
      <c r="AO332" t="str">
        <f t="shared" si="11"/>
        <v/>
      </c>
    </row>
    <row r="333" spans="41:41" x14ac:dyDescent="0.25">
      <c r="AO333" t="str">
        <f t="shared" si="11"/>
        <v/>
      </c>
    </row>
    <row r="334" spans="41:41" x14ac:dyDescent="0.25">
      <c r="AO334" t="str">
        <f t="shared" si="11"/>
        <v/>
      </c>
    </row>
    <row r="335" spans="41:41" x14ac:dyDescent="0.25">
      <c r="AO335" t="str">
        <f t="shared" si="11"/>
        <v/>
      </c>
    </row>
    <row r="336" spans="41:41" x14ac:dyDescent="0.25">
      <c r="AO336" t="str">
        <f t="shared" si="11"/>
        <v/>
      </c>
    </row>
    <row r="337" spans="41:41" x14ac:dyDescent="0.25">
      <c r="AO337" t="str">
        <f t="shared" si="11"/>
        <v/>
      </c>
    </row>
    <row r="338" spans="41:41" x14ac:dyDescent="0.25">
      <c r="AO338" t="str">
        <f t="shared" si="11"/>
        <v/>
      </c>
    </row>
    <row r="339" spans="41:41" x14ac:dyDescent="0.25">
      <c r="AO339" t="str">
        <f t="shared" si="11"/>
        <v/>
      </c>
    </row>
    <row r="340" spans="41:41" x14ac:dyDescent="0.25">
      <c r="AO340" t="str">
        <f t="shared" si="11"/>
        <v/>
      </c>
    </row>
    <row r="341" spans="41:41" x14ac:dyDescent="0.25">
      <c r="AO341" t="str">
        <f t="shared" si="11"/>
        <v/>
      </c>
    </row>
    <row r="342" spans="41:41" x14ac:dyDescent="0.25">
      <c r="AO342" t="str">
        <f t="shared" si="11"/>
        <v/>
      </c>
    </row>
    <row r="343" spans="41:41" x14ac:dyDescent="0.25">
      <c r="AO343" t="str">
        <f t="shared" si="11"/>
        <v/>
      </c>
    </row>
    <row r="344" spans="41:41" x14ac:dyDescent="0.25">
      <c r="AO344" t="str">
        <f t="shared" si="11"/>
        <v/>
      </c>
    </row>
    <row r="345" spans="41:41" x14ac:dyDescent="0.25">
      <c r="AO345" t="str">
        <f t="shared" si="11"/>
        <v/>
      </c>
    </row>
    <row r="346" spans="41:41" x14ac:dyDescent="0.25">
      <c r="AO346" t="str">
        <f t="shared" si="11"/>
        <v/>
      </c>
    </row>
    <row r="347" spans="41:41" x14ac:dyDescent="0.25">
      <c r="AO347" t="str">
        <f t="shared" si="11"/>
        <v/>
      </c>
    </row>
    <row r="348" spans="41:41" x14ac:dyDescent="0.25">
      <c r="AO348" t="str">
        <f t="shared" si="11"/>
        <v/>
      </c>
    </row>
    <row r="349" spans="41:41" x14ac:dyDescent="0.25">
      <c r="AO349" t="str">
        <f t="shared" si="11"/>
        <v/>
      </c>
    </row>
    <row r="350" spans="41:41" x14ac:dyDescent="0.25">
      <c r="AO350" t="str">
        <f t="shared" si="11"/>
        <v/>
      </c>
    </row>
    <row r="351" spans="41:41" x14ac:dyDescent="0.25">
      <c r="AO351" t="str">
        <f t="shared" si="11"/>
        <v/>
      </c>
    </row>
    <row r="352" spans="41:41" x14ac:dyDescent="0.25">
      <c r="AO352" t="str">
        <f t="shared" si="11"/>
        <v/>
      </c>
    </row>
    <row r="353" spans="41:41" x14ac:dyDescent="0.25">
      <c r="AO353" t="str">
        <f t="shared" si="11"/>
        <v/>
      </c>
    </row>
    <row r="354" spans="41:41" x14ac:dyDescent="0.25">
      <c r="AO354" t="str">
        <f t="shared" si="11"/>
        <v/>
      </c>
    </row>
    <row r="355" spans="41:41" x14ac:dyDescent="0.25">
      <c r="AO355" t="str">
        <f t="shared" si="11"/>
        <v/>
      </c>
    </row>
    <row r="356" spans="41:41" x14ac:dyDescent="0.25">
      <c r="AO356" t="str">
        <f t="shared" si="11"/>
        <v/>
      </c>
    </row>
    <row r="357" spans="41:41" x14ac:dyDescent="0.25">
      <c r="AO357" t="str">
        <f t="shared" si="11"/>
        <v/>
      </c>
    </row>
    <row r="358" spans="41:41" x14ac:dyDescent="0.25">
      <c r="AO358" t="str">
        <f t="shared" si="11"/>
        <v/>
      </c>
    </row>
    <row r="359" spans="41:41" x14ac:dyDescent="0.25">
      <c r="AO359" t="str">
        <f t="shared" si="11"/>
        <v/>
      </c>
    </row>
    <row r="360" spans="41:41" x14ac:dyDescent="0.25">
      <c r="AO360" t="str">
        <f t="shared" si="11"/>
        <v/>
      </c>
    </row>
    <row r="361" spans="41:41" x14ac:dyDescent="0.25">
      <c r="AO361" t="str">
        <f t="shared" si="11"/>
        <v/>
      </c>
    </row>
    <row r="362" spans="41:41" x14ac:dyDescent="0.25">
      <c r="AO362" t="str">
        <f t="shared" si="11"/>
        <v/>
      </c>
    </row>
  </sheetData>
  <autoFilter ref="A1:AN97" xr:uid="{C7A8C2B0-746E-43F5-81F1-FE4E00F85C95}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Fetch">
                <anchor moveWithCells="1" sizeWithCells="1">
                  <from>
                    <xdr:col>0</xdr:col>
                    <xdr:colOff>238125</xdr:colOff>
                    <xdr:row>0</xdr:row>
                    <xdr:rowOff>0</xdr:rowOff>
                  </from>
                  <to>
                    <xdr:col>0</xdr:col>
                    <xdr:colOff>533400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247650</xdr:colOff>
                    <xdr:row>0</xdr:row>
                    <xdr:rowOff>180975</xdr:rowOff>
                  </from>
                  <to>
                    <xdr:col>0</xdr:col>
                    <xdr:colOff>533400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2" bestFit="1" customWidth="1"/>
  </cols>
  <sheetData>
    <row r="1" spans="1:12" x14ac:dyDescent="0.25">
      <c r="A1" s="1" t="s">
        <v>10</v>
      </c>
      <c r="B1" s="2" t="s">
        <v>13</v>
      </c>
      <c r="L1" t="s">
        <v>11</v>
      </c>
    </row>
    <row r="3" spans="1:12" ht="15.75" x14ac:dyDescent="0.25">
      <c r="A3" t="s">
        <v>14</v>
      </c>
      <c r="B3" s="3" t="s">
        <v>90</v>
      </c>
    </row>
    <row r="4" spans="1:12" ht="15.75" x14ac:dyDescent="0.25">
      <c r="A4" t="s">
        <v>15</v>
      </c>
      <c r="B4" s="3" t="s">
        <v>16</v>
      </c>
    </row>
    <row r="5" spans="1:12" ht="15.75" x14ac:dyDescent="0.25">
      <c r="A5" t="s">
        <v>17</v>
      </c>
      <c r="B5" s="3" t="s">
        <v>18</v>
      </c>
    </row>
    <row r="6" spans="1:12" ht="15.75" x14ac:dyDescent="0.25">
      <c r="A6" t="s">
        <v>19</v>
      </c>
      <c r="B6" s="4" t="s">
        <v>91</v>
      </c>
    </row>
    <row r="7" spans="1:12" x14ac:dyDescent="0.25">
      <c r="A7" t="s">
        <v>20</v>
      </c>
      <c r="B7" s="2" t="s">
        <v>21</v>
      </c>
    </row>
    <row r="8" spans="1:12" x14ac:dyDescent="0.25">
      <c r="A8" t="s">
        <v>22</v>
      </c>
      <c r="B8" s="2" t="s">
        <v>4</v>
      </c>
    </row>
    <row r="9" spans="1:12" x14ac:dyDescent="0.25">
      <c r="A9" t="s">
        <v>23</v>
      </c>
      <c r="B9" s="2" t="s">
        <v>5</v>
      </c>
    </row>
    <row r="10" spans="1:12" x14ac:dyDescent="0.25">
      <c r="A10" t="s">
        <v>24</v>
      </c>
      <c r="B10" s="2" t="s">
        <v>25</v>
      </c>
    </row>
    <row r="11" spans="1:12" x14ac:dyDescent="0.25">
      <c r="A11" t="s">
        <v>26</v>
      </c>
      <c r="B11" s="2" t="s">
        <v>6</v>
      </c>
    </row>
    <row r="12" spans="1:12" x14ac:dyDescent="0.25">
      <c r="A12" t="s">
        <v>27</v>
      </c>
      <c r="B12" s="2" t="s">
        <v>7</v>
      </c>
    </row>
    <row r="13" spans="1:12" x14ac:dyDescent="0.25">
      <c r="A13" t="s">
        <v>28</v>
      </c>
      <c r="B13" s="2" t="s">
        <v>29</v>
      </c>
    </row>
    <row r="14" spans="1:12" x14ac:dyDescent="0.25">
      <c r="A14" t="s">
        <v>30</v>
      </c>
      <c r="B14" s="2" t="s">
        <v>31</v>
      </c>
    </row>
    <row r="15" spans="1:12" x14ac:dyDescent="0.25">
      <c r="A15" t="s">
        <v>32</v>
      </c>
      <c r="B15" s="2" t="s">
        <v>33</v>
      </c>
    </row>
    <row r="16" spans="1:12" x14ac:dyDescent="0.25">
      <c r="A16" t="s">
        <v>34</v>
      </c>
      <c r="B16" s="2" t="s">
        <v>35</v>
      </c>
    </row>
    <row r="17" spans="1:8" x14ac:dyDescent="0.25">
      <c r="A17" t="s">
        <v>36</v>
      </c>
      <c r="B17" s="2" t="s">
        <v>37</v>
      </c>
    </row>
    <row r="18" spans="1:8" x14ac:dyDescent="0.25">
      <c r="A18" t="s">
        <v>38</v>
      </c>
      <c r="B18" s="2" t="s">
        <v>39</v>
      </c>
    </row>
    <row r="19" spans="1:8" x14ac:dyDescent="0.25">
      <c r="A19" t="s">
        <v>40</v>
      </c>
      <c r="B19" t="s">
        <v>40</v>
      </c>
    </row>
    <row r="20" spans="1:8" x14ac:dyDescent="0.25">
      <c r="A20" t="s">
        <v>41</v>
      </c>
      <c r="B20" t="s">
        <v>42</v>
      </c>
    </row>
    <row r="21" spans="1:8" x14ac:dyDescent="0.25">
      <c r="A21" t="s">
        <v>43</v>
      </c>
      <c r="B21" s="2" t="s">
        <v>44</v>
      </c>
    </row>
    <row r="22" spans="1:8" x14ac:dyDescent="0.25">
      <c r="A22" t="s">
        <v>45</v>
      </c>
      <c r="B22" s="2" t="s">
        <v>46</v>
      </c>
    </row>
    <row r="23" spans="1:8" x14ac:dyDescent="0.25">
      <c r="A23" t="s">
        <v>47</v>
      </c>
      <c r="B23" s="2" t="s">
        <v>48</v>
      </c>
    </row>
    <row r="24" spans="1:8" x14ac:dyDescent="0.25">
      <c r="A24" t="s">
        <v>49</v>
      </c>
      <c r="B24" s="2" t="s">
        <v>50</v>
      </c>
    </row>
    <row r="25" spans="1:8" x14ac:dyDescent="0.25">
      <c r="A25" s="5" t="s">
        <v>51</v>
      </c>
      <c r="B25" s="5" t="s">
        <v>52</v>
      </c>
    </row>
    <row r="26" spans="1:8" x14ac:dyDescent="0.25">
      <c r="A26" s="6" t="s">
        <v>53</v>
      </c>
      <c r="B26" s="5" t="s">
        <v>8</v>
      </c>
    </row>
    <row r="27" spans="1:8" x14ac:dyDescent="0.25">
      <c r="A27" s="6" t="s">
        <v>54</v>
      </c>
      <c r="B27" s="5" t="s">
        <v>55</v>
      </c>
    </row>
    <row r="28" spans="1:8" x14ac:dyDescent="0.25">
      <c r="A28" s="6" t="s">
        <v>56</v>
      </c>
      <c r="B28" s="5" t="s">
        <v>9</v>
      </c>
    </row>
    <row r="29" spans="1:8" x14ac:dyDescent="0.25">
      <c r="A29" s="6" t="s">
        <v>57</v>
      </c>
      <c r="B29" s="5" t="s">
        <v>58</v>
      </c>
    </row>
    <row r="30" spans="1:8" x14ac:dyDescent="0.25">
      <c r="A30" s="6" t="s">
        <v>59</v>
      </c>
      <c r="B30" s="5" t="s">
        <v>3</v>
      </c>
      <c r="G30" s="5"/>
      <c r="H30" s="5"/>
    </row>
    <row r="31" spans="1:8" x14ac:dyDescent="0.25">
      <c r="A31" s="6" t="s">
        <v>60</v>
      </c>
      <c r="B31" s="5" t="s">
        <v>61</v>
      </c>
      <c r="G31" s="5"/>
      <c r="H31" s="5"/>
    </row>
    <row r="32" spans="1:8" x14ac:dyDescent="0.25">
      <c r="A32" s="5" t="s">
        <v>62</v>
      </c>
      <c r="B32" s="5" t="s">
        <v>63</v>
      </c>
      <c r="G32" s="5"/>
      <c r="H32" s="5"/>
    </row>
    <row r="33" spans="1:8" x14ac:dyDescent="0.25">
      <c r="A33" s="6" t="s">
        <v>64</v>
      </c>
      <c r="B33" s="2" t="s">
        <v>0</v>
      </c>
      <c r="D33" s="5"/>
      <c r="E33" s="5"/>
      <c r="G33" s="5"/>
      <c r="H33" s="5"/>
    </row>
    <row r="34" spans="1:8" x14ac:dyDescent="0.25">
      <c r="A34" s="5" t="s">
        <v>65</v>
      </c>
      <c r="B34" s="5" t="s">
        <v>66</v>
      </c>
    </row>
    <row r="35" spans="1:8" x14ac:dyDescent="0.25">
      <c r="A35" s="5" t="s">
        <v>67</v>
      </c>
      <c r="B35" s="5" t="s">
        <v>68</v>
      </c>
      <c r="D35" s="5"/>
      <c r="E35" s="5"/>
    </row>
    <row r="36" spans="1:8" x14ac:dyDescent="0.25">
      <c r="A36" s="5" t="s">
        <v>69</v>
      </c>
      <c r="B36" s="5" t="s">
        <v>70</v>
      </c>
    </row>
    <row r="37" spans="1:8" x14ac:dyDescent="0.25">
      <c r="A37" s="5" t="s">
        <v>71</v>
      </c>
      <c r="B37" s="5" t="s">
        <v>1</v>
      </c>
    </row>
    <row r="38" spans="1:8" x14ac:dyDescent="0.25">
      <c r="A38" s="5" t="s">
        <v>72</v>
      </c>
      <c r="B38" s="5" t="s">
        <v>2</v>
      </c>
    </row>
    <row r="39" spans="1:8" x14ac:dyDescent="0.25">
      <c r="A39" s="6" t="s">
        <v>73</v>
      </c>
      <c r="B39" s="2" t="s">
        <v>74</v>
      </c>
      <c r="D39" s="5"/>
      <c r="E39" s="5"/>
    </row>
    <row r="40" spans="1:8" x14ac:dyDescent="0.25">
      <c r="A40" s="6" t="s">
        <v>75</v>
      </c>
      <c r="B40" s="2" t="s">
        <v>76</v>
      </c>
    </row>
    <row r="41" spans="1:8" x14ac:dyDescent="0.25">
      <c r="A41" s="6" t="s">
        <v>77</v>
      </c>
      <c r="B41" s="2" t="s">
        <v>78</v>
      </c>
    </row>
    <row r="42" spans="1:8" x14ac:dyDescent="0.25">
      <c r="A42" s="6" t="s">
        <v>79</v>
      </c>
      <c r="B42" s="2" t="s">
        <v>80</v>
      </c>
    </row>
    <row r="43" spans="1:8" x14ac:dyDescent="0.25">
      <c r="A43" s="6" t="s">
        <v>81</v>
      </c>
      <c r="B43" s="2" t="s">
        <v>82</v>
      </c>
    </row>
    <row r="44" spans="1:8" x14ac:dyDescent="0.25">
      <c r="A44" s="6" t="s">
        <v>83</v>
      </c>
      <c r="B44" s="2" t="s">
        <v>84</v>
      </c>
    </row>
    <row r="45" spans="1:8" x14ac:dyDescent="0.25">
      <c r="A45" s="6" t="s">
        <v>85</v>
      </c>
      <c r="B45" s="2" t="s">
        <v>86</v>
      </c>
    </row>
    <row r="46" spans="1:8" x14ac:dyDescent="0.25">
      <c r="A46" s="6" t="s">
        <v>87</v>
      </c>
      <c r="B46" s="2" t="s">
        <v>88</v>
      </c>
    </row>
    <row r="47" spans="1:8" x14ac:dyDescent="0.25">
      <c r="A47" s="6" t="s">
        <v>89</v>
      </c>
      <c r="B47" s="2" t="s">
        <v>184</v>
      </c>
      <c r="C47">
        <v>45</v>
      </c>
    </row>
    <row r="48" spans="1:8" x14ac:dyDescent="0.25">
      <c r="A48" s="6" t="s">
        <v>117</v>
      </c>
      <c r="B48" s="2" t="s">
        <v>118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Values</vt:lpstr>
      <vt:lpstr>Database</vt:lpstr>
      <vt:lpstr>Configuration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2017-10-28T15:01:21Z</cp:lastPrinted>
  <dcterms:created xsi:type="dcterms:W3CDTF">2016-05-29T16:24:08Z</dcterms:created>
  <dcterms:modified xsi:type="dcterms:W3CDTF">2018-08-24T22:22:29Z</dcterms:modified>
</cp:coreProperties>
</file>