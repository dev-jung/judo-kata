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A00C4669-F887-4381-80B6-F0E076602EF3}" xr6:coauthVersionLast="31" xr6:coauthVersionMax="31" xr10:uidLastSave="{00000000-0000-0000-0000-000000000000}"/>
  <bookViews>
    <workbookView xWindow="120" yWindow="255" windowWidth="23250" windowHeight="12990" activeTab="1" xr2:uid="{00000000-000D-0000-FFFF-FFFF00000000}"/>
  </bookViews>
  <sheets>
    <sheet name="Values" sheetId="19" r:id="rId1"/>
    <sheet name="Database" sheetId="18" r:id="rId2"/>
    <sheet name="Configuration" sheetId="5" r:id="rId3"/>
  </sheets>
  <functionGroups builtInGroupCount="19"/>
  <definedNames>
    <definedName name="_xlnm._FilterDatabase" localSheetId="1" hidden="1">Database!$A$1:$AN$97</definedName>
    <definedName name="_xlnm.Print_Area" localSheetId="2">Configuration!$M:$M</definedName>
  </definedNames>
  <calcPr calcId="162913"/>
</workbook>
</file>

<file path=xl/calcChain.xml><?xml version="1.0" encoding="utf-8"?>
<calcChain xmlns="http://schemas.openxmlformats.org/spreadsheetml/2006/main"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sharedStrings.xml><?xml version="1.0" encoding="utf-8"?>
<sst xmlns="http://schemas.openxmlformats.org/spreadsheetml/2006/main" count="122" uniqueCount="121">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</sst>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9" fontId="0" fillId="0" borderId="0" xfId="1" applyFont="1"/>
    <xf numFmtId="0" fontId="0" fillId="0" borderId="0" xfId="0" quotePrefix="1"/>
    <xf numFmtId="9" fontId="0" fillId="0" borderId="0" xfId="1" quotePrefix="1" applyFont="1"/>
    <xf numFmtId="0" fontId="0" fillId="0" borderId="0" xfId="0" applyAlignment="1">
      <alignment textRotation="45"/>
    </xf>
    <xf numFmtId="9" fontId="0" fillId="0" borderId="0" xfId="1" applyFont="1" applyAlignment="1">
      <alignment textRotation="45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N186"/>
  <sheetViews>
    <sheetView tabSelected="1" workbookViewId="0">
      <selection activeCell="A2" sqref="A2"/>
    </sheetView>
  </sheetViews>
  <sheetFormatPr baseColWidth="10" defaultRowHeight="15" x14ac:dyDescent="0.25"/>
  <cols>
    <col min="6" max="6" width="15.42578125" bestFit="1" customWidth="1"/>
    <col min="9" max="9" width="12.140625" bestFit="1" customWidth="1"/>
    <col min="10" max="10" width="19.140625" bestFit="1" customWidth="1"/>
    <col min="11" max="11" width="16.7109375" bestFit="1" customWidth="1"/>
    <col min="12" max="12" width="16.7109375" style="7" customWidth="1"/>
  </cols>
  <sheetData>
    <row r="1" spans="1:40" s="10" customFormat="1" ht="54" customHeight="1" x14ac:dyDescent="0.25">
      <c r="A1" s="10" t="s">
        <v>94</v>
      </c>
      <c r="B1" s="10" t="s">
        <v>95</v>
      </c>
      <c r="C1" s="10" t="str">
        <f>Configuration!B21</f>
        <v>Startnummer</v>
      </c>
      <c r="D1" s="10" t="str">
        <f>Configuration!B33 &amp; " " &amp;Configuration!B24</f>
        <v>Paarung Land</v>
      </c>
      <c r="E1" s="10" t="str">
        <f>Configuration!B41</f>
        <v>Platzierung</v>
      </c>
      <c r="F1" s="10" t="s">
        <v>117</v>
      </c>
      <c r="G1" s="10" t="str">
        <f>Configuration!B7 &amp; " " &amp; Configuration!B24</f>
        <v>Bewerter Land</v>
      </c>
      <c r="H1" s="10" t="str">
        <f>Configuration!B18</f>
        <v>Position</v>
      </c>
      <c r="I1" s="10" t="str">
        <f>Configuration!B14</f>
        <v>Beobachter</v>
      </c>
      <c r="J1" s="10" t="str">
        <f>Configuration!B13</f>
        <v>Springer</v>
      </c>
      <c r="K1" s="10" t="str">
        <f>Configuration!B30</f>
        <v>Gesamt</v>
      </c>
      <c r="L1" s="11" t="str">
        <f>Configuration!B47</f>
        <v>Prozentuale Abweichung</v>
      </c>
      <c r="M1" s="10" t="str">
        <f>Configuration!B26</f>
        <v>Kleiner Fehler</v>
      </c>
      <c r="N1" s="10" t="str">
        <f>Configuration!B27</f>
        <v>Mittlerer Fehler</v>
      </c>
      <c r="O1" s="10" t="str">
        <f>Configuration!B28</f>
        <v>Großer Fehler</v>
      </c>
      <c r="P1" s="10" t="s">
        <v>118</v>
      </c>
      <c r="Q1" s="10" t="str">
        <f>Configuration!B29</f>
        <v>Technik vergessen</v>
      </c>
      <c r="R1" s="10" t="str">
        <f>Configuration!B37</f>
        <v>Angrüßen</v>
      </c>
      <c r="S1" s="10" t="s">
        <v>96</v>
      </c>
      <c r="T1" s="10" t="s">
        <v>97</v>
      </c>
      <c r="U1" s="10" t="s">
        <v>98</v>
      </c>
      <c r="V1" s="10" t="s">
        <v>99</v>
      </c>
      <c r="W1" s="10" t="s">
        <v>100</v>
      </c>
      <c r="X1" s="10" t="s">
        <v>101</v>
      </c>
      <c r="Y1" s="10" t="s">
        <v>102</v>
      </c>
      <c r="Z1" s="10" t="s">
        <v>103</v>
      </c>
      <c r="AA1" s="10" t="s">
        <v>104</v>
      </c>
      <c r="AB1" s="10" t="s">
        <v>105</v>
      </c>
      <c r="AC1" s="10" t="s">
        <v>106</v>
      </c>
      <c r="AD1" s="10" t="s">
        <v>107</v>
      </c>
      <c r="AE1" s="10" t="s">
        <v>108</v>
      </c>
      <c r="AF1" s="10" t="s">
        <v>109</v>
      </c>
      <c r="AG1" s="10" t="s">
        <v>110</v>
      </c>
      <c r="AH1" s="10" t="s">
        <v>111</v>
      </c>
      <c r="AI1" s="10" t="s">
        <v>112</v>
      </c>
      <c r="AJ1" s="10" t="s">
        <v>113</v>
      </c>
      <c r="AK1" s="10" t="s">
        <v>114</v>
      </c>
      <c r="AL1" s="10" t="s">
        <v>115</v>
      </c>
      <c r="AM1" s="10" t="s">
        <v>116</v>
      </c>
      <c r="AN1" s="10" t="str">
        <f>Configuration!B38</f>
        <v>Abgrüßen</v>
      </c>
    </row>
    <row r="2" spans="1:40" x14ac:dyDescent="0.25">
      <c r="C2" s="8"/>
      <c r="D2" s="8"/>
      <c r="G2" s="8"/>
      <c r="H2" s="8"/>
      <c r="I2" s="8"/>
      <c r="J2" s="8"/>
      <c r="L2" s="9"/>
    </row>
    <row r="10" spans="1:40" x14ac:dyDescent="0.25">
      <c r="G10" s="8"/>
      <c r="H10" s="8"/>
      <c r="I10" s="8"/>
      <c r="J10" s="8"/>
      <c r="L10" s="9"/>
    </row>
    <row r="18" spans="7:12" x14ac:dyDescent="0.25">
      <c r="G18" s="8"/>
      <c r="H18" s="8"/>
      <c r="I18" s="8"/>
      <c r="J18" s="8"/>
      <c r="L18" s="9"/>
    </row>
    <row r="26" spans="7:12" x14ac:dyDescent="0.25">
      <c r="G26" s="8"/>
      <c r="H26" s="8"/>
      <c r="I26" s="8"/>
      <c r="J26" s="8"/>
      <c r="L26" s="9"/>
    </row>
    <row r="34" spans="7:12" x14ac:dyDescent="0.25">
      <c r="G34" s="8"/>
      <c r="H34" s="8"/>
      <c r="I34" s="8"/>
      <c r="J34" s="8"/>
      <c r="L34" s="9"/>
    </row>
    <row r="42" spans="7:12" x14ac:dyDescent="0.25">
      <c r="G42" s="8"/>
      <c r="H42" s="8"/>
      <c r="I42" s="8"/>
      <c r="J42" s="8"/>
      <c r="L42" s="9"/>
    </row>
    <row r="50" spans="7:12" x14ac:dyDescent="0.25">
      <c r="G50" s="8"/>
      <c r="H50" s="8"/>
      <c r="I50" s="8"/>
      <c r="J50" s="8"/>
      <c r="L50" s="9"/>
    </row>
    <row r="58" spans="7:12" x14ac:dyDescent="0.25">
      <c r="G58" s="8"/>
      <c r="H58" s="8"/>
      <c r="I58" s="8"/>
      <c r="J58" s="8"/>
      <c r="L58" s="9"/>
    </row>
    <row r="66" spans="7:12" x14ac:dyDescent="0.25">
      <c r="G66" s="8"/>
      <c r="H66" s="8"/>
      <c r="I66" s="8"/>
      <c r="J66" s="8"/>
      <c r="L66" s="9"/>
    </row>
    <row r="74" spans="7:12" x14ac:dyDescent="0.25">
      <c r="G74" s="8"/>
      <c r="H74" s="8"/>
      <c r="I74" s="8"/>
      <c r="J74" s="8"/>
      <c r="L74" s="9"/>
    </row>
    <row r="82" spans="7:12" x14ac:dyDescent="0.25">
      <c r="G82" s="8"/>
      <c r="H82" s="8"/>
      <c r="I82" s="8"/>
      <c r="J82" s="8"/>
      <c r="L82" s="9"/>
    </row>
    <row r="90" spans="7:12" x14ac:dyDescent="0.25">
      <c r="G90" s="8"/>
      <c r="H90" s="8"/>
      <c r="I90" s="8"/>
      <c r="J90" s="8"/>
      <c r="L90" s="9"/>
    </row>
    <row r="98" spans="7:12" x14ac:dyDescent="0.25">
      <c r="G98" s="8"/>
      <c r="H98" s="8"/>
      <c r="I98" s="8"/>
      <c r="J98" s="8"/>
      <c r="L98" s="9"/>
    </row>
    <row r="106" spans="7:12" x14ac:dyDescent="0.25">
      <c r="G106" s="8"/>
      <c r="H106" s="8"/>
      <c r="I106" s="8"/>
      <c r="J106" s="8"/>
      <c r="L106" s="9"/>
    </row>
    <row r="114" spans="7:12" x14ac:dyDescent="0.25">
      <c r="G114" s="8"/>
      <c r="H114" s="8"/>
      <c r="I114" s="8"/>
      <c r="J114" s="8"/>
      <c r="L114" s="9"/>
    </row>
    <row r="122" spans="7:12" x14ac:dyDescent="0.25">
      <c r="G122" s="8"/>
      <c r="H122" s="8"/>
      <c r="I122" s="8"/>
      <c r="J122" s="8"/>
      <c r="L122" s="9"/>
    </row>
    <row r="130" spans="7:12" x14ac:dyDescent="0.25">
      <c r="G130" s="8"/>
      <c r="H130" s="8"/>
      <c r="I130" s="8"/>
      <c r="J130" s="8"/>
      <c r="L130" s="9"/>
    </row>
    <row r="138" spans="7:12" x14ac:dyDescent="0.25">
      <c r="G138" s="8"/>
      <c r="H138" s="8"/>
      <c r="I138" s="8"/>
      <c r="J138" s="8"/>
      <c r="L138" s="9"/>
    </row>
    <row r="146" spans="7:12" x14ac:dyDescent="0.25">
      <c r="G146" s="8"/>
      <c r="H146" s="8"/>
      <c r="I146" s="8"/>
      <c r="J146" s="8"/>
      <c r="L146" s="9"/>
    </row>
    <row r="154" spans="7:12" x14ac:dyDescent="0.25">
      <c r="G154" s="8"/>
      <c r="H154" s="8"/>
      <c r="I154" s="8"/>
      <c r="J154" s="8"/>
      <c r="L154" s="9"/>
    </row>
    <row r="162" spans="7:12" x14ac:dyDescent="0.25">
      <c r="G162" s="8"/>
      <c r="H162" s="8"/>
      <c r="I162" s="8"/>
      <c r="J162" s="8"/>
      <c r="L162" s="9"/>
    </row>
    <row r="170" spans="7:12" x14ac:dyDescent="0.25">
      <c r="G170" s="8"/>
      <c r="H170" s="8"/>
      <c r="I170" s="8"/>
      <c r="J170" s="8"/>
      <c r="L170" s="9"/>
    </row>
    <row r="178" spans="7:12" x14ac:dyDescent="0.25">
      <c r="G178" s="8"/>
      <c r="H178" s="8"/>
      <c r="I178" s="8"/>
      <c r="J178" s="8"/>
      <c r="L178" s="9"/>
    </row>
    <row r="186" spans="7:12" x14ac:dyDescent="0.25">
      <c r="G186" s="8"/>
      <c r="H186" s="8"/>
      <c r="I186" s="8"/>
      <c r="J186" s="8"/>
      <c r="L186" s="9"/>
    </row>
  </sheetData>
  <autoFilter ref="A1:AN97" xr:uid="{C7A8C2B0-746E-43F5-81F1-FE4E00F85C95}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>
      <selection activeCell="B18" sqref="B1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92</v>
      </c>
    </row>
    <row r="4" spans="1:12" ht="15.75" x14ac:dyDescent="0.25">
      <c r="A4" t="s">
        <v>16</v>
      </c>
      <c r="B4" s="3" t="s">
        <v>17</v>
      </c>
    </row>
    <row r="5" spans="1:12" ht="15.75" x14ac:dyDescent="0.25">
      <c r="A5" t="s">
        <v>18</v>
      </c>
      <c r="B5" s="3" t="s">
        <v>19</v>
      </c>
    </row>
    <row r="6" spans="1:12" ht="15.75" x14ac:dyDescent="0.25">
      <c r="A6" t="s">
        <v>20</v>
      </c>
      <c r="B6" s="4" t="s">
        <v>93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s="6" t="s">
        <v>54</v>
      </c>
      <c r="B26" s="5" t="s">
        <v>8</v>
      </c>
    </row>
    <row r="27" spans="1:8" x14ac:dyDescent="0.25">
      <c r="A27" s="6" t="s">
        <v>55</v>
      </c>
      <c r="B27" s="5" t="s">
        <v>56</v>
      </c>
    </row>
    <row r="28" spans="1:8" x14ac:dyDescent="0.25">
      <c r="A28" s="6" t="s">
        <v>57</v>
      </c>
      <c r="B28" s="5" t="s">
        <v>9</v>
      </c>
    </row>
    <row r="29" spans="1:8" x14ac:dyDescent="0.25">
      <c r="A29" s="6" t="s">
        <v>58</v>
      </c>
      <c r="B29" s="5" t="s">
        <v>59</v>
      </c>
    </row>
    <row r="30" spans="1:8" x14ac:dyDescent="0.25">
      <c r="A30" s="6" t="s">
        <v>60</v>
      </c>
      <c r="B30" s="5" t="s">
        <v>3</v>
      </c>
      <c r="G30" s="5"/>
      <c r="H30" s="5"/>
    </row>
    <row r="31" spans="1:8" x14ac:dyDescent="0.25">
      <c r="A31" s="6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s="6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s="6" t="s">
        <v>74</v>
      </c>
      <c r="B39" s="2" t="s">
        <v>75</v>
      </c>
      <c r="D39" s="5"/>
      <c r="E39" s="5"/>
    </row>
    <row r="40" spans="1:8" x14ac:dyDescent="0.25">
      <c r="A40" s="6" t="s">
        <v>76</v>
      </c>
      <c r="B40" s="2" t="s">
        <v>77</v>
      </c>
    </row>
    <row r="41" spans="1:8" x14ac:dyDescent="0.25">
      <c r="A41" s="6" t="s">
        <v>78</v>
      </c>
      <c r="B41" s="2" t="s">
        <v>79</v>
      </c>
    </row>
    <row r="42" spans="1:8" x14ac:dyDescent="0.25">
      <c r="A42" s="6" t="s">
        <v>80</v>
      </c>
      <c r="B42" s="2" t="s">
        <v>81</v>
      </c>
    </row>
    <row r="43" spans="1:8" x14ac:dyDescent="0.25">
      <c r="A43" s="6" t="s">
        <v>82</v>
      </c>
      <c r="B43" s="2" t="s">
        <v>83</v>
      </c>
    </row>
    <row r="44" spans="1:8" x14ac:dyDescent="0.25">
      <c r="A44" s="6" t="s">
        <v>84</v>
      </c>
      <c r="B44" s="2" t="s">
        <v>85</v>
      </c>
    </row>
    <row r="45" spans="1:8" x14ac:dyDescent="0.25">
      <c r="A45" s="6" t="s">
        <v>86</v>
      </c>
      <c r="B45" s="2" t="s">
        <v>87</v>
      </c>
    </row>
    <row r="46" spans="1:8" x14ac:dyDescent="0.25">
      <c r="A46" s="6" t="s">
        <v>88</v>
      </c>
      <c r="B46" s="2" t="s">
        <v>89</v>
      </c>
    </row>
    <row r="47" spans="1:8" x14ac:dyDescent="0.25">
      <c r="A47" s="6" t="s">
        <v>90</v>
      </c>
      <c r="B47" s="2" t="s">
        <v>91</v>
      </c>
      <c r="C47">
        <v>45</v>
      </c>
    </row>
    <row r="48" spans="1:8" x14ac:dyDescent="0.25">
      <c r="A48" s="6" t="s">
        <v>119</v>
      </c>
      <c r="B48" s="2" t="s">
        <v>120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2018-04-21T23:14:13Z</dcterms:modified>
</cp:coreProperties>
</file>